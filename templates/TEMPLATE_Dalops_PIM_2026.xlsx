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3.vml" ContentType="application/vnd.openxmlformats-officedocument.vmlDrawing"/>
  <Override PartName="/xl/drawings/vmlDrawing1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profil" sheetId="2" state="visible" r:id="rId4"/>
    <sheet name="harian_gas" sheetId="3" state="visible" r:id="rId5"/>
    <sheet name="ringkasan_gas" sheetId="4" state="visible" r:id="rId6"/>
    <sheet name="harian_bahan_baku" sheetId="5" state="visible" r:id="rId7"/>
    <sheet name="harian_produksi" sheetId="6" state="visible" r:id="rId8"/>
    <sheet name="rkap_bulanan" sheetId="7" state="visible" r:id="rId9"/>
    <sheet name="stok_produk_lini1" sheetId="8" state="visible" r:id="rId10"/>
    <sheet name="jadwal_kapal" sheetId="9" state="visible" r:id="rId11"/>
    <sheet name="perubahan_versi" sheetId="10" state="visible" r:id="rId12"/>
    <sheet name="status_unit" sheetId="11" state="visible" r:id="rId13"/>
    <sheet name="parameter_kri" sheetId="12" state="visible" r:id="rId14"/>
    <sheet name="cons_rate" sheetId="13" state="visible" r:id="rId15"/>
    <sheet name="sumber_pasokan" sheetId="14" state="visible" r:id="rId16"/>
    <sheet name="transfer_antar_entitas" sheetId="15" state="visible" r:id="rId17"/>
    <sheet name="ambang_siaga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Otomatis: Realisasi bila tanggal ≤ posisi_data, selain itu Rencana.</t>
        </r>
      </text>
    </comment>
    <comment ref="C1" authorId="0">
      <text>
        <r>
          <rPr>
            <sz val="10"/>
            <rFont val="Arial"/>
            <family val="2"/>
          </rPr>
          <t xml:space="preserve">Nama pemasok/lapangan gas. Harus sama persis dengan sheet sumber_pasokan.</t>
        </r>
      </text>
    </comment>
    <comment ref="D1" authorId="0">
      <text>
        <r>
          <rPr>
            <sz val="10"/>
            <rFont val="Arial"/>
            <family val="2"/>
          </rPr>
          <t xml:space="preserve">Otomatis dari volume kontrak di sheet sumber_pasokan. Boleh ditimpa bila kontrak berubah di tengah tahun.</t>
        </r>
      </text>
    </comment>
    <comment ref="E1" authorId="0">
      <text>
        <r>
          <rPr>
            <sz val="10"/>
            <rFont val="Arial"/>
            <family val="2"/>
          </rPr>
          <t xml:space="preserve">Realisasi: pasokan aktual harian. Rencana: nominasi/rencana pasokan.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Otomatis: jumlah kontrak semua pemasok di harian_gas.</t>
        </r>
      </text>
    </comment>
    <comment ref="D1" authorId="0">
      <text>
        <r>
          <rPr>
            <sz val="10"/>
            <rFont val="Arial"/>
            <family val="2"/>
          </rPr>
          <t xml:space="preserve">Otomatis: jumlah pasokan semua pemasok di harian_gas.</t>
        </r>
      </text>
    </comment>
    <comment ref="E1" authorId="0">
      <text>
        <r>
          <rPr>
            <sz val="10"/>
            <rFont val="Arial"/>
            <family val="2"/>
          </rPr>
          <t xml:space="preserve">Kebutuhan gas operasi menurut rencana produksi (dasar KRI Pemenuhan Pasokan Gas).</t>
        </r>
      </text>
    </comment>
    <comment ref="F1" authorId="0">
      <text>
        <r>
          <rPr>
            <sz val="10"/>
            <rFont val="Arial"/>
            <family val="2"/>
          </rPr>
          <t xml:space="preserve">Pemakaian gas aktual. Kosongkan pada baris Rencana.</t>
        </r>
      </text>
    </comment>
    <comment ref="G1" authorId="0">
      <text>
        <r>
          <rPr>
            <sz val="10"/>
            <rFont val="Arial"/>
            <family val="2"/>
          </rPr>
          <t xml:space="preserve">Konsumsi spesifik gas per ton amoniak (bahan baku + bahan bakar).</t>
        </r>
      </text>
    </comment>
    <comment ref="H1" authorId="0">
      <text>
        <r>
          <rPr>
            <sz val="10"/>
            <rFont val="Arial"/>
            <family val="2"/>
          </rPr>
          <t xml:space="preserve">Konsumsi spesifik gas per ton urea (utilitas).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Isi hanya pada 1 Januari. Hari berikutnya otomatis = stok akhir hari sebelumnya.</t>
        </r>
      </text>
    </comment>
    <comment ref="F1" authorId="0">
      <text>
        <r>
          <rPr>
            <sz val="10"/>
            <rFont val="Arial"/>
            <family val="2"/>
          </rPr>
          <t xml:space="preserve">Bongkaran kapal/kiriman yang masuk gudang hari itu (ton).</t>
        </r>
      </text>
    </comment>
    <comment ref="G1" authorId="0">
      <text>
        <r>
          <rPr>
            <sz val="10"/>
            <rFont val="Arial"/>
            <family val="2"/>
          </rPr>
          <t xml:space="preserve">Hanya amoniak: produksi pabrik amoniak hari itu (ton).</t>
        </r>
      </text>
    </comment>
    <comment ref="H1" authorId="0">
      <text>
        <r>
          <rPr>
            <sz val="10"/>
            <rFont val="Arial"/>
            <family val="2"/>
          </rPr>
          <t xml:space="preserve">Pemakaian oleh pabrik (amoniak ke urea; bahan NPK ke pabrik NPK).</t>
        </r>
      </text>
    </comment>
    <comment ref="I1" authorId="0">
      <text>
        <r>
          <rPr>
            <sz val="10"/>
            <rFont val="Arial"/>
            <family val="2"/>
          </rPr>
          <t xml:space="preserve">Penjualan atau transfer ke entitas lain (ton).</t>
        </r>
      </text>
    </comment>
    <comment ref="J1" authorId="0">
      <text>
        <r>
          <rPr>
            <sz val="10"/>
            <rFont val="Arial"/>
            <family val="2"/>
          </rPr>
          <t xml:space="preserve">Otomatis = awal + kedatangan + produksi − pemakaian − jual/transfer. Pada baris Realisasi boleh ditimpa dengan stok hasil opname.</t>
        </r>
      </text>
    </comment>
    <comment ref="K1" authorId="0">
      <text>
        <r>
          <rPr>
            <sz val="10"/>
            <rFont val="Arial"/>
            <family val="2"/>
          </rPr>
          <t xml:space="preserve">Kontrol: selisih neraca. Harus 0 kecuali stok akhir ditimpa angka opname. Tidak dibaca dashboard.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Nama unit pabrik. Contoh dari data dummy — ganti dengan nama unit sebenarnya (sama di semua sheet).</t>
        </r>
      </text>
    </comment>
    <comment ref="D1" authorId="0">
      <text>
        <r>
          <rPr>
            <sz val="10"/>
            <rFont val="Arial"/>
            <family val="2"/>
          </rPr>
          <t xml:space="preserve">Amoniak, Urea, atau NPK (huruf persis seperti ini).</t>
        </r>
      </text>
    </comment>
    <comment ref="E1" authorId="0">
      <text>
        <r>
          <rPr>
            <sz val="10"/>
            <rFont val="Arial"/>
            <family val="2"/>
          </rPr>
          <t xml:space="preserve">Isi pada baris pertama tiap unit; baris berikutnya mengikuti otomatis (boleh ditimpa).</t>
        </r>
      </text>
    </comment>
    <comment ref="F1" authorId="0">
      <text>
        <r>
          <rPr>
            <sz val="10"/>
            <rFont val="Arial"/>
            <family val="2"/>
          </rPr>
          <t xml:space="preserve">Realisasi produksi harian, atau rencana produksi untuk baris Rencana (ton).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Sama persis dengan nama unit di harian_produksi.</t>
        </r>
      </text>
    </comment>
    <comment ref="O1" authorId="0">
      <text>
        <r>
          <rPr>
            <sz val="10"/>
            <rFont val="Arial"/>
            <family val="2"/>
          </rPr>
          <t xml:space="preserve">Otomatis: jumlah Januari–Desember.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Isi hanya pada 1 Januari; hari berikutnya otomatis.</t>
        </r>
      </text>
    </comment>
    <comment ref="E1" authorId="0">
      <text>
        <r>
          <rPr>
            <sz val="10"/>
            <rFont val="Arial"/>
            <family val="2"/>
          </rPr>
          <t xml:space="preserve">Produk masuk gudang Lini I dari pabrik (ton).</t>
        </r>
      </text>
    </comment>
    <comment ref="F1" authorId="0">
      <text>
        <r>
          <rPr>
            <sz val="10"/>
            <rFont val="Arial"/>
            <family val="2"/>
          </rPr>
          <t xml:space="preserve">Produk keluar/disalurkan dari Lini I (ton).</t>
        </r>
      </text>
    </comment>
    <comment ref="G1" authorId="0">
      <text>
        <r>
          <rPr>
            <sz val="10"/>
            <rFont val="Arial"/>
            <family val="2"/>
          </rPr>
          <t xml:space="preserve">Otomatis; pada baris Realisasi boleh ditimpa dengan stok fisik.</t>
        </r>
      </text>
    </comment>
    <comment ref="H1" authorId="0">
      <text>
        <r>
          <rPr>
            <sz val="10"/>
            <rFont val="Arial"/>
            <family val="2"/>
          </rPr>
          <t xml:space="preserve">Produk curah di pabrik di luar gudang kantong (ton).</t>
        </r>
      </text>
    </comment>
    <comment ref="I1" authorId="0">
      <text>
        <r>
          <rPr>
            <sz val="10"/>
            <rFont val="Arial"/>
            <family val="2"/>
          </rPr>
          <t xml:space="preserve">Kontrol neraca, tidak dibaca dashboard.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KCl, DAP, ZA, atau Amoniak.</t>
        </r>
      </text>
    </comment>
    <comment ref="F1" authorId="0">
      <text>
        <r>
          <rPr>
            <sz val="10"/>
            <rFont val="Arial"/>
            <family val="2"/>
          </rPr>
          <t xml:space="preserve">ETA menurut rencana terbaru.</t>
        </r>
      </text>
    </comment>
    <comment ref="G1" authorId="0">
      <text>
        <r>
          <rPr>
            <sz val="10"/>
            <rFont val="Arial"/>
            <family val="2"/>
          </rPr>
          <t xml:space="preserve">ETA pada rencana awal. Selisih dengan ETA terkini = keterlambatan.</t>
        </r>
      </text>
    </comment>
    <comment ref="I1" authorId="0">
      <text>
        <r>
          <rPr>
            <sz val="10"/>
            <rFont val="Arial"/>
            <family val="2"/>
          </rPr>
          <t xml:space="preserve">Jarak laut pelabuhan muat → pelabuhan bongkar (nautical mile).</t>
        </r>
      </text>
    </comment>
    <comment ref="J1" authorId="0">
      <text>
        <r>
          <rPr>
            <sz val="10"/>
            <rFont val="Arial"/>
            <family val="2"/>
          </rPr>
          <t xml:space="preserve">Otomatis: jarak ÷ (12,5 knot × 24 jam).</t>
        </r>
      </text>
    </comment>
    <comment ref="K1" authorId="0">
      <text>
        <r>
          <rPr>
            <sz val="10"/>
            <rFont val="Arial"/>
            <family val="2"/>
          </rPr>
          <t xml:space="preserve">Ya bila rute melewati Selat Hormuz (mis. dari Teluk Persia).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Tanggal versi master sebelumnya.</t>
        </r>
      </text>
    </comment>
    <comment ref="B1" authorId="0">
      <text>
        <r>
          <rPr>
            <sz val="10"/>
            <rFont val="Arial"/>
            <family val="2"/>
          </rPr>
          <t xml:space="preserve">Tanggal versi master ini.</t>
        </r>
      </text>
    </comment>
    <comment ref="I1" authorId="0">
      <text>
        <r>
          <rPr>
            <sz val="10"/>
            <rFont val="Arial"/>
            <family val="2"/>
          </rPr>
          <t xml:space="preserve">Sebab perubahan ETA atau volume.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Beroperasi, Berhenti, atau Beban turun — pada tanggal posisi data.</t>
        </r>
      </text>
    </comment>
    <comment ref="C1" authorId="0">
      <text>
        <r>
          <rPr>
            <sz val="10"/>
            <rFont val="Arial"/>
            <family val="2"/>
          </rPr>
          <t xml:space="preserve">Untuk unit berhenti: tanggal mulai.</t>
        </r>
      </text>
    </comment>
    <comment ref="D1" authorId="0">
      <text>
        <r>
          <rPr>
            <sz val="10"/>
            <rFont val="Arial"/>
            <family val="2"/>
          </rPr>
          <t xml:space="preserve">Untuk unit berhenti: perkiraan tanggal kembali beroperasi.</t>
        </r>
      </text>
    </comment>
    <comment ref="E1" authorId="0">
      <text>
        <r>
          <rPr>
            <sz val="10"/>
            <rFont val="Arial"/>
            <family val="2"/>
          </rPr>
          <t xml:space="preserve">Mis. turnaround terjadwal, trip kompresor, menunggu suku cadang.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Sesuai Kesepakatan Safety Stock Bahan Baku PI Group. Dashboard tetap memakai angka Kesepakatan di profil entitas; bila berbeda, dashboard memberi peringatan.</t>
        </r>
      </text>
    </comment>
    <comment ref="F1" authorId="0">
      <text>
        <r>
          <rPr>
            <sz val="10"/>
            <rFont val="Arial"/>
            <family val="2"/>
          </rPr>
          <t xml:space="preserve">Sesuai data deadstock PI Group.</t>
        </r>
      </text>
    </comment>
    <comment ref="G1" authorId="0">
      <text>
        <r>
          <rPr>
            <sz val="10"/>
            <rFont val="Arial"/>
            <family val="2"/>
          </rPr>
          <t xml:space="preserve">KRI non-gas: Aman ≥ 100%.</t>
        </r>
      </text>
    </comment>
    <comment ref="G7" authorId="0">
      <text>
        <r>
          <rPr>
            <sz val="10"/>
            <rFont val="Arial"/>
            <family val="2"/>
          </rPr>
          <t xml:space="preserve">Ambang usulan. Ganti bila ambang resmi KRI gas sudah ditetapkan.</t>
        </r>
      </text>
    </comment>
    <comment ref="H1" authorId="0">
      <text>
        <r>
          <rPr>
            <sz val="10"/>
            <rFont val="Arial"/>
            <family val="2"/>
          </rPr>
          <t xml:space="preserve">KRI non-gas: Bahaya &lt; 92,25%.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Untuk NPK, tulis diawali "NPK", mis. NPK 15-15-15.</t>
        </r>
      </text>
    </comment>
    <comment ref="C1" authorId="0">
      <text>
        <r>
          <rPr>
            <sz val="10"/>
            <rFont val="Arial"/>
            <family val="2"/>
          </rPr>
          <t xml:space="preserve">Rasio konsumsi menurut Dalops.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Untuk gas: nama pemasok/lapangan persis seperti di harian_gas. Untuk impor: "Impor &lt;bahan&gt; &lt;negara&gt;" agar Simulator bisa mencocokkan kargo.</t>
        </r>
      </text>
    </comment>
    <comment ref="E1" authorId="0">
      <text>
        <r>
          <rPr>
            <sz val="10"/>
            <rFont val="Arial"/>
            <family val="2"/>
          </rPr>
          <t xml:space="preserve">Gas: kontrak BBTUD. Impor: ton per kargo.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Realisasi atau Rencana.</t>
        </r>
      </text>
    </comment>
    <comment ref="C1" authorId="0">
      <text>
        <r>
          <rPr>
            <sz val="10"/>
            <rFont val="Arial"/>
            <family val="2"/>
          </rPr>
          <t xml:space="preserve">Kode entitas pengirim.</t>
        </r>
      </text>
    </comment>
    <comment ref="D1" authorId="0">
      <text>
        <r>
          <rPr>
            <sz val="10"/>
            <rFont val="Arial"/>
            <family val="2"/>
          </rPr>
          <t xml:space="preserve">Kode entitas penerima.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USULAN dari tahap pengembangan. Sesuaikan dengan ambang yang disetujui.</t>
        </r>
      </text>
    </comment>
  </commentList>
</comments>
</file>

<file path=xl/sharedStrings.xml><?xml version="1.0" encoding="utf-8"?>
<sst xmlns="http://schemas.openxmlformats.org/spreadsheetml/2006/main" count="7673" uniqueCount="261">
  <si>
    <t xml:space="preserve">Templat Pengisian Data Dalops 2026 · PIM</t>
  </si>
  <si>
    <t xml:space="preserve">PT Pupuk Iskandar Muda · untuk dashboard CAK PRI PI Group v3</t>
  </si>
  <si>
    <t xml:space="preserve">Arti warna sel</t>
  </si>
  <si>
    <t xml:space="preserve">contoh</t>
  </si>
  <si>
    <t xml:space="preserve">Kuning, teks biru: DIISI oleh Anper</t>
  </si>
  <si>
    <t xml:space="preserve">Abu-abu: rumus otomatis — jangan diubah (kecuali disebut "boleh ditimpa")</t>
  </si>
  <si>
    <t xml:space="preserve">Putih: kunci baris (tanggal, material, unit) — sudah disiapkan</t>
  </si>
  <si>
    <t xml:space="preserve">Langkah pengisian</t>
  </si>
  <si>
    <t xml:space="preserve">1. Sheet profil: isi posisi_data (tanggal realisasi terakhir), tanggal_update, dosis, produk NPK, konteks. Kolom "jenis" di semua sheet otomatis mengikuti posisi_data.</t>
  </si>
  <si>
    <t xml:space="preserve">2. Ganti nama unit, pemasok gas, dan sumber pasokan contoh dengan nama sebenarnya (Ctrl+H, ganti di seluruh workbook agar konsisten antarsheet).</t>
  </si>
  <si>
    <t xml:space="preserve">3. Isi sheet harian: angka Realisasi sampai posisi_data, lalu angka Rencana sampai 31 Desember. Stok awal cukup diisi pada 1 Januari.</t>
  </si>
  <si>
    <t xml:space="preserve">4. Isi jadwal_kapal untuk semua kargo 2026 (tiba, dalam pelayaran, rencana). Isi perubahan_versi bila ETA/volume berubah dari versi sebelumnya.</t>
  </si>
  <si>
    <t xml:space="preserve">5. Isi status_unit (posisi hari ini), parameter_kri (safety stock &amp; deadstock Kesepakatan PI Group), cons_rate, sumber_pasokan.</t>
  </si>
  <si>
    <t xml:space="preserve">6. Periksa tabel "Cek otomatis" di bawah: semua harus 0 / OK sebelum dikirim.</t>
  </si>
  <si>
    <t xml:space="preserve">7. Simpan sebagai .xlsx dengan nama mengandung kode entitas, mis. Dalops_PIM_2026_posisi_&lt;tanggal&gt;.xlsx, lalu muat lewat tombol "Muat Data" di dashboard.</t>
  </si>
  <si>
    <t xml:space="preserve">Jangan mengganti nama sheet, nama kolom di baris 1, atau menyisipkan baris di atas header. Sheet PANDUAN dan kolom cek_selisih_t tidak dibaca dashboard.</t>
  </si>
  <si>
    <t xml:space="preserve">Isi tiap sheet</t>
  </si>
  <si>
    <t xml:space="preserve">Sheet</t>
  </si>
  <si>
    <t xml:space="preserve">Isi</t>
  </si>
  <si>
    <t xml:space="preserve">Modul dashboard</t>
  </si>
  <si>
    <t xml:space="preserve">profil</t>
  </si>
  <si>
    <t xml:space="preserve">Identitas, posisi data, dosis, konteks</t>
  </si>
  <si>
    <t xml:space="preserve">Semua modul</t>
  </si>
  <si>
    <t xml:space="preserve">harian_gas</t>
  </si>
  <si>
    <t xml:space="preserve">Pasokan harian per pemasok (BBTUD) vs kontrak</t>
  </si>
  <si>
    <t xml:space="preserve">01, 08, 09</t>
  </si>
  <si>
    <t xml:space="preserve">ringkasan_gas</t>
  </si>
  <si>
    <t xml:space="preserve">Total pasokan (otomatis), kebutuhan, pemakaian, konsumsi spesifik</t>
  </si>
  <si>
    <t xml:space="preserve">01, 02, 05, 09</t>
  </si>
  <si>
    <t xml:space="preserve">harian_bahan_baku</t>
  </si>
  <si>
    <t xml:space="preserve">Neraca harian amoniak, KCl, DAP, ZA, clay</t>
  </si>
  <si>
    <t xml:space="preserve">01, 05, 06, 08, 09</t>
  </si>
  <si>
    <t xml:space="preserve">harian_produksi</t>
  </si>
  <si>
    <t xml:space="preserve">Produksi harian per unit amoniak/urea/NPK</t>
  </si>
  <si>
    <t xml:space="preserve">02, 08, 09, 11, 12</t>
  </si>
  <si>
    <t xml:space="preserve">rkap_bulanan</t>
  </si>
  <si>
    <t xml:space="preserve">RKAP 2026 per unit per bulan</t>
  </si>
  <si>
    <t xml:space="preserve">02</t>
  </si>
  <si>
    <t xml:space="preserve">stok_produk_lini1</t>
  </si>
  <si>
    <t xml:space="preserve">Stok, masuk, penyaluran produk di gudang Lini I</t>
  </si>
  <si>
    <t xml:space="preserve">03</t>
  </si>
  <si>
    <t xml:space="preserve">jadwal_kapal</t>
  </si>
  <si>
    <t xml:space="preserve">Seluruh kargo 2026 beserta ETA awal &amp; terkini</t>
  </si>
  <si>
    <t xml:space="preserve">01, 04, 05, 06</t>
  </si>
  <si>
    <t xml:space="preserve">perubahan_versi</t>
  </si>
  <si>
    <t xml:space="preserve">Perubahan ETA/volume antar-versi master</t>
  </si>
  <si>
    <t xml:space="preserve">07</t>
  </si>
  <si>
    <t xml:space="preserve">status_unit</t>
  </si>
  <si>
    <t xml:space="preserve">Unit berhenti/turnaround/trip pada posisi data</t>
  </si>
  <si>
    <t xml:space="preserve">01, 02, 13</t>
  </si>
  <si>
    <t xml:space="preserve">parameter_kri</t>
  </si>
  <si>
    <t xml:space="preserve">Safety stock &amp; deadstock (Kesepakatan PI Group), ambang KRI</t>
  </si>
  <si>
    <t xml:space="preserve">01, 13</t>
  </si>
  <si>
    <t xml:space="preserve">cons_rate</t>
  </si>
  <si>
    <t xml:space="preserve">Rasio konsumsi bahan per ton produk</t>
  </si>
  <si>
    <t xml:space="preserve">02, 09, 10, 11, 12</t>
  </si>
  <si>
    <t xml:space="preserve">sumber_pasokan</t>
  </si>
  <si>
    <t xml:space="preserve">Daftar sumber untuk Simulator; kontrak gas</t>
  </si>
  <si>
    <t xml:space="preserve">08</t>
  </si>
  <si>
    <t xml:space="preserve">transfer_antar_entitas</t>
  </si>
  <si>
    <t xml:space="preserve">Kiriman antar-entitas PI Group</t>
  </si>
  <si>
    <t xml:space="preserve">11, 00</t>
  </si>
  <si>
    <t xml:space="preserve">ambang_siaga</t>
  </si>
  <si>
    <t xml:space="preserve">Pemicu Siaga 1–3 dan tindakannya</t>
  </si>
  <si>
    <t xml:space="preserve">13</t>
  </si>
  <si>
    <t xml:space="preserve">Contoh pengisian (format yang diharapkan; angka contoh)</t>
  </si>
  <si>
    <t xml:space="preserve">tanggal</t>
  </si>
  <si>
    <t xml:space="preserve">jenis</t>
  </si>
  <si>
    <t xml:space="preserve">kode_material</t>
  </si>
  <si>
    <t xml:space="preserve">material</t>
  </si>
  <si>
    <t xml:space="preserve">stok_awal_t</t>
  </si>
  <si>
    <t xml:space="preserve">kedatangan_t</t>
  </si>
  <si>
    <t xml:space="preserve">produksi_sendiri_t</t>
  </si>
  <si>
    <t xml:space="preserve">pemakaian_t</t>
  </si>
  <si>
    <t xml:space="preserve">dijual_transfer_t</t>
  </si>
  <si>
    <t xml:space="preserve">stok_akhir_t</t>
  </si>
  <si>
    <t xml:space="preserve">Realisasi</t>
  </si>
  <si>
    <t xml:space="preserve">KCL</t>
  </si>
  <si>
    <t xml:space="preserve">KCl</t>
  </si>
  <si>
    <t xml:space="preserve">pemasok</t>
  </si>
  <si>
    <t xml:space="preserve">kontrak_bbtud</t>
  </si>
  <si>
    <t xml:space="preserve">pasokan_bbtud</t>
  </si>
  <si>
    <t xml:space="preserve">Pemasok Gas A · Blok Hulu 4</t>
  </si>
  <si>
    <t xml:space="preserve">negara_asal</t>
  </si>
  <si>
    <t xml:space="preserve">pelabuhan_muat</t>
  </si>
  <si>
    <t xml:space="preserve">nama_kapal</t>
  </si>
  <si>
    <t xml:space="preserve">volume_t</t>
  </si>
  <si>
    <t xml:space="preserve">eta_terkini</t>
  </si>
  <si>
    <t xml:space="preserve">eta_awal</t>
  </si>
  <si>
    <t xml:space="preserve">status</t>
  </si>
  <si>
    <t xml:space="preserve">jarak_nm</t>
  </si>
  <si>
    <t xml:space="preserve">waktu_layar_hari</t>
  </si>
  <si>
    <t xml:space="preserve">lewat_hormuz</t>
  </si>
  <si>
    <t xml:space="preserve">Kanada</t>
  </si>
  <si>
    <t xml:space="preserve">Vancouver</t>
  </si>
  <si>
    <t xml:space="preserve">MV Nama Kapal</t>
  </si>
  <si>
    <t xml:space="preserve">Terlambat</t>
  </si>
  <si>
    <t xml:space="preserve">Tidak</t>
  </si>
  <si>
    <t xml:space="preserve">Baris contoh di atas hanya ilustrasi format, tidak dibaca dashboard.</t>
  </si>
  <si>
    <t xml:space="preserve">Cek otomatis</t>
  </si>
  <si>
    <t xml:space="preserve">Pemeriksaan</t>
  </si>
  <si>
    <t xml:space="preserve">Hasil</t>
  </si>
  <si>
    <t xml:space="preserve">posisi_data terisi</t>
  </si>
  <si>
    <t xml:space="preserve">Baris Realisasi bahan baku tanpa angka pemakaian</t>
  </si>
  <si>
    <t xml:space="preserve">Baris neraca bahan baku dengan selisih &gt; 1 t</t>
  </si>
  <si>
    <t xml:space="preserve">Baris Realisasi gas tanpa angka pasokan</t>
  </si>
  <si>
    <t xml:space="preserve">Hari tanpa kebutuhan gas rencana</t>
  </si>
  <si>
    <t xml:space="preserve">Baris Realisasi produksi tanpa angka</t>
  </si>
  <si>
    <t xml:space="preserve">Unit tanpa RKAP tahunan</t>
  </si>
  <si>
    <t xml:space="preserve">Safety stock / deadstock belum diisi</t>
  </si>
  <si>
    <t xml:space="preserve">Rasio cons-rate belum diisi</t>
  </si>
  <si>
    <t xml:space="preserve">Semua angka harus 0 dan posisi_data "OK" sebelum berkas dikirim.</t>
  </si>
  <si>
    <t xml:space="preserve">parameter</t>
  </si>
  <si>
    <t xml:space="preserve">nilai</t>
  </si>
  <si>
    <t xml:space="preserve">keterangan</t>
  </si>
  <si>
    <t xml:space="preserve">kode</t>
  </si>
  <si>
    <t xml:space="preserve">PIM</t>
  </si>
  <si>
    <t xml:space="preserve">Jangan diubah. Dipakai dashboard untuk mengenali entitas.</t>
  </si>
  <si>
    <t xml:space="preserve">nama</t>
  </si>
  <si>
    <t xml:space="preserve">PT Pupuk Iskandar Muda</t>
  </si>
  <si>
    <t xml:space="preserve">Nama resmi perusahaan.</t>
  </si>
  <si>
    <t xml:space="preserve">lokasi</t>
  </si>
  <si>
    <t xml:space="preserve">Lhokseumawe, Aceh</t>
  </si>
  <si>
    <t xml:space="preserve">Kota, provinsi lokasi pabrik.</t>
  </si>
  <si>
    <t xml:space="preserve">pelabuhan_bongkar</t>
  </si>
  <si>
    <t xml:space="preserve">Pelabuhan Krueng Geukueh</t>
  </si>
  <si>
    <t xml:space="preserve">Pelabuhan bongkar impor. Periksa: nama dari data dummy.</t>
  </si>
  <si>
    <t xml:space="preserve">pelabuhan_lat</t>
  </si>
  <si>
    <t xml:space="preserve">Lintang pelabuhan bongkar (derajat desimal, selatan negatif).</t>
  </si>
  <si>
    <t xml:space="preserve">pelabuhan_lon</t>
  </si>
  <si>
    <t xml:space="preserve">Bujur pelabuhan bongkar (derajat desimal).</t>
  </si>
  <si>
    <t xml:space="preserve">warna_aksen</t>
  </si>
  <si>
    <t xml:space="preserve">Kode warna brand, mis. #F5A623. Boleh dikosongkan.</t>
  </si>
  <si>
    <t xml:space="preserve">posisi_data</t>
  </si>
  <si>
    <t xml:space="preserve">WAJIB. Tanggal realisasi terakhir. Kolom "jenis" di semua sheet mengikuti tanggal ini.</t>
  </si>
  <si>
    <t xml:space="preserve">tanggal_update</t>
  </si>
  <si>
    <t xml:space="preserve">Tanggal berkas ini disusun.</t>
  </si>
  <si>
    <t xml:space="preserve">periode_konsumsi</t>
  </si>
  <si>
    <t xml:space="preserve">Otomatis dari posisi_data.</t>
  </si>
  <si>
    <t xml:space="preserve">konteks</t>
  </si>
  <si>
    <t xml:space="preserve">Satu kalimat konteks risiko utama saat ini (mis. keandalan pasokan gas hulu, jadwal turnaround).</t>
  </si>
  <si>
    <t xml:space="preserve">dosis_urea_kg_per_ha</t>
  </si>
  <si>
    <t xml:space="preserve">Dosis urea per hektare sesuai rekomendasi yang berlaku.</t>
  </si>
  <si>
    <t xml:space="preserve">dosis_npk_kg_per_ha</t>
  </si>
  <si>
    <t xml:space="preserve">Dosis NPK per hektare sesuai rekomendasi yang berlaku.</t>
  </si>
  <si>
    <t xml:space="preserve">produk_npk</t>
  </si>
  <si>
    <t xml:space="preserve">Nama &amp; formula NPK utama, mis. NPK 15-15-15.</t>
  </si>
  <si>
    <t xml:space="preserve">status_data</t>
  </si>
  <si>
    <t xml:space="preserve">ASLI</t>
  </si>
  <si>
    <t xml:space="preserve">Biarkan "ASLI". Kata DUMMY di sel ini membuat dashboard memasang pita DATA DUMMY.</t>
  </si>
  <si>
    <t xml:space="preserve">Pemasok Gas B · LNG Regasifikasi</t>
  </si>
  <si>
    <t xml:space="preserve">kontrak_total_bbtud</t>
  </si>
  <si>
    <t xml:space="preserve">pasokan_total_bbtud</t>
  </si>
  <si>
    <t xml:space="preserve">kebutuhan_rencana_bbtud</t>
  </si>
  <si>
    <t xml:space="preserve">pemakaian_aktual_bbtud</t>
  </si>
  <si>
    <t xml:space="preserve">gas_per_ton_amoniak_mmbtu</t>
  </si>
  <si>
    <t xml:space="preserve">gas_per_ton_urea_mmbtu</t>
  </si>
  <si>
    <t xml:space="preserve">cek_selisih_t</t>
  </si>
  <si>
    <t xml:space="preserve">NH3</t>
  </si>
  <si>
    <t xml:space="preserve">Amoniak</t>
  </si>
  <si>
    <t xml:space="preserve">DAP</t>
  </si>
  <si>
    <t xml:space="preserve">ZA</t>
  </si>
  <si>
    <t xml:space="preserve">CLAY</t>
  </si>
  <si>
    <t xml:space="preserve">Clay / filler</t>
  </si>
  <si>
    <t xml:space="preserve">unit</t>
  </si>
  <si>
    <t xml:space="preserve">produk</t>
  </si>
  <si>
    <t xml:space="preserve">kapasitas_t_per_hari</t>
  </si>
  <si>
    <t xml:space="preserve">produksi_t</t>
  </si>
  <si>
    <t xml:space="preserve">Amoniak-1</t>
  </si>
  <si>
    <t xml:space="preserve">Urea-1</t>
  </si>
  <si>
    <t xml:space="preserve">Urea</t>
  </si>
  <si>
    <t xml:space="preserve">NPK-1</t>
  </si>
  <si>
    <t xml:space="preserve">NPK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</si>
  <si>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</si>
  <si>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</si>
  <si>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</si>
  <si>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</si>
  <si>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</si>
  <si>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</si>
  <si>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</si>
  <si>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</si>
  <si>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</si>
  <si>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</si>
  <si>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</si>
  <si>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</si>
  <si>
    <t xml:space="preserve">total_2026</t>
  </si>
  <si>
    <t xml:space="preserve">masuk_t</t>
  </si>
  <si>
    <t xml:space="preserve">penyaluran_t</t>
  </si>
  <si>
    <t xml:space="preserve">curah_di_pabrik_t</t>
  </si>
  <si>
    <t xml:space="preserve">catatan</t>
  </si>
  <si>
    <t xml:space="preserve">versi_lama</t>
  </si>
  <si>
    <t xml:space="preserve">versi_baru</t>
  </si>
  <si>
    <t xml:space="preserve">eta_lama</t>
  </si>
  <si>
    <t xml:space="preserve">eta_baru</t>
  </si>
  <si>
    <t xml:space="preserve">volume_lama_t</t>
  </si>
  <si>
    <t xml:space="preserve">volume_baru_t</t>
  </si>
  <si>
    <t xml:space="preserve">alasan</t>
  </si>
  <si>
    <t xml:space="preserve">mulai</t>
  </si>
  <si>
    <t xml:space="preserve">selesai</t>
  </si>
  <si>
    <t xml:space="preserve">Beroperasi</t>
  </si>
  <si>
    <t xml:space="preserve">sifat_pasokan</t>
  </si>
  <si>
    <t xml:space="preserve">satuan</t>
  </si>
  <si>
    <t xml:space="preserve">safety_stock</t>
  </si>
  <si>
    <t xml:space="preserve">deadstock</t>
  </si>
  <si>
    <t xml:space="preserve">ambang_aman_pct</t>
  </si>
  <si>
    <t xml:space="preserve">ambang_bahaya_pct</t>
  </si>
  <si>
    <t xml:space="preserve">nama_kri</t>
  </si>
  <si>
    <t xml:space="preserve">Produksi sendiri (gas alam)</t>
  </si>
  <si>
    <t xml:space="preserve">ton</t>
  </si>
  <si>
    <t xml:space="preserve">Pemenuhan Safety Stock Amoniak (penyangga gas)</t>
  </si>
  <si>
    <t xml:space="preserve">Impor</t>
  </si>
  <si>
    <t xml:space="preserve">Pemenuhan Safety Stock Bahan Baku Non-Gas</t>
  </si>
  <si>
    <t xml:space="preserve">Domestik (antar-entitas PI Group)</t>
  </si>
  <si>
    <t xml:space="preserve">Domestik</t>
  </si>
  <si>
    <t xml:space="preserve">GAS</t>
  </si>
  <si>
    <t xml:space="preserve">Gas alam</t>
  </si>
  <si>
    <t xml:space="preserve">Pipa (kontrak PJBG)</t>
  </si>
  <si>
    <t xml:space="preserve">BBTUD</t>
  </si>
  <si>
    <t xml:space="preserve">Pemenuhan Pasokan Gas terhadap Kebutuhan Operasi (ambang usulan, belum resmi)</t>
  </si>
  <si>
    <t xml:space="preserve">bahan</t>
  </si>
  <si>
    <t xml:space="preserve">rasio</t>
  </si>
  <si>
    <t xml:space="preserve">ton/ton</t>
  </si>
  <si>
    <t xml:space="preserve">Gas alam (utilitas)</t>
  </si>
  <si>
    <t xml:space="preserve">MMBTU/ton</t>
  </si>
  <si>
    <t xml:space="preserve">Gas alam (bahan baku + bahan bakar)</t>
  </si>
  <si>
    <t xml:space="preserve">NPK 15-15-15</t>
  </si>
  <si>
    <t xml:space="preserve">Urea (internal untuk NPK)</t>
  </si>
  <si>
    <t xml:space="preserve">id</t>
  </si>
  <si>
    <t xml:space="preserve">moda</t>
  </si>
  <si>
    <t xml:space="preserve">volume_acuan</t>
  </si>
  <si>
    <t xml:space="preserve">satuan_volume</t>
  </si>
  <si>
    <t xml:space="preserve">GAS-1</t>
  </si>
  <si>
    <t xml:space="preserve">Pipa</t>
  </si>
  <si>
    <t xml:space="preserve">BBTUD kontrak</t>
  </si>
  <si>
    <t xml:space="preserve">GAS-2</t>
  </si>
  <si>
    <t xml:space="preserve">KCL-RUS</t>
  </si>
  <si>
    <t xml:space="preserve">Impor KCl Rusia</t>
  </si>
  <si>
    <t xml:space="preserve">Laut</t>
  </si>
  <si>
    <t xml:space="preserve">ton per kargo</t>
  </si>
  <si>
    <t xml:space="preserve">DAP-TIO</t>
  </si>
  <si>
    <t xml:space="preserve">Impor DAP Tiongkok</t>
  </si>
  <si>
    <t xml:space="preserve">ZA-DOM</t>
  </si>
  <si>
    <t xml:space="preserve">Kiriman ZA Domestik · PKG</t>
  </si>
  <si>
    <t xml:space="preserve">CLAY-DOM</t>
  </si>
  <si>
    <t xml:space="preserve">Clay pemasok lokal</t>
  </si>
  <si>
    <t xml:space="preserve">Darat</t>
  </si>
  <si>
    <t xml:space="preserve">pengiriman mingguan</t>
  </si>
  <si>
    <t xml:space="preserve">dari</t>
  </si>
  <si>
    <t xml:space="preserve">ke</t>
  </si>
  <si>
    <t xml:space="preserve">tingkat</t>
  </si>
  <si>
    <t xml:space="preserve">pemicu</t>
  </si>
  <si>
    <t xml:space="preserve">tindakan</t>
  </si>
  <si>
    <t xml:space="preserve">Siaga 1 · Pantau</t>
  </si>
  <si>
    <t xml:space="preserve">Pasokan gas &lt; 95% kebutuhan selama 3 hari berturut-turut, atau KCl/DAP &lt; 100% safety stock</t>
  </si>
  <si>
    <t xml:space="preserve">Rapat pasokan dua kali seminggu; konfirmasi ulang jadwal kapal dan nominasi gas.</t>
  </si>
  <si>
    <t xml:space="preserve">Siaga 2 · Amankan</t>
  </si>
  <si>
    <t xml:space="preserve">Pasokan gas &lt; 90% selama 7 hari, atau stok amoniak &lt; 7 hari pemakaian, atau satu kargo tertunda &gt; 14 hari</t>
  </si>
  <si>
    <t xml:space="preserve">Eskalasi ke pemasok gas &amp; SKK Migas; atur ulang beban antar-unit; aktifkan pembelian pengganti.</t>
  </si>
  <si>
    <t xml:space="preserve">Siaga 3 · Realokasi</t>
  </si>
  <si>
    <t xml:space="preserve">Pasokan gas &lt; 80%, atau stok amoniak &lt; 3 hari, atau KCl/DAP &lt; deadstock</t>
  </si>
  <si>
    <t xml:space="preserve">Turunkan beban terencana, prioritaskan pupuk subsidi, minta realokasi produksi/transfer antar-entitas PI Group; bawa ke Direksi.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</si>
</sst>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0.00"/>
    <numFmt numFmtId="167" formatCode="#,##0"/>
    <numFmt numFmtId="168" formatCode="#,##0.00"/>
    <numFmt numFmtId="169" formatCode="#,##0.0;\-#,##0.0;0"/>
    <numFmt numFmtId="170" formatCode="0.0"/>
    <numFmt numFmtId="171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3A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5F3A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5F3A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  <border diagonalUp="false" diagonalDown="false">
      <left/>
      <right/>
      <top/>
      <bottom style="thin">
        <color rgb="FFD0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0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3A"/>
    <pageSetUpPr fitToPage="false"/>
  </sheetPr>
  <dimension ref="B1:L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5" min="4" style="0" width="22"/>
    <col collapsed="false" customWidth="true" hidden="false" outlineLevel="0" max="11" min="6" style="0" width="1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3</v>
      </c>
      <c r="C6" s="5" t="s">
        <v>5</v>
      </c>
    </row>
    <row r="7" customFormat="false" ht="15" hidden="false" customHeight="false" outlineLevel="0" collapsed="false">
      <c r="B7" s="7" t="s">
        <v>3</v>
      </c>
      <c r="C7" s="5" t="s">
        <v>6</v>
      </c>
    </row>
    <row r="9" customFormat="false" ht="15" hidden="false" customHeight="false" outlineLevel="0" collapsed="false">
      <c r="B9" s="3" t="s">
        <v>7</v>
      </c>
    </row>
    <row r="10" customFormat="false" ht="27.75" hidden="false" customHeight="true" outlineLevel="0" collapsed="false">
      <c r="B10" s="8" t="s">
        <v>8</v>
      </c>
      <c r="C10" s="8"/>
      <c r="D10" s="8"/>
      <c r="E10" s="8"/>
      <c r="F10" s="8"/>
      <c r="G10" s="8"/>
      <c r="H10" s="8"/>
    </row>
    <row r="11" customFormat="false" ht="27.75" hidden="false" customHeight="true" outlineLevel="0" collapsed="false">
      <c r="B11" s="8" t="s">
        <v>9</v>
      </c>
      <c r="C11" s="8"/>
      <c r="D11" s="8"/>
      <c r="E11" s="8"/>
      <c r="F11" s="8"/>
      <c r="G11" s="8"/>
      <c r="H11" s="8"/>
    </row>
    <row r="12" customFormat="false" ht="27.75" hidden="false" customHeight="true" outlineLevel="0" collapsed="false">
      <c r="B12" s="8" t="s">
        <v>10</v>
      </c>
      <c r="C12" s="8"/>
      <c r="D12" s="8"/>
      <c r="E12" s="8"/>
      <c r="F12" s="8"/>
      <c r="G12" s="8"/>
      <c r="H12" s="8"/>
    </row>
    <row r="13" customFormat="false" ht="27.75" hidden="false" customHeight="true" outlineLevel="0" collapsed="false">
      <c r="B13" s="8" t="s">
        <v>11</v>
      </c>
      <c r="C13" s="8"/>
      <c r="D13" s="8"/>
      <c r="E13" s="8"/>
      <c r="F13" s="8"/>
      <c r="G13" s="8"/>
      <c r="H13" s="8"/>
    </row>
    <row r="14" customFormat="false" ht="27.75" hidden="false" customHeight="true" outlineLevel="0" collapsed="false">
      <c r="B14" s="8" t="s">
        <v>12</v>
      </c>
      <c r="C14" s="8"/>
      <c r="D14" s="8"/>
      <c r="E14" s="8"/>
      <c r="F14" s="8"/>
      <c r="G14" s="8"/>
      <c r="H14" s="8"/>
    </row>
    <row r="15" customFormat="false" ht="27.75" hidden="false" customHeight="true" outlineLevel="0" collapsed="false">
      <c r="B15" s="8" t="s">
        <v>13</v>
      </c>
      <c r="C15" s="8"/>
      <c r="D15" s="8"/>
      <c r="E15" s="8"/>
      <c r="F15" s="8"/>
      <c r="G15" s="8"/>
      <c r="H15" s="8"/>
    </row>
    <row r="16" customFormat="false" ht="27.75" hidden="false" customHeight="true" outlineLevel="0" collapsed="false">
      <c r="B16" s="8" t="s">
        <v>14</v>
      </c>
      <c r="C16" s="8"/>
      <c r="D16" s="8"/>
      <c r="E16" s="8"/>
      <c r="F16" s="8"/>
      <c r="G16" s="8"/>
      <c r="H16" s="8"/>
    </row>
    <row r="17" customFormat="false" ht="27.75" hidden="false" customHeight="true" outlineLevel="0" collapsed="false">
      <c r="B17" s="8" t="s">
        <v>15</v>
      </c>
      <c r="C17" s="8"/>
      <c r="D17" s="8"/>
      <c r="E17" s="8"/>
      <c r="F17" s="8"/>
      <c r="G17" s="8"/>
      <c r="H17" s="8"/>
    </row>
    <row r="19" customFormat="false" ht="15" hidden="false" customHeight="false" outlineLevel="0" collapsed="false">
      <c r="B19" s="3" t="s">
        <v>16</v>
      </c>
    </row>
    <row r="20" customFormat="false" ht="15" hidden="false" customHeight="false" outlineLevel="0" collapsed="false">
      <c r="B20" s="9" t="s">
        <v>17</v>
      </c>
      <c r="C20" s="9" t="s">
        <v>18</v>
      </c>
      <c r="D20" s="9" t="s">
        <v>19</v>
      </c>
    </row>
    <row r="21" customFormat="false" ht="15" hidden="false" customHeight="false" outlineLevel="0" collapsed="false">
      <c r="B21" s="10" t="s">
        <v>20</v>
      </c>
      <c r="C21" s="11" t="s">
        <v>21</v>
      </c>
      <c r="D21" s="11" t="s">
        <v>22</v>
      </c>
    </row>
    <row r="22" customFormat="false" ht="15" hidden="false" customHeight="false" outlineLevel="0" collapsed="false">
      <c r="B22" s="10" t="s">
        <v>23</v>
      </c>
      <c r="C22" s="11" t="s">
        <v>24</v>
      </c>
      <c r="D22" s="11" t="s">
        <v>25</v>
      </c>
    </row>
    <row r="23" customFormat="false" ht="15" hidden="false" customHeight="false" outlineLevel="0" collapsed="false">
      <c r="B23" s="10" t="s">
        <v>26</v>
      </c>
      <c r="C23" s="11" t="s">
        <v>27</v>
      </c>
      <c r="D23" s="11" t="s">
        <v>28</v>
      </c>
    </row>
    <row r="24" customFormat="false" ht="15" hidden="false" customHeight="false" outlineLevel="0" collapsed="false">
      <c r="B24" s="10" t="s">
        <v>29</v>
      </c>
      <c r="C24" s="11" t="s">
        <v>30</v>
      </c>
      <c r="D24" s="11" t="s">
        <v>31</v>
      </c>
    </row>
    <row r="25" customFormat="false" ht="15" hidden="false" customHeight="false" outlineLevel="0" collapsed="false">
      <c r="B25" s="10" t="s">
        <v>32</v>
      </c>
      <c r="C25" s="11" t="s">
        <v>33</v>
      </c>
      <c r="D25" s="11" t="s">
        <v>34</v>
      </c>
    </row>
    <row r="26" customFormat="false" ht="15" hidden="false" customHeight="false" outlineLevel="0" collapsed="false">
      <c r="B26" s="10" t="s">
        <v>35</v>
      </c>
      <c r="C26" s="11" t="s">
        <v>36</v>
      </c>
      <c r="D26" s="11" t="s">
        <v>37</v>
      </c>
    </row>
    <row r="27" customFormat="false" ht="15" hidden="false" customHeight="false" outlineLevel="0" collapsed="false">
      <c r="B27" s="10" t="s">
        <v>38</v>
      </c>
      <c r="C27" s="11" t="s">
        <v>39</v>
      </c>
      <c r="D27" s="11" t="s">
        <v>40</v>
      </c>
    </row>
    <row r="28" customFormat="false" ht="15" hidden="false" customHeight="false" outlineLevel="0" collapsed="false">
      <c r="B28" s="10" t="s">
        <v>41</v>
      </c>
      <c r="C28" s="11" t="s">
        <v>42</v>
      </c>
      <c r="D28" s="11" t="s">
        <v>43</v>
      </c>
    </row>
    <row r="29" customFormat="false" ht="15" hidden="false" customHeight="false" outlineLevel="0" collapsed="false">
      <c r="B29" s="10" t="s">
        <v>44</v>
      </c>
      <c r="C29" s="11" t="s">
        <v>45</v>
      </c>
      <c r="D29" s="11" t="s">
        <v>46</v>
      </c>
    </row>
    <row r="30" customFormat="false" ht="15" hidden="false" customHeight="false" outlineLevel="0" collapsed="false">
      <c r="B30" s="10" t="s">
        <v>47</v>
      </c>
      <c r="C30" s="11" t="s">
        <v>48</v>
      </c>
      <c r="D30" s="11" t="s">
        <v>49</v>
      </c>
    </row>
    <row r="31" customFormat="false" ht="15" hidden="false" customHeight="false" outlineLevel="0" collapsed="false">
      <c r="B31" s="10" t="s">
        <v>50</v>
      </c>
      <c r="C31" s="11" t="s">
        <v>51</v>
      </c>
      <c r="D31" s="11" t="s">
        <v>52</v>
      </c>
    </row>
    <row r="32" customFormat="false" ht="15" hidden="false" customHeight="false" outlineLevel="0" collapsed="false">
      <c r="B32" s="10" t="s">
        <v>53</v>
      </c>
      <c r="C32" s="11" t="s">
        <v>54</v>
      </c>
      <c r="D32" s="11" t="s">
        <v>55</v>
      </c>
    </row>
    <row r="33" customFormat="false" ht="15" hidden="false" customHeight="false" outlineLevel="0" collapsed="false">
      <c r="B33" s="10" t="s">
        <v>56</v>
      </c>
      <c r="C33" s="11" t="s">
        <v>57</v>
      </c>
      <c r="D33" s="11" t="s">
        <v>58</v>
      </c>
    </row>
    <row r="34" customFormat="false" ht="15" hidden="false" customHeight="false" outlineLevel="0" collapsed="false">
      <c r="B34" s="10" t="s">
        <v>59</v>
      </c>
      <c r="C34" s="11" t="s">
        <v>60</v>
      </c>
      <c r="D34" s="11" t="s">
        <v>61</v>
      </c>
    </row>
    <row r="35" customFormat="false" ht="15" hidden="false" customHeight="false" outlineLevel="0" collapsed="false">
      <c r="B35" s="10" t="s">
        <v>62</v>
      </c>
      <c r="C35" s="11" t="s">
        <v>63</v>
      </c>
      <c r="D35" s="11" t="s">
        <v>64</v>
      </c>
    </row>
    <row r="37" customFormat="false" ht="15" hidden="false" customHeight="false" outlineLevel="0" collapsed="false">
      <c r="B37" s="3" t="s">
        <v>65</v>
      </c>
    </row>
    <row r="38" customFormat="false" ht="15" hidden="false" customHeight="false" outlineLevel="0" collapsed="false">
      <c r="B38" s="12" t="s">
        <v>29</v>
      </c>
    </row>
    <row r="39" customFormat="false" ht="15" hidden="false" customHeight="false" outlineLevel="0" collapsed="false">
      <c r="B39" s="13" t="s">
        <v>66</v>
      </c>
      <c r="C39" s="13" t="s">
        <v>67</v>
      </c>
      <c r="D39" s="13" t="s">
        <v>68</v>
      </c>
      <c r="E39" s="13" t="s">
        <v>69</v>
      </c>
      <c r="F39" s="13" t="s">
        <v>70</v>
      </c>
      <c r="G39" s="13" t="s">
        <v>71</v>
      </c>
      <c r="H39" s="13" t="s">
        <v>72</v>
      </c>
      <c r="I39" s="13" t="s">
        <v>73</v>
      </c>
      <c r="J39" s="13" t="s">
        <v>74</v>
      </c>
      <c r="K39" s="13" t="s">
        <v>75</v>
      </c>
    </row>
    <row r="40" customFormat="false" ht="15" hidden="false" customHeight="false" outlineLevel="0" collapsed="false">
      <c r="B40" s="14" t="n">
        <v>46303</v>
      </c>
      <c r="C40" s="15" t="s">
        <v>76</v>
      </c>
      <c r="D40" s="15" t="s">
        <v>77</v>
      </c>
      <c r="E40" s="15" t="s">
        <v>78</v>
      </c>
      <c r="F40" s="15" t="n">
        <v>14467.6</v>
      </c>
      <c r="G40" s="15" t="n">
        <v>0</v>
      </c>
      <c r="H40" s="15" t="n">
        <v>0</v>
      </c>
      <c r="I40" s="15" t="n">
        <v>217.6</v>
      </c>
      <c r="J40" s="15" t="n">
        <v>0</v>
      </c>
      <c r="K40" s="15" t="n">
        <v>14250</v>
      </c>
    </row>
    <row r="42" customFormat="false" ht="15" hidden="false" customHeight="false" outlineLevel="0" collapsed="false">
      <c r="B42" s="12" t="s">
        <v>23</v>
      </c>
    </row>
    <row r="43" customFormat="false" ht="15" hidden="false" customHeight="false" outlineLevel="0" collapsed="false">
      <c r="B43" s="13" t="s">
        <v>66</v>
      </c>
      <c r="C43" s="13" t="s">
        <v>67</v>
      </c>
      <c r="D43" s="13" t="s">
        <v>79</v>
      </c>
      <c r="E43" s="13" t="s">
        <v>80</v>
      </c>
      <c r="F43" s="13" t="s">
        <v>81</v>
      </c>
    </row>
    <row r="44" customFormat="false" ht="15" hidden="false" customHeight="false" outlineLevel="0" collapsed="false">
      <c r="B44" s="14" t="n">
        <v>46303</v>
      </c>
      <c r="C44" s="15" t="s">
        <v>76</v>
      </c>
      <c r="D44" s="15" t="s">
        <v>82</v>
      </c>
      <c r="E44" s="15" t="n">
        <v>150</v>
      </c>
      <c r="F44" s="15" t="n">
        <v>115.7</v>
      </c>
    </row>
    <row r="46" customFormat="false" ht="15" hidden="false" customHeight="false" outlineLevel="0" collapsed="false">
      <c r="B46" s="12" t="s">
        <v>41</v>
      </c>
    </row>
    <row r="47" customFormat="false" ht="15" hidden="false" customHeight="false" outlineLevel="0" collapsed="false">
      <c r="B47" s="13" t="s">
        <v>69</v>
      </c>
      <c r="C47" s="13" t="s">
        <v>83</v>
      </c>
      <c r="D47" s="13" t="s">
        <v>84</v>
      </c>
      <c r="E47" s="13" t="s">
        <v>85</v>
      </c>
      <c r="F47" s="13" t="s">
        <v>86</v>
      </c>
      <c r="G47" s="13" t="s">
        <v>87</v>
      </c>
      <c r="H47" s="13" t="s">
        <v>88</v>
      </c>
      <c r="I47" s="13" t="s">
        <v>89</v>
      </c>
      <c r="J47" s="13" t="s">
        <v>90</v>
      </c>
      <c r="K47" s="13" t="s">
        <v>91</v>
      </c>
      <c r="L47" s="13" t="s">
        <v>92</v>
      </c>
    </row>
    <row r="48" customFormat="false" ht="15" hidden="false" customHeight="false" outlineLevel="0" collapsed="false">
      <c r="B48" s="15" t="s">
        <v>78</v>
      </c>
      <c r="C48" s="15" t="s">
        <v>93</v>
      </c>
      <c r="D48" s="15" t="s">
        <v>94</v>
      </c>
      <c r="E48" s="15" t="s">
        <v>95</v>
      </c>
      <c r="F48" s="15" t="n">
        <v>31400</v>
      </c>
      <c r="G48" s="14" t="n">
        <v>46314</v>
      </c>
      <c r="H48" s="14" t="n">
        <v>46298</v>
      </c>
      <c r="I48" s="15" t="s">
        <v>96</v>
      </c>
      <c r="J48" s="15" t="n">
        <v>8150</v>
      </c>
      <c r="K48" s="15" t="n">
        <v>27.2</v>
      </c>
      <c r="L48" s="15" t="s">
        <v>97</v>
      </c>
    </row>
    <row r="49" customFormat="false" ht="15" hidden="false" customHeight="false" outlineLevel="0" collapsed="false">
      <c r="B49" s="16" t="s">
        <v>98</v>
      </c>
    </row>
    <row r="51" customFormat="false" ht="15" hidden="false" customHeight="false" outlineLevel="0" collapsed="false">
      <c r="B51" s="3" t="s">
        <v>99</v>
      </c>
    </row>
    <row r="52" customFormat="false" ht="15" hidden="false" customHeight="false" outlineLevel="0" collapsed="false">
      <c r="B52" s="9" t="s">
        <v>100</v>
      </c>
      <c r="C52" s="9" t="s">
        <v>101</v>
      </c>
    </row>
    <row r="53" customFormat="false" ht="15" hidden="false" customHeight="false" outlineLevel="0" collapsed="false">
      <c r="B53" s="5" t="s">
        <v>102</v>
      </c>
      <c r="C53" s="17" t="str">
        <f aca="false">IF(profil!B9="","BELUM","OK")</f>
        <v>BELUM</v>
      </c>
    </row>
    <row r="54" customFormat="false" ht="15" hidden="false" customHeight="false" outlineLevel="0" collapsed="false">
      <c r="B54" s="5" t="s">
        <v>103</v>
      </c>
      <c r="C54" s="17" t="n">
        <f aca="false">COUNTIFS(harian_bahan_baku!B:B,"Realisasi",harian_bahan_baku!H:H,"")</f>
        <v>0</v>
      </c>
    </row>
    <row r="55" customFormat="false" ht="15" hidden="false" customHeight="false" outlineLevel="0" collapsed="false">
      <c r="B55" s="5" t="s">
        <v>104</v>
      </c>
      <c r="C55" s="17" t="n">
        <f aca="false">SUMPRODUCT(--(ABS(harian_bahan_baku!K2:K1826)&gt;1))</f>
        <v>0</v>
      </c>
    </row>
    <row r="56" customFormat="false" ht="15" hidden="false" customHeight="false" outlineLevel="0" collapsed="false">
      <c r="B56" s="5" t="s">
        <v>105</v>
      </c>
      <c r="C56" s="17" t="n">
        <f aca="false">COUNTIFS(harian_gas!B:B,"Realisasi",harian_gas!E:E,"")</f>
        <v>0</v>
      </c>
    </row>
    <row r="57" customFormat="false" ht="15" hidden="false" customHeight="false" outlineLevel="0" collapsed="false">
      <c r="B57" s="5" t="s">
        <v>106</v>
      </c>
      <c r="C57" s="17" t="n">
        <f aca="false">COUNTBLANK(ringkasan_gas!E2:E366)</f>
        <v>365</v>
      </c>
    </row>
    <row r="58" customFormat="false" ht="15" hidden="false" customHeight="false" outlineLevel="0" collapsed="false">
      <c r="B58" s="5" t="s">
        <v>107</v>
      </c>
      <c r="C58" s="17" t="n">
        <f aca="false">COUNTIFS(harian_produksi!B:B,"Realisasi",harian_produksi!F:F,"")</f>
        <v>0</v>
      </c>
    </row>
    <row r="59" customFormat="false" ht="15" hidden="false" customHeight="false" outlineLevel="0" collapsed="false">
      <c r="B59" s="5" t="s">
        <v>108</v>
      </c>
      <c r="C59" s="17" t="n">
        <f aca="false">COUNTIF(rkap_bulanan!O:O,0)</f>
        <v>3</v>
      </c>
    </row>
    <row r="60" customFormat="false" ht="15" hidden="false" customHeight="false" outlineLevel="0" collapsed="false">
      <c r="B60" s="5" t="s">
        <v>109</v>
      </c>
      <c r="C60" s="17" t="n">
        <f aca="false">COUNTBLANK(parameter_kri!E2:F6)</f>
        <v>10</v>
      </c>
    </row>
    <row r="61" customFormat="false" ht="15" hidden="false" customHeight="false" outlineLevel="0" collapsed="false">
      <c r="B61" s="5" t="s">
        <v>110</v>
      </c>
      <c r="C61" s="17" t="n">
        <f aca="false">COUNTBLANK(cons_rate!C2:C9)</f>
        <v>8</v>
      </c>
    </row>
    <row r="63" customFormat="false" ht="15" hidden="false" customHeight="false" outlineLevel="0" collapsed="false">
      <c r="B63" s="16" t="s">
        <v>111</v>
      </c>
    </row>
  </sheetData>
  <mergeCells count="8">
    <mergeCell ref="B10:H10"/>
    <mergeCell ref="B11:H11"/>
    <mergeCell ref="B12:H12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70"/>
  </cols>
  <sheetData>
    <row r="1" customFormat="false" ht="30" hidden="false" customHeight="true" outlineLevel="0" collapsed="false">
      <c r="A1" s="9" t="s">
        <v>112</v>
      </c>
      <c r="B1" s="9" t="s">
        <v>113</v>
      </c>
      <c r="C1" s="9" t="s">
        <v>114</v>
      </c>
    </row>
    <row r="2" customFormat="false" ht="15" hidden="false" customHeight="false" outlineLevel="0" collapsed="false">
      <c r="A2" s="18" t="s">
        <v>115</v>
      </c>
      <c r="B2" s="18" t="s">
        <v>116</v>
      </c>
      <c r="C2" s="19" t="s">
        <v>117</v>
      </c>
    </row>
    <row r="3" customFormat="false" ht="15" hidden="false" customHeight="false" outlineLevel="0" collapsed="false">
      <c r="A3" s="18" t="s">
        <v>118</v>
      </c>
      <c r="B3" s="20" t="s">
        <v>119</v>
      </c>
      <c r="C3" s="19" t="s">
        <v>120</v>
      </c>
    </row>
    <row r="4" customFormat="false" ht="15" hidden="false" customHeight="false" outlineLevel="0" collapsed="false">
      <c r="A4" s="18" t="s">
        <v>121</v>
      </c>
      <c r="B4" s="20" t="s">
        <v>122</v>
      </c>
      <c r="C4" s="19" t="s">
        <v>123</v>
      </c>
    </row>
    <row r="5" customFormat="false" ht="15" hidden="false" customHeight="false" outlineLevel="0" collapsed="false">
      <c r="A5" s="18" t="s">
        <v>124</v>
      </c>
      <c r="B5" s="20" t="s">
        <v>125</v>
      </c>
      <c r="C5" s="19" t="s">
        <v>126</v>
      </c>
    </row>
    <row r="6" customFormat="false" ht="15" hidden="false" customHeight="false" outlineLevel="0" collapsed="false">
      <c r="A6" s="18" t="s">
        <v>127</v>
      </c>
      <c r="B6" s="21" t="n">
        <v>5.25</v>
      </c>
      <c r="C6" s="19" t="s">
        <v>128</v>
      </c>
    </row>
    <row r="7" customFormat="false" ht="15" hidden="false" customHeight="false" outlineLevel="0" collapsed="false">
      <c r="A7" s="18" t="s">
        <v>129</v>
      </c>
      <c r="B7" s="21" t="n">
        <v>97.03</v>
      </c>
      <c r="C7" s="19" t="s">
        <v>130</v>
      </c>
    </row>
    <row r="8" customFormat="false" ht="15" hidden="false" customHeight="false" outlineLevel="0" collapsed="false">
      <c r="A8" s="18" t="s">
        <v>131</v>
      </c>
      <c r="B8" s="20"/>
      <c r="C8" s="19" t="s">
        <v>132</v>
      </c>
    </row>
    <row r="9" customFormat="false" ht="15" hidden="false" customHeight="false" outlineLevel="0" collapsed="false">
      <c r="A9" s="18" t="s">
        <v>133</v>
      </c>
      <c r="B9" s="22"/>
      <c r="C9" s="19" t="s">
        <v>134</v>
      </c>
    </row>
    <row r="10" customFormat="false" ht="15" hidden="false" customHeight="false" outlineLevel="0" collapsed="false">
      <c r="A10" s="18" t="s">
        <v>135</v>
      </c>
      <c r="B10" s="22"/>
      <c r="C10" s="19" t="s">
        <v>136</v>
      </c>
    </row>
    <row r="11" customFormat="false" ht="15" hidden="false" customHeight="false" outlineLevel="0" collapsed="false">
      <c r="A11" s="18" t="s">
        <v>137</v>
      </c>
      <c r="B11" s="23" t="str">
        <f aca="false">IF(B9="","",DAY(B9-29)&amp;" "&amp;CHOOSE(MONTH(B9-29),"Jan","Feb","Mar","Apr","Mei","Jun","Jul","Agu","Sep","Okt","Nov","Des")&amp;" – "&amp;DAY(B9)&amp;" "&amp;CHOOSE(MONTH(B9),"Jan","Feb","Mar","Apr","Mei","Jun","Jul","Agu","Sep","Okt","Nov","Des")&amp;" "&amp;YEAR(B9)&amp;" (rata-rata 30 hari)")</f>
        <v/>
      </c>
      <c r="C11" s="19" t="s">
        <v>138</v>
      </c>
    </row>
    <row r="12" customFormat="false" ht="22.35" hidden="false" customHeight="false" outlineLevel="0" collapsed="false">
      <c r="A12" s="18" t="s">
        <v>139</v>
      </c>
      <c r="B12" s="20"/>
      <c r="C12" s="19" t="s">
        <v>140</v>
      </c>
    </row>
    <row r="13" customFormat="false" ht="15" hidden="false" customHeight="false" outlineLevel="0" collapsed="false">
      <c r="A13" s="18" t="s">
        <v>141</v>
      </c>
      <c r="B13" s="24"/>
      <c r="C13" s="19" t="s">
        <v>142</v>
      </c>
    </row>
    <row r="14" customFormat="false" ht="15" hidden="false" customHeight="false" outlineLevel="0" collapsed="false">
      <c r="A14" s="18" t="s">
        <v>143</v>
      </c>
      <c r="B14" s="24"/>
      <c r="C14" s="19" t="s">
        <v>144</v>
      </c>
    </row>
    <row r="15" customFormat="false" ht="15" hidden="false" customHeight="false" outlineLevel="0" collapsed="false">
      <c r="A15" s="18" t="s">
        <v>145</v>
      </c>
      <c r="B15" s="20"/>
      <c r="C15" s="19" t="s">
        <v>146</v>
      </c>
    </row>
    <row r="16" customFormat="false" ht="15" hidden="false" customHeight="false" outlineLevel="0" collapsed="false">
      <c r="A16" s="18" t="s">
        <v>147</v>
      </c>
      <c r="B16" s="18" t="s">
        <v>148</v>
      </c>
      <c r="C16" s="19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5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79</v>
      </c>
      <c r="D1" s="9" t="s">
        <v>80</v>
      </c>
      <c r="E1" s="9" t="s">
        <v>81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82</v>
      </c>
      <c r="D2" s="26" t="n">
        <f aca="false">IFERROR(INDEX(sumber_pasokan!$E:$E,MATCH(C2,sumber_pasokan!$B:$B,0)),"")</f>
        <v>0</v>
      </c>
      <c r="E2" s="27"/>
    </row>
    <row r="3" customFormat="false" ht="15" hidden="false" customHeight="false" outlineLevel="0" collapsed="false">
      <c r="A3" s="25" t="n">
        <v>46023</v>
      </c>
      <c r="B3" s="23" t="str">
        <f aca="false">IF(A3="","",IF(A3&lt;=profil!$B$9,"Realisasi","Rencana"))</f>
        <v>Rencana</v>
      </c>
      <c r="C3" s="18" t="s">
        <v>150</v>
      </c>
      <c r="D3" s="26" t="n">
        <f aca="false">IFERROR(INDEX(sumber_pasokan!$E:$E,MATCH(C3,sumber_pasokan!$B:$B,0)),"")</f>
        <v>0</v>
      </c>
      <c r="E3" s="27"/>
    </row>
    <row r="4" customFormat="false" ht="15" hidden="false" customHeight="false" outlineLevel="0" collapsed="false">
      <c r="A4" s="25" t="n">
        <v>46024</v>
      </c>
      <c r="B4" s="23" t="str">
        <f aca="false">IF(A4="","",IF(A4&lt;=profil!$B$9,"Realisasi","Rencana"))</f>
        <v>Rencana</v>
      </c>
      <c r="C4" s="18" t="s">
        <v>82</v>
      </c>
      <c r="D4" s="26" t="n">
        <f aca="false">IFERROR(INDEX(sumber_pasokan!$E:$E,MATCH(C4,sumber_pasokan!$B:$B,0)),"")</f>
        <v>0</v>
      </c>
      <c r="E4" s="27"/>
    </row>
    <row r="5" customFormat="false" ht="15" hidden="false" customHeight="false" outlineLevel="0" collapsed="false">
      <c r="A5" s="25" t="n">
        <v>46024</v>
      </c>
      <c r="B5" s="23" t="str">
        <f aca="false">IF(A5="","",IF(A5&lt;=profil!$B$9,"Realisasi","Rencana"))</f>
        <v>Rencana</v>
      </c>
      <c r="C5" s="18" t="s">
        <v>150</v>
      </c>
      <c r="D5" s="26" t="n">
        <f aca="false">IFERROR(INDEX(sumber_pasokan!$E:$E,MATCH(C5,sumber_pasokan!$B:$B,0)),"")</f>
        <v>0</v>
      </c>
      <c r="E5" s="27"/>
    </row>
    <row r="6" customFormat="false" ht="15" hidden="false" customHeight="false" outlineLevel="0" collapsed="false">
      <c r="A6" s="25" t="n">
        <v>46025</v>
      </c>
      <c r="B6" s="23" t="str">
        <f aca="false">IF(A6="","",IF(A6&lt;=profil!$B$9,"Realisasi","Rencana"))</f>
        <v>Rencana</v>
      </c>
      <c r="C6" s="18" t="s">
        <v>82</v>
      </c>
      <c r="D6" s="26" t="n">
        <f aca="false">IFERROR(INDEX(sumber_pasokan!$E:$E,MATCH(C6,sumber_pasokan!$B:$B,0)),"")</f>
        <v>0</v>
      </c>
      <c r="E6" s="27"/>
    </row>
    <row r="7" customFormat="false" ht="15" hidden="false" customHeight="false" outlineLevel="0" collapsed="false">
      <c r="A7" s="25" t="n">
        <v>46025</v>
      </c>
      <c r="B7" s="23" t="str">
        <f aca="false">IF(A7="","",IF(A7&lt;=profil!$B$9,"Realisasi","Rencana"))</f>
        <v>Rencana</v>
      </c>
      <c r="C7" s="18" t="s">
        <v>150</v>
      </c>
      <c r="D7" s="26" t="n">
        <f aca="false">IFERROR(INDEX(sumber_pasokan!$E:$E,MATCH(C7,sumber_pasokan!$B:$B,0)),"")</f>
        <v>0</v>
      </c>
      <c r="E7" s="27"/>
    </row>
    <row r="8" customFormat="false" ht="15" hidden="false" customHeight="false" outlineLevel="0" collapsed="false">
      <c r="A8" s="25" t="n">
        <v>46026</v>
      </c>
      <c r="B8" s="23" t="str">
        <f aca="false">IF(A8="","",IF(A8&lt;=profil!$B$9,"Realisasi","Rencana"))</f>
        <v>Rencana</v>
      </c>
      <c r="C8" s="18" t="s">
        <v>82</v>
      </c>
      <c r="D8" s="26" t="n">
        <f aca="false">IFERROR(INDEX(sumber_pasokan!$E:$E,MATCH(C8,sumber_pasokan!$B:$B,0)),"")</f>
        <v>0</v>
      </c>
      <c r="E8" s="27"/>
    </row>
    <row r="9" customFormat="false" ht="15" hidden="false" customHeight="false" outlineLevel="0" collapsed="false">
      <c r="A9" s="25" t="n">
        <v>46026</v>
      </c>
      <c r="B9" s="23" t="str">
        <f aca="false">IF(A9="","",IF(A9&lt;=profil!$B$9,"Realisasi","Rencana"))</f>
        <v>Rencana</v>
      </c>
      <c r="C9" s="18" t="s">
        <v>150</v>
      </c>
      <c r="D9" s="26" t="n">
        <f aca="false">IFERROR(INDEX(sumber_pasokan!$E:$E,MATCH(C9,sumber_pasokan!$B:$B,0)),"")</f>
        <v>0</v>
      </c>
      <c r="E9" s="27"/>
    </row>
    <row r="10" customFormat="false" ht="15" hidden="false" customHeight="false" outlineLevel="0" collapsed="false">
      <c r="A10" s="25" t="n">
        <v>46027</v>
      </c>
      <c r="B10" s="23" t="str">
        <f aca="false">IF(A10="","",IF(A10&lt;=profil!$B$9,"Realisasi","Rencana"))</f>
        <v>Rencana</v>
      </c>
      <c r="C10" s="18" t="s">
        <v>82</v>
      </c>
      <c r="D10" s="26" t="n">
        <f aca="false">IFERROR(INDEX(sumber_pasokan!$E:$E,MATCH(C10,sumber_pasokan!$B:$B,0)),"")</f>
        <v>0</v>
      </c>
      <c r="E10" s="27"/>
    </row>
    <row r="11" customFormat="false" ht="15" hidden="false" customHeight="false" outlineLevel="0" collapsed="false">
      <c r="A11" s="25" t="n">
        <v>46027</v>
      </c>
      <c r="B11" s="23" t="str">
        <f aca="false">IF(A11="","",IF(A11&lt;=profil!$B$9,"Realisasi","Rencana"))</f>
        <v>Rencana</v>
      </c>
      <c r="C11" s="18" t="s">
        <v>150</v>
      </c>
      <c r="D11" s="26" t="n">
        <f aca="false">IFERROR(INDEX(sumber_pasokan!$E:$E,MATCH(C11,sumber_pasokan!$B:$B,0)),"")</f>
        <v>0</v>
      </c>
      <c r="E11" s="27"/>
    </row>
    <row r="12" customFormat="false" ht="15" hidden="false" customHeight="false" outlineLevel="0" collapsed="false">
      <c r="A12" s="25" t="n">
        <v>46028</v>
      </c>
      <c r="B12" s="23" t="str">
        <f aca="false">IF(A12="","",IF(A12&lt;=profil!$B$9,"Realisasi","Rencana"))</f>
        <v>Rencana</v>
      </c>
      <c r="C12" s="18" t="s">
        <v>82</v>
      </c>
      <c r="D12" s="26" t="n">
        <f aca="false">IFERROR(INDEX(sumber_pasokan!$E:$E,MATCH(C12,sumber_pasokan!$B:$B,0)),"")</f>
        <v>0</v>
      </c>
      <c r="E12" s="27"/>
    </row>
    <row r="13" customFormat="false" ht="15" hidden="false" customHeight="false" outlineLevel="0" collapsed="false">
      <c r="A13" s="25" t="n">
        <v>46028</v>
      </c>
      <c r="B13" s="23" t="str">
        <f aca="false">IF(A13="","",IF(A13&lt;=profil!$B$9,"Realisasi","Rencana"))</f>
        <v>Rencana</v>
      </c>
      <c r="C13" s="18" t="s">
        <v>150</v>
      </c>
      <c r="D13" s="26" t="n">
        <f aca="false">IFERROR(INDEX(sumber_pasokan!$E:$E,MATCH(C13,sumber_pasokan!$B:$B,0)),"")</f>
        <v>0</v>
      </c>
      <c r="E13" s="27"/>
    </row>
    <row r="14" customFormat="false" ht="15" hidden="false" customHeight="false" outlineLevel="0" collapsed="false">
      <c r="A14" s="25" t="n">
        <v>46029</v>
      </c>
      <c r="B14" s="23" t="str">
        <f aca="false">IF(A14="","",IF(A14&lt;=profil!$B$9,"Realisasi","Rencana"))</f>
        <v>Rencana</v>
      </c>
      <c r="C14" s="18" t="s">
        <v>82</v>
      </c>
      <c r="D14" s="26" t="n">
        <f aca="false">IFERROR(INDEX(sumber_pasokan!$E:$E,MATCH(C14,sumber_pasokan!$B:$B,0)),"")</f>
        <v>0</v>
      </c>
      <c r="E14" s="27"/>
    </row>
    <row r="15" customFormat="false" ht="15" hidden="false" customHeight="false" outlineLevel="0" collapsed="false">
      <c r="A15" s="25" t="n">
        <v>46029</v>
      </c>
      <c r="B15" s="23" t="str">
        <f aca="false">IF(A15="","",IF(A15&lt;=profil!$B$9,"Realisasi","Rencana"))</f>
        <v>Rencana</v>
      </c>
      <c r="C15" s="18" t="s">
        <v>150</v>
      </c>
      <c r="D15" s="26" t="n">
        <f aca="false">IFERROR(INDEX(sumber_pasokan!$E:$E,MATCH(C15,sumber_pasokan!$B:$B,0)),"")</f>
        <v>0</v>
      </c>
      <c r="E15" s="27"/>
    </row>
    <row r="16" customFormat="false" ht="15" hidden="false" customHeight="false" outlineLevel="0" collapsed="false">
      <c r="A16" s="25" t="n">
        <v>46030</v>
      </c>
      <c r="B16" s="23" t="str">
        <f aca="false">IF(A16="","",IF(A16&lt;=profil!$B$9,"Realisasi","Rencana"))</f>
        <v>Rencana</v>
      </c>
      <c r="C16" s="18" t="s">
        <v>82</v>
      </c>
      <c r="D16" s="26" t="n">
        <f aca="false">IFERROR(INDEX(sumber_pasokan!$E:$E,MATCH(C16,sumber_pasokan!$B:$B,0)),"")</f>
        <v>0</v>
      </c>
      <c r="E16" s="27"/>
    </row>
    <row r="17" customFormat="false" ht="15" hidden="false" customHeight="false" outlineLevel="0" collapsed="false">
      <c r="A17" s="25" t="n">
        <v>46030</v>
      </c>
      <c r="B17" s="23" t="str">
        <f aca="false">IF(A17="","",IF(A17&lt;=profil!$B$9,"Realisasi","Rencana"))</f>
        <v>Rencana</v>
      </c>
      <c r="C17" s="18" t="s">
        <v>150</v>
      </c>
      <c r="D17" s="26" t="n">
        <f aca="false">IFERROR(INDEX(sumber_pasokan!$E:$E,MATCH(C17,sumber_pasokan!$B:$B,0)),"")</f>
        <v>0</v>
      </c>
      <c r="E17" s="27"/>
    </row>
    <row r="18" customFormat="false" ht="15" hidden="false" customHeight="false" outlineLevel="0" collapsed="false">
      <c r="A18" s="25" t="n">
        <v>46031</v>
      </c>
      <c r="B18" s="23" t="str">
        <f aca="false">IF(A18="","",IF(A18&lt;=profil!$B$9,"Realisasi","Rencana"))</f>
        <v>Rencana</v>
      </c>
      <c r="C18" s="18" t="s">
        <v>82</v>
      </c>
      <c r="D18" s="26" t="n">
        <f aca="false">IFERROR(INDEX(sumber_pasokan!$E:$E,MATCH(C18,sumber_pasokan!$B:$B,0)),"")</f>
        <v>0</v>
      </c>
      <c r="E18" s="27"/>
    </row>
    <row r="19" customFormat="false" ht="15" hidden="false" customHeight="false" outlineLevel="0" collapsed="false">
      <c r="A19" s="25" t="n">
        <v>46031</v>
      </c>
      <c r="B19" s="23" t="str">
        <f aca="false">IF(A19="","",IF(A19&lt;=profil!$B$9,"Realisasi","Rencana"))</f>
        <v>Rencana</v>
      </c>
      <c r="C19" s="18" t="s">
        <v>150</v>
      </c>
      <c r="D19" s="26" t="n">
        <f aca="false">IFERROR(INDEX(sumber_pasokan!$E:$E,MATCH(C19,sumber_pasokan!$B:$B,0)),"")</f>
        <v>0</v>
      </c>
      <c r="E19" s="27"/>
    </row>
    <row r="20" customFormat="false" ht="15" hidden="false" customHeight="false" outlineLevel="0" collapsed="false">
      <c r="A20" s="25" t="n">
        <v>46032</v>
      </c>
      <c r="B20" s="23" t="str">
        <f aca="false">IF(A20="","",IF(A20&lt;=profil!$B$9,"Realisasi","Rencana"))</f>
        <v>Rencana</v>
      </c>
      <c r="C20" s="18" t="s">
        <v>82</v>
      </c>
      <c r="D20" s="26" t="n">
        <f aca="false">IFERROR(INDEX(sumber_pasokan!$E:$E,MATCH(C20,sumber_pasokan!$B:$B,0)),"")</f>
        <v>0</v>
      </c>
      <c r="E20" s="27"/>
    </row>
    <row r="21" customFormat="false" ht="15" hidden="false" customHeight="false" outlineLevel="0" collapsed="false">
      <c r="A21" s="25" t="n">
        <v>46032</v>
      </c>
      <c r="B21" s="23" t="str">
        <f aca="false">IF(A21="","",IF(A21&lt;=profil!$B$9,"Realisasi","Rencana"))</f>
        <v>Rencana</v>
      </c>
      <c r="C21" s="18" t="s">
        <v>150</v>
      </c>
      <c r="D21" s="26" t="n">
        <f aca="false">IFERROR(INDEX(sumber_pasokan!$E:$E,MATCH(C21,sumber_pasokan!$B:$B,0)),"")</f>
        <v>0</v>
      </c>
      <c r="E21" s="27"/>
    </row>
    <row r="22" customFormat="false" ht="15" hidden="false" customHeight="false" outlineLevel="0" collapsed="false">
      <c r="A22" s="25" t="n">
        <v>46033</v>
      </c>
      <c r="B22" s="23" t="str">
        <f aca="false">IF(A22="","",IF(A22&lt;=profil!$B$9,"Realisasi","Rencana"))</f>
        <v>Rencana</v>
      </c>
      <c r="C22" s="18" t="s">
        <v>82</v>
      </c>
      <c r="D22" s="26" t="n">
        <f aca="false">IFERROR(INDEX(sumber_pasokan!$E:$E,MATCH(C22,sumber_pasokan!$B:$B,0)),"")</f>
        <v>0</v>
      </c>
      <c r="E22" s="27"/>
    </row>
    <row r="23" customFormat="false" ht="15" hidden="false" customHeight="false" outlineLevel="0" collapsed="false">
      <c r="A23" s="25" t="n">
        <v>46033</v>
      </c>
      <c r="B23" s="23" t="str">
        <f aca="false">IF(A23="","",IF(A23&lt;=profil!$B$9,"Realisasi","Rencana"))</f>
        <v>Rencana</v>
      </c>
      <c r="C23" s="18" t="s">
        <v>150</v>
      </c>
      <c r="D23" s="26" t="n">
        <f aca="false">IFERROR(INDEX(sumber_pasokan!$E:$E,MATCH(C23,sumber_pasokan!$B:$B,0)),"")</f>
        <v>0</v>
      </c>
      <c r="E23" s="27"/>
    </row>
    <row r="24" customFormat="false" ht="15" hidden="false" customHeight="false" outlineLevel="0" collapsed="false">
      <c r="A24" s="25" t="n">
        <v>46034</v>
      </c>
      <c r="B24" s="23" t="str">
        <f aca="false">IF(A24="","",IF(A24&lt;=profil!$B$9,"Realisasi","Rencana"))</f>
        <v>Rencana</v>
      </c>
      <c r="C24" s="18" t="s">
        <v>82</v>
      </c>
      <c r="D24" s="26" t="n">
        <f aca="false">IFERROR(INDEX(sumber_pasokan!$E:$E,MATCH(C24,sumber_pasokan!$B:$B,0)),"")</f>
        <v>0</v>
      </c>
      <c r="E24" s="27"/>
    </row>
    <row r="25" customFormat="false" ht="15" hidden="false" customHeight="false" outlineLevel="0" collapsed="false">
      <c r="A25" s="25" t="n">
        <v>46034</v>
      </c>
      <c r="B25" s="23" t="str">
        <f aca="false">IF(A25="","",IF(A25&lt;=profil!$B$9,"Realisasi","Rencana"))</f>
        <v>Rencana</v>
      </c>
      <c r="C25" s="18" t="s">
        <v>150</v>
      </c>
      <c r="D25" s="26" t="n">
        <f aca="false">IFERROR(INDEX(sumber_pasokan!$E:$E,MATCH(C25,sumber_pasokan!$B:$B,0)),"")</f>
        <v>0</v>
      </c>
      <c r="E25" s="27"/>
    </row>
    <row r="26" customFormat="false" ht="15" hidden="false" customHeight="false" outlineLevel="0" collapsed="false">
      <c r="A26" s="25" t="n">
        <v>46035</v>
      </c>
      <c r="B26" s="23" t="str">
        <f aca="false">IF(A26="","",IF(A26&lt;=profil!$B$9,"Realisasi","Rencana"))</f>
        <v>Rencana</v>
      </c>
      <c r="C26" s="18" t="s">
        <v>82</v>
      </c>
      <c r="D26" s="26" t="n">
        <f aca="false">IFERROR(INDEX(sumber_pasokan!$E:$E,MATCH(C26,sumber_pasokan!$B:$B,0)),"")</f>
        <v>0</v>
      </c>
      <c r="E26" s="27"/>
    </row>
    <row r="27" customFormat="false" ht="15" hidden="false" customHeight="false" outlineLevel="0" collapsed="false">
      <c r="A27" s="25" t="n">
        <v>46035</v>
      </c>
      <c r="B27" s="23" t="str">
        <f aca="false">IF(A27="","",IF(A27&lt;=profil!$B$9,"Realisasi","Rencana"))</f>
        <v>Rencana</v>
      </c>
      <c r="C27" s="18" t="s">
        <v>150</v>
      </c>
      <c r="D27" s="26" t="n">
        <f aca="false">IFERROR(INDEX(sumber_pasokan!$E:$E,MATCH(C27,sumber_pasokan!$B:$B,0)),"")</f>
        <v>0</v>
      </c>
      <c r="E27" s="27"/>
    </row>
    <row r="28" customFormat="false" ht="15" hidden="false" customHeight="false" outlineLevel="0" collapsed="false">
      <c r="A28" s="25" t="n">
        <v>46036</v>
      </c>
      <c r="B28" s="23" t="str">
        <f aca="false">IF(A28="","",IF(A28&lt;=profil!$B$9,"Realisasi","Rencana"))</f>
        <v>Rencana</v>
      </c>
      <c r="C28" s="18" t="s">
        <v>82</v>
      </c>
      <c r="D28" s="26" t="n">
        <f aca="false">IFERROR(INDEX(sumber_pasokan!$E:$E,MATCH(C28,sumber_pasokan!$B:$B,0)),"")</f>
        <v>0</v>
      </c>
      <c r="E28" s="27"/>
    </row>
    <row r="29" customFormat="false" ht="15" hidden="false" customHeight="false" outlineLevel="0" collapsed="false">
      <c r="A29" s="25" t="n">
        <v>46036</v>
      </c>
      <c r="B29" s="23" t="str">
        <f aca="false">IF(A29="","",IF(A29&lt;=profil!$B$9,"Realisasi","Rencana"))</f>
        <v>Rencana</v>
      </c>
      <c r="C29" s="18" t="s">
        <v>150</v>
      </c>
      <c r="D29" s="26" t="n">
        <f aca="false">IFERROR(INDEX(sumber_pasokan!$E:$E,MATCH(C29,sumber_pasokan!$B:$B,0)),"")</f>
        <v>0</v>
      </c>
      <c r="E29" s="27"/>
    </row>
    <row r="30" customFormat="false" ht="15" hidden="false" customHeight="false" outlineLevel="0" collapsed="false">
      <c r="A30" s="25" t="n">
        <v>46037</v>
      </c>
      <c r="B30" s="23" t="str">
        <f aca="false">IF(A30="","",IF(A30&lt;=profil!$B$9,"Realisasi","Rencana"))</f>
        <v>Rencana</v>
      </c>
      <c r="C30" s="18" t="s">
        <v>82</v>
      </c>
      <c r="D30" s="26" t="n">
        <f aca="false">IFERROR(INDEX(sumber_pasokan!$E:$E,MATCH(C30,sumber_pasokan!$B:$B,0)),"")</f>
        <v>0</v>
      </c>
      <c r="E30" s="27"/>
    </row>
    <row r="31" customFormat="false" ht="15" hidden="false" customHeight="false" outlineLevel="0" collapsed="false">
      <c r="A31" s="25" t="n">
        <v>46037</v>
      </c>
      <c r="B31" s="23" t="str">
        <f aca="false">IF(A31="","",IF(A31&lt;=profil!$B$9,"Realisasi","Rencana"))</f>
        <v>Rencana</v>
      </c>
      <c r="C31" s="18" t="s">
        <v>150</v>
      </c>
      <c r="D31" s="26" t="n">
        <f aca="false">IFERROR(INDEX(sumber_pasokan!$E:$E,MATCH(C31,sumber_pasokan!$B:$B,0)),"")</f>
        <v>0</v>
      </c>
      <c r="E31" s="27"/>
    </row>
    <row r="32" customFormat="false" ht="15" hidden="false" customHeight="false" outlineLevel="0" collapsed="false">
      <c r="A32" s="25" t="n">
        <v>46038</v>
      </c>
      <c r="B32" s="23" t="str">
        <f aca="false">IF(A32="","",IF(A32&lt;=profil!$B$9,"Realisasi","Rencana"))</f>
        <v>Rencana</v>
      </c>
      <c r="C32" s="18" t="s">
        <v>82</v>
      </c>
      <c r="D32" s="26" t="n">
        <f aca="false">IFERROR(INDEX(sumber_pasokan!$E:$E,MATCH(C32,sumber_pasokan!$B:$B,0)),"")</f>
        <v>0</v>
      </c>
      <c r="E32" s="27"/>
    </row>
    <row r="33" customFormat="false" ht="15" hidden="false" customHeight="false" outlineLevel="0" collapsed="false">
      <c r="A33" s="25" t="n">
        <v>46038</v>
      </c>
      <c r="B33" s="23" t="str">
        <f aca="false">IF(A33="","",IF(A33&lt;=profil!$B$9,"Realisasi","Rencana"))</f>
        <v>Rencana</v>
      </c>
      <c r="C33" s="18" t="s">
        <v>150</v>
      </c>
      <c r="D33" s="26" t="n">
        <f aca="false">IFERROR(INDEX(sumber_pasokan!$E:$E,MATCH(C33,sumber_pasokan!$B:$B,0)),"")</f>
        <v>0</v>
      </c>
      <c r="E33" s="27"/>
    </row>
    <row r="34" customFormat="false" ht="15" hidden="false" customHeight="false" outlineLevel="0" collapsed="false">
      <c r="A34" s="25" t="n">
        <v>46039</v>
      </c>
      <c r="B34" s="23" t="str">
        <f aca="false">IF(A34="","",IF(A34&lt;=profil!$B$9,"Realisasi","Rencana"))</f>
        <v>Rencana</v>
      </c>
      <c r="C34" s="18" t="s">
        <v>82</v>
      </c>
      <c r="D34" s="26" t="n">
        <f aca="false">IFERROR(INDEX(sumber_pasokan!$E:$E,MATCH(C34,sumber_pasokan!$B:$B,0)),"")</f>
        <v>0</v>
      </c>
      <c r="E34" s="27"/>
    </row>
    <row r="35" customFormat="false" ht="15" hidden="false" customHeight="false" outlineLevel="0" collapsed="false">
      <c r="A35" s="25" t="n">
        <v>46039</v>
      </c>
      <c r="B35" s="23" t="str">
        <f aca="false">IF(A35="","",IF(A35&lt;=profil!$B$9,"Realisasi","Rencana"))</f>
        <v>Rencana</v>
      </c>
      <c r="C35" s="18" t="s">
        <v>150</v>
      </c>
      <c r="D35" s="26" t="n">
        <f aca="false">IFERROR(INDEX(sumber_pasokan!$E:$E,MATCH(C35,sumber_pasokan!$B:$B,0)),"")</f>
        <v>0</v>
      </c>
      <c r="E35" s="27"/>
    </row>
    <row r="36" customFormat="false" ht="15" hidden="false" customHeight="false" outlineLevel="0" collapsed="false">
      <c r="A36" s="25" t="n">
        <v>46040</v>
      </c>
      <c r="B36" s="23" t="str">
        <f aca="false">IF(A36="","",IF(A36&lt;=profil!$B$9,"Realisasi","Rencana"))</f>
        <v>Rencana</v>
      </c>
      <c r="C36" s="18" t="s">
        <v>82</v>
      </c>
      <c r="D36" s="26" t="n">
        <f aca="false">IFERROR(INDEX(sumber_pasokan!$E:$E,MATCH(C36,sumber_pasokan!$B:$B,0)),"")</f>
        <v>0</v>
      </c>
      <c r="E36" s="27"/>
    </row>
    <row r="37" customFormat="false" ht="15" hidden="false" customHeight="false" outlineLevel="0" collapsed="false">
      <c r="A37" s="25" t="n">
        <v>46040</v>
      </c>
      <c r="B37" s="23" t="str">
        <f aca="false">IF(A37="","",IF(A37&lt;=profil!$B$9,"Realisasi","Rencana"))</f>
        <v>Rencana</v>
      </c>
      <c r="C37" s="18" t="s">
        <v>150</v>
      </c>
      <c r="D37" s="26" t="n">
        <f aca="false">IFERROR(INDEX(sumber_pasokan!$E:$E,MATCH(C37,sumber_pasokan!$B:$B,0)),"")</f>
        <v>0</v>
      </c>
      <c r="E37" s="27"/>
    </row>
    <row r="38" customFormat="false" ht="15" hidden="false" customHeight="false" outlineLevel="0" collapsed="false">
      <c r="A38" s="25" t="n">
        <v>46041</v>
      </c>
      <c r="B38" s="23" t="str">
        <f aca="false">IF(A38="","",IF(A38&lt;=profil!$B$9,"Realisasi","Rencana"))</f>
        <v>Rencana</v>
      </c>
      <c r="C38" s="18" t="s">
        <v>82</v>
      </c>
      <c r="D38" s="26" t="n">
        <f aca="false">IFERROR(INDEX(sumber_pasokan!$E:$E,MATCH(C38,sumber_pasokan!$B:$B,0)),"")</f>
        <v>0</v>
      </c>
      <c r="E38" s="27"/>
    </row>
    <row r="39" customFormat="false" ht="15" hidden="false" customHeight="false" outlineLevel="0" collapsed="false">
      <c r="A39" s="25" t="n">
        <v>46041</v>
      </c>
      <c r="B39" s="23" t="str">
        <f aca="false">IF(A39="","",IF(A39&lt;=profil!$B$9,"Realisasi","Rencana"))</f>
        <v>Rencana</v>
      </c>
      <c r="C39" s="18" t="s">
        <v>150</v>
      </c>
      <c r="D39" s="26" t="n">
        <f aca="false">IFERROR(INDEX(sumber_pasokan!$E:$E,MATCH(C39,sumber_pasokan!$B:$B,0)),"")</f>
        <v>0</v>
      </c>
      <c r="E39" s="27"/>
    </row>
    <row r="40" customFormat="false" ht="15" hidden="false" customHeight="false" outlineLevel="0" collapsed="false">
      <c r="A40" s="25" t="n">
        <v>46042</v>
      </c>
      <c r="B40" s="23" t="str">
        <f aca="false">IF(A40="","",IF(A40&lt;=profil!$B$9,"Realisasi","Rencana"))</f>
        <v>Rencana</v>
      </c>
      <c r="C40" s="18" t="s">
        <v>82</v>
      </c>
      <c r="D40" s="26" t="n">
        <f aca="false">IFERROR(INDEX(sumber_pasokan!$E:$E,MATCH(C40,sumber_pasokan!$B:$B,0)),"")</f>
        <v>0</v>
      </c>
      <c r="E40" s="27"/>
    </row>
    <row r="41" customFormat="false" ht="15" hidden="false" customHeight="false" outlineLevel="0" collapsed="false">
      <c r="A41" s="25" t="n">
        <v>46042</v>
      </c>
      <c r="B41" s="23" t="str">
        <f aca="false">IF(A41="","",IF(A41&lt;=profil!$B$9,"Realisasi","Rencana"))</f>
        <v>Rencana</v>
      </c>
      <c r="C41" s="18" t="s">
        <v>150</v>
      </c>
      <c r="D41" s="26" t="n">
        <f aca="false">IFERROR(INDEX(sumber_pasokan!$E:$E,MATCH(C41,sumber_pasokan!$B:$B,0)),"")</f>
        <v>0</v>
      </c>
      <c r="E41" s="27"/>
    </row>
    <row r="42" customFormat="false" ht="15" hidden="false" customHeight="false" outlineLevel="0" collapsed="false">
      <c r="A42" s="25" t="n">
        <v>46043</v>
      </c>
      <c r="B42" s="23" t="str">
        <f aca="false">IF(A42="","",IF(A42&lt;=profil!$B$9,"Realisasi","Rencana"))</f>
        <v>Rencana</v>
      </c>
      <c r="C42" s="18" t="s">
        <v>82</v>
      </c>
      <c r="D42" s="26" t="n">
        <f aca="false">IFERROR(INDEX(sumber_pasokan!$E:$E,MATCH(C42,sumber_pasokan!$B:$B,0)),"")</f>
        <v>0</v>
      </c>
      <c r="E42" s="27"/>
    </row>
    <row r="43" customFormat="false" ht="15" hidden="false" customHeight="false" outlineLevel="0" collapsed="false">
      <c r="A43" s="25" t="n">
        <v>46043</v>
      </c>
      <c r="B43" s="23" t="str">
        <f aca="false">IF(A43="","",IF(A43&lt;=profil!$B$9,"Realisasi","Rencana"))</f>
        <v>Rencana</v>
      </c>
      <c r="C43" s="18" t="s">
        <v>150</v>
      </c>
      <c r="D43" s="26" t="n">
        <f aca="false">IFERROR(INDEX(sumber_pasokan!$E:$E,MATCH(C43,sumber_pasokan!$B:$B,0)),"")</f>
        <v>0</v>
      </c>
      <c r="E43" s="27"/>
    </row>
    <row r="44" customFormat="false" ht="15" hidden="false" customHeight="false" outlineLevel="0" collapsed="false">
      <c r="A44" s="25" t="n">
        <v>46044</v>
      </c>
      <c r="B44" s="23" t="str">
        <f aca="false">IF(A44="","",IF(A44&lt;=profil!$B$9,"Realisasi","Rencana"))</f>
        <v>Rencana</v>
      </c>
      <c r="C44" s="18" t="s">
        <v>82</v>
      </c>
      <c r="D44" s="26" t="n">
        <f aca="false">IFERROR(INDEX(sumber_pasokan!$E:$E,MATCH(C44,sumber_pasokan!$B:$B,0)),"")</f>
        <v>0</v>
      </c>
      <c r="E44" s="27"/>
    </row>
    <row r="45" customFormat="false" ht="15" hidden="false" customHeight="false" outlineLevel="0" collapsed="false">
      <c r="A45" s="25" t="n">
        <v>46044</v>
      </c>
      <c r="B45" s="23" t="str">
        <f aca="false">IF(A45="","",IF(A45&lt;=profil!$B$9,"Realisasi","Rencana"))</f>
        <v>Rencana</v>
      </c>
      <c r="C45" s="18" t="s">
        <v>150</v>
      </c>
      <c r="D45" s="26" t="n">
        <f aca="false">IFERROR(INDEX(sumber_pasokan!$E:$E,MATCH(C45,sumber_pasokan!$B:$B,0)),"")</f>
        <v>0</v>
      </c>
      <c r="E45" s="27"/>
    </row>
    <row r="46" customFormat="false" ht="15" hidden="false" customHeight="false" outlineLevel="0" collapsed="false">
      <c r="A46" s="25" t="n">
        <v>46045</v>
      </c>
      <c r="B46" s="23" t="str">
        <f aca="false">IF(A46="","",IF(A46&lt;=profil!$B$9,"Realisasi","Rencana"))</f>
        <v>Rencana</v>
      </c>
      <c r="C46" s="18" t="s">
        <v>82</v>
      </c>
      <c r="D46" s="26" t="n">
        <f aca="false">IFERROR(INDEX(sumber_pasokan!$E:$E,MATCH(C46,sumber_pasokan!$B:$B,0)),"")</f>
        <v>0</v>
      </c>
      <c r="E46" s="27"/>
    </row>
    <row r="47" customFormat="false" ht="15" hidden="false" customHeight="false" outlineLevel="0" collapsed="false">
      <c r="A47" s="25" t="n">
        <v>46045</v>
      </c>
      <c r="B47" s="23" t="str">
        <f aca="false">IF(A47="","",IF(A47&lt;=profil!$B$9,"Realisasi","Rencana"))</f>
        <v>Rencana</v>
      </c>
      <c r="C47" s="18" t="s">
        <v>150</v>
      </c>
      <c r="D47" s="26" t="n">
        <f aca="false">IFERROR(INDEX(sumber_pasokan!$E:$E,MATCH(C47,sumber_pasokan!$B:$B,0)),"")</f>
        <v>0</v>
      </c>
      <c r="E47" s="27"/>
    </row>
    <row r="48" customFormat="false" ht="15" hidden="false" customHeight="false" outlineLevel="0" collapsed="false">
      <c r="A48" s="25" t="n">
        <v>46046</v>
      </c>
      <c r="B48" s="23" t="str">
        <f aca="false">IF(A48="","",IF(A48&lt;=profil!$B$9,"Realisasi","Rencana"))</f>
        <v>Rencana</v>
      </c>
      <c r="C48" s="18" t="s">
        <v>82</v>
      </c>
      <c r="D48" s="26" t="n">
        <f aca="false">IFERROR(INDEX(sumber_pasokan!$E:$E,MATCH(C48,sumber_pasokan!$B:$B,0)),"")</f>
        <v>0</v>
      </c>
      <c r="E48" s="27"/>
    </row>
    <row r="49" customFormat="false" ht="15" hidden="false" customHeight="false" outlineLevel="0" collapsed="false">
      <c r="A49" s="25" t="n">
        <v>46046</v>
      </c>
      <c r="B49" s="23" t="str">
        <f aca="false">IF(A49="","",IF(A49&lt;=profil!$B$9,"Realisasi","Rencana"))</f>
        <v>Rencana</v>
      </c>
      <c r="C49" s="18" t="s">
        <v>150</v>
      </c>
      <c r="D49" s="26" t="n">
        <f aca="false">IFERROR(INDEX(sumber_pasokan!$E:$E,MATCH(C49,sumber_pasokan!$B:$B,0)),"")</f>
        <v>0</v>
      </c>
      <c r="E49" s="27"/>
    </row>
    <row r="50" customFormat="false" ht="15" hidden="false" customHeight="false" outlineLevel="0" collapsed="false">
      <c r="A50" s="25" t="n">
        <v>46047</v>
      </c>
      <c r="B50" s="23" t="str">
        <f aca="false">IF(A50="","",IF(A50&lt;=profil!$B$9,"Realisasi","Rencana"))</f>
        <v>Rencana</v>
      </c>
      <c r="C50" s="18" t="s">
        <v>82</v>
      </c>
      <c r="D50" s="26" t="n">
        <f aca="false">IFERROR(INDEX(sumber_pasokan!$E:$E,MATCH(C50,sumber_pasokan!$B:$B,0)),"")</f>
        <v>0</v>
      </c>
      <c r="E50" s="27"/>
    </row>
    <row r="51" customFormat="false" ht="15" hidden="false" customHeight="false" outlineLevel="0" collapsed="false">
      <c r="A51" s="25" t="n">
        <v>46047</v>
      </c>
      <c r="B51" s="23" t="str">
        <f aca="false">IF(A51="","",IF(A51&lt;=profil!$B$9,"Realisasi","Rencana"))</f>
        <v>Rencana</v>
      </c>
      <c r="C51" s="18" t="s">
        <v>150</v>
      </c>
      <c r="D51" s="26" t="n">
        <f aca="false">IFERROR(INDEX(sumber_pasokan!$E:$E,MATCH(C51,sumber_pasokan!$B:$B,0)),"")</f>
        <v>0</v>
      </c>
      <c r="E51" s="27"/>
    </row>
    <row r="52" customFormat="false" ht="15" hidden="false" customHeight="false" outlineLevel="0" collapsed="false">
      <c r="A52" s="25" t="n">
        <v>46048</v>
      </c>
      <c r="B52" s="23" t="str">
        <f aca="false">IF(A52="","",IF(A52&lt;=profil!$B$9,"Realisasi","Rencana"))</f>
        <v>Rencana</v>
      </c>
      <c r="C52" s="18" t="s">
        <v>82</v>
      </c>
      <c r="D52" s="26" t="n">
        <f aca="false">IFERROR(INDEX(sumber_pasokan!$E:$E,MATCH(C52,sumber_pasokan!$B:$B,0)),"")</f>
        <v>0</v>
      </c>
      <c r="E52" s="27"/>
    </row>
    <row r="53" customFormat="false" ht="15" hidden="false" customHeight="false" outlineLevel="0" collapsed="false">
      <c r="A53" s="25" t="n">
        <v>46048</v>
      </c>
      <c r="B53" s="23" t="str">
        <f aca="false">IF(A53="","",IF(A53&lt;=profil!$B$9,"Realisasi","Rencana"))</f>
        <v>Rencana</v>
      </c>
      <c r="C53" s="18" t="s">
        <v>150</v>
      </c>
      <c r="D53" s="26" t="n">
        <f aca="false">IFERROR(INDEX(sumber_pasokan!$E:$E,MATCH(C53,sumber_pasokan!$B:$B,0)),"")</f>
        <v>0</v>
      </c>
      <c r="E53" s="27"/>
    </row>
    <row r="54" customFormat="false" ht="15" hidden="false" customHeight="false" outlineLevel="0" collapsed="false">
      <c r="A54" s="25" t="n">
        <v>46049</v>
      </c>
      <c r="B54" s="23" t="str">
        <f aca="false">IF(A54="","",IF(A54&lt;=profil!$B$9,"Realisasi","Rencana"))</f>
        <v>Rencana</v>
      </c>
      <c r="C54" s="18" t="s">
        <v>82</v>
      </c>
      <c r="D54" s="26" t="n">
        <f aca="false">IFERROR(INDEX(sumber_pasokan!$E:$E,MATCH(C54,sumber_pasokan!$B:$B,0)),"")</f>
        <v>0</v>
      </c>
      <c r="E54" s="27"/>
    </row>
    <row r="55" customFormat="false" ht="15" hidden="false" customHeight="false" outlineLevel="0" collapsed="false">
      <c r="A55" s="25" t="n">
        <v>46049</v>
      </c>
      <c r="B55" s="23" t="str">
        <f aca="false">IF(A55="","",IF(A55&lt;=profil!$B$9,"Realisasi","Rencana"))</f>
        <v>Rencana</v>
      </c>
      <c r="C55" s="18" t="s">
        <v>150</v>
      </c>
      <c r="D55" s="26" t="n">
        <f aca="false">IFERROR(INDEX(sumber_pasokan!$E:$E,MATCH(C55,sumber_pasokan!$B:$B,0)),"")</f>
        <v>0</v>
      </c>
      <c r="E55" s="27"/>
    </row>
    <row r="56" customFormat="false" ht="15" hidden="false" customHeight="false" outlineLevel="0" collapsed="false">
      <c r="A56" s="25" t="n">
        <v>46050</v>
      </c>
      <c r="B56" s="23" t="str">
        <f aca="false">IF(A56="","",IF(A56&lt;=profil!$B$9,"Realisasi","Rencana"))</f>
        <v>Rencana</v>
      </c>
      <c r="C56" s="18" t="s">
        <v>82</v>
      </c>
      <c r="D56" s="26" t="n">
        <f aca="false">IFERROR(INDEX(sumber_pasokan!$E:$E,MATCH(C56,sumber_pasokan!$B:$B,0)),"")</f>
        <v>0</v>
      </c>
      <c r="E56" s="27"/>
    </row>
    <row r="57" customFormat="false" ht="15" hidden="false" customHeight="false" outlineLevel="0" collapsed="false">
      <c r="A57" s="25" t="n">
        <v>46050</v>
      </c>
      <c r="B57" s="23" t="str">
        <f aca="false">IF(A57="","",IF(A57&lt;=profil!$B$9,"Realisasi","Rencana"))</f>
        <v>Rencana</v>
      </c>
      <c r="C57" s="18" t="s">
        <v>150</v>
      </c>
      <c r="D57" s="26" t="n">
        <f aca="false">IFERROR(INDEX(sumber_pasokan!$E:$E,MATCH(C57,sumber_pasokan!$B:$B,0)),"")</f>
        <v>0</v>
      </c>
      <c r="E57" s="27"/>
    </row>
    <row r="58" customFormat="false" ht="15" hidden="false" customHeight="false" outlineLevel="0" collapsed="false">
      <c r="A58" s="25" t="n">
        <v>46051</v>
      </c>
      <c r="B58" s="23" t="str">
        <f aca="false">IF(A58="","",IF(A58&lt;=profil!$B$9,"Realisasi","Rencana"))</f>
        <v>Rencana</v>
      </c>
      <c r="C58" s="18" t="s">
        <v>82</v>
      </c>
      <c r="D58" s="26" t="n">
        <f aca="false">IFERROR(INDEX(sumber_pasokan!$E:$E,MATCH(C58,sumber_pasokan!$B:$B,0)),"")</f>
        <v>0</v>
      </c>
      <c r="E58" s="27"/>
    </row>
    <row r="59" customFormat="false" ht="15" hidden="false" customHeight="false" outlineLevel="0" collapsed="false">
      <c r="A59" s="25" t="n">
        <v>46051</v>
      </c>
      <c r="B59" s="23" t="str">
        <f aca="false">IF(A59="","",IF(A59&lt;=profil!$B$9,"Realisasi","Rencana"))</f>
        <v>Rencana</v>
      </c>
      <c r="C59" s="18" t="s">
        <v>150</v>
      </c>
      <c r="D59" s="26" t="n">
        <f aca="false">IFERROR(INDEX(sumber_pasokan!$E:$E,MATCH(C59,sumber_pasokan!$B:$B,0)),"")</f>
        <v>0</v>
      </c>
      <c r="E59" s="27"/>
    </row>
    <row r="60" customFormat="false" ht="15" hidden="false" customHeight="false" outlineLevel="0" collapsed="false">
      <c r="A60" s="25" t="n">
        <v>46052</v>
      </c>
      <c r="B60" s="23" t="str">
        <f aca="false">IF(A60="","",IF(A60&lt;=profil!$B$9,"Realisasi","Rencana"))</f>
        <v>Rencana</v>
      </c>
      <c r="C60" s="18" t="s">
        <v>82</v>
      </c>
      <c r="D60" s="26" t="n">
        <f aca="false">IFERROR(INDEX(sumber_pasokan!$E:$E,MATCH(C60,sumber_pasokan!$B:$B,0)),"")</f>
        <v>0</v>
      </c>
      <c r="E60" s="27"/>
    </row>
    <row r="61" customFormat="false" ht="15" hidden="false" customHeight="false" outlineLevel="0" collapsed="false">
      <c r="A61" s="25" t="n">
        <v>46052</v>
      </c>
      <c r="B61" s="23" t="str">
        <f aca="false">IF(A61="","",IF(A61&lt;=profil!$B$9,"Realisasi","Rencana"))</f>
        <v>Rencana</v>
      </c>
      <c r="C61" s="18" t="s">
        <v>150</v>
      </c>
      <c r="D61" s="26" t="n">
        <f aca="false">IFERROR(INDEX(sumber_pasokan!$E:$E,MATCH(C61,sumber_pasokan!$B:$B,0)),"")</f>
        <v>0</v>
      </c>
      <c r="E61" s="27"/>
    </row>
    <row r="62" customFormat="false" ht="15" hidden="false" customHeight="false" outlineLevel="0" collapsed="false">
      <c r="A62" s="25" t="n">
        <v>46053</v>
      </c>
      <c r="B62" s="23" t="str">
        <f aca="false">IF(A62="","",IF(A62&lt;=profil!$B$9,"Realisasi","Rencana"))</f>
        <v>Rencana</v>
      </c>
      <c r="C62" s="18" t="s">
        <v>82</v>
      </c>
      <c r="D62" s="26" t="n">
        <f aca="false">IFERROR(INDEX(sumber_pasokan!$E:$E,MATCH(C62,sumber_pasokan!$B:$B,0)),"")</f>
        <v>0</v>
      </c>
      <c r="E62" s="27"/>
    </row>
    <row r="63" customFormat="false" ht="15" hidden="false" customHeight="false" outlineLevel="0" collapsed="false">
      <c r="A63" s="25" t="n">
        <v>46053</v>
      </c>
      <c r="B63" s="23" t="str">
        <f aca="false">IF(A63="","",IF(A63&lt;=profil!$B$9,"Realisasi","Rencana"))</f>
        <v>Rencana</v>
      </c>
      <c r="C63" s="18" t="s">
        <v>150</v>
      </c>
      <c r="D63" s="26" t="n">
        <f aca="false">IFERROR(INDEX(sumber_pasokan!$E:$E,MATCH(C63,sumber_pasokan!$B:$B,0)),"")</f>
        <v>0</v>
      </c>
      <c r="E63" s="27"/>
    </row>
    <row r="64" customFormat="false" ht="15" hidden="false" customHeight="false" outlineLevel="0" collapsed="false">
      <c r="A64" s="25" t="n">
        <v>46054</v>
      </c>
      <c r="B64" s="23" t="str">
        <f aca="false">IF(A64="","",IF(A64&lt;=profil!$B$9,"Realisasi","Rencana"))</f>
        <v>Rencana</v>
      </c>
      <c r="C64" s="18" t="s">
        <v>82</v>
      </c>
      <c r="D64" s="26" t="n">
        <f aca="false">IFERROR(INDEX(sumber_pasokan!$E:$E,MATCH(C64,sumber_pasokan!$B:$B,0)),"")</f>
        <v>0</v>
      </c>
      <c r="E64" s="27"/>
    </row>
    <row r="65" customFormat="false" ht="15" hidden="false" customHeight="false" outlineLevel="0" collapsed="false">
      <c r="A65" s="25" t="n">
        <v>46054</v>
      </c>
      <c r="B65" s="23" t="str">
        <f aca="false">IF(A65="","",IF(A65&lt;=profil!$B$9,"Realisasi","Rencana"))</f>
        <v>Rencana</v>
      </c>
      <c r="C65" s="18" t="s">
        <v>150</v>
      </c>
      <c r="D65" s="26" t="n">
        <f aca="false">IFERROR(INDEX(sumber_pasokan!$E:$E,MATCH(C65,sumber_pasokan!$B:$B,0)),"")</f>
        <v>0</v>
      </c>
      <c r="E65" s="27"/>
    </row>
    <row r="66" customFormat="false" ht="15" hidden="false" customHeight="false" outlineLevel="0" collapsed="false">
      <c r="A66" s="25" t="n">
        <v>46055</v>
      </c>
      <c r="B66" s="23" t="str">
        <f aca="false">IF(A66="","",IF(A66&lt;=profil!$B$9,"Realisasi","Rencana"))</f>
        <v>Rencana</v>
      </c>
      <c r="C66" s="18" t="s">
        <v>82</v>
      </c>
      <c r="D66" s="26" t="n">
        <f aca="false">IFERROR(INDEX(sumber_pasokan!$E:$E,MATCH(C66,sumber_pasokan!$B:$B,0)),"")</f>
        <v>0</v>
      </c>
      <c r="E66" s="27"/>
    </row>
    <row r="67" customFormat="false" ht="15" hidden="false" customHeight="false" outlineLevel="0" collapsed="false">
      <c r="A67" s="25" t="n">
        <v>46055</v>
      </c>
      <c r="B67" s="23" t="str">
        <f aca="false">IF(A67="","",IF(A67&lt;=profil!$B$9,"Realisasi","Rencana"))</f>
        <v>Rencana</v>
      </c>
      <c r="C67" s="18" t="s">
        <v>150</v>
      </c>
      <c r="D67" s="26" t="n">
        <f aca="false">IFERROR(INDEX(sumber_pasokan!$E:$E,MATCH(C67,sumber_pasokan!$B:$B,0)),"")</f>
        <v>0</v>
      </c>
      <c r="E67" s="27"/>
    </row>
    <row r="68" customFormat="false" ht="15" hidden="false" customHeight="false" outlineLevel="0" collapsed="false">
      <c r="A68" s="25" t="n">
        <v>46056</v>
      </c>
      <c r="B68" s="23" t="str">
        <f aca="false">IF(A68="","",IF(A68&lt;=profil!$B$9,"Realisasi","Rencana"))</f>
        <v>Rencana</v>
      </c>
      <c r="C68" s="18" t="s">
        <v>82</v>
      </c>
      <c r="D68" s="26" t="n">
        <f aca="false">IFERROR(INDEX(sumber_pasokan!$E:$E,MATCH(C68,sumber_pasokan!$B:$B,0)),"")</f>
        <v>0</v>
      </c>
      <c r="E68" s="27"/>
    </row>
    <row r="69" customFormat="false" ht="15" hidden="false" customHeight="false" outlineLevel="0" collapsed="false">
      <c r="A69" s="25" t="n">
        <v>46056</v>
      </c>
      <c r="B69" s="23" t="str">
        <f aca="false">IF(A69="","",IF(A69&lt;=profil!$B$9,"Realisasi","Rencana"))</f>
        <v>Rencana</v>
      </c>
      <c r="C69" s="18" t="s">
        <v>150</v>
      </c>
      <c r="D69" s="26" t="n">
        <f aca="false">IFERROR(INDEX(sumber_pasokan!$E:$E,MATCH(C69,sumber_pasokan!$B:$B,0)),"")</f>
        <v>0</v>
      </c>
      <c r="E69" s="27"/>
    </row>
    <row r="70" customFormat="false" ht="15" hidden="false" customHeight="false" outlineLevel="0" collapsed="false">
      <c r="A70" s="25" t="n">
        <v>46057</v>
      </c>
      <c r="B70" s="23" t="str">
        <f aca="false">IF(A70="","",IF(A70&lt;=profil!$B$9,"Realisasi","Rencana"))</f>
        <v>Rencana</v>
      </c>
      <c r="C70" s="18" t="s">
        <v>82</v>
      </c>
      <c r="D70" s="26" t="n">
        <f aca="false">IFERROR(INDEX(sumber_pasokan!$E:$E,MATCH(C70,sumber_pasokan!$B:$B,0)),"")</f>
        <v>0</v>
      </c>
      <c r="E70" s="27"/>
    </row>
    <row r="71" customFormat="false" ht="15" hidden="false" customHeight="false" outlineLevel="0" collapsed="false">
      <c r="A71" s="25" t="n">
        <v>46057</v>
      </c>
      <c r="B71" s="23" t="str">
        <f aca="false">IF(A71="","",IF(A71&lt;=profil!$B$9,"Realisasi","Rencana"))</f>
        <v>Rencana</v>
      </c>
      <c r="C71" s="18" t="s">
        <v>150</v>
      </c>
      <c r="D71" s="26" t="n">
        <f aca="false">IFERROR(INDEX(sumber_pasokan!$E:$E,MATCH(C71,sumber_pasokan!$B:$B,0)),"")</f>
        <v>0</v>
      </c>
      <c r="E71" s="27"/>
    </row>
    <row r="72" customFormat="false" ht="15" hidden="false" customHeight="false" outlineLevel="0" collapsed="false">
      <c r="A72" s="25" t="n">
        <v>46058</v>
      </c>
      <c r="B72" s="23" t="str">
        <f aca="false">IF(A72="","",IF(A72&lt;=profil!$B$9,"Realisasi","Rencana"))</f>
        <v>Rencana</v>
      </c>
      <c r="C72" s="18" t="s">
        <v>82</v>
      </c>
      <c r="D72" s="26" t="n">
        <f aca="false">IFERROR(INDEX(sumber_pasokan!$E:$E,MATCH(C72,sumber_pasokan!$B:$B,0)),"")</f>
        <v>0</v>
      </c>
      <c r="E72" s="27"/>
    </row>
    <row r="73" customFormat="false" ht="15" hidden="false" customHeight="false" outlineLevel="0" collapsed="false">
      <c r="A73" s="25" t="n">
        <v>46058</v>
      </c>
      <c r="B73" s="23" t="str">
        <f aca="false">IF(A73="","",IF(A73&lt;=profil!$B$9,"Realisasi","Rencana"))</f>
        <v>Rencana</v>
      </c>
      <c r="C73" s="18" t="s">
        <v>150</v>
      </c>
      <c r="D73" s="26" t="n">
        <f aca="false">IFERROR(INDEX(sumber_pasokan!$E:$E,MATCH(C73,sumber_pasokan!$B:$B,0)),"")</f>
        <v>0</v>
      </c>
      <c r="E73" s="27"/>
    </row>
    <row r="74" customFormat="false" ht="15" hidden="false" customHeight="false" outlineLevel="0" collapsed="false">
      <c r="A74" s="25" t="n">
        <v>46059</v>
      </c>
      <c r="B74" s="23" t="str">
        <f aca="false">IF(A74="","",IF(A74&lt;=profil!$B$9,"Realisasi","Rencana"))</f>
        <v>Rencana</v>
      </c>
      <c r="C74" s="18" t="s">
        <v>82</v>
      </c>
      <c r="D74" s="26" t="n">
        <f aca="false">IFERROR(INDEX(sumber_pasokan!$E:$E,MATCH(C74,sumber_pasokan!$B:$B,0)),"")</f>
        <v>0</v>
      </c>
      <c r="E74" s="27"/>
    </row>
    <row r="75" customFormat="false" ht="15" hidden="false" customHeight="false" outlineLevel="0" collapsed="false">
      <c r="A75" s="25" t="n">
        <v>46059</v>
      </c>
      <c r="B75" s="23" t="str">
        <f aca="false">IF(A75="","",IF(A75&lt;=profil!$B$9,"Realisasi","Rencana"))</f>
        <v>Rencana</v>
      </c>
      <c r="C75" s="18" t="s">
        <v>150</v>
      </c>
      <c r="D75" s="26" t="n">
        <f aca="false">IFERROR(INDEX(sumber_pasokan!$E:$E,MATCH(C75,sumber_pasokan!$B:$B,0)),"")</f>
        <v>0</v>
      </c>
      <c r="E75" s="27"/>
    </row>
    <row r="76" customFormat="false" ht="15" hidden="false" customHeight="false" outlineLevel="0" collapsed="false">
      <c r="A76" s="25" t="n">
        <v>46060</v>
      </c>
      <c r="B76" s="23" t="str">
        <f aca="false">IF(A76="","",IF(A76&lt;=profil!$B$9,"Realisasi","Rencana"))</f>
        <v>Rencana</v>
      </c>
      <c r="C76" s="18" t="s">
        <v>82</v>
      </c>
      <c r="D76" s="26" t="n">
        <f aca="false">IFERROR(INDEX(sumber_pasokan!$E:$E,MATCH(C76,sumber_pasokan!$B:$B,0)),"")</f>
        <v>0</v>
      </c>
      <c r="E76" s="27"/>
    </row>
    <row r="77" customFormat="false" ht="15" hidden="false" customHeight="false" outlineLevel="0" collapsed="false">
      <c r="A77" s="25" t="n">
        <v>46060</v>
      </c>
      <c r="B77" s="23" t="str">
        <f aca="false">IF(A77="","",IF(A77&lt;=profil!$B$9,"Realisasi","Rencana"))</f>
        <v>Rencana</v>
      </c>
      <c r="C77" s="18" t="s">
        <v>150</v>
      </c>
      <c r="D77" s="26" t="n">
        <f aca="false">IFERROR(INDEX(sumber_pasokan!$E:$E,MATCH(C77,sumber_pasokan!$B:$B,0)),"")</f>
        <v>0</v>
      </c>
      <c r="E77" s="27"/>
    </row>
    <row r="78" customFormat="false" ht="15" hidden="false" customHeight="false" outlineLevel="0" collapsed="false">
      <c r="A78" s="25" t="n">
        <v>46061</v>
      </c>
      <c r="B78" s="23" t="str">
        <f aca="false">IF(A78="","",IF(A78&lt;=profil!$B$9,"Realisasi","Rencana"))</f>
        <v>Rencana</v>
      </c>
      <c r="C78" s="18" t="s">
        <v>82</v>
      </c>
      <c r="D78" s="26" t="n">
        <f aca="false">IFERROR(INDEX(sumber_pasokan!$E:$E,MATCH(C78,sumber_pasokan!$B:$B,0)),"")</f>
        <v>0</v>
      </c>
      <c r="E78" s="27"/>
    </row>
    <row r="79" customFormat="false" ht="15" hidden="false" customHeight="false" outlineLevel="0" collapsed="false">
      <c r="A79" s="25" t="n">
        <v>46061</v>
      </c>
      <c r="B79" s="23" t="str">
        <f aca="false">IF(A79="","",IF(A79&lt;=profil!$B$9,"Realisasi","Rencana"))</f>
        <v>Rencana</v>
      </c>
      <c r="C79" s="18" t="s">
        <v>150</v>
      </c>
      <c r="D79" s="26" t="n">
        <f aca="false">IFERROR(INDEX(sumber_pasokan!$E:$E,MATCH(C79,sumber_pasokan!$B:$B,0)),"")</f>
        <v>0</v>
      </c>
      <c r="E79" s="27"/>
    </row>
    <row r="80" customFormat="false" ht="15" hidden="false" customHeight="false" outlineLevel="0" collapsed="false">
      <c r="A80" s="25" t="n">
        <v>46062</v>
      </c>
      <c r="B80" s="23" t="str">
        <f aca="false">IF(A80="","",IF(A80&lt;=profil!$B$9,"Realisasi","Rencana"))</f>
        <v>Rencana</v>
      </c>
      <c r="C80" s="18" t="s">
        <v>82</v>
      </c>
      <c r="D80" s="26" t="n">
        <f aca="false">IFERROR(INDEX(sumber_pasokan!$E:$E,MATCH(C80,sumber_pasokan!$B:$B,0)),"")</f>
        <v>0</v>
      </c>
      <c r="E80" s="27"/>
    </row>
    <row r="81" customFormat="false" ht="15" hidden="false" customHeight="false" outlineLevel="0" collapsed="false">
      <c r="A81" s="25" t="n">
        <v>46062</v>
      </c>
      <c r="B81" s="23" t="str">
        <f aca="false">IF(A81="","",IF(A81&lt;=profil!$B$9,"Realisasi","Rencana"))</f>
        <v>Rencana</v>
      </c>
      <c r="C81" s="18" t="s">
        <v>150</v>
      </c>
      <c r="D81" s="26" t="n">
        <f aca="false">IFERROR(INDEX(sumber_pasokan!$E:$E,MATCH(C81,sumber_pasokan!$B:$B,0)),"")</f>
        <v>0</v>
      </c>
      <c r="E81" s="27"/>
    </row>
    <row r="82" customFormat="false" ht="15" hidden="false" customHeight="false" outlineLevel="0" collapsed="false">
      <c r="A82" s="25" t="n">
        <v>46063</v>
      </c>
      <c r="B82" s="23" t="str">
        <f aca="false">IF(A82="","",IF(A82&lt;=profil!$B$9,"Realisasi","Rencana"))</f>
        <v>Rencana</v>
      </c>
      <c r="C82" s="18" t="s">
        <v>82</v>
      </c>
      <c r="D82" s="26" t="n">
        <f aca="false">IFERROR(INDEX(sumber_pasokan!$E:$E,MATCH(C82,sumber_pasokan!$B:$B,0)),"")</f>
        <v>0</v>
      </c>
      <c r="E82" s="27"/>
    </row>
    <row r="83" customFormat="false" ht="15" hidden="false" customHeight="false" outlineLevel="0" collapsed="false">
      <c r="A83" s="25" t="n">
        <v>46063</v>
      </c>
      <c r="B83" s="23" t="str">
        <f aca="false">IF(A83="","",IF(A83&lt;=profil!$B$9,"Realisasi","Rencana"))</f>
        <v>Rencana</v>
      </c>
      <c r="C83" s="18" t="s">
        <v>150</v>
      </c>
      <c r="D83" s="26" t="n">
        <f aca="false">IFERROR(INDEX(sumber_pasokan!$E:$E,MATCH(C83,sumber_pasokan!$B:$B,0)),"")</f>
        <v>0</v>
      </c>
      <c r="E83" s="27"/>
    </row>
    <row r="84" customFormat="false" ht="15" hidden="false" customHeight="false" outlineLevel="0" collapsed="false">
      <c r="A84" s="25" t="n">
        <v>46064</v>
      </c>
      <c r="B84" s="23" t="str">
        <f aca="false">IF(A84="","",IF(A84&lt;=profil!$B$9,"Realisasi","Rencana"))</f>
        <v>Rencana</v>
      </c>
      <c r="C84" s="18" t="s">
        <v>82</v>
      </c>
      <c r="D84" s="26" t="n">
        <f aca="false">IFERROR(INDEX(sumber_pasokan!$E:$E,MATCH(C84,sumber_pasokan!$B:$B,0)),"")</f>
        <v>0</v>
      </c>
      <c r="E84" s="27"/>
    </row>
    <row r="85" customFormat="false" ht="15" hidden="false" customHeight="false" outlineLevel="0" collapsed="false">
      <c r="A85" s="25" t="n">
        <v>46064</v>
      </c>
      <c r="B85" s="23" t="str">
        <f aca="false">IF(A85="","",IF(A85&lt;=profil!$B$9,"Realisasi","Rencana"))</f>
        <v>Rencana</v>
      </c>
      <c r="C85" s="18" t="s">
        <v>150</v>
      </c>
      <c r="D85" s="26" t="n">
        <f aca="false">IFERROR(INDEX(sumber_pasokan!$E:$E,MATCH(C85,sumber_pasokan!$B:$B,0)),"")</f>
        <v>0</v>
      </c>
      <c r="E85" s="27"/>
    </row>
    <row r="86" customFormat="false" ht="15" hidden="false" customHeight="false" outlineLevel="0" collapsed="false">
      <c r="A86" s="25" t="n">
        <v>46065</v>
      </c>
      <c r="B86" s="23" t="str">
        <f aca="false">IF(A86="","",IF(A86&lt;=profil!$B$9,"Realisasi","Rencana"))</f>
        <v>Rencana</v>
      </c>
      <c r="C86" s="18" t="s">
        <v>82</v>
      </c>
      <c r="D86" s="26" t="n">
        <f aca="false">IFERROR(INDEX(sumber_pasokan!$E:$E,MATCH(C86,sumber_pasokan!$B:$B,0)),"")</f>
        <v>0</v>
      </c>
      <c r="E86" s="27"/>
    </row>
    <row r="87" customFormat="false" ht="15" hidden="false" customHeight="false" outlineLevel="0" collapsed="false">
      <c r="A87" s="25" t="n">
        <v>46065</v>
      </c>
      <c r="B87" s="23" t="str">
        <f aca="false">IF(A87="","",IF(A87&lt;=profil!$B$9,"Realisasi","Rencana"))</f>
        <v>Rencana</v>
      </c>
      <c r="C87" s="18" t="s">
        <v>150</v>
      </c>
      <c r="D87" s="26" t="n">
        <f aca="false">IFERROR(INDEX(sumber_pasokan!$E:$E,MATCH(C87,sumber_pasokan!$B:$B,0)),"")</f>
        <v>0</v>
      </c>
      <c r="E87" s="27"/>
    </row>
    <row r="88" customFormat="false" ht="15" hidden="false" customHeight="false" outlineLevel="0" collapsed="false">
      <c r="A88" s="25" t="n">
        <v>46066</v>
      </c>
      <c r="B88" s="23" t="str">
        <f aca="false">IF(A88="","",IF(A88&lt;=profil!$B$9,"Realisasi","Rencana"))</f>
        <v>Rencana</v>
      </c>
      <c r="C88" s="18" t="s">
        <v>82</v>
      </c>
      <c r="D88" s="26" t="n">
        <f aca="false">IFERROR(INDEX(sumber_pasokan!$E:$E,MATCH(C88,sumber_pasokan!$B:$B,0)),"")</f>
        <v>0</v>
      </c>
      <c r="E88" s="27"/>
    </row>
    <row r="89" customFormat="false" ht="15" hidden="false" customHeight="false" outlineLevel="0" collapsed="false">
      <c r="A89" s="25" t="n">
        <v>46066</v>
      </c>
      <c r="B89" s="23" t="str">
        <f aca="false">IF(A89="","",IF(A89&lt;=profil!$B$9,"Realisasi","Rencana"))</f>
        <v>Rencana</v>
      </c>
      <c r="C89" s="18" t="s">
        <v>150</v>
      </c>
      <c r="D89" s="26" t="n">
        <f aca="false">IFERROR(INDEX(sumber_pasokan!$E:$E,MATCH(C89,sumber_pasokan!$B:$B,0)),"")</f>
        <v>0</v>
      </c>
      <c r="E89" s="27"/>
    </row>
    <row r="90" customFormat="false" ht="15" hidden="false" customHeight="false" outlineLevel="0" collapsed="false">
      <c r="A90" s="25" t="n">
        <v>46067</v>
      </c>
      <c r="B90" s="23" t="str">
        <f aca="false">IF(A90="","",IF(A90&lt;=profil!$B$9,"Realisasi","Rencana"))</f>
        <v>Rencana</v>
      </c>
      <c r="C90" s="18" t="s">
        <v>82</v>
      </c>
      <c r="D90" s="26" t="n">
        <f aca="false">IFERROR(INDEX(sumber_pasokan!$E:$E,MATCH(C90,sumber_pasokan!$B:$B,0)),"")</f>
        <v>0</v>
      </c>
      <c r="E90" s="27"/>
    </row>
    <row r="91" customFormat="false" ht="15" hidden="false" customHeight="false" outlineLevel="0" collapsed="false">
      <c r="A91" s="25" t="n">
        <v>46067</v>
      </c>
      <c r="B91" s="23" t="str">
        <f aca="false">IF(A91="","",IF(A91&lt;=profil!$B$9,"Realisasi","Rencana"))</f>
        <v>Rencana</v>
      </c>
      <c r="C91" s="18" t="s">
        <v>150</v>
      </c>
      <c r="D91" s="26" t="n">
        <f aca="false">IFERROR(INDEX(sumber_pasokan!$E:$E,MATCH(C91,sumber_pasokan!$B:$B,0)),"")</f>
        <v>0</v>
      </c>
      <c r="E91" s="27"/>
    </row>
    <row r="92" customFormat="false" ht="15" hidden="false" customHeight="false" outlineLevel="0" collapsed="false">
      <c r="A92" s="25" t="n">
        <v>46068</v>
      </c>
      <c r="B92" s="23" t="str">
        <f aca="false">IF(A92="","",IF(A92&lt;=profil!$B$9,"Realisasi","Rencana"))</f>
        <v>Rencana</v>
      </c>
      <c r="C92" s="18" t="s">
        <v>82</v>
      </c>
      <c r="D92" s="26" t="n">
        <f aca="false">IFERROR(INDEX(sumber_pasokan!$E:$E,MATCH(C92,sumber_pasokan!$B:$B,0)),"")</f>
        <v>0</v>
      </c>
      <c r="E92" s="27"/>
    </row>
    <row r="93" customFormat="false" ht="15" hidden="false" customHeight="false" outlineLevel="0" collapsed="false">
      <c r="A93" s="25" t="n">
        <v>46068</v>
      </c>
      <c r="B93" s="23" t="str">
        <f aca="false">IF(A93="","",IF(A93&lt;=profil!$B$9,"Realisasi","Rencana"))</f>
        <v>Rencana</v>
      </c>
      <c r="C93" s="18" t="s">
        <v>150</v>
      </c>
      <c r="D93" s="26" t="n">
        <f aca="false">IFERROR(INDEX(sumber_pasokan!$E:$E,MATCH(C93,sumber_pasokan!$B:$B,0)),"")</f>
        <v>0</v>
      </c>
      <c r="E93" s="27"/>
    </row>
    <row r="94" customFormat="false" ht="15" hidden="false" customHeight="false" outlineLevel="0" collapsed="false">
      <c r="A94" s="25" t="n">
        <v>46069</v>
      </c>
      <c r="B94" s="23" t="str">
        <f aca="false">IF(A94="","",IF(A94&lt;=profil!$B$9,"Realisasi","Rencana"))</f>
        <v>Rencana</v>
      </c>
      <c r="C94" s="18" t="s">
        <v>82</v>
      </c>
      <c r="D94" s="26" t="n">
        <f aca="false">IFERROR(INDEX(sumber_pasokan!$E:$E,MATCH(C94,sumber_pasokan!$B:$B,0)),"")</f>
        <v>0</v>
      </c>
      <c r="E94" s="27"/>
    </row>
    <row r="95" customFormat="false" ht="15" hidden="false" customHeight="false" outlineLevel="0" collapsed="false">
      <c r="A95" s="25" t="n">
        <v>46069</v>
      </c>
      <c r="B95" s="23" t="str">
        <f aca="false">IF(A95="","",IF(A95&lt;=profil!$B$9,"Realisasi","Rencana"))</f>
        <v>Rencana</v>
      </c>
      <c r="C95" s="18" t="s">
        <v>150</v>
      </c>
      <c r="D95" s="26" t="n">
        <f aca="false">IFERROR(INDEX(sumber_pasokan!$E:$E,MATCH(C95,sumber_pasokan!$B:$B,0)),"")</f>
        <v>0</v>
      </c>
      <c r="E95" s="27"/>
    </row>
    <row r="96" customFormat="false" ht="15" hidden="false" customHeight="false" outlineLevel="0" collapsed="false">
      <c r="A96" s="25" t="n">
        <v>46070</v>
      </c>
      <c r="B96" s="23" t="str">
        <f aca="false">IF(A96="","",IF(A96&lt;=profil!$B$9,"Realisasi","Rencana"))</f>
        <v>Rencana</v>
      </c>
      <c r="C96" s="18" t="s">
        <v>82</v>
      </c>
      <c r="D96" s="26" t="n">
        <f aca="false">IFERROR(INDEX(sumber_pasokan!$E:$E,MATCH(C96,sumber_pasokan!$B:$B,0)),"")</f>
        <v>0</v>
      </c>
      <c r="E96" s="27"/>
    </row>
    <row r="97" customFormat="false" ht="15" hidden="false" customHeight="false" outlineLevel="0" collapsed="false">
      <c r="A97" s="25" t="n">
        <v>46070</v>
      </c>
      <c r="B97" s="23" t="str">
        <f aca="false">IF(A97="","",IF(A97&lt;=profil!$B$9,"Realisasi","Rencana"))</f>
        <v>Rencana</v>
      </c>
      <c r="C97" s="18" t="s">
        <v>150</v>
      </c>
      <c r="D97" s="26" t="n">
        <f aca="false">IFERROR(INDEX(sumber_pasokan!$E:$E,MATCH(C97,sumber_pasokan!$B:$B,0)),"")</f>
        <v>0</v>
      </c>
      <c r="E97" s="27"/>
    </row>
    <row r="98" customFormat="false" ht="15" hidden="false" customHeight="false" outlineLevel="0" collapsed="false">
      <c r="A98" s="25" t="n">
        <v>46071</v>
      </c>
      <c r="B98" s="23" t="str">
        <f aca="false">IF(A98="","",IF(A98&lt;=profil!$B$9,"Realisasi","Rencana"))</f>
        <v>Rencana</v>
      </c>
      <c r="C98" s="18" t="s">
        <v>82</v>
      </c>
      <c r="D98" s="26" t="n">
        <f aca="false">IFERROR(INDEX(sumber_pasokan!$E:$E,MATCH(C98,sumber_pasokan!$B:$B,0)),"")</f>
        <v>0</v>
      </c>
      <c r="E98" s="27"/>
    </row>
    <row r="99" customFormat="false" ht="15" hidden="false" customHeight="false" outlineLevel="0" collapsed="false">
      <c r="A99" s="25" t="n">
        <v>46071</v>
      </c>
      <c r="B99" s="23" t="str">
        <f aca="false">IF(A99="","",IF(A99&lt;=profil!$B$9,"Realisasi","Rencana"))</f>
        <v>Rencana</v>
      </c>
      <c r="C99" s="18" t="s">
        <v>150</v>
      </c>
      <c r="D99" s="26" t="n">
        <f aca="false">IFERROR(INDEX(sumber_pasokan!$E:$E,MATCH(C99,sumber_pasokan!$B:$B,0)),"")</f>
        <v>0</v>
      </c>
      <c r="E99" s="27"/>
    </row>
    <row r="100" customFormat="false" ht="15" hidden="false" customHeight="false" outlineLevel="0" collapsed="false">
      <c r="A100" s="25" t="n">
        <v>46072</v>
      </c>
      <c r="B100" s="23" t="str">
        <f aca="false">IF(A100="","",IF(A100&lt;=profil!$B$9,"Realisasi","Rencana"))</f>
        <v>Rencana</v>
      </c>
      <c r="C100" s="18" t="s">
        <v>82</v>
      </c>
      <c r="D100" s="26" t="n">
        <f aca="false">IFERROR(INDEX(sumber_pasokan!$E:$E,MATCH(C100,sumber_pasokan!$B:$B,0)),"")</f>
        <v>0</v>
      </c>
      <c r="E100" s="27"/>
    </row>
    <row r="101" customFormat="false" ht="15" hidden="false" customHeight="false" outlineLevel="0" collapsed="false">
      <c r="A101" s="25" t="n">
        <v>46072</v>
      </c>
      <c r="B101" s="23" t="str">
        <f aca="false">IF(A101="","",IF(A101&lt;=profil!$B$9,"Realisasi","Rencana"))</f>
        <v>Rencana</v>
      </c>
      <c r="C101" s="18" t="s">
        <v>150</v>
      </c>
      <c r="D101" s="26" t="n">
        <f aca="false">IFERROR(INDEX(sumber_pasokan!$E:$E,MATCH(C101,sumber_pasokan!$B:$B,0)),"")</f>
        <v>0</v>
      </c>
      <c r="E101" s="27"/>
    </row>
    <row r="102" customFormat="false" ht="15" hidden="false" customHeight="false" outlineLevel="0" collapsed="false">
      <c r="A102" s="25" t="n">
        <v>46073</v>
      </c>
      <c r="B102" s="23" t="str">
        <f aca="false">IF(A102="","",IF(A102&lt;=profil!$B$9,"Realisasi","Rencana"))</f>
        <v>Rencana</v>
      </c>
      <c r="C102" s="18" t="s">
        <v>82</v>
      </c>
      <c r="D102" s="26" t="n">
        <f aca="false">IFERROR(INDEX(sumber_pasokan!$E:$E,MATCH(C102,sumber_pasokan!$B:$B,0)),"")</f>
        <v>0</v>
      </c>
      <c r="E102" s="27"/>
    </row>
    <row r="103" customFormat="false" ht="15" hidden="false" customHeight="false" outlineLevel="0" collapsed="false">
      <c r="A103" s="25" t="n">
        <v>46073</v>
      </c>
      <c r="B103" s="23" t="str">
        <f aca="false">IF(A103="","",IF(A103&lt;=profil!$B$9,"Realisasi","Rencana"))</f>
        <v>Rencana</v>
      </c>
      <c r="C103" s="18" t="s">
        <v>150</v>
      </c>
      <c r="D103" s="26" t="n">
        <f aca="false">IFERROR(INDEX(sumber_pasokan!$E:$E,MATCH(C103,sumber_pasokan!$B:$B,0)),"")</f>
        <v>0</v>
      </c>
      <c r="E103" s="27"/>
    </row>
    <row r="104" customFormat="false" ht="15" hidden="false" customHeight="false" outlineLevel="0" collapsed="false">
      <c r="A104" s="25" t="n">
        <v>46074</v>
      </c>
      <c r="B104" s="23" t="str">
        <f aca="false">IF(A104="","",IF(A104&lt;=profil!$B$9,"Realisasi","Rencana"))</f>
        <v>Rencana</v>
      </c>
      <c r="C104" s="18" t="s">
        <v>82</v>
      </c>
      <c r="D104" s="26" t="n">
        <f aca="false">IFERROR(INDEX(sumber_pasokan!$E:$E,MATCH(C104,sumber_pasokan!$B:$B,0)),"")</f>
        <v>0</v>
      </c>
      <c r="E104" s="27"/>
    </row>
    <row r="105" customFormat="false" ht="15" hidden="false" customHeight="false" outlineLevel="0" collapsed="false">
      <c r="A105" s="25" t="n">
        <v>46074</v>
      </c>
      <c r="B105" s="23" t="str">
        <f aca="false">IF(A105="","",IF(A105&lt;=profil!$B$9,"Realisasi","Rencana"))</f>
        <v>Rencana</v>
      </c>
      <c r="C105" s="18" t="s">
        <v>150</v>
      </c>
      <c r="D105" s="26" t="n">
        <f aca="false">IFERROR(INDEX(sumber_pasokan!$E:$E,MATCH(C105,sumber_pasokan!$B:$B,0)),"")</f>
        <v>0</v>
      </c>
      <c r="E105" s="27"/>
    </row>
    <row r="106" customFormat="false" ht="15" hidden="false" customHeight="false" outlineLevel="0" collapsed="false">
      <c r="A106" s="25" t="n">
        <v>46075</v>
      </c>
      <c r="B106" s="23" t="str">
        <f aca="false">IF(A106="","",IF(A106&lt;=profil!$B$9,"Realisasi","Rencana"))</f>
        <v>Rencana</v>
      </c>
      <c r="C106" s="18" t="s">
        <v>82</v>
      </c>
      <c r="D106" s="26" t="n">
        <f aca="false">IFERROR(INDEX(sumber_pasokan!$E:$E,MATCH(C106,sumber_pasokan!$B:$B,0)),"")</f>
        <v>0</v>
      </c>
      <c r="E106" s="27"/>
    </row>
    <row r="107" customFormat="false" ht="15" hidden="false" customHeight="false" outlineLevel="0" collapsed="false">
      <c r="A107" s="25" t="n">
        <v>46075</v>
      </c>
      <c r="B107" s="23" t="str">
        <f aca="false">IF(A107="","",IF(A107&lt;=profil!$B$9,"Realisasi","Rencana"))</f>
        <v>Rencana</v>
      </c>
      <c r="C107" s="18" t="s">
        <v>150</v>
      </c>
      <c r="D107" s="26" t="n">
        <f aca="false">IFERROR(INDEX(sumber_pasokan!$E:$E,MATCH(C107,sumber_pasokan!$B:$B,0)),"")</f>
        <v>0</v>
      </c>
      <c r="E107" s="27"/>
    </row>
    <row r="108" customFormat="false" ht="15" hidden="false" customHeight="false" outlineLevel="0" collapsed="false">
      <c r="A108" s="25" t="n">
        <v>46076</v>
      </c>
      <c r="B108" s="23" t="str">
        <f aca="false">IF(A108="","",IF(A108&lt;=profil!$B$9,"Realisasi","Rencana"))</f>
        <v>Rencana</v>
      </c>
      <c r="C108" s="18" t="s">
        <v>82</v>
      </c>
      <c r="D108" s="26" t="n">
        <f aca="false">IFERROR(INDEX(sumber_pasokan!$E:$E,MATCH(C108,sumber_pasokan!$B:$B,0)),"")</f>
        <v>0</v>
      </c>
      <c r="E108" s="27"/>
    </row>
    <row r="109" customFormat="false" ht="15" hidden="false" customHeight="false" outlineLevel="0" collapsed="false">
      <c r="A109" s="25" t="n">
        <v>46076</v>
      </c>
      <c r="B109" s="23" t="str">
        <f aca="false">IF(A109="","",IF(A109&lt;=profil!$B$9,"Realisasi","Rencana"))</f>
        <v>Rencana</v>
      </c>
      <c r="C109" s="18" t="s">
        <v>150</v>
      </c>
      <c r="D109" s="26" t="n">
        <f aca="false">IFERROR(INDEX(sumber_pasokan!$E:$E,MATCH(C109,sumber_pasokan!$B:$B,0)),"")</f>
        <v>0</v>
      </c>
      <c r="E109" s="27"/>
    </row>
    <row r="110" customFormat="false" ht="15" hidden="false" customHeight="false" outlineLevel="0" collapsed="false">
      <c r="A110" s="25" t="n">
        <v>46077</v>
      </c>
      <c r="B110" s="23" t="str">
        <f aca="false">IF(A110="","",IF(A110&lt;=profil!$B$9,"Realisasi","Rencana"))</f>
        <v>Rencana</v>
      </c>
      <c r="C110" s="18" t="s">
        <v>82</v>
      </c>
      <c r="D110" s="26" t="n">
        <f aca="false">IFERROR(INDEX(sumber_pasokan!$E:$E,MATCH(C110,sumber_pasokan!$B:$B,0)),"")</f>
        <v>0</v>
      </c>
      <c r="E110" s="27"/>
    </row>
    <row r="111" customFormat="false" ht="15" hidden="false" customHeight="false" outlineLevel="0" collapsed="false">
      <c r="A111" s="25" t="n">
        <v>46077</v>
      </c>
      <c r="B111" s="23" t="str">
        <f aca="false">IF(A111="","",IF(A111&lt;=profil!$B$9,"Realisasi","Rencana"))</f>
        <v>Rencana</v>
      </c>
      <c r="C111" s="18" t="s">
        <v>150</v>
      </c>
      <c r="D111" s="26" t="n">
        <f aca="false">IFERROR(INDEX(sumber_pasokan!$E:$E,MATCH(C111,sumber_pasokan!$B:$B,0)),"")</f>
        <v>0</v>
      </c>
      <c r="E111" s="27"/>
    </row>
    <row r="112" customFormat="false" ht="15" hidden="false" customHeight="false" outlineLevel="0" collapsed="false">
      <c r="A112" s="25" t="n">
        <v>46078</v>
      </c>
      <c r="B112" s="23" t="str">
        <f aca="false">IF(A112="","",IF(A112&lt;=profil!$B$9,"Realisasi","Rencana"))</f>
        <v>Rencana</v>
      </c>
      <c r="C112" s="18" t="s">
        <v>82</v>
      </c>
      <c r="D112" s="26" t="n">
        <f aca="false">IFERROR(INDEX(sumber_pasokan!$E:$E,MATCH(C112,sumber_pasokan!$B:$B,0)),"")</f>
        <v>0</v>
      </c>
      <c r="E112" s="27"/>
    </row>
    <row r="113" customFormat="false" ht="15" hidden="false" customHeight="false" outlineLevel="0" collapsed="false">
      <c r="A113" s="25" t="n">
        <v>46078</v>
      </c>
      <c r="B113" s="23" t="str">
        <f aca="false">IF(A113="","",IF(A113&lt;=profil!$B$9,"Realisasi","Rencana"))</f>
        <v>Rencana</v>
      </c>
      <c r="C113" s="18" t="s">
        <v>150</v>
      </c>
      <c r="D113" s="26" t="n">
        <f aca="false">IFERROR(INDEX(sumber_pasokan!$E:$E,MATCH(C113,sumber_pasokan!$B:$B,0)),"")</f>
        <v>0</v>
      </c>
      <c r="E113" s="27"/>
    </row>
    <row r="114" customFormat="false" ht="15" hidden="false" customHeight="false" outlineLevel="0" collapsed="false">
      <c r="A114" s="25" t="n">
        <v>46079</v>
      </c>
      <c r="B114" s="23" t="str">
        <f aca="false">IF(A114="","",IF(A114&lt;=profil!$B$9,"Realisasi","Rencana"))</f>
        <v>Rencana</v>
      </c>
      <c r="C114" s="18" t="s">
        <v>82</v>
      </c>
      <c r="D114" s="26" t="n">
        <f aca="false">IFERROR(INDEX(sumber_pasokan!$E:$E,MATCH(C114,sumber_pasokan!$B:$B,0)),"")</f>
        <v>0</v>
      </c>
      <c r="E114" s="27"/>
    </row>
    <row r="115" customFormat="false" ht="15" hidden="false" customHeight="false" outlineLevel="0" collapsed="false">
      <c r="A115" s="25" t="n">
        <v>46079</v>
      </c>
      <c r="B115" s="23" t="str">
        <f aca="false">IF(A115="","",IF(A115&lt;=profil!$B$9,"Realisasi","Rencana"))</f>
        <v>Rencana</v>
      </c>
      <c r="C115" s="18" t="s">
        <v>150</v>
      </c>
      <c r="D115" s="26" t="n">
        <f aca="false">IFERROR(INDEX(sumber_pasokan!$E:$E,MATCH(C115,sumber_pasokan!$B:$B,0)),"")</f>
        <v>0</v>
      </c>
      <c r="E115" s="27"/>
    </row>
    <row r="116" customFormat="false" ht="15" hidden="false" customHeight="false" outlineLevel="0" collapsed="false">
      <c r="A116" s="25" t="n">
        <v>46080</v>
      </c>
      <c r="B116" s="23" t="str">
        <f aca="false">IF(A116="","",IF(A116&lt;=profil!$B$9,"Realisasi","Rencana"))</f>
        <v>Rencana</v>
      </c>
      <c r="C116" s="18" t="s">
        <v>82</v>
      </c>
      <c r="D116" s="26" t="n">
        <f aca="false">IFERROR(INDEX(sumber_pasokan!$E:$E,MATCH(C116,sumber_pasokan!$B:$B,0)),"")</f>
        <v>0</v>
      </c>
      <c r="E116" s="27"/>
    </row>
    <row r="117" customFormat="false" ht="15" hidden="false" customHeight="false" outlineLevel="0" collapsed="false">
      <c r="A117" s="25" t="n">
        <v>46080</v>
      </c>
      <c r="B117" s="23" t="str">
        <f aca="false">IF(A117="","",IF(A117&lt;=profil!$B$9,"Realisasi","Rencana"))</f>
        <v>Rencana</v>
      </c>
      <c r="C117" s="18" t="s">
        <v>150</v>
      </c>
      <c r="D117" s="26" t="n">
        <f aca="false">IFERROR(INDEX(sumber_pasokan!$E:$E,MATCH(C117,sumber_pasokan!$B:$B,0)),"")</f>
        <v>0</v>
      </c>
      <c r="E117" s="27"/>
    </row>
    <row r="118" customFormat="false" ht="15" hidden="false" customHeight="false" outlineLevel="0" collapsed="false">
      <c r="A118" s="25" t="n">
        <v>46081</v>
      </c>
      <c r="B118" s="23" t="str">
        <f aca="false">IF(A118="","",IF(A118&lt;=profil!$B$9,"Realisasi","Rencana"))</f>
        <v>Rencana</v>
      </c>
      <c r="C118" s="18" t="s">
        <v>82</v>
      </c>
      <c r="D118" s="26" t="n">
        <f aca="false">IFERROR(INDEX(sumber_pasokan!$E:$E,MATCH(C118,sumber_pasokan!$B:$B,0)),"")</f>
        <v>0</v>
      </c>
      <c r="E118" s="27"/>
    </row>
    <row r="119" customFormat="false" ht="15" hidden="false" customHeight="false" outlineLevel="0" collapsed="false">
      <c r="A119" s="25" t="n">
        <v>46081</v>
      </c>
      <c r="B119" s="23" t="str">
        <f aca="false">IF(A119="","",IF(A119&lt;=profil!$B$9,"Realisasi","Rencana"))</f>
        <v>Rencana</v>
      </c>
      <c r="C119" s="18" t="s">
        <v>150</v>
      </c>
      <c r="D119" s="26" t="n">
        <f aca="false">IFERROR(INDEX(sumber_pasokan!$E:$E,MATCH(C119,sumber_pasokan!$B:$B,0)),"")</f>
        <v>0</v>
      </c>
      <c r="E119" s="27"/>
    </row>
    <row r="120" customFormat="false" ht="15" hidden="false" customHeight="false" outlineLevel="0" collapsed="false">
      <c r="A120" s="25" t="n">
        <v>46082</v>
      </c>
      <c r="B120" s="23" t="str">
        <f aca="false">IF(A120="","",IF(A120&lt;=profil!$B$9,"Realisasi","Rencana"))</f>
        <v>Rencana</v>
      </c>
      <c r="C120" s="18" t="s">
        <v>82</v>
      </c>
      <c r="D120" s="26" t="n">
        <f aca="false">IFERROR(INDEX(sumber_pasokan!$E:$E,MATCH(C120,sumber_pasokan!$B:$B,0)),"")</f>
        <v>0</v>
      </c>
      <c r="E120" s="27"/>
    </row>
    <row r="121" customFormat="false" ht="15" hidden="false" customHeight="false" outlineLevel="0" collapsed="false">
      <c r="A121" s="25" t="n">
        <v>46082</v>
      </c>
      <c r="B121" s="23" t="str">
        <f aca="false">IF(A121="","",IF(A121&lt;=profil!$B$9,"Realisasi","Rencana"))</f>
        <v>Rencana</v>
      </c>
      <c r="C121" s="18" t="s">
        <v>150</v>
      </c>
      <c r="D121" s="26" t="n">
        <f aca="false">IFERROR(INDEX(sumber_pasokan!$E:$E,MATCH(C121,sumber_pasokan!$B:$B,0)),"")</f>
        <v>0</v>
      </c>
      <c r="E121" s="27"/>
    </row>
    <row r="122" customFormat="false" ht="15" hidden="false" customHeight="false" outlineLevel="0" collapsed="false">
      <c r="A122" s="25" t="n">
        <v>46083</v>
      </c>
      <c r="B122" s="23" t="str">
        <f aca="false">IF(A122="","",IF(A122&lt;=profil!$B$9,"Realisasi","Rencana"))</f>
        <v>Rencana</v>
      </c>
      <c r="C122" s="18" t="s">
        <v>82</v>
      </c>
      <c r="D122" s="26" t="n">
        <f aca="false">IFERROR(INDEX(sumber_pasokan!$E:$E,MATCH(C122,sumber_pasokan!$B:$B,0)),"")</f>
        <v>0</v>
      </c>
      <c r="E122" s="27"/>
    </row>
    <row r="123" customFormat="false" ht="15" hidden="false" customHeight="false" outlineLevel="0" collapsed="false">
      <c r="A123" s="25" t="n">
        <v>46083</v>
      </c>
      <c r="B123" s="23" t="str">
        <f aca="false">IF(A123="","",IF(A123&lt;=profil!$B$9,"Realisasi","Rencana"))</f>
        <v>Rencana</v>
      </c>
      <c r="C123" s="18" t="s">
        <v>150</v>
      </c>
      <c r="D123" s="26" t="n">
        <f aca="false">IFERROR(INDEX(sumber_pasokan!$E:$E,MATCH(C123,sumber_pasokan!$B:$B,0)),"")</f>
        <v>0</v>
      </c>
      <c r="E123" s="27"/>
    </row>
    <row r="124" customFormat="false" ht="15" hidden="false" customHeight="false" outlineLevel="0" collapsed="false">
      <c r="A124" s="25" t="n">
        <v>46084</v>
      </c>
      <c r="B124" s="23" t="str">
        <f aca="false">IF(A124="","",IF(A124&lt;=profil!$B$9,"Realisasi","Rencana"))</f>
        <v>Rencana</v>
      </c>
      <c r="C124" s="18" t="s">
        <v>82</v>
      </c>
      <c r="D124" s="26" t="n">
        <f aca="false">IFERROR(INDEX(sumber_pasokan!$E:$E,MATCH(C124,sumber_pasokan!$B:$B,0)),"")</f>
        <v>0</v>
      </c>
      <c r="E124" s="27"/>
    </row>
    <row r="125" customFormat="false" ht="15" hidden="false" customHeight="false" outlineLevel="0" collapsed="false">
      <c r="A125" s="25" t="n">
        <v>46084</v>
      </c>
      <c r="B125" s="23" t="str">
        <f aca="false">IF(A125="","",IF(A125&lt;=profil!$B$9,"Realisasi","Rencana"))</f>
        <v>Rencana</v>
      </c>
      <c r="C125" s="18" t="s">
        <v>150</v>
      </c>
      <c r="D125" s="26" t="n">
        <f aca="false">IFERROR(INDEX(sumber_pasokan!$E:$E,MATCH(C125,sumber_pasokan!$B:$B,0)),"")</f>
        <v>0</v>
      </c>
      <c r="E125" s="27"/>
    </row>
    <row r="126" customFormat="false" ht="15" hidden="false" customHeight="false" outlineLevel="0" collapsed="false">
      <c r="A126" s="25" t="n">
        <v>46085</v>
      </c>
      <c r="B126" s="23" t="str">
        <f aca="false">IF(A126="","",IF(A126&lt;=profil!$B$9,"Realisasi","Rencana"))</f>
        <v>Rencana</v>
      </c>
      <c r="C126" s="18" t="s">
        <v>82</v>
      </c>
      <c r="D126" s="26" t="n">
        <f aca="false">IFERROR(INDEX(sumber_pasokan!$E:$E,MATCH(C126,sumber_pasokan!$B:$B,0)),"")</f>
        <v>0</v>
      </c>
      <c r="E126" s="27"/>
    </row>
    <row r="127" customFormat="false" ht="15" hidden="false" customHeight="false" outlineLevel="0" collapsed="false">
      <c r="A127" s="25" t="n">
        <v>46085</v>
      </c>
      <c r="B127" s="23" t="str">
        <f aca="false">IF(A127="","",IF(A127&lt;=profil!$B$9,"Realisasi","Rencana"))</f>
        <v>Rencana</v>
      </c>
      <c r="C127" s="18" t="s">
        <v>150</v>
      </c>
      <c r="D127" s="26" t="n">
        <f aca="false">IFERROR(INDEX(sumber_pasokan!$E:$E,MATCH(C127,sumber_pasokan!$B:$B,0)),"")</f>
        <v>0</v>
      </c>
      <c r="E127" s="27"/>
    </row>
    <row r="128" customFormat="false" ht="15" hidden="false" customHeight="false" outlineLevel="0" collapsed="false">
      <c r="A128" s="25" t="n">
        <v>46086</v>
      </c>
      <c r="B128" s="23" t="str">
        <f aca="false">IF(A128="","",IF(A128&lt;=profil!$B$9,"Realisasi","Rencana"))</f>
        <v>Rencana</v>
      </c>
      <c r="C128" s="18" t="s">
        <v>82</v>
      </c>
      <c r="D128" s="26" t="n">
        <f aca="false">IFERROR(INDEX(sumber_pasokan!$E:$E,MATCH(C128,sumber_pasokan!$B:$B,0)),"")</f>
        <v>0</v>
      </c>
      <c r="E128" s="27"/>
    </row>
    <row r="129" customFormat="false" ht="15" hidden="false" customHeight="false" outlineLevel="0" collapsed="false">
      <c r="A129" s="25" t="n">
        <v>46086</v>
      </c>
      <c r="B129" s="23" t="str">
        <f aca="false">IF(A129="","",IF(A129&lt;=profil!$B$9,"Realisasi","Rencana"))</f>
        <v>Rencana</v>
      </c>
      <c r="C129" s="18" t="s">
        <v>150</v>
      </c>
      <c r="D129" s="26" t="n">
        <f aca="false">IFERROR(INDEX(sumber_pasokan!$E:$E,MATCH(C129,sumber_pasokan!$B:$B,0)),"")</f>
        <v>0</v>
      </c>
      <c r="E129" s="27"/>
    </row>
    <row r="130" customFormat="false" ht="15" hidden="false" customHeight="false" outlineLevel="0" collapsed="false">
      <c r="A130" s="25" t="n">
        <v>46087</v>
      </c>
      <c r="B130" s="23" t="str">
        <f aca="false">IF(A130="","",IF(A130&lt;=profil!$B$9,"Realisasi","Rencana"))</f>
        <v>Rencana</v>
      </c>
      <c r="C130" s="18" t="s">
        <v>82</v>
      </c>
      <c r="D130" s="26" t="n">
        <f aca="false">IFERROR(INDEX(sumber_pasokan!$E:$E,MATCH(C130,sumber_pasokan!$B:$B,0)),"")</f>
        <v>0</v>
      </c>
      <c r="E130" s="27"/>
    </row>
    <row r="131" customFormat="false" ht="15" hidden="false" customHeight="false" outlineLevel="0" collapsed="false">
      <c r="A131" s="25" t="n">
        <v>46087</v>
      </c>
      <c r="B131" s="23" t="str">
        <f aca="false">IF(A131="","",IF(A131&lt;=profil!$B$9,"Realisasi","Rencana"))</f>
        <v>Rencana</v>
      </c>
      <c r="C131" s="18" t="s">
        <v>150</v>
      </c>
      <c r="D131" s="26" t="n">
        <f aca="false">IFERROR(INDEX(sumber_pasokan!$E:$E,MATCH(C131,sumber_pasokan!$B:$B,0)),"")</f>
        <v>0</v>
      </c>
      <c r="E131" s="27"/>
    </row>
    <row r="132" customFormat="false" ht="15" hidden="false" customHeight="false" outlineLevel="0" collapsed="false">
      <c r="A132" s="25" t="n">
        <v>46088</v>
      </c>
      <c r="B132" s="23" t="str">
        <f aca="false">IF(A132="","",IF(A132&lt;=profil!$B$9,"Realisasi","Rencana"))</f>
        <v>Rencana</v>
      </c>
      <c r="C132" s="18" t="s">
        <v>82</v>
      </c>
      <c r="D132" s="26" t="n">
        <f aca="false">IFERROR(INDEX(sumber_pasokan!$E:$E,MATCH(C132,sumber_pasokan!$B:$B,0)),"")</f>
        <v>0</v>
      </c>
      <c r="E132" s="27"/>
    </row>
    <row r="133" customFormat="false" ht="15" hidden="false" customHeight="false" outlineLevel="0" collapsed="false">
      <c r="A133" s="25" t="n">
        <v>46088</v>
      </c>
      <c r="B133" s="23" t="str">
        <f aca="false">IF(A133="","",IF(A133&lt;=profil!$B$9,"Realisasi","Rencana"))</f>
        <v>Rencana</v>
      </c>
      <c r="C133" s="18" t="s">
        <v>150</v>
      </c>
      <c r="D133" s="26" t="n">
        <f aca="false">IFERROR(INDEX(sumber_pasokan!$E:$E,MATCH(C133,sumber_pasokan!$B:$B,0)),"")</f>
        <v>0</v>
      </c>
      <c r="E133" s="27"/>
    </row>
    <row r="134" customFormat="false" ht="15" hidden="false" customHeight="false" outlineLevel="0" collapsed="false">
      <c r="A134" s="25" t="n">
        <v>46089</v>
      </c>
      <c r="B134" s="23" t="str">
        <f aca="false">IF(A134="","",IF(A134&lt;=profil!$B$9,"Realisasi","Rencana"))</f>
        <v>Rencana</v>
      </c>
      <c r="C134" s="18" t="s">
        <v>82</v>
      </c>
      <c r="D134" s="26" t="n">
        <f aca="false">IFERROR(INDEX(sumber_pasokan!$E:$E,MATCH(C134,sumber_pasokan!$B:$B,0)),"")</f>
        <v>0</v>
      </c>
      <c r="E134" s="27"/>
    </row>
    <row r="135" customFormat="false" ht="15" hidden="false" customHeight="false" outlineLevel="0" collapsed="false">
      <c r="A135" s="25" t="n">
        <v>46089</v>
      </c>
      <c r="B135" s="23" t="str">
        <f aca="false">IF(A135="","",IF(A135&lt;=profil!$B$9,"Realisasi","Rencana"))</f>
        <v>Rencana</v>
      </c>
      <c r="C135" s="18" t="s">
        <v>150</v>
      </c>
      <c r="D135" s="26" t="n">
        <f aca="false">IFERROR(INDEX(sumber_pasokan!$E:$E,MATCH(C135,sumber_pasokan!$B:$B,0)),"")</f>
        <v>0</v>
      </c>
      <c r="E135" s="27"/>
    </row>
    <row r="136" customFormat="false" ht="15" hidden="false" customHeight="false" outlineLevel="0" collapsed="false">
      <c r="A136" s="25" t="n">
        <v>46090</v>
      </c>
      <c r="B136" s="23" t="str">
        <f aca="false">IF(A136="","",IF(A136&lt;=profil!$B$9,"Realisasi","Rencana"))</f>
        <v>Rencana</v>
      </c>
      <c r="C136" s="18" t="s">
        <v>82</v>
      </c>
      <c r="D136" s="26" t="n">
        <f aca="false">IFERROR(INDEX(sumber_pasokan!$E:$E,MATCH(C136,sumber_pasokan!$B:$B,0)),"")</f>
        <v>0</v>
      </c>
      <c r="E136" s="27"/>
    </row>
    <row r="137" customFormat="false" ht="15" hidden="false" customHeight="false" outlineLevel="0" collapsed="false">
      <c r="A137" s="25" t="n">
        <v>46090</v>
      </c>
      <c r="B137" s="23" t="str">
        <f aca="false">IF(A137="","",IF(A137&lt;=profil!$B$9,"Realisasi","Rencana"))</f>
        <v>Rencana</v>
      </c>
      <c r="C137" s="18" t="s">
        <v>150</v>
      </c>
      <c r="D137" s="26" t="n">
        <f aca="false">IFERROR(INDEX(sumber_pasokan!$E:$E,MATCH(C137,sumber_pasokan!$B:$B,0)),"")</f>
        <v>0</v>
      </c>
      <c r="E137" s="27"/>
    </row>
    <row r="138" customFormat="false" ht="15" hidden="false" customHeight="false" outlineLevel="0" collapsed="false">
      <c r="A138" s="25" t="n">
        <v>46091</v>
      </c>
      <c r="B138" s="23" t="str">
        <f aca="false">IF(A138="","",IF(A138&lt;=profil!$B$9,"Realisasi","Rencana"))</f>
        <v>Rencana</v>
      </c>
      <c r="C138" s="18" t="s">
        <v>82</v>
      </c>
      <c r="D138" s="26" t="n">
        <f aca="false">IFERROR(INDEX(sumber_pasokan!$E:$E,MATCH(C138,sumber_pasokan!$B:$B,0)),"")</f>
        <v>0</v>
      </c>
      <c r="E138" s="27"/>
    </row>
    <row r="139" customFormat="false" ht="15" hidden="false" customHeight="false" outlineLevel="0" collapsed="false">
      <c r="A139" s="25" t="n">
        <v>46091</v>
      </c>
      <c r="B139" s="23" t="str">
        <f aca="false">IF(A139="","",IF(A139&lt;=profil!$B$9,"Realisasi","Rencana"))</f>
        <v>Rencana</v>
      </c>
      <c r="C139" s="18" t="s">
        <v>150</v>
      </c>
      <c r="D139" s="26" t="n">
        <f aca="false">IFERROR(INDEX(sumber_pasokan!$E:$E,MATCH(C139,sumber_pasokan!$B:$B,0)),"")</f>
        <v>0</v>
      </c>
      <c r="E139" s="27"/>
    </row>
    <row r="140" customFormat="false" ht="15" hidden="false" customHeight="false" outlineLevel="0" collapsed="false">
      <c r="A140" s="25" t="n">
        <v>46092</v>
      </c>
      <c r="B140" s="23" t="str">
        <f aca="false">IF(A140="","",IF(A140&lt;=profil!$B$9,"Realisasi","Rencana"))</f>
        <v>Rencana</v>
      </c>
      <c r="C140" s="18" t="s">
        <v>82</v>
      </c>
      <c r="D140" s="26" t="n">
        <f aca="false">IFERROR(INDEX(sumber_pasokan!$E:$E,MATCH(C140,sumber_pasokan!$B:$B,0)),"")</f>
        <v>0</v>
      </c>
      <c r="E140" s="27"/>
    </row>
    <row r="141" customFormat="false" ht="15" hidden="false" customHeight="false" outlineLevel="0" collapsed="false">
      <c r="A141" s="25" t="n">
        <v>46092</v>
      </c>
      <c r="B141" s="23" t="str">
        <f aca="false">IF(A141="","",IF(A141&lt;=profil!$B$9,"Realisasi","Rencana"))</f>
        <v>Rencana</v>
      </c>
      <c r="C141" s="18" t="s">
        <v>150</v>
      </c>
      <c r="D141" s="26" t="n">
        <f aca="false">IFERROR(INDEX(sumber_pasokan!$E:$E,MATCH(C141,sumber_pasokan!$B:$B,0)),"")</f>
        <v>0</v>
      </c>
      <c r="E141" s="27"/>
    </row>
    <row r="142" customFormat="false" ht="15" hidden="false" customHeight="false" outlineLevel="0" collapsed="false">
      <c r="A142" s="25" t="n">
        <v>46093</v>
      </c>
      <c r="B142" s="23" t="str">
        <f aca="false">IF(A142="","",IF(A142&lt;=profil!$B$9,"Realisasi","Rencana"))</f>
        <v>Rencana</v>
      </c>
      <c r="C142" s="18" t="s">
        <v>82</v>
      </c>
      <c r="D142" s="26" t="n">
        <f aca="false">IFERROR(INDEX(sumber_pasokan!$E:$E,MATCH(C142,sumber_pasokan!$B:$B,0)),"")</f>
        <v>0</v>
      </c>
      <c r="E142" s="27"/>
    </row>
    <row r="143" customFormat="false" ht="15" hidden="false" customHeight="false" outlineLevel="0" collapsed="false">
      <c r="A143" s="25" t="n">
        <v>46093</v>
      </c>
      <c r="B143" s="23" t="str">
        <f aca="false">IF(A143="","",IF(A143&lt;=profil!$B$9,"Realisasi","Rencana"))</f>
        <v>Rencana</v>
      </c>
      <c r="C143" s="18" t="s">
        <v>150</v>
      </c>
      <c r="D143" s="26" t="n">
        <f aca="false">IFERROR(INDEX(sumber_pasokan!$E:$E,MATCH(C143,sumber_pasokan!$B:$B,0)),"")</f>
        <v>0</v>
      </c>
      <c r="E143" s="27"/>
    </row>
    <row r="144" customFormat="false" ht="15" hidden="false" customHeight="false" outlineLevel="0" collapsed="false">
      <c r="A144" s="25" t="n">
        <v>46094</v>
      </c>
      <c r="B144" s="23" t="str">
        <f aca="false">IF(A144="","",IF(A144&lt;=profil!$B$9,"Realisasi","Rencana"))</f>
        <v>Rencana</v>
      </c>
      <c r="C144" s="18" t="s">
        <v>82</v>
      </c>
      <c r="D144" s="26" t="n">
        <f aca="false">IFERROR(INDEX(sumber_pasokan!$E:$E,MATCH(C144,sumber_pasokan!$B:$B,0)),"")</f>
        <v>0</v>
      </c>
      <c r="E144" s="27"/>
    </row>
    <row r="145" customFormat="false" ht="15" hidden="false" customHeight="false" outlineLevel="0" collapsed="false">
      <c r="A145" s="25" t="n">
        <v>46094</v>
      </c>
      <c r="B145" s="23" t="str">
        <f aca="false">IF(A145="","",IF(A145&lt;=profil!$B$9,"Realisasi","Rencana"))</f>
        <v>Rencana</v>
      </c>
      <c r="C145" s="18" t="s">
        <v>150</v>
      </c>
      <c r="D145" s="26" t="n">
        <f aca="false">IFERROR(INDEX(sumber_pasokan!$E:$E,MATCH(C145,sumber_pasokan!$B:$B,0)),"")</f>
        <v>0</v>
      </c>
      <c r="E145" s="27"/>
    </row>
    <row r="146" customFormat="false" ht="15" hidden="false" customHeight="false" outlineLevel="0" collapsed="false">
      <c r="A146" s="25" t="n">
        <v>46095</v>
      </c>
      <c r="B146" s="23" t="str">
        <f aca="false">IF(A146="","",IF(A146&lt;=profil!$B$9,"Realisasi","Rencana"))</f>
        <v>Rencana</v>
      </c>
      <c r="C146" s="18" t="s">
        <v>82</v>
      </c>
      <c r="D146" s="26" t="n">
        <f aca="false">IFERROR(INDEX(sumber_pasokan!$E:$E,MATCH(C146,sumber_pasokan!$B:$B,0)),"")</f>
        <v>0</v>
      </c>
      <c r="E146" s="27"/>
    </row>
    <row r="147" customFormat="false" ht="15" hidden="false" customHeight="false" outlineLevel="0" collapsed="false">
      <c r="A147" s="25" t="n">
        <v>46095</v>
      </c>
      <c r="B147" s="23" t="str">
        <f aca="false">IF(A147="","",IF(A147&lt;=profil!$B$9,"Realisasi","Rencana"))</f>
        <v>Rencana</v>
      </c>
      <c r="C147" s="18" t="s">
        <v>150</v>
      </c>
      <c r="D147" s="26" t="n">
        <f aca="false">IFERROR(INDEX(sumber_pasokan!$E:$E,MATCH(C147,sumber_pasokan!$B:$B,0)),"")</f>
        <v>0</v>
      </c>
      <c r="E147" s="27"/>
    </row>
    <row r="148" customFormat="false" ht="15" hidden="false" customHeight="false" outlineLevel="0" collapsed="false">
      <c r="A148" s="25" t="n">
        <v>46096</v>
      </c>
      <c r="B148" s="23" t="str">
        <f aca="false">IF(A148="","",IF(A148&lt;=profil!$B$9,"Realisasi","Rencana"))</f>
        <v>Rencana</v>
      </c>
      <c r="C148" s="18" t="s">
        <v>82</v>
      </c>
      <c r="D148" s="26" t="n">
        <f aca="false">IFERROR(INDEX(sumber_pasokan!$E:$E,MATCH(C148,sumber_pasokan!$B:$B,0)),"")</f>
        <v>0</v>
      </c>
      <c r="E148" s="27"/>
    </row>
    <row r="149" customFormat="false" ht="15" hidden="false" customHeight="false" outlineLevel="0" collapsed="false">
      <c r="A149" s="25" t="n">
        <v>46096</v>
      </c>
      <c r="B149" s="23" t="str">
        <f aca="false">IF(A149="","",IF(A149&lt;=profil!$B$9,"Realisasi","Rencana"))</f>
        <v>Rencana</v>
      </c>
      <c r="C149" s="18" t="s">
        <v>150</v>
      </c>
      <c r="D149" s="26" t="n">
        <f aca="false">IFERROR(INDEX(sumber_pasokan!$E:$E,MATCH(C149,sumber_pasokan!$B:$B,0)),"")</f>
        <v>0</v>
      </c>
      <c r="E149" s="27"/>
    </row>
    <row r="150" customFormat="false" ht="15" hidden="false" customHeight="false" outlineLevel="0" collapsed="false">
      <c r="A150" s="25" t="n">
        <v>46097</v>
      </c>
      <c r="B150" s="23" t="str">
        <f aca="false">IF(A150="","",IF(A150&lt;=profil!$B$9,"Realisasi","Rencana"))</f>
        <v>Rencana</v>
      </c>
      <c r="C150" s="18" t="s">
        <v>82</v>
      </c>
      <c r="D150" s="26" t="n">
        <f aca="false">IFERROR(INDEX(sumber_pasokan!$E:$E,MATCH(C150,sumber_pasokan!$B:$B,0)),"")</f>
        <v>0</v>
      </c>
      <c r="E150" s="27"/>
    </row>
    <row r="151" customFormat="false" ht="15" hidden="false" customHeight="false" outlineLevel="0" collapsed="false">
      <c r="A151" s="25" t="n">
        <v>46097</v>
      </c>
      <c r="B151" s="23" t="str">
        <f aca="false">IF(A151="","",IF(A151&lt;=profil!$B$9,"Realisasi","Rencana"))</f>
        <v>Rencana</v>
      </c>
      <c r="C151" s="18" t="s">
        <v>150</v>
      </c>
      <c r="D151" s="26" t="n">
        <f aca="false">IFERROR(INDEX(sumber_pasokan!$E:$E,MATCH(C151,sumber_pasokan!$B:$B,0)),"")</f>
        <v>0</v>
      </c>
      <c r="E151" s="27"/>
    </row>
    <row r="152" customFormat="false" ht="15" hidden="false" customHeight="false" outlineLevel="0" collapsed="false">
      <c r="A152" s="25" t="n">
        <v>46098</v>
      </c>
      <c r="B152" s="23" t="str">
        <f aca="false">IF(A152="","",IF(A152&lt;=profil!$B$9,"Realisasi","Rencana"))</f>
        <v>Rencana</v>
      </c>
      <c r="C152" s="18" t="s">
        <v>82</v>
      </c>
      <c r="D152" s="26" t="n">
        <f aca="false">IFERROR(INDEX(sumber_pasokan!$E:$E,MATCH(C152,sumber_pasokan!$B:$B,0)),"")</f>
        <v>0</v>
      </c>
      <c r="E152" s="27"/>
    </row>
    <row r="153" customFormat="false" ht="15" hidden="false" customHeight="false" outlineLevel="0" collapsed="false">
      <c r="A153" s="25" t="n">
        <v>46098</v>
      </c>
      <c r="B153" s="23" t="str">
        <f aca="false">IF(A153="","",IF(A153&lt;=profil!$B$9,"Realisasi","Rencana"))</f>
        <v>Rencana</v>
      </c>
      <c r="C153" s="18" t="s">
        <v>150</v>
      </c>
      <c r="D153" s="26" t="n">
        <f aca="false">IFERROR(INDEX(sumber_pasokan!$E:$E,MATCH(C153,sumber_pasokan!$B:$B,0)),"")</f>
        <v>0</v>
      </c>
      <c r="E153" s="27"/>
    </row>
    <row r="154" customFormat="false" ht="15" hidden="false" customHeight="false" outlineLevel="0" collapsed="false">
      <c r="A154" s="25" t="n">
        <v>46099</v>
      </c>
      <c r="B154" s="23" t="str">
        <f aca="false">IF(A154="","",IF(A154&lt;=profil!$B$9,"Realisasi","Rencana"))</f>
        <v>Rencana</v>
      </c>
      <c r="C154" s="18" t="s">
        <v>82</v>
      </c>
      <c r="D154" s="26" t="n">
        <f aca="false">IFERROR(INDEX(sumber_pasokan!$E:$E,MATCH(C154,sumber_pasokan!$B:$B,0)),"")</f>
        <v>0</v>
      </c>
      <c r="E154" s="27"/>
    </row>
    <row r="155" customFormat="false" ht="15" hidden="false" customHeight="false" outlineLevel="0" collapsed="false">
      <c r="A155" s="25" t="n">
        <v>46099</v>
      </c>
      <c r="B155" s="23" t="str">
        <f aca="false">IF(A155="","",IF(A155&lt;=profil!$B$9,"Realisasi","Rencana"))</f>
        <v>Rencana</v>
      </c>
      <c r="C155" s="18" t="s">
        <v>150</v>
      </c>
      <c r="D155" s="26" t="n">
        <f aca="false">IFERROR(INDEX(sumber_pasokan!$E:$E,MATCH(C155,sumber_pasokan!$B:$B,0)),"")</f>
        <v>0</v>
      </c>
      <c r="E155" s="27"/>
    </row>
    <row r="156" customFormat="false" ht="15" hidden="false" customHeight="false" outlineLevel="0" collapsed="false">
      <c r="A156" s="25" t="n">
        <v>46100</v>
      </c>
      <c r="B156" s="23" t="str">
        <f aca="false">IF(A156="","",IF(A156&lt;=profil!$B$9,"Realisasi","Rencana"))</f>
        <v>Rencana</v>
      </c>
      <c r="C156" s="18" t="s">
        <v>82</v>
      </c>
      <c r="D156" s="26" t="n">
        <f aca="false">IFERROR(INDEX(sumber_pasokan!$E:$E,MATCH(C156,sumber_pasokan!$B:$B,0)),"")</f>
        <v>0</v>
      </c>
      <c r="E156" s="27"/>
    </row>
    <row r="157" customFormat="false" ht="15" hidden="false" customHeight="false" outlineLevel="0" collapsed="false">
      <c r="A157" s="25" t="n">
        <v>46100</v>
      </c>
      <c r="B157" s="23" t="str">
        <f aca="false">IF(A157="","",IF(A157&lt;=profil!$B$9,"Realisasi","Rencana"))</f>
        <v>Rencana</v>
      </c>
      <c r="C157" s="18" t="s">
        <v>150</v>
      </c>
      <c r="D157" s="26" t="n">
        <f aca="false">IFERROR(INDEX(sumber_pasokan!$E:$E,MATCH(C157,sumber_pasokan!$B:$B,0)),"")</f>
        <v>0</v>
      </c>
      <c r="E157" s="27"/>
    </row>
    <row r="158" customFormat="false" ht="15" hidden="false" customHeight="false" outlineLevel="0" collapsed="false">
      <c r="A158" s="25" t="n">
        <v>46101</v>
      </c>
      <c r="B158" s="23" t="str">
        <f aca="false">IF(A158="","",IF(A158&lt;=profil!$B$9,"Realisasi","Rencana"))</f>
        <v>Rencana</v>
      </c>
      <c r="C158" s="18" t="s">
        <v>82</v>
      </c>
      <c r="D158" s="26" t="n">
        <f aca="false">IFERROR(INDEX(sumber_pasokan!$E:$E,MATCH(C158,sumber_pasokan!$B:$B,0)),"")</f>
        <v>0</v>
      </c>
      <c r="E158" s="27"/>
    </row>
    <row r="159" customFormat="false" ht="15" hidden="false" customHeight="false" outlineLevel="0" collapsed="false">
      <c r="A159" s="25" t="n">
        <v>46101</v>
      </c>
      <c r="B159" s="23" t="str">
        <f aca="false">IF(A159="","",IF(A159&lt;=profil!$B$9,"Realisasi","Rencana"))</f>
        <v>Rencana</v>
      </c>
      <c r="C159" s="18" t="s">
        <v>150</v>
      </c>
      <c r="D159" s="26" t="n">
        <f aca="false">IFERROR(INDEX(sumber_pasokan!$E:$E,MATCH(C159,sumber_pasokan!$B:$B,0)),"")</f>
        <v>0</v>
      </c>
      <c r="E159" s="27"/>
    </row>
    <row r="160" customFormat="false" ht="15" hidden="false" customHeight="false" outlineLevel="0" collapsed="false">
      <c r="A160" s="25" t="n">
        <v>46102</v>
      </c>
      <c r="B160" s="23" t="str">
        <f aca="false">IF(A160="","",IF(A160&lt;=profil!$B$9,"Realisasi","Rencana"))</f>
        <v>Rencana</v>
      </c>
      <c r="C160" s="18" t="s">
        <v>82</v>
      </c>
      <c r="D160" s="26" t="n">
        <f aca="false">IFERROR(INDEX(sumber_pasokan!$E:$E,MATCH(C160,sumber_pasokan!$B:$B,0)),"")</f>
        <v>0</v>
      </c>
      <c r="E160" s="27"/>
    </row>
    <row r="161" customFormat="false" ht="15" hidden="false" customHeight="false" outlineLevel="0" collapsed="false">
      <c r="A161" s="25" t="n">
        <v>46102</v>
      </c>
      <c r="B161" s="23" t="str">
        <f aca="false">IF(A161="","",IF(A161&lt;=profil!$B$9,"Realisasi","Rencana"))</f>
        <v>Rencana</v>
      </c>
      <c r="C161" s="18" t="s">
        <v>150</v>
      </c>
      <c r="D161" s="26" t="n">
        <f aca="false">IFERROR(INDEX(sumber_pasokan!$E:$E,MATCH(C161,sumber_pasokan!$B:$B,0)),"")</f>
        <v>0</v>
      </c>
      <c r="E161" s="27"/>
    </row>
    <row r="162" customFormat="false" ht="15" hidden="false" customHeight="false" outlineLevel="0" collapsed="false">
      <c r="A162" s="25" t="n">
        <v>46103</v>
      </c>
      <c r="B162" s="23" t="str">
        <f aca="false">IF(A162="","",IF(A162&lt;=profil!$B$9,"Realisasi","Rencana"))</f>
        <v>Rencana</v>
      </c>
      <c r="C162" s="18" t="s">
        <v>82</v>
      </c>
      <c r="D162" s="26" t="n">
        <f aca="false">IFERROR(INDEX(sumber_pasokan!$E:$E,MATCH(C162,sumber_pasokan!$B:$B,0)),"")</f>
        <v>0</v>
      </c>
      <c r="E162" s="27"/>
    </row>
    <row r="163" customFormat="false" ht="15" hidden="false" customHeight="false" outlineLevel="0" collapsed="false">
      <c r="A163" s="25" t="n">
        <v>46103</v>
      </c>
      <c r="B163" s="23" t="str">
        <f aca="false">IF(A163="","",IF(A163&lt;=profil!$B$9,"Realisasi","Rencana"))</f>
        <v>Rencana</v>
      </c>
      <c r="C163" s="18" t="s">
        <v>150</v>
      </c>
      <c r="D163" s="26" t="n">
        <f aca="false">IFERROR(INDEX(sumber_pasokan!$E:$E,MATCH(C163,sumber_pasokan!$B:$B,0)),"")</f>
        <v>0</v>
      </c>
      <c r="E163" s="27"/>
    </row>
    <row r="164" customFormat="false" ht="15" hidden="false" customHeight="false" outlineLevel="0" collapsed="false">
      <c r="A164" s="25" t="n">
        <v>46104</v>
      </c>
      <c r="B164" s="23" t="str">
        <f aca="false">IF(A164="","",IF(A164&lt;=profil!$B$9,"Realisasi","Rencana"))</f>
        <v>Rencana</v>
      </c>
      <c r="C164" s="18" t="s">
        <v>82</v>
      </c>
      <c r="D164" s="26" t="n">
        <f aca="false">IFERROR(INDEX(sumber_pasokan!$E:$E,MATCH(C164,sumber_pasokan!$B:$B,0)),"")</f>
        <v>0</v>
      </c>
      <c r="E164" s="27"/>
    </row>
    <row r="165" customFormat="false" ht="15" hidden="false" customHeight="false" outlineLevel="0" collapsed="false">
      <c r="A165" s="25" t="n">
        <v>46104</v>
      </c>
      <c r="B165" s="23" t="str">
        <f aca="false">IF(A165="","",IF(A165&lt;=profil!$B$9,"Realisasi","Rencana"))</f>
        <v>Rencana</v>
      </c>
      <c r="C165" s="18" t="s">
        <v>150</v>
      </c>
      <c r="D165" s="26" t="n">
        <f aca="false">IFERROR(INDEX(sumber_pasokan!$E:$E,MATCH(C165,sumber_pasokan!$B:$B,0)),"")</f>
        <v>0</v>
      </c>
      <c r="E165" s="27"/>
    </row>
    <row r="166" customFormat="false" ht="15" hidden="false" customHeight="false" outlineLevel="0" collapsed="false">
      <c r="A166" s="25" t="n">
        <v>46105</v>
      </c>
      <c r="B166" s="23" t="str">
        <f aca="false">IF(A166="","",IF(A166&lt;=profil!$B$9,"Realisasi","Rencana"))</f>
        <v>Rencana</v>
      </c>
      <c r="C166" s="18" t="s">
        <v>82</v>
      </c>
      <c r="D166" s="26" t="n">
        <f aca="false">IFERROR(INDEX(sumber_pasokan!$E:$E,MATCH(C166,sumber_pasokan!$B:$B,0)),"")</f>
        <v>0</v>
      </c>
      <c r="E166" s="27"/>
    </row>
    <row r="167" customFormat="false" ht="15" hidden="false" customHeight="false" outlineLevel="0" collapsed="false">
      <c r="A167" s="25" t="n">
        <v>46105</v>
      </c>
      <c r="B167" s="23" t="str">
        <f aca="false">IF(A167="","",IF(A167&lt;=profil!$B$9,"Realisasi","Rencana"))</f>
        <v>Rencana</v>
      </c>
      <c r="C167" s="18" t="s">
        <v>150</v>
      </c>
      <c r="D167" s="26" t="n">
        <f aca="false">IFERROR(INDEX(sumber_pasokan!$E:$E,MATCH(C167,sumber_pasokan!$B:$B,0)),"")</f>
        <v>0</v>
      </c>
      <c r="E167" s="27"/>
    </row>
    <row r="168" customFormat="false" ht="15" hidden="false" customHeight="false" outlineLevel="0" collapsed="false">
      <c r="A168" s="25" t="n">
        <v>46106</v>
      </c>
      <c r="B168" s="23" t="str">
        <f aca="false">IF(A168="","",IF(A168&lt;=profil!$B$9,"Realisasi","Rencana"))</f>
        <v>Rencana</v>
      </c>
      <c r="C168" s="18" t="s">
        <v>82</v>
      </c>
      <c r="D168" s="26" t="n">
        <f aca="false">IFERROR(INDEX(sumber_pasokan!$E:$E,MATCH(C168,sumber_pasokan!$B:$B,0)),"")</f>
        <v>0</v>
      </c>
      <c r="E168" s="27"/>
    </row>
    <row r="169" customFormat="false" ht="15" hidden="false" customHeight="false" outlineLevel="0" collapsed="false">
      <c r="A169" s="25" t="n">
        <v>46106</v>
      </c>
      <c r="B169" s="23" t="str">
        <f aca="false">IF(A169="","",IF(A169&lt;=profil!$B$9,"Realisasi","Rencana"))</f>
        <v>Rencana</v>
      </c>
      <c r="C169" s="18" t="s">
        <v>150</v>
      </c>
      <c r="D169" s="26" t="n">
        <f aca="false">IFERROR(INDEX(sumber_pasokan!$E:$E,MATCH(C169,sumber_pasokan!$B:$B,0)),"")</f>
        <v>0</v>
      </c>
      <c r="E169" s="27"/>
    </row>
    <row r="170" customFormat="false" ht="15" hidden="false" customHeight="false" outlineLevel="0" collapsed="false">
      <c r="A170" s="25" t="n">
        <v>46107</v>
      </c>
      <c r="B170" s="23" t="str">
        <f aca="false">IF(A170="","",IF(A170&lt;=profil!$B$9,"Realisasi","Rencana"))</f>
        <v>Rencana</v>
      </c>
      <c r="C170" s="18" t="s">
        <v>82</v>
      </c>
      <c r="D170" s="26" t="n">
        <f aca="false">IFERROR(INDEX(sumber_pasokan!$E:$E,MATCH(C170,sumber_pasokan!$B:$B,0)),"")</f>
        <v>0</v>
      </c>
      <c r="E170" s="27"/>
    </row>
    <row r="171" customFormat="false" ht="15" hidden="false" customHeight="false" outlineLevel="0" collapsed="false">
      <c r="A171" s="25" t="n">
        <v>46107</v>
      </c>
      <c r="B171" s="23" t="str">
        <f aca="false">IF(A171="","",IF(A171&lt;=profil!$B$9,"Realisasi","Rencana"))</f>
        <v>Rencana</v>
      </c>
      <c r="C171" s="18" t="s">
        <v>150</v>
      </c>
      <c r="D171" s="26" t="n">
        <f aca="false">IFERROR(INDEX(sumber_pasokan!$E:$E,MATCH(C171,sumber_pasokan!$B:$B,0)),"")</f>
        <v>0</v>
      </c>
      <c r="E171" s="27"/>
    </row>
    <row r="172" customFormat="false" ht="15" hidden="false" customHeight="false" outlineLevel="0" collapsed="false">
      <c r="A172" s="25" t="n">
        <v>46108</v>
      </c>
      <c r="B172" s="23" t="str">
        <f aca="false">IF(A172="","",IF(A172&lt;=profil!$B$9,"Realisasi","Rencana"))</f>
        <v>Rencana</v>
      </c>
      <c r="C172" s="18" t="s">
        <v>82</v>
      </c>
      <c r="D172" s="26" t="n">
        <f aca="false">IFERROR(INDEX(sumber_pasokan!$E:$E,MATCH(C172,sumber_pasokan!$B:$B,0)),"")</f>
        <v>0</v>
      </c>
      <c r="E172" s="27"/>
    </row>
    <row r="173" customFormat="false" ht="15" hidden="false" customHeight="false" outlineLevel="0" collapsed="false">
      <c r="A173" s="25" t="n">
        <v>46108</v>
      </c>
      <c r="B173" s="23" t="str">
        <f aca="false">IF(A173="","",IF(A173&lt;=profil!$B$9,"Realisasi","Rencana"))</f>
        <v>Rencana</v>
      </c>
      <c r="C173" s="18" t="s">
        <v>150</v>
      </c>
      <c r="D173" s="26" t="n">
        <f aca="false">IFERROR(INDEX(sumber_pasokan!$E:$E,MATCH(C173,sumber_pasokan!$B:$B,0)),"")</f>
        <v>0</v>
      </c>
      <c r="E173" s="27"/>
    </row>
    <row r="174" customFormat="false" ht="15" hidden="false" customHeight="false" outlineLevel="0" collapsed="false">
      <c r="A174" s="25" t="n">
        <v>46109</v>
      </c>
      <c r="B174" s="23" t="str">
        <f aca="false">IF(A174="","",IF(A174&lt;=profil!$B$9,"Realisasi","Rencana"))</f>
        <v>Rencana</v>
      </c>
      <c r="C174" s="18" t="s">
        <v>82</v>
      </c>
      <c r="D174" s="26" t="n">
        <f aca="false">IFERROR(INDEX(sumber_pasokan!$E:$E,MATCH(C174,sumber_pasokan!$B:$B,0)),"")</f>
        <v>0</v>
      </c>
      <c r="E174" s="27"/>
    </row>
    <row r="175" customFormat="false" ht="15" hidden="false" customHeight="false" outlineLevel="0" collapsed="false">
      <c r="A175" s="25" t="n">
        <v>46109</v>
      </c>
      <c r="B175" s="23" t="str">
        <f aca="false">IF(A175="","",IF(A175&lt;=profil!$B$9,"Realisasi","Rencana"))</f>
        <v>Rencana</v>
      </c>
      <c r="C175" s="18" t="s">
        <v>150</v>
      </c>
      <c r="D175" s="26" t="n">
        <f aca="false">IFERROR(INDEX(sumber_pasokan!$E:$E,MATCH(C175,sumber_pasokan!$B:$B,0)),"")</f>
        <v>0</v>
      </c>
      <c r="E175" s="27"/>
    </row>
    <row r="176" customFormat="false" ht="15" hidden="false" customHeight="false" outlineLevel="0" collapsed="false">
      <c r="A176" s="25" t="n">
        <v>46110</v>
      </c>
      <c r="B176" s="23" t="str">
        <f aca="false">IF(A176="","",IF(A176&lt;=profil!$B$9,"Realisasi","Rencana"))</f>
        <v>Rencana</v>
      </c>
      <c r="C176" s="18" t="s">
        <v>82</v>
      </c>
      <c r="D176" s="26" t="n">
        <f aca="false">IFERROR(INDEX(sumber_pasokan!$E:$E,MATCH(C176,sumber_pasokan!$B:$B,0)),"")</f>
        <v>0</v>
      </c>
      <c r="E176" s="27"/>
    </row>
    <row r="177" customFormat="false" ht="15" hidden="false" customHeight="false" outlineLevel="0" collapsed="false">
      <c r="A177" s="25" t="n">
        <v>46110</v>
      </c>
      <c r="B177" s="23" t="str">
        <f aca="false">IF(A177="","",IF(A177&lt;=profil!$B$9,"Realisasi","Rencana"))</f>
        <v>Rencana</v>
      </c>
      <c r="C177" s="18" t="s">
        <v>150</v>
      </c>
      <c r="D177" s="26" t="n">
        <f aca="false">IFERROR(INDEX(sumber_pasokan!$E:$E,MATCH(C177,sumber_pasokan!$B:$B,0)),"")</f>
        <v>0</v>
      </c>
      <c r="E177" s="27"/>
    </row>
    <row r="178" customFormat="false" ht="15" hidden="false" customHeight="false" outlineLevel="0" collapsed="false">
      <c r="A178" s="25" t="n">
        <v>46111</v>
      </c>
      <c r="B178" s="23" t="str">
        <f aca="false">IF(A178="","",IF(A178&lt;=profil!$B$9,"Realisasi","Rencana"))</f>
        <v>Rencana</v>
      </c>
      <c r="C178" s="18" t="s">
        <v>82</v>
      </c>
      <c r="D178" s="26" t="n">
        <f aca="false">IFERROR(INDEX(sumber_pasokan!$E:$E,MATCH(C178,sumber_pasokan!$B:$B,0)),"")</f>
        <v>0</v>
      </c>
      <c r="E178" s="27"/>
    </row>
    <row r="179" customFormat="false" ht="15" hidden="false" customHeight="false" outlineLevel="0" collapsed="false">
      <c r="A179" s="25" t="n">
        <v>46111</v>
      </c>
      <c r="B179" s="23" t="str">
        <f aca="false">IF(A179="","",IF(A179&lt;=profil!$B$9,"Realisasi","Rencana"))</f>
        <v>Rencana</v>
      </c>
      <c r="C179" s="18" t="s">
        <v>150</v>
      </c>
      <c r="D179" s="26" t="n">
        <f aca="false">IFERROR(INDEX(sumber_pasokan!$E:$E,MATCH(C179,sumber_pasokan!$B:$B,0)),"")</f>
        <v>0</v>
      </c>
      <c r="E179" s="27"/>
    </row>
    <row r="180" customFormat="false" ht="15" hidden="false" customHeight="false" outlineLevel="0" collapsed="false">
      <c r="A180" s="25" t="n">
        <v>46112</v>
      </c>
      <c r="B180" s="23" t="str">
        <f aca="false">IF(A180="","",IF(A180&lt;=profil!$B$9,"Realisasi","Rencana"))</f>
        <v>Rencana</v>
      </c>
      <c r="C180" s="18" t="s">
        <v>82</v>
      </c>
      <c r="D180" s="26" t="n">
        <f aca="false">IFERROR(INDEX(sumber_pasokan!$E:$E,MATCH(C180,sumber_pasokan!$B:$B,0)),"")</f>
        <v>0</v>
      </c>
      <c r="E180" s="27"/>
    </row>
    <row r="181" customFormat="false" ht="15" hidden="false" customHeight="false" outlineLevel="0" collapsed="false">
      <c r="A181" s="25" t="n">
        <v>46112</v>
      </c>
      <c r="B181" s="23" t="str">
        <f aca="false">IF(A181="","",IF(A181&lt;=profil!$B$9,"Realisasi","Rencana"))</f>
        <v>Rencana</v>
      </c>
      <c r="C181" s="18" t="s">
        <v>150</v>
      </c>
      <c r="D181" s="26" t="n">
        <f aca="false">IFERROR(INDEX(sumber_pasokan!$E:$E,MATCH(C181,sumber_pasokan!$B:$B,0)),"")</f>
        <v>0</v>
      </c>
      <c r="E181" s="27"/>
    </row>
    <row r="182" customFormat="false" ht="15" hidden="false" customHeight="false" outlineLevel="0" collapsed="false">
      <c r="A182" s="25" t="n">
        <v>46113</v>
      </c>
      <c r="B182" s="23" t="str">
        <f aca="false">IF(A182="","",IF(A182&lt;=profil!$B$9,"Realisasi","Rencana"))</f>
        <v>Rencana</v>
      </c>
      <c r="C182" s="18" t="s">
        <v>82</v>
      </c>
      <c r="D182" s="26" t="n">
        <f aca="false">IFERROR(INDEX(sumber_pasokan!$E:$E,MATCH(C182,sumber_pasokan!$B:$B,0)),"")</f>
        <v>0</v>
      </c>
      <c r="E182" s="27"/>
    </row>
    <row r="183" customFormat="false" ht="15" hidden="false" customHeight="false" outlineLevel="0" collapsed="false">
      <c r="A183" s="25" t="n">
        <v>46113</v>
      </c>
      <c r="B183" s="23" t="str">
        <f aca="false">IF(A183="","",IF(A183&lt;=profil!$B$9,"Realisasi","Rencana"))</f>
        <v>Rencana</v>
      </c>
      <c r="C183" s="18" t="s">
        <v>150</v>
      </c>
      <c r="D183" s="26" t="n">
        <f aca="false">IFERROR(INDEX(sumber_pasokan!$E:$E,MATCH(C183,sumber_pasokan!$B:$B,0)),"")</f>
        <v>0</v>
      </c>
      <c r="E183" s="27"/>
    </row>
    <row r="184" customFormat="false" ht="15" hidden="false" customHeight="false" outlineLevel="0" collapsed="false">
      <c r="A184" s="25" t="n">
        <v>46114</v>
      </c>
      <c r="B184" s="23" t="str">
        <f aca="false">IF(A184="","",IF(A184&lt;=profil!$B$9,"Realisasi","Rencana"))</f>
        <v>Rencana</v>
      </c>
      <c r="C184" s="18" t="s">
        <v>82</v>
      </c>
      <c r="D184" s="26" t="n">
        <f aca="false">IFERROR(INDEX(sumber_pasokan!$E:$E,MATCH(C184,sumber_pasokan!$B:$B,0)),"")</f>
        <v>0</v>
      </c>
      <c r="E184" s="27"/>
    </row>
    <row r="185" customFormat="false" ht="15" hidden="false" customHeight="false" outlineLevel="0" collapsed="false">
      <c r="A185" s="25" t="n">
        <v>46114</v>
      </c>
      <c r="B185" s="23" t="str">
        <f aca="false">IF(A185="","",IF(A185&lt;=profil!$B$9,"Realisasi","Rencana"))</f>
        <v>Rencana</v>
      </c>
      <c r="C185" s="18" t="s">
        <v>150</v>
      </c>
      <c r="D185" s="26" t="n">
        <f aca="false">IFERROR(INDEX(sumber_pasokan!$E:$E,MATCH(C185,sumber_pasokan!$B:$B,0)),"")</f>
        <v>0</v>
      </c>
      <c r="E185" s="27"/>
    </row>
    <row r="186" customFormat="false" ht="15" hidden="false" customHeight="false" outlineLevel="0" collapsed="false">
      <c r="A186" s="25" t="n">
        <v>46115</v>
      </c>
      <c r="B186" s="23" t="str">
        <f aca="false">IF(A186="","",IF(A186&lt;=profil!$B$9,"Realisasi","Rencana"))</f>
        <v>Rencana</v>
      </c>
      <c r="C186" s="18" t="s">
        <v>82</v>
      </c>
      <c r="D186" s="26" t="n">
        <f aca="false">IFERROR(INDEX(sumber_pasokan!$E:$E,MATCH(C186,sumber_pasokan!$B:$B,0)),"")</f>
        <v>0</v>
      </c>
      <c r="E186" s="27"/>
    </row>
    <row r="187" customFormat="false" ht="15" hidden="false" customHeight="false" outlineLevel="0" collapsed="false">
      <c r="A187" s="25" t="n">
        <v>46115</v>
      </c>
      <c r="B187" s="23" t="str">
        <f aca="false">IF(A187="","",IF(A187&lt;=profil!$B$9,"Realisasi","Rencana"))</f>
        <v>Rencana</v>
      </c>
      <c r="C187" s="18" t="s">
        <v>150</v>
      </c>
      <c r="D187" s="26" t="n">
        <f aca="false">IFERROR(INDEX(sumber_pasokan!$E:$E,MATCH(C187,sumber_pasokan!$B:$B,0)),"")</f>
        <v>0</v>
      </c>
      <c r="E187" s="27"/>
    </row>
    <row r="188" customFormat="false" ht="15" hidden="false" customHeight="false" outlineLevel="0" collapsed="false">
      <c r="A188" s="25" t="n">
        <v>46116</v>
      </c>
      <c r="B188" s="23" t="str">
        <f aca="false">IF(A188="","",IF(A188&lt;=profil!$B$9,"Realisasi","Rencana"))</f>
        <v>Rencana</v>
      </c>
      <c r="C188" s="18" t="s">
        <v>82</v>
      </c>
      <c r="D188" s="26" t="n">
        <f aca="false">IFERROR(INDEX(sumber_pasokan!$E:$E,MATCH(C188,sumber_pasokan!$B:$B,0)),"")</f>
        <v>0</v>
      </c>
      <c r="E188" s="27"/>
    </row>
    <row r="189" customFormat="false" ht="15" hidden="false" customHeight="false" outlineLevel="0" collapsed="false">
      <c r="A189" s="25" t="n">
        <v>46116</v>
      </c>
      <c r="B189" s="23" t="str">
        <f aca="false">IF(A189="","",IF(A189&lt;=profil!$B$9,"Realisasi","Rencana"))</f>
        <v>Rencana</v>
      </c>
      <c r="C189" s="18" t="s">
        <v>150</v>
      </c>
      <c r="D189" s="26" t="n">
        <f aca="false">IFERROR(INDEX(sumber_pasokan!$E:$E,MATCH(C189,sumber_pasokan!$B:$B,0)),"")</f>
        <v>0</v>
      </c>
      <c r="E189" s="27"/>
    </row>
    <row r="190" customFormat="false" ht="15" hidden="false" customHeight="false" outlineLevel="0" collapsed="false">
      <c r="A190" s="25" t="n">
        <v>46117</v>
      </c>
      <c r="B190" s="23" t="str">
        <f aca="false">IF(A190="","",IF(A190&lt;=profil!$B$9,"Realisasi","Rencana"))</f>
        <v>Rencana</v>
      </c>
      <c r="C190" s="18" t="s">
        <v>82</v>
      </c>
      <c r="D190" s="26" t="n">
        <f aca="false">IFERROR(INDEX(sumber_pasokan!$E:$E,MATCH(C190,sumber_pasokan!$B:$B,0)),"")</f>
        <v>0</v>
      </c>
      <c r="E190" s="27"/>
    </row>
    <row r="191" customFormat="false" ht="15" hidden="false" customHeight="false" outlineLevel="0" collapsed="false">
      <c r="A191" s="25" t="n">
        <v>46117</v>
      </c>
      <c r="B191" s="23" t="str">
        <f aca="false">IF(A191="","",IF(A191&lt;=profil!$B$9,"Realisasi","Rencana"))</f>
        <v>Rencana</v>
      </c>
      <c r="C191" s="18" t="s">
        <v>150</v>
      </c>
      <c r="D191" s="26" t="n">
        <f aca="false">IFERROR(INDEX(sumber_pasokan!$E:$E,MATCH(C191,sumber_pasokan!$B:$B,0)),"")</f>
        <v>0</v>
      </c>
      <c r="E191" s="27"/>
    </row>
    <row r="192" customFormat="false" ht="15" hidden="false" customHeight="false" outlineLevel="0" collapsed="false">
      <c r="A192" s="25" t="n">
        <v>46118</v>
      </c>
      <c r="B192" s="23" t="str">
        <f aca="false">IF(A192="","",IF(A192&lt;=profil!$B$9,"Realisasi","Rencana"))</f>
        <v>Rencana</v>
      </c>
      <c r="C192" s="18" t="s">
        <v>82</v>
      </c>
      <c r="D192" s="26" t="n">
        <f aca="false">IFERROR(INDEX(sumber_pasokan!$E:$E,MATCH(C192,sumber_pasokan!$B:$B,0)),"")</f>
        <v>0</v>
      </c>
      <c r="E192" s="27"/>
    </row>
    <row r="193" customFormat="false" ht="15" hidden="false" customHeight="false" outlineLevel="0" collapsed="false">
      <c r="A193" s="25" t="n">
        <v>46118</v>
      </c>
      <c r="B193" s="23" t="str">
        <f aca="false">IF(A193="","",IF(A193&lt;=profil!$B$9,"Realisasi","Rencana"))</f>
        <v>Rencana</v>
      </c>
      <c r="C193" s="18" t="s">
        <v>150</v>
      </c>
      <c r="D193" s="26" t="n">
        <f aca="false">IFERROR(INDEX(sumber_pasokan!$E:$E,MATCH(C193,sumber_pasokan!$B:$B,0)),"")</f>
        <v>0</v>
      </c>
      <c r="E193" s="27"/>
    </row>
    <row r="194" customFormat="false" ht="15" hidden="false" customHeight="false" outlineLevel="0" collapsed="false">
      <c r="A194" s="25" t="n">
        <v>46119</v>
      </c>
      <c r="B194" s="23" t="str">
        <f aca="false">IF(A194="","",IF(A194&lt;=profil!$B$9,"Realisasi","Rencana"))</f>
        <v>Rencana</v>
      </c>
      <c r="C194" s="18" t="s">
        <v>82</v>
      </c>
      <c r="D194" s="26" t="n">
        <f aca="false">IFERROR(INDEX(sumber_pasokan!$E:$E,MATCH(C194,sumber_pasokan!$B:$B,0)),"")</f>
        <v>0</v>
      </c>
      <c r="E194" s="27"/>
    </row>
    <row r="195" customFormat="false" ht="15" hidden="false" customHeight="false" outlineLevel="0" collapsed="false">
      <c r="A195" s="25" t="n">
        <v>46119</v>
      </c>
      <c r="B195" s="23" t="str">
        <f aca="false">IF(A195="","",IF(A195&lt;=profil!$B$9,"Realisasi","Rencana"))</f>
        <v>Rencana</v>
      </c>
      <c r="C195" s="18" t="s">
        <v>150</v>
      </c>
      <c r="D195" s="26" t="n">
        <f aca="false">IFERROR(INDEX(sumber_pasokan!$E:$E,MATCH(C195,sumber_pasokan!$B:$B,0)),"")</f>
        <v>0</v>
      </c>
      <c r="E195" s="27"/>
    </row>
    <row r="196" customFormat="false" ht="15" hidden="false" customHeight="false" outlineLevel="0" collapsed="false">
      <c r="A196" s="25" t="n">
        <v>46120</v>
      </c>
      <c r="B196" s="23" t="str">
        <f aca="false">IF(A196="","",IF(A196&lt;=profil!$B$9,"Realisasi","Rencana"))</f>
        <v>Rencana</v>
      </c>
      <c r="C196" s="18" t="s">
        <v>82</v>
      </c>
      <c r="D196" s="26" t="n">
        <f aca="false">IFERROR(INDEX(sumber_pasokan!$E:$E,MATCH(C196,sumber_pasokan!$B:$B,0)),"")</f>
        <v>0</v>
      </c>
      <c r="E196" s="27"/>
    </row>
    <row r="197" customFormat="false" ht="15" hidden="false" customHeight="false" outlineLevel="0" collapsed="false">
      <c r="A197" s="25" t="n">
        <v>46120</v>
      </c>
      <c r="B197" s="23" t="str">
        <f aca="false">IF(A197="","",IF(A197&lt;=profil!$B$9,"Realisasi","Rencana"))</f>
        <v>Rencana</v>
      </c>
      <c r="C197" s="18" t="s">
        <v>150</v>
      </c>
      <c r="D197" s="26" t="n">
        <f aca="false">IFERROR(INDEX(sumber_pasokan!$E:$E,MATCH(C197,sumber_pasokan!$B:$B,0)),"")</f>
        <v>0</v>
      </c>
      <c r="E197" s="27"/>
    </row>
    <row r="198" customFormat="false" ht="15" hidden="false" customHeight="false" outlineLevel="0" collapsed="false">
      <c r="A198" s="25" t="n">
        <v>46121</v>
      </c>
      <c r="B198" s="23" t="str">
        <f aca="false">IF(A198="","",IF(A198&lt;=profil!$B$9,"Realisasi","Rencana"))</f>
        <v>Rencana</v>
      </c>
      <c r="C198" s="18" t="s">
        <v>82</v>
      </c>
      <c r="D198" s="26" t="n">
        <f aca="false">IFERROR(INDEX(sumber_pasokan!$E:$E,MATCH(C198,sumber_pasokan!$B:$B,0)),"")</f>
        <v>0</v>
      </c>
      <c r="E198" s="27"/>
    </row>
    <row r="199" customFormat="false" ht="15" hidden="false" customHeight="false" outlineLevel="0" collapsed="false">
      <c r="A199" s="25" t="n">
        <v>46121</v>
      </c>
      <c r="B199" s="23" t="str">
        <f aca="false">IF(A199="","",IF(A199&lt;=profil!$B$9,"Realisasi","Rencana"))</f>
        <v>Rencana</v>
      </c>
      <c r="C199" s="18" t="s">
        <v>150</v>
      </c>
      <c r="D199" s="26" t="n">
        <f aca="false">IFERROR(INDEX(sumber_pasokan!$E:$E,MATCH(C199,sumber_pasokan!$B:$B,0)),"")</f>
        <v>0</v>
      </c>
      <c r="E199" s="27"/>
    </row>
    <row r="200" customFormat="false" ht="15" hidden="false" customHeight="false" outlineLevel="0" collapsed="false">
      <c r="A200" s="25" t="n">
        <v>46122</v>
      </c>
      <c r="B200" s="23" t="str">
        <f aca="false">IF(A200="","",IF(A200&lt;=profil!$B$9,"Realisasi","Rencana"))</f>
        <v>Rencana</v>
      </c>
      <c r="C200" s="18" t="s">
        <v>82</v>
      </c>
      <c r="D200" s="26" t="n">
        <f aca="false">IFERROR(INDEX(sumber_pasokan!$E:$E,MATCH(C200,sumber_pasokan!$B:$B,0)),"")</f>
        <v>0</v>
      </c>
      <c r="E200" s="27"/>
    </row>
    <row r="201" customFormat="false" ht="15" hidden="false" customHeight="false" outlineLevel="0" collapsed="false">
      <c r="A201" s="25" t="n">
        <v>46122</v>
      </c>
      <c r="B201" s="23" t="str">
        <f aca="false">IF(A201="","",IF(A201&lt;=profil!$B$9,"Realisasi","Rencana"))</f>
        <v>Rencana</v>
      </c>
      <c r="C201" s="18" t="s">
        <v>150</v>
      </c>
      <c r="D201" s="26" t="n">
        <f aca="false">IFERROR(INDEX(sumber_pasokan!$E:$E,MATCH(C201,sumber_pasokan!$B:$B,0)),"")</f>
        <v>0</v>
      </c>
      <c r="E201" s="27"/>
    </row>
    <row r="202" customFormat="false" ht="15" hidden="false" customHeight="false" outlineLevel="0" collapsed="false">
      <c r="A202" s="25" t="n">
        <v>46123</v>
      </c>
      <c r="B202" s="23" t="str">
        <f aca="false">IF(A202="","",IF(A202&lt;=profil!$B$9,"Realisasi","Rencana"))</f>
        <v>Rencana</v>
      </c>
      <c r="C202" s="18" t="s">
        <v>82</v>
      </c>
      <c r="D202" s="26" t="n">
        <f aca="false">IFERROR(INDEX(sumber_pasokan!$E:$E,MATCH(C202,sumber_pasokan!$B:$B,0)),"")</f>
        <v>0</v>
      </c>
      <c r="E202" s="27"/>
    </row>
    <row r="203" customFormat="false" ht="15" hidden="false" customHeight="false" outlineLevel="0" collapsed="false">
      <c r="A203" s="25" t="n">
        <v>46123</v>
      </c>
      <c r="B203" s="23" t="str">
        <f aca="false">IF(A203="","",IF(A203&lt;=profil!$B$9,"Realisasi","Rencana"))</f>
        <v>Rencana</v>
      </c>
      <c r="C203" s="18" t="s">
        <v>150</v>
      </c>
      <c r="D203" s="26" t="n">
        <f aca="false">IFERROR(INDEX(sumber_pasokan!$E:$E,MATCH(C203,sumber_pasokan!$B:$B,0)),"")</f>
        <v>0</v>
      </c>
      <c r="E203" s="27"/>
    </row>
    <row r="204" customFormat="false" ht="15" hidden="false" customHeight="false" outlineLevel="0" collapsed="false">
      <c r="A204" s="25" t="n">
        <v>46124</v>
      </c>
      <c r="B204" s="23" t="str">
        <f aca="false">IF(A204="","",IF(A204&lt;=profil!$B$9,"Realisasi","Rencana"))</f>
        <v>Rencana</v>
      </c>
      <c r="C204" s="18" t="s">
        <v>82</v>
      </c>
      <c r="D204" s="26" t="n">
        <f aca="false">IFERROR(INDEX(sumber_pasokan!$E:$E,MATCH(C204,sumber_pasokan!$B:$B,0)),"")</f>
        <v>0</v>
      </c>
      <c r="E204" s="27"/>
    </row>
    <row r="205" customFormat="false" ht="15" hidden="false" customHeight="false" outlineLevel="0" collapsed="false">
      <c r="A205" s="25" t="n">
        <v>46124</v>
      </c>
      <c r="B205" s="23" t="str">
        <f aca="false">IF(A205="","",IF(A205&lt;=profil!$B$9,"Realisasi","Rencana"))</f>
        <v>Rencana</v>
      </c>
      <c r="C205" s="18" t="s">
        <v>150</v>
      </c>
      <c r="D205" s="26" t="n">
        <f aca="false">IFERROR(INDEX(sumber_pasokan!$E:$E,MATCH(C205,sumber_pasokan!$B:$B,0)),"")</f>
        <v>0</v>
      </c>
      <c r="E205" s="27"/>
    </row>
    <row r="206" customFormat="false" ht="15" hidden="false" customHeight="false" outlineLevel="0" collapsed="false">
      <c r="A206" s="25" t="n">
        <v>46125</v>
      </c>
      <c r="B206" s="23" t="str">
        <f aca="false">IF(A206="","",IF(A206&lt;=profil!$B$9,"Realisasi","Rencana"))</f>
        <v>Rencana</v>
      </c>
      <c r="C206" s="18" t="s">
        <v>82</v>
      </c>
      <c r="D206" s="26" t="n">
        <f aca="false">IFERROR(INDEX(sumber_pasokan!$E:$E,MATCH(C206,sumber_pasokan!$B:$B,0)),"")</f>
        <v>0</v>
      </c>
      <c r="E206" s="27"/>
    </row>
    <row r="207" customFormat="false" ht="15" hidden="false" customHeight="false" outlineLevel="0" collapsed="false">
      <c r="A207" s="25" t="n">
        <v>46125</v>
      </c>
      <c r="B207" s="23" t="str">
        <f aca="false">IF(A207="","",IF(A207&lt;=profil!$B$9,"Realisasi","Rencana"))</f>
        <v>Rencana</v>
      </c>
      <c r="C207" s="18" t="s">
        <v>150</v>
      </c>
      <c r="D207" s="26" t="n">
        <f aca="false">IFERROR(INDEX(sumber_pasokan!$E:$E,MATCH(C207,sumber_pasokan!$B:$B,0)),"")</f>
        <v>0</v>
      </c>
      <c r="E207" s="27"/>
    </row>
    <row r="208" customFormat="false" ht="15" hidden="false" customHeight="false" outlineLevel="0" collapsed="false">
      <c r="A208" s="25" t="n">
        <v>46126</v>
      </c>
      <c r="B208" s="23" t="str">
        <f aca="false">IF(A208="","",IF(A208&lt;=profil!$B$9,"Realisasi","Rencana"))</f>
        <v>Rencana</v>
      </c>
      <c r="C208" s="18" t="s">
        <v>82</v>
      </c>
      <c r="D208" s="26" t="n">
        <f aca="false">IFERROR(INDEX(sumber_pasokan!$E:$E,MATCH(C208,sumber_pasokan!$B:$B,0)),"")</f>
        <v>0</v>
      </c>
      <c r="E208" s="27"/>
    </row>
    <row r="209" customFormat="false" ht="15" hidden="false" customHeight="false" outlineLevel="0" collapsed="false">
      <c r="A209" s="25" t="n">
        <v>46126</v>
      </c>
      <c r="B209" s="23" t="str">
        <f aca="false">IF(A209="","",IF(A209&lt;=profil!$B$9,"Realisasi","Rencana"))</f>
        <v>Rencana</v>
      </c>
      <c r="C209" s="18" t="s">
        <v>150</v>
      </c>
      <c r="D209" s="26" t="n">
        <f aca="false">IFERROR(INDEX(sumber_pasokan!$E:$E,MATCH(C209,sumber_pasokan!$B:$B,0)),"")</f>
        <v>0</v>
      </c>
      <c r="E209" s="27"/>
    </row>
    <row r="210" customFormat="false" ht="15" hidden="false" customHeight="false" outlineLevel="0" collapsed="false">
      <c r="A210" s="25" t="n">
        <v>46127</v>
      </c>
      <c r="B210" s="23" t="str">
        <f aca="false">IF(A210="","",IF(A210&lt;=profil!$B$9,"Realisasi","Rencana"))</f>
        <v>Rencana</v>
      </c>
      <c r="C210" s="18" t="s">
        <v>82</v>
      </c>
      <c r="D210" s="26" t="n">
        <f aca="false">IFERROR(INDEX(sumber_pasokan!$E:$E,MATCH(C210,sumber_pasokan!$B:$B,0)),"")</f>
        <v>0</v>
      </c>
      <c r="E210" s="27"/>
    </row>
    <row r="211" customFormat="false" ht="15" hidden="false" customHeight="false" outlineLevel="0" collapsed="false">
      <c r="A211" s="25" t="n">
        <v>46127</v>
      </c>
      <c r="B211" s="23" t="str">
        <f aca="false">IF(A211="","",IF(A211&lt;=profil!$B$9,"Realisasi","Rencana"))</f>
        <v>Rencana</v>
      </c>
      <c r="C211" s="18" t="s">
        <v>150</v>
      </c>
      <c r="D211" s="26" t="n">
        <f aca="false">IFERROR(INDEX(sumber_pasokan!$E:$E,MATCH(C211,sumber_pasokan!$B:$B,0)),"")</f>
        <v>0</v>
      </c>
      <c r="E211" s="27"/>
    </row>
    <row r="212" customFormat="false" ht="15" hidden="false" customHeight="false" outlineLevel="0" collapsed="false">
      <c r="A212" s="25" t="n">
        <v>46128</v>
      </c>
      <c r="B212" s="23" t="str">
        <f aca="false">IF(A212="","",IF(A212&lt;=profil!$B$9,"Realisasi","Rencana"))</f>
        <v>Rencana</v>
      </c>
      <c r="C212" s="18" t="s">
        <v>82</v>
      </c>
      <c r="D212" s="26" t="n">
        <f aca="false">IFERROR(INDEX(sumber_pasokan!$E:$E,MATCH(C212,sumber_pasokan!$B:$B,0)),"")</f>
        <v>0</v>
      </c>
      <c r="E212" s="27"/>
    </row>
    <row r="213" customFormat="false" ht="15" hidden="false" customHeight="false" outlineLevel="0" collapsed="false">
      <c r="A213" s="25" t="n">
        <v>46128</v>
      </c>
      <c r="B213" s="23" t="str">
        <f aca="false">IF(A213="","",IF(A213&lt;=profil!$B$9,"Realisasi","Rencana"))</f>
        <v>Rencana</v>
      </c>
      <c r="C213" s="18" t="s">
        <v>150</v>
      </c>
      <c r="D213" s="26" t="n">
        <f aca="false">IFERROR(INDEX(sumber_pasokan!$E:$E,MATCH(C213,sumber_pasokan!$B:$B,0)),"")</f>
        <v>0</v>
      </c>
      <c r="E213" s="27"/>
    </row>
    <row r="214" customFormat="false" ht="15" hidden="false" customHeight="false" outlineLevel="0" collapsed="false">
      <c r="A214" s="25" t="n">
        <v>46129</v>
      </c>
      <c r="B214" s="23" t="str">
        <f aca="false">IF(A214="","",IF(A214&lt;=profil!$B$9,"Realisasi","Rencana"))</f>
        <v>Rencana</v>
      </c>
      <c r="C214" s="18" t="s">
        <v>82</v>
      </c>
      <c r="D214" s="26" t="n">
        <f aca="false">IFERROR(INDEX(sumber_pasokan!$E:$E,MATCH(C214,sumber_pasokan!$B:$B,0)),"")</f>
        <v>0</v>
      </c>
      <c r="E214" s="27"/>
    </row>
    <row r="215" customFormat="false" ht="15" hidden="false" customHeight="false" outlineLevel="0" collapsed="false">
      <c r="A215" s="25" t="n">
        <v>46129</v>
      </c>
      <c r="B215" s="23" t="str">
        <f aca="false">IF(A215="","",IF(A215&lt;=profil!$B$9,"Realisasi","Rencana"))</f>
        <v>Rencana</v>
      </c>
      <c r="C215" s="18" t="s">
        <v>150</v>
      </c>
      <c r="D215" s="26" t="n">
        <f aca="false">IFERROR(INDEX(sumber_pasokan!$E:$E,MATCH(C215,sumber_pasokan!$B:$B,0)),"")</f>
        <v>0</v>
      </c>
      <c r="E215" s="27"/>
    </row>
    <row r="216" customFormat="false" ht="15" hidden="false" customHeight="false" outlineLevel="0" collapsed="false">
      <c r="A216" s="25" t="n">
        <v>46130</v>
      </c>
      <c r="B216" s="23" t="str">
        <f aca="false">IF(A216="","",IF(A216&lt;=profil!$B$9,"Realisasi","Rencana"))</f>
        <v>Rencana</v>
      </c>
      <c r="C216" s="18" t="s">
        <v>82</v>
      </c>
      <c r="D216" s="26" t="n">
        <f aca="false">IFERROR(INDEX(sumber_pasokan!$E:$E,MATCH(C216,sumber_pasokan!$B:$B,0)),"")</f>
        <v>0</v>
      </c>
      <c r="E216" s="27"/>
    </row>
    <row r="217" customFormat="false" ht="15" hidden="false" customHeight="false" outlineLevel="0" collapsed="false">
      <c r="A217" s="25" t="n">
        <v>46130</v>
      </c>
      <c r="B217" s="23" t="str">
        <f aca="false">IF(A217="","",IF(A217&lt;=profil!$B$9,"Realisasi","Rencana"))</f>
        <v>Rencana</v>
      </c>
      <c r="C217" s="18" t="s">
        <v>150</v>
      </c>
      <c r="D217" s="26" t="n">
        <f aca="false">IFERROR(INDEX(sumber_pasokan!$E:$E,MATCH(C217,sumber_pasokan!$B:$B,0)),"")</f>
        <v>0</v>
      </c>
      <c r="E217" s="27"/>
    </row>
    <row r="218" customFormat="false" ht="15" hidden="false" customHeight="false" outlineLevel="0" collapsed="false">
      <c r="A218" s="25" t="n">
        <v>46131</v>
      </c>
      <c r="B218" s="23" t="str">
        <f aca="false">IF(A218="","",IF(A218&lt;=profil!$B$9,"Realisasi","Rencana"))</f>
        <v>Rencana</v>
      </c>
      <c r="C218" s="18" t="s">
        <v>82</v>
      </c>
      <c r="D218" s="26" t="n">
        <f aca="false">IFERROR(INDEX(sumber_pasokan!$E:$E,MATCH(C218,sumber_pasokan!$B:$B,0)),"")</f>
        <v>0</v>
      </c>
      <c r="E218" s="27"/>
    </row>
    <row r="219" customFormat="false" ht="15" hidden="false" customHeight="false" outlineLevel="0" collapsed="false">
      <c r="A219" s="25" t="n">
        <v>46131</v>
      </c>
      <c r="B219" s="23" t="str">
        <f aca="false">IF(A219="","",IF(A219&lt;=profil!$B$9,"Realisasi","Rencana"))</f>
        <v>Rencana</v>
      </c>
      <c r="C219" s="18" t="s">
        <v>150</v>
      </c>
      <c r="D219" s="26" t="n">
        <f aca="false">IFERROR(INDEX(sumber_pasokan!$E:$E,MATCH(C219,sumber_pasokan!$B:$B,0)),"")</f>
        <v>0</v>
      </c>
      <c r="E219" s="27"/>
    </row>
    <row r="220" customFormat="false" ht="15" hidden="false" customHeight="false" outlineLevel="0" collapsed="false">
      <c r="A220" s="25" t="n">
        <v>46132</v>
      </c>
      <c r="B220" s="23" t="str">
        <f aca="false">IF(A220="","",IF(A220&lt;=profil!$B$9,"Realisasi","Rencana"))</f>
        <v>Rencana</v>
      </c>
      <c r="C220" s="18" t="s">
        <v>82</v>
      </c>
      <c r="D220" s="26" t="n">
        <f aca="false">IFERROR(INDEX(sumber_pasokan!$E:$E,MATCH(C220,sumber_pasokan!$B:$B,0)),"")</f>
        <v>0</v>
      </c>
      <c r="E220" s="27"/>
    </row>
    <row r="221" customFormat="false" ht="15" hidden="false" customHeight="false" outlineLevel="0" collapsed="false">
      <c r="A221" s="25" t="n">
        <v>46132</v>
      </c>
      <c r="B221" s="23" t="str">
        <f aca="false">IF(A221="","",IF(A221&lt;=profil!$B$9,"Realisasi","Rencana"))</f>
        <v>Rencana</v>
      </c>
      <c r="C221" s="18" t="s">
        <v>150</v>
      </c>
      <c r="D221" s="26" t="n">
        <f aca="false">IFERROR(INDEX(sumber_pasokan!$E:$E,MATCH(C221,sumber_pasokan!$B:$B,0)),"")</f>
        <v>0</v>
      </c>
      <c r="E221" s="27"/>
    </row>
    <row r="222" customFormat="false" ht="15" hidden="false" customHeight="false" outlineLevel="0" collapsed="false">
      <c r="A222" s="25" t="n">
        <v>46133</v>
      </c>
      <c r="B222" s="23" t="str">
        <f aca="false">IF(A222="","",IF(A222&lt;=profil!$B$9,"Realisasi","Rencana"))</f>
        <v>Rencana</v>
      </c>
      <c r="C222" s="18" t="s">
        <v>82</v>
      </c>
      <c r="D222" s="26" t="n">
        <f aca="false">IFERROR(INDEX(sumber_pasokan!$E:$E,MATCH(C222,sumber_pasokan!$B:$B,0)),"")</f>
        <v>0</v>
      </c>
      <c r="E222" s="27"/>
    </row>
    <row r="223" customFormat="false" ht="15" hidden="false" customHeight="false" outlineLevel="0" collapsed="false">
      <c r="A223" s="25" t="n">
        <v>46133</v>
      </c>
      <c r="B223" s="23" t="str">
        <f aca="false">IF(A223="","",IF(A223&lt;=profil!$B$9,"Realisasi","Rencana"))</f>
        <v>Rencana</v>
      </c>
      <c r="C223" s="18" t="s">
        <v>150</v>
      </c>
      <c r="D223" s="26" t="n">
        <f aca="false">IFERROR(INDEX(sumber_pasokan!$E:$E,MATCH(C223,sumber_pasokan!$B:$B,0)),"")</f>
        <v>0</v>
      </c>
      <c r="E223" s="27"/>
    </row>
    <row r="224" customFormat="false" ht="15" hidden="false" customHeight="false" outlineLevel="0" collapsed="false">
      <c r="A224" s="25" t="n">
        <v>46134</v>
      </c>
      <c r="B224" s="23" t="str">
        <f aca="false">IF(A224="","",IF(A224&lt;=profil!$B$9,"Realisasi","Rencana"))</f>
        <v>Rencana</v>
      </c>
      <c r="C224" s="18" t="s">
        <v>82</v>
      </c>
      <c r="D224" s="26" t="n">
        <f aca="false">IFERROR(INDEX(sumber_pasokan!$E:$E,MATCH(C224,sumber_pasokan!$B:$B,0)),"")</f>
        <v>0</v>
      </c>
      <c r="E224" s="27"/>
    </row>
    <row r="225" customFormat="false" ht="15" hidden="false" customHeight="false" outlineLevel="0" collapsed="false">
      <c r="A225" s="25" t="n">
        <v>46134</v>
      </c>
      <c r="B225" s="23" t="str">
        <f aca="false">IF(A225="","",IF(A225&lt;=profil!$B$9,"Realisasi","Rencana"))</f>
        <v>Rencana</v>
      </c>
      <c r="C225" s="18" t="s">
        <v>150</v>
      </c>
      <c r="D225" s="26" t="n">
        <f aca="false">IFERROR(INDEX(sumber_pasokan!$E:$E,MATCH(C225,sumber_pasokan!$B:$B,0)),"")</f>
        <v>0</v>
      </c>
      <c r="E225" s="27"/>
    </row>
    <row r="226" customFormat="false" ht="15" hidden="false" customHeight="false" outlineLevel="0" collapsed="false">
      <c r="A226" s="25" t="n">
        <v>46135</v>
      </c>
      <c r="B226" s="23" t="str">
        <f aca="false">IF(A226="","",IF(A226&lt;=profil!$B$9,"Realisasi","Rencana"))</f>
        <v>Rencana</v>
      </c>
      <c r="C226" s="18" t="s">
        <v>82</v>
      </c>
      <c r="D226" s="26" t="n">
        <f aca="false">IFERROR(INDEX(sumber_pasokan!$E:$E,MATCH(C226,sumber_pasokan!$B:$B,0)),"")</f>
        <v>0</v>
      </c>
      <c r="E226" s="27"/>
    </row>
    <row r="227" customFormat="false" ht="15" hidden="false" customHeight="false" outlineLevel="0" collapsed="false">
      <c r="A227" s="25" t="n">
        <v>46135</v>
      </c>
      <c r="B227" s="23" t="str">
        <f aca="false">IF(A227="","",IF(A227&lt;=profil!$B$9,"Realisasi","Rencana"))</f>
        <v>Rencana</v>
      </c>
      <c r="C227" s="18" t="s">
        <v>150</v>
      </c>
      <c r="D227" s="26" t="n">
        <f aca="false">IFERROR(INDEX(sumber_pasokan!$E:$E,MATCH(C227,sumber_pasokan!$B:$B,0)),"")</f>
        <v>0</v>
      </c>
      <c r="E227" s="27"/>
    </row>
    <row r="228" customFormat="false" ht="15" hidden="false" customHeight="false" outlineLevel="0" collapsed="false">
      <c r="A228" s="25" t="n">
        <v>46136</v>
      </c>
      <c r="B228" s="23" t="str">
        <f aca="false">IF(A228="","",IF(A228&lt;=profil!$B$9,"Realisasi","Rencana"))</f>
        <v>Rencana</v>
      </c>
      <c r="C228" s="18" t="s">
        <v>82</v>
      </c>
      <c r="D228" s="26" t="n">
        <f aca="false">IFERROR(INDEX(sumber_pasokan!$E:$E,MATCH(C228,sumber_pasokan!$B:$B,0)),"")</f>
        <v>0</v>
      </c>
      <c r="E228" s="27"/>
    </row>
    <row r="229" customFormat="false" ht="15" hidden="false" customHeight="false" outlineLevel="0" collapsed="false">
      <c r="A229" s="25" t="n">
        <v>46136</v>
      </c>
      <c r="B229" s="23" t="str">
        <f aca="false">IF(A229="","",IF(A229&lt;=profil!$B$9,"Realisasi","Rencana"))</f>
        <v>Rencana</v>
      </c>
      <c r="C229" s="18" t="s">
        <v>150</v>
      </c>
      <c r="D229" s="26" t="n">
        <f aca="false">IFERROR(INDEX(sumber_pasokan!$E:$E,MATCH(C229,sumber_pasokan!$B:$B,0)),"")</f>
        <v>0</v>
      </c>
      <c r="E229" s="27"/>
    </row>
    <row r="230" customFormat="false" ht="15" hidden="false" customHeight="false" outlineLevel="0" collapsed="false">
      <c r="A230" s="25" t="n">
        <v>46137</v>
      </c>
      <c r="B230" s="23" t="str">
        <f aca="false">IF(A230="","",IF(A230&lt;=profil!$B$9,"Realisasi","Rencana"))</f>
        <v>Rencana</v>
      </c>
      <c r="C230" s="18" t="s">
        <v>82</v>
      </c>
      <c r="D230" s="26" t="n">
        <f aca="false">IFERROR(INDEX(sumber_pasokan!$E:$E,MATCH(C230,sumber_pasokan!$B:$B,0)),"")</f>
        <v>0</v>
      </c>
      <c r="E230" s="27"/>
    </row>
    <row r="231" customFormat="false" ht="15" hidden="false" customHeight="false" outlineLevel="0" collapsed="false">
      <c r="A231" s="25" t="n">
        <v>46137</v>
      </c>
      <c r="B231" s="23" t="str">
        <f aca="false">IF(A231="","",IF(A231&lt;=profil!$B$9,"Realisasi","Rencana"))</f>
        <v>Rencana</v>
      </c>
      <c r="C231" s="18" t="s">
        <v>150</v>
      </c>
      <c r="D231" s="26" t="n">
        <f aca="false">IFERROR(INDEX(sumber_pasokan!$E:$E,MATCH(C231,sumber_pasokan!$B:$B,0)),"")</f>
        <v>0</v>
      </c>
      <c r="E231" s="27"/>
    </row>
    <row r="232" customFormat="false" ht="15" hidden="false" customHeight="false" outlineLevel="0" collapsed="false">
      <c r="A232" s="25" t="n">
        <v>46138</v>
      </c>
      <c r="B232" s="23" t="str">
        <f aca="false">IF(A232="","",IF(A232&lt;=profil!$B$9,"Realisasi","Rencana"))</f>
        <v>Rencana</v>
      </c>
      <c r="C232" s="18" t="s">
        <v>82</v>
      </c>
      <c r="D232" s="26" t="n">
        <f aca="false">IFERROR(INDEX(sumber_pasokan!$E:$E,MATCH(C232,sumber_pasokan!$B:$B,0)),"")</f>
        <v>0</v>
      </c>
      <c r="E232" s="27"/>
    </row>
    <row r="233" customFormat="false" ht="15" hidden="false" customHeight="false" outlineLevel="0" collapsed="false">
      <c r="A233" s="25" t="n">
        <v>46138</v>
      </c>
      <c r="B233" s="23" t="str">
        <f aca="false">IF(A233="","",IF(A233&lt;=profil!$B$9,"Realisasi","Rencana"))</f>
        <v>Rencana</v>
      </c>
      <c r="C233" s="18" t="s">
        <v>150</v>
      </c>
      <c r="D233" s="26" t="n">
        <f aca="false">IFERROR(INDEX(sumber_pasokan!$E:$E,MATCH(C233,sumber_pasokan!$B:$B,0)),"")</f>
        <v>0</v>
      </c>
      <c r="E233" s="27"/>
    </row>
    <row r="234" customFormat="false" ht="15" hidden="false" customHeight="false" outlineLevel="0" collapsed="false">
      <c r="A234" s="25" t="n">
        <v>46139</v>
      </c>
      <c r="B234" s="23" t="str">
        <f aca="false">IF(A234="","",IF(A234&lt;=profil!$B$9,"Realisasi","Rencana"))</f>
        <v>Rencana</v>
      </c>
      <c r="C234" s="18" t="s">
        <v>82</v>
      </c>
      <c r="D234" s="26" t="n">
        <f aca="false">IFERROR(INDEX(sumber_pasokan!$E:$E,MATCH(C234,sumber_pasokan!$B:$B,0)),"")</f>
        <v>0</v>
      </c>
      <c r="E234" s="27"/>
    </row>
    <row r="235" customFormat="false" ht="15" hidden="false" customHeight="false" outlineLevel="0" collapsed="false">
      <c r="A235" s="25" t="n">
        <v>46139</v>
      </c>
      <c r="B235" s="23" t="str">
        <f aca="false">IF(A235="","",IF(A235&lt;=profil!$B$9,"Realisasi","Rencana"))</f>
        <v>Rencana</v>
      </c>
      <c r="C235" s="18" t="s">
        <v>150</v>
      </c>
      <c r="D235" s="26" t="n">
        <f aca="false">IFERROR(INDEX(sumber_pasokan!$E:$E,MATCH(C235,sumber_pasokan!$B:$B,0)),"")</f>
        <v>0</v>
      </c>
      <c r="E235" s="27"/>
    </row>
    <row r="236" customFormat="false" ht="15" hidden="false" customHeight="false" outlineLevel="0" collapsed="false">
      <c r="A236" s="25" t="n">
        <v>46140</v>
      </c>
      <c r="B236" s="23" t="str">
        <f aca="false">IF(A236="","",IF(A236&lt;=profil!$B$9,"Realisasi","Rencana"))</f>
        <v>Rencana</v>
      </c>
      <c r="C236" s="18" t="s">
        <v>82</v>
      </c>
      <c r="D236" s="26" t="n">
        <f aca="false">IFERROR(INDEX(sumber_pasokan!$E:$E,MATCH(C236,sumber_pasokan!$B:$B,0)),"")</f>
        <v>0</v>
      </c>
      <c r="E236" s="27"/>
    </row>
    <row r="237" customFormat="false" ht="15" hidden="false" customHeight="false" outlineLevel="0" collapsed="false">
      <c r="A237" s="25" t="n">
        <v>46140</v>
      </c>
      <c r="B237" s="23" t="str">
        <f aca="false">IF(A237="","",IF(A237&lt;=profil!$B$9,"Realisasi","Rencana"))</f>
        <v>Rencana</v>
      </c>
      <c r="C237" s="18" t="s">
        <v>150</v>
      </c>
      <c r="D237" s="26" t="n">
        <f aca="false">IFERROR(INDEX(sumber_pasokan!$E:$E,MATCH(C237,sumber_pasokan!$B:$B,0)),"")</f>
        <v>0</v>
      </c>
      <c r="E237" s="27"/>
    </row>
    <row r="238" customFormat="false" ht="15" hidden="false" customHeight="false" outlineLevel="0" collapsed="false">
      <c r="A238" s="25" t="n">
        <v>46141</v>
      </c>
      <c r="B238" s="23" t="str">
        <f aca="false">IF(A238="","",IF(A238&lt;=profil!$B$9,"Realisasi","Rencana"))</f>
        <v>Rencana</v>
      </c>
      <c r="C238" s="18" t="s">
        <v>82</v>
      </c>
      <c r="D238" s="26" t="n">
        <f aca="false">IFERROR(INDEX(sumber_pasokan!$E:$E,MATCH(C238,sumber_pasokan!$B:$B,0)),"")</f>
        <v>0</v>
      </c>
      <c r="E238" s="27"/>
    </row>
    <row r="239" customFormat="false" ht="15" hidden="false" customHeight="false" outlineLevel="0" collapsed="false">
      <c r="A239" s="25" t="n">
        <v>46141</v>
      </c>
      <c r="B239" s="23" t="str">
        <f aca="false">IF(A239="","",IF(A239&lt;=profil!$B$9,"Realisasi","Rencana"))</f>
        <v>Rencana</v>
      </c>
      <c r="C239" s="18" t="s">
        <v>150</v>
      </c>
      <c r="D239" s="26" t="n">
        <f aca="false">IFERROR(INDEX(sumber_pasokan!$E:$E,MATCH(C239,sumber_pasokan!$B:$B,0)),"")</f>
        <v>0</v>
      </c>
      <c r="E239" s="27"/>
    </row>
    <row r="240" customFormat="false" ht="15" hidden="false" customHeight="false" outlineLevel="0" collapsed="false">
      <c r="A240" s="25" t="n">
        <v>46142</v>
      </c>
      <c r="B240" s="23" t="str">
        <f aca="false">IF(A240="","",IF(A240&lt;=profil!$B$9,"Realisasi","Rencana"))</f>
        <v>Rencana</v>
      </c>
      <c r="C240" s="18" t="s">
        <v>82</v>
      </c>
      <c r="D240" s="26" t="n">
        <f aca="false">IFERROR(INDEX(sumber_pasokan!$E:$E,MATCH(C240,sumber_pasokan!$B:$B,0)),"")</f>
        <v>0</v>
      </c>
      <c r="E240" s="27"/>
    </row>
    <row r="241" customFormat="false" ht="15" hidden="false" customHeight="false" outlineLevel="0" collapsed="false">
      <c r="A241" s="25" t="n">
        <v>46142</v>
      </c>
      <c r="B241" s="23" t="str">
        <f aca="false">IF(A241="","",IF(A241&lt;=profil!$B$9,"Realisasi","Rencana"))</f>
        <v>Rencana</v>
      </c>
      <c r="C241" s="18" t="s">
        <v>150</v>
      </c>
      <c r="D241" s="26" t="n">
        <f aca="false">IFERROR(INDEX(sumber_pasokan!$E:$E,MATCH(C241,sumber_pasokan!$B:$B,0)),"")</f>
        <v>0</v>
      </c>
      <c r="E241" s="27"/>
    </row>
    <row r="242" customFormat="false" ht="15" hidden="false" customHeight="false" outlineLevel="0" collapsed="false">
      <c r="A242" s="25" t="n">
        <v>46143</v>
      </c>
      <c r="B242" s="23" t="str">
        <f aca="false">IF(A242="","",IF(A242&lt;=profil!$B$9,"Realisasi","Rencana"))</f>
        <v>Rencana</v>
      </c>
      <c r="C242" s="18" t="s">
        <v>82</v>
      </c>
      <c r="D242" s="26" t="n">
        <f aca="false">IFERROR(INDEX(sumber_pasokan!$E:$E,MATCH(C242,sumber_pasokan!$B:$B,0)),"")</f>
        <v>0</v>
      </c>
      <c r="E242" s="27"/>
    </row>
    <row r="243" customFormat="false" ht="15" hidden="false" customHeight="false" outlineLevel="0" collapsed="false">
      <c r="A243" s="25" t="n">
        <v>46143</v>
      </c>
      <c r="B243" s="23" t="str">
        <f aca="false">IF(A243="","",IF(A243&lt;=profil!$B$9,"Realisasi","Rencana"))</f>
        <v>Rencana</v>
      </c>
      <c r="C243" s="18" t="s">
        <v>150</v>
      </c>
      <c r="D243" s="26" t="n">
        <f aca="false">IFERROR(INDEX(sumber_pasokan!$E:$E,MATCH(C243,sumber_pasokan!$B:$B,0)),"")</f>
        <v>0</v>
      </c>
      <c r="E243" s="27"/>
    </row>
    <row r="244" customFormat="false" ht="15" hidden="false" customHeight="false" outlineLevel="0" collapsed="false">
      <c r="A244" s="25" t="n">
        <v>46144</v>
      </c>
      <c r="B244" s="23" t="str">
        <f aca="false">IF(A244="","",IF(A244&lt;=profil!$B$9,"Realisasi","Rencana"))</f>
        <v>Rencana</v>
      </c>
      <c r="C244" s="18" t="s">
        <v>82</v>
      </c>
      <c r="D244" s="26" t="n">
        <f aca="false">IFERROR(INDEX(sumber_pasokan!$E:$E,MATCH(C244,sumber_pasokan!$B:$B,0)),"")</f>
        <v>0</v>
      </c>
      <c r="E244" s="27"/>
    </row>
    <row r="245" customFormat="false" ht="15" hidden="false" customHeight="false" outlineLevel="0" collapsed="false">
      <c r="A245" s="25" t="n">
        <v>46144</v>
      </c>
      <c r="B245" s="23" t="str">
        <f aca="false">IF(A245="","",IF(A245&lt;=profil!$B$9,"Realisasi","Rencana"))</f>
        <v>Rencana</v>
      </c>
      <c r="C245" s="18" t="s">
        <v>150</v>
      </c>
      <c r="D245" s="26" t="n">
        <f aca="false">IFERROR(INDEX(sumber_pasokan!$E:$E,MATCH(C245,sumber_pasokan!$B:$B,0)),"")</f>
        <v>0</v>
      </c>
      <c r="E245" s="27"/>
    </row>
    <row r="246" customFormat="false" ht="15" hidden="false" customHeight="false" outlineLevel="0" collapsed="false">
      <c r="A246" s="25" t="n">
        <v>46145</v>
      </c>
      <c r="B246" s="23" t="str">
        <f aca="false">IF(A246="","",IF(A246&lt;=profil!$B$9,"Realisasi","Rencana"))</f>
        <v>Rencana</v>
      </c>
      <c r="C246" s="18" t="s">
        <v>82</v>
      </c>
      <c r="D246" s="26" t="n">
        <f aca="false">IFERROR(INDEX(sumber_pasokan!$E:$E,MATCH(C246,sumber_pasokan!$B:$B,0)),"")</f>
        <v>0</v>
      </c>
      <c r="E246" s="27"/>
    </row>
    <row r="247" customFormat="false" ht="15" hidden="false" customHeight="false" outlineLevel="0" collapsed="false">
      <c r="A247" s="25" t="n">
        <v>46145</v>
      </c>
      <c r="B247" s="23" t="str">
        <f aca="false">IF(A247="","",IF(A247&lt;=profil!$B$9,"Realisasi","Rencana"))</f>
        <v>Rencana</v>
      </c>
      <c r="C247" s="18" t="s">
        <v>150</v>
      </c>
      <c r="D247" s="26" t="n">
        <f aca="false">IFERROR(INDEX(sumber_pasokan!$E:$E,MATCH(C247,sumber_pasokan!$B:$B,0)),"")</f>
        <v>0</v>
      </c>
      <c r="E247" s="27"/>
    </row>
    <row r="248" customFormat="false" ht="15" hidden="false" customHeight="false" outlineLevel="0" collapsed="false">
      <c r="A248" s="25" t="n">
        <v>46146</v>
      </c>
      <c r="B248" s="23" t="str">
        <f aca="false">IF(A248="","",IF(A248&lt;=profil!$B$9,"Realisasi","Rencana"))</f>
        <v>Rencana</v>
      </c>
      <c r="C248" s="18" t="s">
        <v>82</v>
      </c>
      <c r="D248" s="26" t="n">
        <f aca="false">IFERROR(INDEX(sumber_pasokan!$E:$E,MATCH(C248,sumber_pasokan!$B:$B,0)),"")</f>
        <v>0</v>
      </c>
      <c r="E248" s="27"/>
    </row>
    <row r="249" customFormat="false" ht="15" hidden="false" customHeight="false" outlineLevel="0" collapsed="false">
      <c r="A249" s="25" t="n">
        <v>46146</v>
      </c>
      <c r="B249" s="23" t="str">
        <f aca="false">IF(A249="","",IF(A249&lt;=profil!$B$9,"Realisasi","Rencana"))</f>
        <v>Rencana</v>
      </c>
      <c r="C249" s="18" t="s">
        <v>150</v>
      </c>
      <c r="D249" s="26" t="n">
        <f aca="false">IFERROR(INDEX(sumber_pasokan!$E:$E,MATCH(C249,sumber_pasokan!$B:$B,0)),"")</f>
        <v>0</v>
      </c>
      <c r="E249" s="27"/>
    </row>
    <row r="250" customFormat="false" ht="15" hidden="false" customHeight="false" outlineLevel="0" collapsed="false">
      <c r="A250" s="25" t="n">
        <v>46147</v>
      </c>
      <c r="B250" s="23" t="str">
        <f aca="false">IF(A250="","",IF(A250&lt;=profil!$B$9,"Realisasi","Rencana"))</f>
        <v>Rencana</v>
      </c>
      <c r="C250" s="18" t="s">
        <v>82</v>
      </c>
      <c r="D250" s="26" t="n">
        <f aca="false">IFERROR(INDEX(sumber_pasokan!$E:$E,MATCH(C250,sumber_pasokan!$B:$B,0)),"")</f>
        <v>0</v>
      </c>
      <c r="E250" s="27"/>
    </row>
    <row r="251" customFormat="false" ht="15" hidden="false" customHeight="false" outlineLevel="0" collapsed="false">
      <c r="A251" s="25" t="n">
        <v>46147</v>
      </c>
      <c r="B251" s="23" t="str">
        <f aca="false">IF(A251="","",IF(A251&lt;=profil!$B$9,"Realisasi","Rencana"))</f>
        <v>Rencana</v>
      </c>
      <c r="C251" s="18" t="s">
        <v>150</v>
      </c>
      <c r="D251" s="26" t="n">
        <f aca="false">IFERROR(INDEX(sumber_pasokan!$E:$E,MATCH(C251,sumber_pasokan!$B:$B,0)),"")</f>
        <v>0</v>
      </c>
      <c r="E251" s="27"/>
    </row>
    <row r="252" customFormat="false" ht="15" hidden="false" customHeight="false" outlineLevel="0" collapsed="false">
      <c r="A252" s="25" t="n">
        <v>46148</v>
      </c>
      <c r="B252" s="23" t="str">
        <f aca="false">IF(A252="","",IF(A252&lt;=profil!$B$9,"Realisasi","Rencana"))</f>
        <v>Rencana</v>
      </c>
      <c r="C252" s="18" t="s">
        <v>82</v>
      </c>
      <c r="D252" s="26" t="n">
        <f aca="false">IFERROR(INDEX(sumber_pasokan!$E:$E,MATCH(C252,sumber_pasokan!$B:$B,0)),"")</f>
        <v>0</v>
      </c>
      <c r="E252" s="27"/>
    </row>
    <row r="253" customFormat="false" ht="15" hidden="false" customHeight="false" outlineLevel="0" collapsed="false">
      <c r="A253" s="25" t="n">
        <v>46148</v>
      </c>
      <c r="B253" s="23" t="str">
        <f aca="false">IF(A253="","",IF(A253&lt;=profil!$B$9,"Realisasi","Rencana"))</f>
        <v>Rencana</v>
      </c>
      <c r="C253" s="18" t="s">
        <v>150</v>
      </c>
      <c r="D253" s="26" t="n">
        <f aca="false">IFERROR(INDEX(sumber_pasokan!$E:$E,MATCH(C253,sumber_pasokan!$B:$B,0)),"")</f>
        <v>0</v>
      </c>
      <c r="E253" s="27"/>
    </row>
    <row r="254" customFormat="false" ht="15" hidden="false" customHeight="false" outlineLevel="0" collapsed="false">
      <c r="A254" s="25" t="n">
        <v>46149</v>
      </c>
      <c r="B254" s="23" t="str">
        <f aca="false">IF(A254="","",IF(A254&lt;=profil!$B$9,"Realisasi","Rencana"))</f>
        <v>Rencana</v>
      </c>
      <c r="C254" s="18" t="s">
        <v>82</v>
      </c>
      <c r="D254" s="26" t="n">
        <f aca="false">IFERROR(INDEX(sumber_pasokan!$E:$E,MATCH(C254,sumber_pasokan!$B:$B,0)),"")</f>
        <v>0</v>
      </c>
      <c r="E254" s="27"/>
    </row>
    <row r="255" customFormat="false" ht="15" hidden="false" customHeight="false" outlineLevel="0" collapsed="false">
      <c r="A255" s="25" t="n">
        <v>46149</v>
      </c>
      <c r="B255" s="23" t="str">
        <f aca="false">IF(A255="","",IF(A255&lt;=profil!$B$9,"Realisasi","Rencana"))</f>
        <v>Rencana</v>
      </c>
      <c r="C255" s="18" t="s">
        <v>150</v>
      </c>
      <c r="D255" s="26" t="n">
        <f aca="false">IFERROR(INDEX(sumber_pasokan!$E:$E,MATCH(C255,sumber_pasokan!$B:$B,0)),"")</f>
        <v>0</v>
      </c>
      <c r="E255" s="27"/>
    </row>
    <row r="256" customFormat="false" ht="15" hidden="false" customHeight="false" outlineLevel="0" collapsed="false">
      <c r="A256" s="25" t="n">
        <v>46150</v>
      </c>
      <c r="B256" s="23" t="str">
        <f aca="false">IF(A256="","",IF(A256&lt;=profil!$B$9,"Realisasi","Rencana"))</f>
        <v>Rencana</v>
      </c>
      <c r="C256" s="18" t="s">
        <v>82</v>
      </c>
      <c r="D256" s="26" t="n">
        <f aca="false">IFERROR(INDEX(sumber_pasokan!$E:$E,MATCH(C256,sumber_pasokan!$B:$B,0)),"")</f>
        <v>0</v>
      </c>
      <c r="E256" s="27"/>
    </row>
    <row r="257" customFormat="false" ht="15" hidden="false" customHeight="false" outlineLevel="0" collapsed="false">
      <c r="A257" s="25" t="n">
        <v>46150</v>
      </c>
      <c r="B257" s="23" t="str">
        <f aca="false">IF(A257="","",IF(A257&lt;=profil!$B$9,"Realisasi","Rencana"))</f>
        <v>Rencana</v>
      </c>
      <c r="C257" s="18" t="s">
        <v>150</v>
      </c>
      <c r="D257" s="26" t="n">
        <f aca="false">IFERROR(INDEX(sumber_pasokan!$E:$E,MATCH(C257,sumber_pasokan!$B:$B,0)),"")</f>
        <v>0</v>
      </c>
      <c r="E257" s="27"/>
    </row>
    <row r="258" customFormat="false" ht="15" hidden="false" customHeight="false" outlineLevel="0" collapsed="false">
      <c r="A258" s="25" t="n">
        <v>46151</v>
      </c>
      <c r="B258" s="23" t="str">
        <f aca="false">IF(A258="","",IF(A258&lt;=profil!$B$9,"Realisasi","Rencana"))</f>
        <v>Rencana</v>
      </c>
      <c r="C258" s="18" t="s">
        <v>82</v>
      </c>
      <c r="D258" s="26" t="n">
        <f aca="false">IFERROR(INDEX(sumber_pasokan!$E:$E,MATCH(C258,sumber_pasokan!$B:$B,0)),"")</f>
        <v>0</v>
      </c>
      <c r="E258" s="27"/>
    </row>
    <row r="259" customFormat="false" ht="15" hidden="false" customHeight="false" outlineLevel="0" collapsed="false">
      <c r="A259" s="25" t="n">
        <v>46151</v>
      </c>
      <c r="B259" s="23" t="str">
        <f aca="false">IF(A259="","",IF(A259&lt;=profil!$B$9,"Realisasi","Rencana"))</f>
        <v>Rencana</v>
      </c>
      <c r="C259" s="18" t="s">
        <v>150</v>
      </c>
      <c r="D259" s="26" t="n">
        <f aca="false">IFERROR(INDEX(sumber_pasokan!$E:$E,MATCH(C259,sumber_pasokan!$B:$B,0)),"")</f>
        <v>0</v>
      </c>
      <c r="E259" s="27"/>
    </row>
    <row r="260" customFormat="false" ht="15" hidden="false" customHeight="false" outlineLevel="0" collapsed="false">
      <c r="A260" s="25" t="n">
        <v>46152</v>
      </c>
      <c r="B260" s="23" t="str">
        <f aca="false">IF(A260="","",IF(A260&lt;=profil!$B$9,"Realisasi","Rencana"))</f>
        <v>Rencana</v>
      </c>
      <c r="C260" s="18" t="s">
        <v>82</v>
      </c>
      <c r="D260" s="26" t="n">
        <f aca="false">IFERROR(INDEX(sumber_pasokan!$E:$E,MATCH(C260,sumber_pasokan!$B:$B,0)),"")</f>
        <v>0</v>
      </c>
      <c r="E260" s="27"/>
    </row>
    <row r="261" customFormat="false" ht="15" hidden="false" customHeight="false" outlineLevel="0" collapsed="false">
      <c r="A261" s="25" t="n">
        <v>46152</v>
      </c>
      <c r="B261" s="23" t="str">
        <f aca="false">IF(A261="","",IF(A261&lt;=profil!$B$9,"Realisasi","Rencana"))</f>
        <v>Rencana</v>
      </c>
      <c r="C261" s="18" t="s">
        <v>150</v>
      </c>
      <c r="D261" s="26" t="n">
        <f aca="false">IFERROR(INDEX(sumber_pasokan!$E:$E,MATCH(C261,sumber_pasokan!$B:$B,0)),"")</f>
        <v>0</v>
      </c>
      <c r="E261" s="27"/>
    </row>
    <row r="262" customFormat="false" ht="15" hidden="false" customHeight="false" outlineLevel="0" collapsed="false">
      <c r="A262" s="25" t="n">
        <v>46153</v>
      </c>
      <c r="B262" s="23" t="str">
        <f aca="false">IF(A262="","",IF(A262&lt;=profil!$B$9,"Realisasi","Rencana"))</f>
        <v>Rencana</v>
      </c>
      <c r="C262" s="18" t="s">
        <v>82</v>
      </c>
      <c r="D262" s="26" t="n">
        <f aca="false">IFERROR(INDEX(sumber_pasokan!$E:$E,MATCH(C262,sumber_pasokan!$B:$B,0)),"")</f>
        <v>0</v>
      </c>
      <c r="E262" s="27"/>
    </row>
    <row r="263" customFormat="false" ht="15" hidden="false" customHeight="false" outlineLevel="0" collapsed="false">
      <c r="A263" s="25" t="n">
        <v>46153</v>
      </c>
      <c r="B263" s="23" t="str">
        <f aca="false">IF(A263="","",IF(A263&lt;=profil!$B$9,"Realisasi","Rencana"))</f>
        <v>Rencana</v>
      </c>
      <c r="C263" s="18" t="s">
        <v>150</v>
      </c>
      <c r="D263" s="26" t="n">
        <f aca="false">IFERROR(INDEX(sumber_pasokan!$E:$E,MATCH(C263,sumber_pasokan!$B:$B,0)),"")</f>
        <v>0</v>
      </c>
      <c r="E263" s="27"/>
    </row>
    <row r="264" customFormat="false" ht="15" hidden="false" customHeight="false" outlineLevel="0" collapsed="false">
      <c r="A264" s="25" t="n">
        <v>46154</v>
      </c>
      <c r="B264" s="23" t="str">
        <f aca="false">IF(A264="","",IF(A264&lt;=profil!$B$9,"Realisasi","Rencana"))</f>
        <v>Rencana</v>
      </c>
      <c r="C264" s="18" t="s">
        <v>82</v>
      </c>
      <c r="D264" s="26" t="n">
        <f aca="false">IFERROR(INDEX(sumber_pasokan!$E:$E,MATCH(C264,sumber_pasokan!$B:$B,0)),"")</f>
        <v>0</v>
      </c>
      <c r="E264" s="27"/>
    </row>
    <row r="265" customFormat="false" ht="15" hidden="false" customHeight="false" outlineLevel="0" collapsed="false">
      <c r="A265" s="25" t="n">
        <v>46154</v>
      </c>
      <c r="B265" s="23" t="str">
        <f aca="false">IF(A265="","",IF(A265&lt;=profil!$B$9,"Realisasi","Rencana"))</f>
        <v>Rencana</v>
      </c>
      <c r="C265" s="18" t="s">
        <v>150</v>
      </c>
      <c r="D265" s="26" t="n">
        <f aca="false">IFERROR(INDEX(sumber_pasokan!$E:$E,MATCH(C265,sumber_pasokan!$B:$B,0)),"")</f>
        <v>0</v>
      </c>
      <c r="E265" s="27"/>
    </row>
    <row r="266" customFormat="false" ht="15" hidden="false" customHeight="false" outlineLevel="0" collapsed="false">
      <c r="A266" s="25" t="n">
        <v>46155</v>
      </c>
      <c r="B266" s="23" t="str">
        <f aca="false">IF(A266="","",IF(A266&lt;=profil!$B$9,"Realisasi","Rencana"))</f>
        <v>Rencana</v>
      </c>
      <c r="C266" s="18" t="s">
        <v>82</v>
      </c>
      <c r="D266" s="26" t="n">
        <f aca="false">IFERROR(INDEX(sumber_pasokan!$E:$E,MATCH(C266,sumber_pasokan!$B:$B,0)),"")</f>
        <v>0</v>
      </c>
      <c r="E266" s="27"/>
    </row>
    <row r="267" customFormat="false" ht="15" hidden="false" customHeight="false" outlineLevel="0" collapsed="false">
      <c r="A267" s="25" t="n">
        <v>46155</v>
      </c>
      <c r="B267" s="23" t="str">
        <f aca="false">IF(A267="","",IF(A267&lt;=profil!$B$9,"Realisasi","Rencana"))</f>
        <v>Rencana</v>
      </c>
      <c r="C267" s="18" t="s">
        <v>150</v>
      </c>
      <c r="D267" s="26" t="n">
        <f aca="false">IFERROR(INDEX(sumber_pasokan!$E:$E,MATCH(C267,sumber_pasokan!$B:$B,0)),"")</f>
        <v>0</v>
      </c>
      <c r="E267" s="27"/>
    </row>
    <row r="268" customFormat="false" ht="15" hidden="false" customHeight="false" outlineLevel="0" collapsed="false">
      <c r="A268" s="25" t="n">
        <v>46156</v>
      </c>
      <c r="B268" s="23" t="str">
        <f aca="false">IF(A268="","",IF(A268&lt;=profil!$B$9,"Realisasi","Rencana"))</f>
        <v>Rencana</v>
      </c>
      <c r="C268" s="18" t="s">
        <v>82</v>
      </c>
      <c r="D268" s="26" t="n">
        <f aca="false">IFERROR(INDEX(sumber_pasokan!$E:$E,MATCH(C268,sumber_pasokan!$B:$B,0)),"")</f>
        <v>0</v>
      </c>
      <c r="E268" s="27"/>
    </row>
    <row r="269" customFormat="false" ht="15" hidden="false" customHeight="false" outlineLevel="0" collapsed="false">
      <c r="A269" s="25" t="n">
        <v>46156</v>
      </c>
      <c r="B269" s="23" t="str">
        <f aca="false">IF(A269="","",IF(A269&lt;=profil!$B$9,"Realisasi","Rencana"))</f>
        <v>Rencana</v>
      </c>
      <c r="C269" s="18" t="s">
        <v>150</v>
      </c>
      <c r="D269" s="26" t="n">
        <f aca="false">IFERROR(INDEX(sumber_pasokan!$E:$E,MATCH(C269,sumber_pasokan!$B:$B,0)),"")</f>
        <v>0</v>
      </c>
      <c r="E269" s="27"/>
    </row>
    <row r="270" customFormat="false" ht="15" hidden="false" customHeight="false" outlineLevel="0" collapsed="false">
      <c r="A270" s="25" t="n">
        <v>46157</v>
      </c>
      <c r="B270" s="23" t="str">
        <f aca="false">IF(A270="","",IF(A270&lt;=profil!$B$9,"Realisasi","Rencana"))</f>
        <v>Rencana</v>
      </c>
      <c r="C270" s="18" t="s">
        <v>82</v>
      </c>
      <c r="D270" s="26" t="n">
        <f aca="false">IFERROR(INDEX(sumber_pasokan!$E:$E,MATCH(C270,sumber_pasokan!$B:$B,0)),"")</f>
        <v>0</v>
      </c>
      <c r="E270" s="27"/>
    </row>
    <row r="271" customFormat="false" ht="15" hidden="false" customHeight="false" outlineLevel="0" collapsed="false">
      <c r="A271" s="25" t="n">
        <v>46157</v>
      </c>
      <c r="B271" s="23" t="str">
        <f aca="false">IF(A271="","",IF(A271&lt;=profil!$B$9,"Realisasi","Rencana"))</f>
        <v>Rencana</v>
      </c>
      <c r="C271" s="18" t="s">
        <v>150</v>
      </c>
      <c r="D271" s="26" t="n">
        <f aca="false">IFERROR(INDEX(sumber_pasokan!$E:$E,MATCH(C271,sumber_pasokan!$B:$B,0)),"")</f>
        <v>0</v>
      </c>
      <c r="E271" s="27"/>
    </row>
    <row r="272" customFormat="false" ht="15" hidden="false" customHeight="false" outlineLevel="0" collapsed="false">
      <c r="A272" s="25" t="n">
        <v>46158</v>
      </c>
      <c r="B272" s="23" t="str">
        <f aca="false">IF(A272="","",IF(A272&lt;=profil!$B$9,"Realisasi","Rencana"))</f>
        <v>Rencana</v>
      </c>
      <c r="C272" s="18" t="s">
        <v>82</v>
      </c>
      <c r="D272" s="26" t="n">
        <f aca="false">IFERROR(INDEX(sumber_pasokan!$E:$E,MATCH(C272,sumber_pasokan!$B:$B,0)),"")</f>
        <v>0</v>
      </c>
      <c r="E272" s="27"/>
    </row>
    <row r="273" customFormat="false" ht="15" hidden="false" customHeight="false" outlineLevel="0" collapsed="false">
      <c r="A273" s="25" t="n">
        <v>46158</v>
      </c>
      <c r="B273" s="23" t="str">
        <f aca="false">IF(A273="","",IF(A273&lt;=profil!$B$9,"Realisasi","Rencana"))</f>
        <v>Rencana</v>
      </c>
      <c r="C273" s="18" t="s">
        <v>150</v>
      </c>
      <c r="D273" s="26" t="n">
        <f aca="false">IFERROR(INDEX(sumber_pasokan!$E:$E,MATCH(C273,sumber_pasokan!$B:$B,0)),"")</f>
        <v>0</v>
      </c>
      <c r="E273" s="27"/>
    </row>
    <row r="274" customFormat="false" ht="15" hidden="false" customHeight="false" outlineLevel="0" collapsed="false">
      <c r="A274" s="25" t="n">
        <v>46159</v>
      </c>
      <c r="B274" s="23" t="str">
        <f aca="false">IF(A274="","",IF(A274&lt;=profil!$B$9,"Realisasi","Rencana"))</f>
        <v>Rencana</v>
      </c>
      <c r="C274" s="18" t="s">
        <v>82</v>
      </c>
      <c r="D274" s="26" t="n">
        <f aca="false">IFERROR(INDEX(sumber_pasokan!$E:$E,MATCH(C274,sumber_pasokan!$B:$B,0)),"")</f>
        <v>0</v>
      </c>
      <c r="E274" s="27"/>
    </row>
    <row r="275" customFormat="false" ht="15" hidden="false" customHeight="false" outlineLevel="0" collapsed="false">
      <c r="A275" s="25" t="n">
        <v>46159</v>
      </c>
      <c r="B275" s="23" t="str">
        <f aca="false">IF(A275="","",IF(A275&lt;=profil!$B$9,"Realisasi","Rencana"))</f>
        <v>Rencana</v>
      </c>
      <c r="C275" s="18" t="s">
        <v>150</v>
      </c>
      <c r="D275" s="26" t="n">
        <f aca="false">IFERROR(INDEX(sumber_pasokan!$E:$E,MATCH(C275,sumber_pasokan!$B:$B,0)),"")</f>
        <v>0</v>
      </c>
      <c r="E275" s="27"/>
    </row>
    <row r="276" customFormat="false" ht="15" hidden="false" customHeight="false" outlineLevel="0" collapsed="false">
      <c r="A276" s="25" t="n">
        <v>46160</v>
      </c>
      <c r="B276" s="23" t="str">
        <f aca="false">IF(A276="","",IF(A276&lt;=profil!$B$9,"Realisasi","Rencana"))</f>
        <v>Rencana</v>
      </c>
      <c r="C276" s="18" t="s">
        <v>82</v>
      </c>
      <c r="D276" s="26" t="n">
        <f aca="false">IFERROR(INDEX(sumber_pasokan!$E:$E,MATCH(C276,sumber_pasokan!$B:$B,0)),"")</f>
        <v>0</v>
      </c>
      <c r="E276" s="27"/>
    </row>
    <row r="277" customFormat="false" ht="15" hidden="false" customHeight="false" outlineLevel="0" collapsed="false">
      <c r="A277" s="25" t="n">
        <v>46160</v>
      </c>
      <c r="B277" s="23" t="str">
        <f aca="false">IF(A277="","",IF(A277&lt;=profil!$B$9,"Realisasi","Rencana"))</f>
        <v>Rencana</v>
      </c>
      <c r="C277" s="18" t="s">
        <v>150</v>
      </c>
      <c r="D277" s="26" t="n">
        <f aca="false">IFERROR(INDEX(sumber_pasokan!$E:$E,MATCH(C277,sumber_pasokan!$B:$B,0)),"")</f>
        <v>0</v>
      </c>
      <c r="E277" s="27"/>
    </row>
    <row r="278" customFormat="false" ht="15" hidden="false" customHeight="false" outlineLevel="0" collapsed="false">
      <c r="A278" s="25" t="n">
        <v>46161</v>
      </c>
      <c r="B278" s="23" t="str">
        <f aca="false">IF(A278="","",IF(A278&lt;=profil!$B$9,"Realisasi","Rencana"))</f>
        <v>Rencana</v>
      </c>
      <c r="C278" s="18" t="s">
        <v>82</v>
      </c>
      <c r="D278" s="26" t="n">
        <f aca="false">IFERROR(INDEX(sumber_pasokan!$E:$E,MATCH(C278,sumber_pasokan!$B:$B,0)),"")</f>
        <v>0</v>
      </c>
      <c r="E278" s="27"/>
    </row>
    <row r="279" customFormat="false" ht="15" hidden="false" customHeight="false" outlineLevel="0" collapsed="false">
      <c r="A279" s="25" t="n">
        <v>46161</v>
      </c>
      <c r="B279" s="23" t="str">
        <f aca="false">IF(A279="","",IF(A279&lt;=profil!$B$9,"Realisasi","Rencana"))</f>
        <v>Rencana</v>
      </c>
      <c r="C279" s="18" t="s">
        <v>150</v>
      </c>
      <c r="D279" s="26" t="n">
        <f aca="false">IFERROR(INDEX(sumber_pasokan!$E:$E,MATCH(C279,sumber_pasokan!$B:$B,0)),"")</f>
        <v>0</v>
      </c>
      <c r="E279" s="27"/>
    </row>
    <row r="280" customFormat="false" ht="15" hidden="false" customHeight="false" outlineLevel="0" collapsed="false">
      <c r="A280" s="25" t="n">
        <v>46162</v>
      </c>
      <c r="B280" s="23" t="str">
        <f aca="false">IF(A280="","",IF(A280&lt;=profil!$B$9,"Realisasi","Rencana"))</f>
        <v>Rencana</v>
      </c>
      <c r="C280" s="18" t="s">
        <v>82</v>
      </c>
      <c r="D280" s="26" t="n">
        <f aca="false">IFERROR(INDEX(sumber_pasokan!$E:$E,MATCH(C280,sumber_pasokan!$B:$B,0)),"")</f>
        <v>0</v>
      </c>
      <c r="E280" s="27"/>
    </row>
    <row r="281" customFormat="false" ht="15" hidden="false" customHeight="false" outlineLevel="0" collapsed="false">
      <c r="A281" s="25" t="n">
        <v>46162</v>
      </c>
      <c r="B281" s="23" t="str">
        <f aca="false">IF(A281="","",IF(A281&lt;=profil!$B$9,"Realisasi","Rencana"))</f>
        <v>Rencana</v>
      </c>
      <c r="C281" s="18" t="s">
        <v>150</v>
      </c>
      <c r="D281" s="26" t="n">
        <f aca="false">IFERROR(INDEX(sumber_pasokan!$E:$E,MATCH(C281,sumber_pasokan!$B:$B,0)),"")</f>
        <v>0</v>
      </c>
      <c r="E281" s="27"/>
    </row>
    <row r="282" customFormat="false" ht="15" hidden="false" customHeight="false" outlineLevel="0" collapsed="false">
      <c r="A282" s="25" t="n">
        <v>46163</v>
      </c>
      <c r="B282" s="23" t="str">
        <f aca="false">IF(A282="","",IF(A282&lt;=profil!$B$9,"Realisasi","Rencana"))</f>
        <v>Rencana</v>
      </c>
      <c r="C282" s="18" t="s">
        <v>82</v>
      </c>
      <c r="D282" s="26" t="n">
        <f aca="false">IFERROR(INDEX(sumber_pasokan!$E:$E,MATCH(C282,sumber_pasokan!$B:$B,0)),"")</f>
        <v>0</v>
      </c>
      <c r="E282" s="27"/>
    </row>
    <row r="283" customFormat="false" ht="15" hidden="false" customHeight="false" outlineLevel="0" collapsed="false">
      <c r="A283" s="25" t="n">
        <v>46163</v>
      </c>
      <c r="B283" s="23" t="str">
        <f aca="false">IF(A283="","",IF(A283&lt;=profil!$B$9,"Realisasi","Rencana"))</f>
        <v>Rencana</v>
      </c>
      <c r="C283" s="18" t="s">
        <v>150</v>
      </c>
      <c r="D283" s="26" t="n">
        <f aca="false">IFERROR(INDEX(sumber_pasokan!$E:$E,MATCH(C283,sumber_pasokan!$B:$B,0)),"")</f>
        <v>0</v>
      </c>
      <c r="E283" s="27"/>
    </row>
    <row r="284" customFormat="false" ht="15" hidden="false" customHeight="false" outlineLevel="0" collapsed="false">
      <c r="A284" s="25" t="n">
        <v>46164</v>
      </c>
      <c r="B284" s="23" t="str">
        <f aca="false">IF(A284="","",IF(A284&lt;=profil!$B$9,"Realisasi","Rencana"))</f>
        <v>Rencana</v>
      </c>
      <c r="C284" s="18" t="s">
        <v>82</v>
      </c>
      <c r="D284" s="26" t="n">
        <f aca="false">IFERROR(INDEX(sumber_pasokan!$E:$E,MATCH(C284,sumber_pasokan!$B:$B,0)),"")</f>
        <v>0</v>
      </c>
      <c r="E284" s="27"/>
    </row>
    <row r="285" customFormat="false" ht="15" hidden="false" customHeight="false" outlineLevel="0" collapsed="false">
      <c r="A285" s="25" t="n">
        <v>46164</v>
      </c>
      <c r="B285" s="23" t="str">
        <f aca="false">IF(A285="","",IF(A285&lt;=profil!$B$9,"Realisasi","Rencana"))</f>
        <v>Rencana</v>
      </c>
      <c r="C285" s="18" t="s">
        <v>150</v>
      </c>
      <c r="D285" s="26" t="n">
        <f aca="false">IFERROR(INDEX(sumber_pasokan!$E:$E,MATCH(C285,sumber_pasokan!$B:$B,0)),"")</f>
        <v>0</v>
      </c>
      <c r="E285" s="27"/>
    </row>
    <row r="286" customFormat="false" ht="15" hidden="false" customHeight="false" outlineLevel="0" collapsed="false">
      <c r="A286" s="25" t="n">
        <v>46165</v>
      </c>
      <c r="B286" s="23" t="str">
        <f aca="false">IF(A286="","",IF(A286&lt;=profil!$B$9,"Realisasi","Rencana"))</f>
        <v>Rencana</v>
      </c>
      <c r="C286" s="18" t="s">
        <v>82</v>
      </c>
      <c r="D286" s="26" t="n">
        <f aca="false">IFERROR(INDEX(sumber_pasokan!$E:$E,MATCH(C286,sumber_pasokan!$B:$B,0)),"")</f>
        <v>0</v>
      </c>
      <c r="E286" s="27"/>
    </row>
    <row r="287" customFormat="false" ht="15" hidden="false" customHeight="false" outlineLevel="0" collapsed="false">
      <c r="A287" s="25" t="n">
        <v>46165</v>
      </c>
      <c r="B287" s="23" t="str">
        <f aca="false">IF(A287="","",IF(A287&lt;=profil!$B$9,"Realisasi","Rencana"))</f>
        <v>Rencana</v>
      </c>
      <c r="C287" s="18" t="s">
        <v>150</v>
      </c>
      <c r="D287" s="26" t="n">
        <f aca="false">IFERROR(INDEX(sumber_pasokan!$E:$E,MATCH(C287,sumber_pasokan!$B:$B,0)),"")</f>
        <v>0</v>
      </c>
      <c r="E287" s="27"/>
    </row>
    <row r="288" customFormat="false" ht="15" hidden="false" customHeight="false" outlineLevel="0" collapsed="false">
      <c r="A288" s="25" t="n">
        <v>46166</v>
      </c>
      <c r="B288" s="23" t="str">
        <f aca="false">IF(A288="","",IF(A288&lt;=profil!$B$9,"Realisasi","Rencana"))</f>
        <v>Rencana</v>
      </c>
      <c r="C288" s="18" t="s">
        <v>82</v>
      </c>
      <c r="D288" s="26" t="n">
        <f aca="false">IFERROR(INDEX(sumber_pasokan!$E:$E,MATCH(C288,sumber_pasokan!$B:$B,0)),"")</f>
        <v>0</v>
      </c>
      <c r="E288" s="27"/>
    </row>
    <row r="289" customFormat="false" ht="15" hidden="false" customHeight="false" outlineLevel="0" collapsed="false">
      <c r="A289" s="25" t="n">
        <v>46166</v>
      </c>
      <c r="B289" s="23" t="str">
        <f aca="false">IF(A289="","",IF(A289&lt;=profil!$B$9,"Realisasi","Rencana"))</f>
        <v>Rencana</v>
      </c>
      <c r="C289" s="18" t="s">
        <v>150</v>
      </c>
      <c r="D289" s="26" t="n">
        <f aca="false">IFERROR(INDEX(sumber_pasokan!$E:$E,MATCH(C289,sumber_pasokan!$B:$B,0)),"")</f>
        <v>0</v>
      </c>
      <c r="E289" s="27"/>
    </row>
    <row r="290" customFormat="false" ht="15" hidden="false" customHeight="false" outlineLevel="0" collapsed="false">
      <c r="A290" s="25" t="n">
        <v>46167</v>
      </c>
      <c r="B290" s="23" t="str">
        <f aca="false">IF(A290="","",IF(A290&lt;=profil!$B$9,"Realisasi","Rencana"))</f>
        <v>Rencana</v>
      </c>
      <c r="C290" s="18" t="s">
        <v>82</v>
      </c>
      <c r="D290" s="26" t="n">
        <f aca="false">IFERROR(INDEX(sumber_pasokan!$E:$E,MATCH(C290,sumber_pasokan!$B:$B,0)),"")</f>
        <v>0</v>
      </c>
      <c r="E290" s="27"/>
    </row>
    <row r="291" customFormat="false" ht="15" hidden="false" customHeight="false" outlineLevel="0" collapsed="false">
      <c r="A291" s="25" t="n">
        <v>46167</v>
      </c>
      <c r="B291" s="23" t="str">
        <f aca="false">IF(A291="","",IF(A291&lt;=profil!$B$9,"Realisasi","Rencana"))</f>
        <v>Rencana</v>
      </c>
      <c r="C291" s="18" t="s">
        <v>150</v>
      </c>
      <c r="D291" s="26" t="n">
        <f aca="false">IFERROR(INDEX(sumber_pasokan!$E:$E,MATCH(C291,sumber_pasokan!$B:$B,0)),"")</f>
        <v>0</v>
      </c>
      <c r="E291" s="27"/>
    </row>
    <row r="292" customFormat="false" ht="15" hidden="false" customHeight="false" outlineLevel="0" collapsed="false">
      <c r="A292" s="25" t="n">
        <v>46168</v>
      </c>
      <c r="B292" s="23" t="str">
        <f aca="false">IF(A292="","",IF(A292&lt;=profil!$B$9,"Realisasi","Rencana"))</f>
        <v>Rencana</v>
      </c>
      <c r="C292" s="18" t="s">
        <v>82</v>
      </c>
      <c r="D292" s="26" t="n">
        <f aca="false">IFERROR(INDEX(sumber_pasokan!$E:$E,MATCH(C292,sumber_pasokan!$B:$B,0)),"")</f>
        <v>0</v>
      </c>
      <c r="E292" s="27"/>
    </row>
    <row r="293" customFormat="false" ht="15" hidden="false" customHeight="false" outlineLevel="0" collapsed="false">
      <c r="A293" s="25" t="n">
        <v>46168</v>
      </c>
      <c r="B293" s="23" t="str">
        <f aca="false">IF(A293="","",IF(A293&lt;=profil!$B$9,"Realisasi","Rencana"))</f>
        <v>Rencana</v>
      </c>
      <c r="C293" s="18" t="s">
        <v>150</v>
      </c>
      <c r="D293" s="26" t="n">
        <f aca="false">IFERROR(INDEX(sumber_pasokan!$E:$E,MATCH(C293,sumber_pasokan!$B:$B,0)),"")</f>
        <v>0</v>
      </c>
      <c r="E293" s="27"/>
    </row>
    <row r="294" customFormat="false" ht="15" hidden="false" customHeight="false" outlineLevel="0" collapsed="false">
      <c r="A294" s="25" t="n">
        <v>46169</v>
      </c>
      <c r="B294" s="23" t="str">
        <f aca="false">IF(A294="","",IF(A294&lt;=profil!$B$9,"Realisasi","Rencana"))</f>
        <v>Rencana</v>
      </c>
      <c r="C294" s="18" t="s">
        <v>82</v>
      </c>
      <c r="D294" s="26" t="n">
        <f aca="false">IFERROR(INDEX(sumber_pasokan!$E:$E,MATCH(C294,sumber_pasokan!$B:$B,0)),"")</f>
        <v>0</v>
      </c>
      <c r="E294" s="27"/>
    </row>
    <row r="295" customFormat="false" ht="15" hidden="false" customHeight="false" outlineLevel="0" collapsed="false">
      <c r="A295" s="25" t="n">
        <v>46169</v>
      </c>
      <c r="B295" s="23" t="str">
        <f aca="false">IF(A295="","",IF(A295&lt;=profil!$B$9,"Realisasi","Rencana"))</f>
        <v>Rencana</v>
      </c>
      <c r="C295" s="18" t="s">
        <v>150</v>
      </c>
      <c r="D295" s="26" t="n">
        <f aca="false">IFERROR(INDEX(sumber_pasokan!$E:$E,MATCH(C295,sumber_pasokan!$B:$B,0)),"")</f>
        <v>0</v>
      </c>
      <c r="E295" s="27"/>
    </row>
    <row r="296" customFormat="false" ht="15" hidden="false" customHeight="false" outlineLevel="0" collapsed="false">
      <c r="A296" s="25" t="n">
        <v>46170</v>
      </c>
      <c r="B296" s="23" t="str">
        <f aca="false">IF(A296="","",IF(A296&lt;=profil!$B$9,"Realisasi","Rencana"))</f>
        <v>Rencana</v>
      </c>
      <c r="C296" s="18" t="s">
        <v>82</v>
      </c>
      <c r="D296" s="26" t="n">
        <f aca="false">IFERROR(INDEX(sumber_pasokan!$E:$E,MATCH(C296,sumber_pasokan!$B:$B,0)),"")</f>
        <v>0</v>
      </c>
      <c r="E296" s="27"/>
    </row>
    <row r="297" customFormat="false" ht="15" hidden="false" customHeight="false" outlineLevel="0" collapsed="false">
      <c r="A297" s="25" t="n">
        <v>46170</v>
      </c>
      <c r="B297" s="23" t="str">
        <f aca="false">IF(A297="","",IF(A297&lt;=profil!$B$9,"Realisasi","Rencana"))</f>
        <v>Rencana</v>
      </c>
      <c r="C297" s="18" t="s">
        <v>150</v>
      </c>
      <c r="D297" s="26" t="n">
        <f aca="false">IFERROR(INDEX(sumber_pasokan!$E:$E,MATCH(C297,sumber_pasokan!$B:$B,0)),"")</f>
        <v>0</v>
      </c>
      <c r="E297" s="27"/>
    </row>
    <row r="298" customFormat="false" ht="15" hidden="false" customHeight="false" outlineLevel="0" collapsed="false">
      <c r="A298" s="25" t="n">
        <v>46171</v>
      </c>
      <c r="B298" s="23" t="str">
        <f aca="false">IF(A298="","",IF(A298&lt;=profil!$B$9,"Realisasi","Rencana"))</f>
        <v>Rencana</v>
      </c>
      <c r="C298" s="18" t="s">
        <v>82</v>
      </c>
      <c r="D298" s="26" t="n">
        <f aca="false">IFERROR(INDEX(sumber_pasokan!$E:$E,MATCH(C298,sumber_pasokan!$B:$B,0)),"")</f>
        <v>0</v>
      </c>
      <c r="E298" s="27"/>
    </row>
    <row r="299" customFormat="false" ht="15" hidden="false" customHeight="false" outlineLevel="0" collapsed="false">
      <c r="A299" s="25" t="n">
        <v>46171</v>
      </c>
      <c r="B299" s="23" t="str">
        <f aca="false">IF(A299="","",IF(A299&lt;=profil!$B$9,"Realisasi","Rencana"))</f>
        <v>Rencana</v>
      </c>
      <c r="C299" s="18" t="s">
        <v>150</v>
      </c>
      <c r="D299" s="26" t="n">
        <f aca="false">IFERROR(INDEX(sumber_pasokan!$E:$E,MATCH(C299,sumber_pasokan!$B:$B,0)),"")</f>
        <v>0</v>
      </c>
      <c r="E299" s="27"/>
    </row>
    <row r="300" customFormat="false" ht="15" hidden="false" customHeight="false" outlineLevel="0" collapsed="false">
      <c r="A300" s="25" t="n">
        <v>46172</v>
      </c>
      <c r="B300" s="23" t="str">
        <f aca="false">IF(A300="","",IF(A300&lt;=profil!$B$9,"Realisasi","Rencana"))</f>
        <v>Rencana</v>
      </c>
      <c r="C300" s="18" t="s">
        <v>82</v>
      </c>
      <c r="D300" s="26" t="n">
        <f aca="false">IFERROR(INDEX(sumber_pasokan!$E:$E,MATCH(C300,sumber_pasokan!$B:$B,0)),"")</f>
        <v>0</v>
      </c>
      <c r="E300" s="27"/>
    </row>
    <row r="301" customFormat="false" ht="15" hidden="false" customHeight="false" outlineLevel="0" collapsed="false">
      <c r="A301" s="25" t="n">
        <v>46172</v>
      </c>
      <c r="B301" s="23" t="str">
        <f aca="false">IF(A301="","",IF(A301&lt;=profil!$B$9,"Realisasi","Rencana"))</f>
        <v>Rencana</v>
      </c>
      <c r="C301" s="18" t="s">
        <v>150</v>
      </c>
      <c r="D301" s="26" t="n">
        <f aca="false">IFERROR(INDEX(sumber_pasokan!$E:$E,MATCH(C301,sumber_pasokan!$B:$B,0)),"")</f>
        <v>0</v>
      </c>
      <c r="E301" s="27"/>
    </row>
    <row r="302" customFormat="false" ht="15" hidden="false" customHeight="false" outlineLevel="0" collapsed="false">
      <c r="A302" s="25" t="n">
        <v>46173</v>
      </c>
      <c r="B302" s="23" t="str">
        <f aca="false">IF(A302="","",IF(A302&lt;=profil!$B$9,"Realisasi","Rencana"))</f>
        <v>Rencana</v>
      </c>
      <c r="C302" s="18" t="s">
        <v>82</v>
      </c>
      <c r="D302" s="26" t="n">
        <f aca="false">IFERROR(INDEX(sumber_pasokan!$E:$E,MATCH(C302,sumber_pasokan!$B:$B,0)),"")</f>
        <v>0</v>
      </c>
      <c r="E302" s="27"/>
    </row>
    <row r="303" customFormat="false" ht="15" hidden="false" customHeight="false" outlineLevel="0" collapsed="false">
      <c r="A303" s="25" t="n">
        <v>46173</v>
      </c>
      <c r="B303" s="23" t="str">
        <f aca="false">IF(A303="","",IF(A303&lt;=profil!$B$9,"Realisasi","Rencana"))</f>
        <v>Rencana</v>
      </c>
      <c r="C303" s="18" t="s">
        <v>150</v>
      </c>
      <c r="D303" s="26" t="n">
        <f aca="false">IFERROR(INDEX(sumber_pasokan!$E:$E,MATCH(C303,sumber_pasokan!$B:$B,0)),"")</f>
        <v>0</v>
      </c>
      <c r="E303" s="27"/>
    </row>
    <row r="304" customFormat="false" ht="15" hidden="false" customHeight="false" outlineLevel="0" collapsed="false">
      <c r="A304" s="25" t="n">
        <v>46174</v>
      </c>
      <c r="B304" s="23" t="str">
        <f aca="false">IF(A304="","",IF(A304&lt;=profil!$B$9,"Realisasi","Rencana"))</f>
        <v>Rencana</v>
      </c>
      <c r="C304" s="18" t="s">
        <v>82</v>
      </c>
      <c r="D304" s="26" t="n">
        <f aca="false">IFERROR(INDEX(sumber_pasokan!$E:$E,MATCH(C304,sumber_pasokan!$B:$B,0)),"")</f>
        <v>0</v>
      </c>
      <c r="E304" s="27"/>
    </row>
    <row r="305" customFormat="false" ht="15" hidden="false" customHeight="false" outlineLevel="0" collapsed="false">
      <c r="A305" s="25" t="n">
        <v>46174</v>
      </c>
      <c r="B305" s="23" t="str">
        <f aca="false">IF(A305="","",IF(A305&lt;=profil!$B$9,"Realisasi","Rencana"))</f>
        <v>Rencana</v>
      </c>
      <c r="C305" s="18" t="s">
        <v>150</v>
      </c>
      <c r="D305" s="26" t="n">
        <f aca="false">IFERROR(INDEX(sumber_pasokan!$E:$E,MATCH(C305,sumber_pasokan!$B:$B,0)),"")</f>
        <v>0</v>
      </c>
      <c r="E305" s="27"/>
    </row>
    <row r="306" customFormat="false" ht="15" hidden="false" customHeight="false" outlineLevel="0" collapsed="false">
      <c r="A306" s="25" t="n">
        <v>46175</v>
      </c>
      <c r="B306" s="23" t="str">
        <f aca="false">IF(A306="","",IF(A306&lt;=profil!$B$9,"Realisasi","Rencana"))</f>
        <v>Rencana</v>
      </c>
      <c r="C306" s="18" t="s">
        <v>82</v>
      </c>
      <c r="D306" s="26" t="n">
        <f aca="false">IFERROR(INDEX(sumber_pasokan!$E:$E,MATCH(C306,sumber_pasokan!$B:$B,0)),"")</f>
        <v>0</v>
      </c>
      <c r="E306" s="27"/>
    </row>
    <row r="307" customFormat="false" ht="15" hidden="false" customHeight="false" outlineLevel="0" collapsed="false">
      <c r="A307" s="25" t="n">
        <v>46175</v>
      </c>
      <c r="B307" s="23" t="str">
        <f aca="false">IF(A307="","",IF(A307&lt;=profil!$B$9,"Realisasi","Rencana"))</f>
        <v>Rencana</v>
      </c>
      <c r="C307" s="18" t="s">
        <v>150</v>
      </c>
      <c r="D307" s="26" t="n">
        <f aca="false">IFERROR(INDEX(sumber_pasokan!$E:$E,MATCH(C307,sumber_pasokan!$B:$B,0)),"")</f>
        <v>0</v>
      </c>
      <c r="E307" s="27"/>
    </row>
    <row r="308" customFormat="false" ht="15" hidden="false" customHeight="false" outlineLevel="0" collapsed="false">
      <c r="A308" s="25" t="n">
        <v>46176</v>
      </c>
      <c r="B308" s="23" t="str">
        <f aca="false">IF(A308="","",IF(A308&lt;=profil!$B$9,"Realisasi","Rencana"))</f>
        <v>Rencana</v>
      </c>
      <c r="C308" s="18" t="s">
        <v>82</v>
      </c>
      <c r="D308" s="26" t="n">
        <f aca="false">IFERROR(INDEX(sumber_pasokan!$E:$E,MATCH(C308,sumber_pasokan!$B:$B,0)),"")</f>
        <v>0</v>
      </c>
      <c r="E308" s="27"/>
    </row>
    <row r="309" customFormat="false" ht="15" hidden="false" customHeight="false" outlineLevel="0" collapsed="false">
      <c r="A309" s="25" t="n">
        <v>46176</v>
      </c>
      <c r="B309" s="23" t="str">
        <f aca="false">IF(A309="","",IF(A309&lt;=profil!$B$9,"Realisasi","Rencana"))</f>
        <v>Rencana</v>
      </c>
      <c r="C309" s="18" t="s">
        <v>150</v>
      </c>
      <c r="D309" s="26" t="n">
        <f aca="false">IFERROR(INDEX(sumber_pasokan!$E:$E,MATCH(C309,sumber_pasokan!$B:$B,0)),"")</f>
        <v>0</v>
      </c>
      <c r="E309" s="27"/>
    </row>
    <row r="310" customFormat="false" ht="15" hidden="false" customHeight="false" outlineLevel="0" collapsed="false">
      <c r="A310" s="25" t="n">
        <v>46177</v>
      </c>
      <c r="B310" s="23" t="str">
        <f aca="false">IF(A310="","",IF(A310&lt;=profil!$B$9,"Realisasi","Rencana"))</f>
        <v>Rencana</v>
      </c>
      <c r="C310" s="18" t="s">
        <v>82</v>
      </c>
      <c r="D310" s="26" t="n">
        <f aca="false">IFERROR(INDEX(sumber_pasokan!$E:$E,MATCH(C310,sumber_pasokan!$B:$B,0)),"")</f>
        <v>0</v>
      </c>
      <c r="E310" s="27"/>
    </row>
    <row r="311" customFormat="false" ht="15" hidden="false" customHeight="false" outlineLevel="0" collapsed="false">
      <c r="A311" s="25" t="n">
        <v>46177</v>
      </c>
      <c r="B311" s="23" t="str">
        <f aca="false">IF(A311="","",IF(A311&lt;=profil!$B$9,"Realisasi","Rencana"))</f>
        <v>Rencana</v>
      </c>
      <c r="C311" s="18" t="s">
        <v>150</v>
      </c>
      <c r="D311" s="26" t="n">
        <f aca="false">IFERROR(INDEX(sumber_pasokan!$E:$E,MATCH(C311,sumber_pasokan!$B:$B,0)),"")</f>
        <v>0</v>
      </c>
      <c r="E311" s="27"/>
    </row>
    <row r="312" customFormat="false" ht="15" hidden="false" customHeight="false" outlineLevel="0" collapsed="false">
      <c r="A312" s="25" t="n">
        <v>46178</v>
      </c>
      <c r="B312" s="23" t="str">
        <f aca="false">IF(A312="","",IF(A312&lt;=profil!$B$9,"Realisasi","Rencana"))</f>
        <v>Rencana</v>
      </c>
      <c r="C312" s="18" t="s">
        <v>82</v>
      </c>
      <c r="D312" s="26" t="n">
        <f aca="false">IFERROR(INDEX(sumber_pasokan!$E:$E,MATCH(C312,sumber_pasokan!$B:$B,0)),"")</f>
        <v>0</v>
      </c>
      <c r="E312" s="27"/>
    </row>
    <row r="313" customFormat="false" ht="15" hidden="false" customHeight="false" outlineLevel="0" collapsed="false">
      <c r="A313" s="25" t="n">
        <v>46178</v>
      </c>
      <c r="B313" s="23" t="str">
        <f aca="false">IF(A313="","",IF(A313&lt;=profil!$B$9,"Realisasi","Rencana"))</f>
        <v>Rencana</v>
      </c>
      <c r="C313" s="18" t="s">
        <v>150</v>
      </c>
      <c r="D313" s="26" t="n">
        <f aca="false">IFERROR(INDEX(sumber_pasokan!$E:$E,MATCH(C313,sumber_pasokan!$B:$B,0)),"")</f>
        <v>0</v>
      </c>
      <c r="E313" s="27"/>
    </row>
    <row r="314" customFormat="false" ht="15" hidden="false" customHeight="false" outlineLevel="0" collapsed="false">
      <c r="A314" s="25" t="n">
        <v>46179</v>
      </c>
      <c r="B314" s="23" t="str">
        <f aca="false">IF(A314="","",IF(A314&lt;=profil!$B$9,"Realisasi","Rencana"))</f>
        <v>Rencana</v>
      </c>
      <c r="C314" s="18" t="s">
        <v>82</v>
      </c>
      <c r="D314" s="26" t="n">
        <f aca="false">IFERROR(INDEX(sumber_pasokan!$E:$E,MATCH(C314,sumber_pasokan!$B:$B,0)),"")</f>
        <v>0</v>
      </c>
      <c r="E314" s="27"/>
    </row>
    <row r="315" customFormat="false" ht="15" hidden="false" customHeight="false" outlineLevel="0" collapsed="false">
      <c r="A315" s="25" t="n">
        <v>46179</v>
      </c>
      <c r="B315" s="23" t="str">
        <f aca="false">IF(A315="","",IF(A315&lt;=profil!$B$9,"Realisasi","Rencana"))</f>
        <v>Rencana</v>
      </c>
      <c r="C315" s="18" t="s">
        <v>150</v>
      </c>
      <c r="D315" s="26" t="n">
        <f aca="false">IFERROR(INDEX(sumber_pasokan!$E:$E,MATCH(C315,sumber_pasokan!$B:$B,0)),"")</f>
        <v>0</v>
      </c>
      <c r="E315" s="27"/>
    </row>
    <row r="316" customFormat="false" ht="15" hidden="false" customHeight="false" outlineLevel="0" collapsed="false">
      <c r="A316" s="25" t="n">
        <v>46180</v>
      </c>
      <c r="B316" s="23" t="str">
        <f aca="false">IF(A316="","",IF(A316&lt;=profil!$B$9,"Realisasi","Rencana"))</f>
        <v>Rencana</v>
      </c>
      <c r="C316" s="18" t="s">
        <v>82</v>
      </c>
      <c r="D316" s="26" t="n">
        <f aca="false">IFERROR(INDEX(sumber_pasokan!$E:$E,MATCH(C316,sumber_pasokan!$B:$B,0)),"")</f>
        <v>0</v>
      </c>
      <c r="E316" s="27"/>
    </row>
    <row r="317" customFormat="false" ht="15" hidden="false" customHeight="false" outlineLevel="0" collapsed="false">
      <c r="A317" s="25" t="n">
        <v>46180</v>
      </c>
      <c r="B317" s="23" t="str">
        <f aca="false">IF(A317="","",IF(A317&lt;=profil!$B$9,"Realisasi","Rencana"))</f>
        <v>Rencana</v>
      </c>
      <c r="C317" s="18" t="s">
        <v>150</v>
      </c>
      <c r="D317" s="26" t="n">
        <f aca="false">IFERROR(INDEX(sumber_pasokan!$E:$E,MATCH(C317,sumber_pasokan!$B:$B,0)),"")</f>
        <v>0</v>
      </c>
      <c r="E317" s="27"/>
    </row>
    <row r="318" customFormat="false" ht="15" hidden="false" customHeight="false" outlineLevel="0" collapsed="false">
      <c r="A318" s="25" t="n">
        <v>46181</v>
      </c>
      <c r="B318" s="23" t="str">
        <f aca="false">IF(A318="","",IF(A318&lt;=profil!$B$9,"Realisasi","Rencana"))</f>
        <v>Rencana</v>
      </c>
      <c r="C318" s="18" t="s">
        <v>82</v>
      </c>
      <c r="D318" s="26" t="n">
        <f aca="false">IFERROR(INDEX(sumber_pasokan!$E:$E,MATCH(C318,sumber_pasokan!$B:$B,0)),"")</f>
        <v>0</v>
      </c>
      <c r="E318" s="27"/>
    </row>
    <row r="319" customFormat="false" ht="15" hidden="false" customHeight="false" outlineLevel="0" collapsed="false">
      <c r="A319" s="25" t="n">
        <v>46181</v>
      </c>
      <c r="B319" s="23" t="str">
        <f aca="false">IF(A319="","",IF(A319&lt;=profil!$B$9,"Realisasi","Rencana"))</f>
        <v>Rencana</v>
      </c>
      <c r="C319" s="18" t="s">
        <v>150</v>
      </c>
      <c r="D319" s="26" t="n">
        <f aca="false">IFERROR(INDEX(sumber_pasokan!$E:$E,MATCH(C319,sumber_pasokan!$B:$B,0)),"")</f>
        <v>0</v>
      </c>
      <c r="E319" s="27"/>
    </row>
    <row r="320" customFormat="false" ht="15" hidden="false" customHeight="false" outlineLevel="0" collapsed="false">
      <c r="A320" s="25" t="n">
        <v>46182</v>
      </c>
      <c r="B320" s="23" t="str">
        <f aca="false">IF(A320="","",IF(A320&lt;=profil!$B$9,"Realisasi","Rencana"))</f>
        <v>Rencana</v>
      </c>
      <c r="C320" s="18" t="s">
        <v>82</v>
      </c>
      <c r="D320" s="26" t="n">
        <f aca="false">IFERROR(INDEX(sumber_pasokan!$E:$E,MATCH(C320,sumber_pasokan!$B:$B,0)),"")</f>
        <v>0</v>
      </c>
      <c r="E320" s="27"/>
    </row>
    <row r="321" customFormat="false" ht="15" hidden="false" customHeight="false" outlineLevel="0" collapsed="false">
      <c r="A321" s="25" t="n">
        <v>46182</v>
      </c>
      <c r="B321" s="23" t="str">
        <f aca="false">IF(A321="","",IF(A321&lt;=profil!$B$9,"Realisasi","Rencana"))</f>
        <v>Rencana</v>
      </c>
      <c r="C321" s="18" t="s">
        <v>150</v>
      </c>
      <c r="D321" s="26" t="n">
        <f aca="false">IFERROR(INDEX(sumber_pasokan!$E:$E,MATCH(C321,sumber_pasokan!$B:$B,0)),"")</f>
        <v>0</v>
      </c>
      <c r="E321" s="27"/>
    </row>
    <row r="322" customFormat="false" ht="15" hidden="false" customHeight="false" outlineLevel="0" collapsed="false">
      <c r="A322" s="25" t="n">
        <v>46183</v>
      </c>
      <c r="B322" s="23" t="str">
        <f aca="false">IF(A322="","",IF(A322&lt;=profil!$B$9,"Realisasi","Rencana"))</f>
        <v>Rencana</v>
      </c>
      <c r="C322" s="18" t="s">
        <v>82</v>
      </c>
      <c r="D322" s="26" t="n">
        <f aca="false">IFERROR(INDEX(sumber_pasokan!$E:$E,MATCH(C322,sumber_pasokan!$B:$B,0)),"")</f>
        <v>0</v>
      </c>
      <c r="E322" s="27"/>
    </row>
    <row r="323" customFormat="false" ht="15" hidden="false" customHeight="false" outlineLevel="0" collapsed="false">
      <c r="A323" s="25" t="n">
        <v>46183</v>
      </c>
      <c r="B323" s="23" t="str">
        <f aca="false">IF(A323="","",IF(A323&lt;=profil!$B$9,"Realisasi","Rencana"))</f>
        <v>Rencana</v>
      </c>
      <c r="C323" s="18" t="s">
        <v>150</v>
      </c>
      <c r="D323" s="26" t="n">
        <f aca="false">IFERROR(INDEX(sumber_pasokan!$E:$E,MATCH(C323,sumber_pasokan!$B:$B,0)),"")</f>
        <v>0</v>
      </c>
      <c r="E323" s="27"/>
    </row>
    <row r="324" customFormat="false" ht="15" hidden="false" customHeight="false" outlineLevel="0" collapsed="false">
      <c r="A324" s="25" t="n">
        <v>46184</v>
      </c>
      <c r="B324" s="23" t="str">
        <f aca="false">IF(A324="","",IF(A324&lt;=profil!$B$9,"Realisasi","Rencana"))</f>
        <v>Rencana</v>
      </c>
      <c r="C324" s="18" t="s">
        <v>82</v>
      </c>
      <c r="D324" s="26" t="n">
        <f aca="false">IFERROR(INDEX(sumber_pasokan!$E:$E,MATCH(C324,sumber_pasokan!$B:$B,0)),"")</f>
        <v>0</v>
      </c>
      <c r="E324" s="27"/>
    </row>
    <row r="325" customFormat="false" ht="15" hidden="false" customHeight="false" outlineLevel="0" collapsed="false">
      <c r="A325" s="25" t="n">
        <v>46184</v>
      </c>
      <c r="B325" s="23" t="str">
        <f aca="false">IF(A325="","",IF(A325&lt;=profil!$B$9,"Realisasi","Rencana"))</f>
        <v>Rencana</v>
      </c>
      <c r="C325" s="18" t="s">
        <v>150</v>
      </c>
      <c r="D325" s="26" t="n">
        <f aca="false">IFERROR(INDEX(sumber_pasokan!$E:$E,MATCH(C325,sumber_pasokan!$B:$B,0)),"")</f>
        <v>0</v>
      </c>
      <c r="E325" s="27"/>
    </row>
    <row r="326" customFormat="false" ht="15" hidden="false" customHeight="false" outlineLevel="0" collapsed="false">
      <c r="A326" s="25" t="n">
        <v>46185</v>
      </c>
      <c r="B326" s="23" t="str">
        <f aca="false">IF(A326="","",IF(A326&lt;=profil!$B$9,"Realisasi","Rencana"))</f>
        <v>Rencana</v>
      </c>
      <c r="C326" s="18" t="s">
        <v>82</v>
      </c>
      <c r="D326" s="26" t="n">
        <f aca="false">IFERROR(INDEX(sumber_pasokan!$E:$E,MATCH(C326,sumber_pasokan!$B:$B,0)),"")</f>
        <v>0</v>
      </c>
      <c r="E326" s="27"/>
    </row>
    <row r="327" customFormat="false" ht="15" hidden="false" customHeight="false" outlineLevel="0" collapsed="false">
      <c r="A327" s="25" t="n">
        <v>46185</v>
      </c>
      <c r="B327" s="23" t="str">
        <f aca="false">IF(A327="","",IF(A327&lt;=profil!$B$9,"Realisasi","Rencana"))</f>
        <v>Rencana</v>
      </c>
      <c r="C327" s="18" t="s">
        <v>150</v>
      </c>
      <c r="D327" s="26" t="n">
        <f aca="false">IFERROR(INDEX(sumber_pasokan!$E:$E,MATCH(C327,sumber_pasokan!$B:$B,0)),"")</f>
        <v>0</v>
      </c>
      <c r="E327" s="27"/>
    </row>
    <row r="328" customFormat="false" ht="15" hidden="false" customHeight="false" outlineLevel="0" collapsed="false">
      <c r="A328" s="25" t="n">
        <v>46186</v>
      </c>
      <c r="B328" s="23" t="str">
        <f aca="false">IF(A328="","",IF(A328&lt;=profil!$B$9,"Realisasi","Rencana"))</f>
        <v>Rencana</v>
      </c>
      <c r="C328" s="18" t="s">
        <v>82</v>
      </c>
      <c r="D328" s="26" t="n">
        <f aca="false">IFERROR(INDEX(sumber_pasokan!$E:$E,MATCH(C328,sumber_pasokan!$B:$B,0)),"")</f>
        <v>0</v>
      </c>
      <c r="E328" s="27"/>
    </row>
    <row r="329" customFormat="false" ht="15" hidden="false" customHeight="false" outlineLevel="0" collapsed="false">
      <c r="A329" s="25" t="n">
        <v>46186</v>
      </c>
      <c r="B329" s="23" t="str">
        <f aca="false">IF(A329="","",IF(A329&lt;=profil!$B$9,"Realisasi","Rencana"))</f>
        <v>Rencana</v>
      </c>
      <c r="C329" s="18" t="s">
        <v>150</v>
      </c>
      <c r="D329" s="26" t="n">
        <f aca="false">IFERROR(INDEX(sumber_pasokan!$E:$E,MATCH(C329,sumber_pasokan!$B:$B,0)),"")</f>
        <v>0</v>
      </c>
      <c r="E329" s="27"/>
    </row>
    <row r="330" customFormat="false" ht="15" hidden="false" customHeight="false" outlineLevel="0" collapsed="false">
      <c r="A330" s="25" t="n">
        <v>46187</v>
      </c>
      <c r="B330" s="23" t="str">
        <f aca="false">IF(A330="","",IF(A330&lt;=profil!$B$9,"Realisasi","Rencana"))</f>
        <v>Rencana</v>
      </c>
      <c r="C330" s="18" t="s">
        <v>82</v>
      </c>
      <c r="D330" s="26" t="n">
        <f aca="false">IFERROR(INDEX(sumber_pasokan!$E:$E,MATCH(C330,sumber_pasokan!$B:$B,0)),"")</f>
        <v>0</v>
      </c>
      <c r="E330" s="27"/>
    </row>
    <row r="331" customFormat="false" ht="15" hidden="false" customHeight="false" outlineLevel="0" collapsed="false">
      <c r="A331" s="25" t="n">
        <v>46187</v>
      </c>
      <c r="B331" s="23" t="str">
        <f aca="false">IF(A331="","",IF(A331&lt;=profil!$B$9,"Realisasi","Rencana"))</f>
        <v>Rencana</v>
      </c>
      <c r="C331" s="18" t="s">
        <v>150</v>
      </c>
      <c r="D331" s="26" t="n">
        <f aca="false">IFERROR(INDEX(sumber_pasokan!$E:$E,MATCH(C331,sumber_pasokan!$B:$B,0)),"")</f>
        <v>0</v>
      </c>
      <c r="E331" s="27"/>
    </row>
    <row r="332" customFormat="false" ht="15" hidden="false" customHeight="false" outlineLevel="0" collapsed="false">
      <c r="A332" s="25" t="n">
        <v>46188</v>
      </c>
      <c r="B332" s="23" t="str">
        <f aca="false">IF(A332="","",IF(A332&lt;=profil!$B$9,"Realisasi","Rencana"))</f>
        <v>Rencana</v>
      </c>
      <c r="C332" s="18" t="s">
        <v>82</v>
      </c>
      <c r="D332" s="26" t="n">
        <f aca="false">IFERROR(INDEX(sumber_pasokan!$E:$E,MATCH(C332,sumber_pasokan!$B:$B,0)),"")</f>
        <v>0</v>
      </c>
      <c r="E332" s="27"/>
    </row>
    <row r="333" customFormat="false" ht="15" hidden="false" customHeight="false" outlineLevel="0" collapsed="false">
      <c r="A333" s="25" t="n">
        <v>46188</v>
      </c>
      <c r="B333" s="23" t="str">
        <f aca="false">IF(A333="","",IF(A333&lt;=profil!$B$9,"Realisasi","Rencana"))</f>
        <v>Rencana</v>
      </c>
      <c r="C333" s="18" t="s">
        <v>150</v>
      </c>
      <c r="D333" s="26" t="n">
        <f aca="false">IFERROR(INDEX(sumber_pasokan!$E:$E,MATCH(C333,sumber_pasokan!$B:$B,0)),"")</f>
        <v>0</v>
      </c>
      <c r="E333" s="27"/>
    </row>
    <row r="334" customFormat="false" ht="15" hidden="false" customHeight="false" outlineLevel="0" collapsed="false">
      <c r="A334" s="25" t="n">
        <v>46189</v>
      </c>
      <c r="B334" s="23" t="str">
        <f aca="false">IF(A334="","",IF(A334&lt;=profil!$B$9,"Realisasi","Rencana"))</f>
        <v>Rencana</v>
      </c>
      <c r="C334" s="18" t="s">
        <v>82</v>
      </c>
      <c r="D334" s="26" t="n">
        <f aca="false">IFERROR(INDEX(sumber_pasokan!$E:$E,MATCH(C334,sumber_pasokan!$B:$B,0)),"")</f>
        <v>0</v>
      </c>
      <c r="E334" s="27"/>
    </row>
    <row r="335" customFormat="false" ht="15" hidden="false" customHeight="false" outlineLevel="0" collapsed="false">
      <c r="A335" s="25" t="n">
        <v>46189</v>
      </c>
      <c r="B335" s="23" t="str">
        <f aca="false">IF(A335="","",IF(A335&lt;=profil!$B$9,"Realisasi","Rencana"))</f>
        <v>Rencana</v>
      </c>
      <c r="C335" s="18" t="s">
        <v>150</v>
      </c>
      <c r="D335" s="26" t="n">
        <f aca="false">IFERROR(INDEX(sumber_pasokan!$E:$E,MATCH(C335,sumber_pasokan!$B:$B,0)),"")</f>
        <v>0</v>
      </c>
      <c r="E335" s="27"/>
    </row>
    <row r="336" customFormat="false" ht="15" hidden="false" customHeight="false" outlineLevel="0" collapsed="false">
      <c r="A336" s="25" t="n">
        <v>46190</v>
      </c>
      <c r="B336" s="23" t="str">
        <f aca="false">IF(A336="","",IF(A336&lt;=profil!$B$9,"Realisasi","Rencana"))</f>
        <v>Rencana</v>
      </c>
      <c r="C336" s="18" t="s">
        <v>82</v>
      </c>
      <c r="D336" s="26" t="n">
        <f aca="false">IFERROR(INDEX(sumber_pasokan!$E:$E,MATCH(C336,sumber_pasokan!$B:$B,0)),"")</f>
        <v>0</v>
      </c>
      <c r="E336" s="27"/>
    </row>
    <row r="337" customFormat="false" ht="15" hidden="false" customHeight="false" outlineLevel="0" collapsed="false">
      <c r="A337" s="25" t="n">
        <v>46190</v>
      </c>
      <c r="B337" s="23" t="str">
        <f aca="false">IF(A337="","",IF(A337&lt;=profil!$B$9,"Realisasi","Rencana"))</f>
        <v>Rencana</v>
      </c>
      <c r="C337" s="18" t="s">
        <v>150</v>
      </c>
      <c r="D337" s="26" t="n">
        <f aca="false">IFERROR(INDEX(sumber_pasokan!$E:$E,MATCH(C337,sumber_pasokan!$B:$B,0)),"")</f>
        <v>0</v>
      </c>
      <c r="E337" s="27"/>
    </row>
    <row r="338" customFormat="false" ht="15" hidden="false" customHeight="false" outlineLevel="0" collapsed="false">
      <c r="A338" s="25" t="n">
        <v>46191</v>
      </c>
      <c r="B338" s="23" t="str">
        <f aca="false">IF(A338="","",IF(A338&lt;=profil!$B$9,"Realisasi","Rencana"))</f>
        <v>Rencana</v>
      </c>
      <c r="C338" s="18" t="s">
        <v>82</v>
      </c>
      <c r="D338" s="26" t="n">
        <f aca="false">IFERROR(INDEX(sumber_pasokan!$E:$E,MATCH(C338,sumber_pasokan!$B:$B,0)),"")</f>
        <v>0</v>
      </c>
      <c r="E338" s="27"/>
    </row>
    <row r="339" customFormat="false" ht="15" hidden="false" customHeight="false" outlineLevel="0" collapsed="false">
      <c r="A339" s="25" t="n">
        <v>46191</v>
      </c>
      <c r="B339" s="23" t="str">
        <f aca="false">IF(A339="","",IF(A339&lt;=profil!$B$9,"Realisasi","Rencana"))</f>
        <v>Rencana</v>
      </c>
      <c r="C339" s="18" t="s">
        <v>150</v>
      </c>
      <c r="D339" s="26" t="n">
        <f aca="false">IFERROR(INDEX(sumber_pasokan!$E:$E,MATCH(C339,sumber_pasokan!$B:$B,0)),"")</f>
        <v>0</v>
      </c>
      <c r="E339" s="27"/>
    </row>
    <row r="340" customFormat="false" ht="15" hidden="false" customHeight="false" outlineLevel="0" collapsed="false">
      <c r="A340" s="25" t="n">
        <v>46192</v>
      </c>
      <c r="B340" s="23" t="str">
        <f aca="false">IF(A340="","",IF(A340&lt;=profil!$B$9,"Realisasi","Rencana"))</f>
        <v>Rencana</v>
      </c>
      <c r="C340" s="18" t="s">
        <v>82</v>
      </c>
      <c r="D340" s="26" t="n">
        <f aca="false">IFERROR(INDEX(sumber_pasokan!$E:$E,MATCH(C340,sumber_pasokan!$B:$B,0)),"")</f>
        <v>0</v>
      </c>
      <c r="E340" s="27"/>
    </row>
    <row r="341" customFormat="false" ht="15" hidden="false" customHeight="false" outlineLevel="0" collapsed="false">
      <c r="A341" s="25" t="n">
        <v>46192</v>
      </c>
      <c r="B341" s="23" t="str">
        <f aca="false">IF(A341="","",IF(A341&lt;=profil!$B$9,"Realisasi","Rencana"))</f>
        <v>Rencana</v>
      </c>
      <c r="C341" s="18" t="s">
        <v>150</v>
      </c>
      <c r="D341" s="26" t="n">
        <f aca="false">IFERROR(INDEX(sumber_pasokan!$E:$E,MATCH(C341,sumber_pasokan!$B:$B,0)),"")</f>
        <v>0</v>
      </c>
      <c r="E341" s="27"/>
    </row>
    <row r="342" customFormat="false" ht="15" hidden="false" customHeight="false" outlineLevel="0" collapsed="false">
      <c r="A342" s="25" t="n">
        <v>46193</v>
      </c>
      <c r="B342" s="23" t="str">
        <f aca="false">IF(A342="","",IF(A342&lt;=profil!$B$9,"Realisasi","Rencana"))</f>
        <v>Rencana</v>
      </c>
      <c r="C342" s="18" t="s">
        <v>82</v>
      </c>
      <c r="D342" s="26" t="n">
        <f aca="false">IFERROR(INDEX(sumber_pasokan!$E:$E,MATCH(C342,sumber_pasokan!$B:$B,0)),"")</f>
        <v>0</v>
      </c>
      <c r="E342" s="27"/>
    </row>
    <row r="343" customFormat="false" ht="15" hidden="false" customHeight="false" outlineLevel="0" collapsed="false">
      <c r="A343" s="25" t="n">
        <v>46193</v>
      </c>
      <c r="B343" s="23" t="str">
        <f aca="false">IF(A343="","",IF(A343&lt;=profil!$B$9,"Realisasi","Rencana"))</f>
        <v>Rencana</v>
      </c>
      <c r="C343" s="18" t="s">
        <v>150</v>
      </c>
      <c r="D343" s="26" t="n">
        <f aca="false">IFERROR(INDEX(sumber_pasokan!$E:$E,MATCH(C343,sumber_pasokan!$B:$B,0)),"")</f>
        <v>0</v>
      </c>
      <c r="E343" s="27"/>
    </row>
    <row r="344" customFormat="false" ht="15" hidden="false" customHeight="false" outlineLevel="0" collapsed="false">
      <c r="A344" s="25" t="n">
        <v>46194</v>
      </c>
      <c r="B344" s="23" t="str">
        <f aca="false">IF(A344="","",IF(A344&lt;=profil!$B$9,"Realisasi","Rencana"))</f>
        <v>Rencana</v>
      </c>
      <c r="C344" s="18" t="s">
        <v>82</v>
      </c>
      <c r="D344" s="26" t="n">
        <f aca="false">IFERROR(INDEX(sumber_pasokan!$E:$E,MATCH(C344,sumber_pasokan!$B:$B,0)),"")</f>
        <v>0</v>
      </c>
      <c r="E344" s="27"/>
    </row>
    <row r="345" customFormat="false" ht="15" hidden="false" customHeight="false" outlineLevel="0" collapsed="false">
      <c r="A345" s="25" t="n">
        <v>46194</v>
      </c>
      <c r="B345" s="23" t="str">
        <f aca="false">IF(A345="","",IF(A345&lt;=profil!$B$9,"Realisasi","Rencana"))</f>
        <v>Rencana</v>
      </c>
      <c r="C345" s="18" t="s">
        <v>150</v>
      </c>
      <c r="D345" s="26" t="n">
        <f aca="false">IFERROR(INDEX(sumber_pasokan!$E:$E,MATCH(C345,sumber_pasokan!$B:$B,0)),"")</f>
        <v>0</v>
      </c>
      <c r="E345" s="27"/>
    </row>
    <row r="346" customFormat="false" ht="15" hidden="false" customHeight="false" outlineLevel="0" collapsed="false">
      <c r="A346" s="25" t="n">
        <v>46195</v>
      </c>
      <c r="B346" s="23" t="str">
        <f aca="false">IF(A346="","",IF(A346&lt;=profil!$B$9,"Realisasi","Rencana"))</f>
        <v>Rencana</v>
      </c>
      <c r="C346" s="18" t="s">
        <v>82</v>
      </c>
      <c r="D346" s="26" t="n">
        <f aca="false">IFERROR(INDEX(sumber_pasokan!$E:$E,MATCH(C346,sumber_pasokan!$B:$B,0)),"")</f>
        <v>0</v>
      </c>
      <c r="E346" s="27"/>
    </row>
    <row r="347" customFormat="false" ht="15" hidden="false" customHeight="false" outlineLevel="0" collapsed="false">
      <c r="A347" s="25" t="n">
        <v>46195</v>
      </c>
      <c r="B347" s="23" t="str">
        <f aca="false">IF(A347="","",IF(A347&lt;=profil!$B$9,"Realisasi","Rencana"))</f>
        <v>Rencana</v>
      </c>
      <c r="C347" s="18" t="s">
        <v>150</v>
      </c>
      <c r="D347" s="26" t="n">
        <f aca="false">IFERROR(INDEX(sumber_pasokan!$E:$E,MATCH(C347,sumber_pasokan!$B:$B,0)),"")</f>
        <v>0</v>
      </c>
      <c r="E347" s="27"/>
    </row>
    <row r="348" customFormat="false" ht="15" hidden="false" customHeight="false" outlineLevel="0" collapsed="false">
      <c r="A348" s="25" t="n">
        <v>46196</v>
      </c>
      <c r="B348" s="23" t="str">
        <f aca="false">IF(A348="","",IF(A348&lt;=profil!$B$9,"Realisasi","Rencana"))</f>
        <v>Rencana</v>
      </c>
      <c r="C348" s="18" t="s">
        <v>82</v>
      </c>
      <c r="D348" s="26" t="n">
        <f aca="false">IFERROR(INDEX(sumber_pasokan!$E:$E,MATCH(C348,sumber_pasokan!$B:$B,0)),"")</f>
        <v>0</v>
      </c>
      <c r="E348" s="27"/>
    </row>
    <row r="349" customFormat="false" ht="15" hidden="false" customHeight="false" outlineLevel="0" collapsed="false">
      <c r="A349" s="25" t="n">
        <v>46196</v>
      </c>
      <c r="B349" s="23" t="str">
        <f aca="false">IF(A349="","",IF(A349&lt;=profil!$B$9,"Realisasi","Rencana"))</f>
        <v>Rencana</v>
      </c>
      <c r="C349" s="18" t="s">
        <v>150</v>
      </c>
      <c r="D349" s="26" t="n">
        <f aca="false">IFERROR(INDEX(sumber_pasokan!$E:$E,MATCH(C349,sumber_pasokan!$B:$B,0)),"")</f>
        <v>0</v>
      </c>
      <c r="E349" s="27"/>
    </row>
    <row r="350" customFormat="false" ht="15" hidden="false" customHeight="false" outlineLevel="0" collapsed="false">
      <c r="A350" s="25" t="n">
        <v>46197</v>
      </c>
      <c r="B350" s="23" t="str">
        <f aca="false">IF(A350="","",IF(A350&lt;=profil!$B$9,"Realisasi","Rencana"))</f>
        <v>Rencana</v>
      </c>
      <c r="C350" s="18" t="s">
        <v>82</v>
      </c>
      <c r="D350" s="26" t="n">
        <f aca="false">IFERROR(INDEX(sumber_pasokan!$E:$E,MATCH(C350,sumber_pasokan!$B:$B,0)),"")</f>
        <v>0</v>
      </c>
      <c r="E350" s="27"/>
    </row>
    <row r="351" customFormat="false" ht="15" hidden="false" customHeight="false" outlineLevel="0" collapsed="false">
      <c r="A351" s="25" t="n">
        <v>46197</v>
      </c>
      <c r="B351" s="23" t="str">
        <f aca="false">IF(A351="","",IF(A351&lt;=profil!$B$9,"Realisasi","Rencana"))</f>
        <v>Rencana</v>
      </c>
      <c r="C351" s="18" t="s">
        <v>150</v>
      </c>
      <c r="D351" s="26" t="n">
        <f aca="false">IFERROR(INDEX(sumber_pasokan!$E:$E,MATCH(C351,sumber_pasokan!$B:$B,0)),"")</f>
        <v>0</v>
      </c>
      <c r="E351" s="27"/>
    </row>
    <row r="352" customFormat="false" ht="15" hidden="false" customHeight="false" outlineLevel="0" collapsed="false">
      <c r="A352" s="25" t="n">
        <v>46198</v>
      </c>
      <c r="B352" s="23" t="str">
        <f aca="false">IF(A352="","",IF(A352&lt;=profil!$B$9,"Realisasi","Rencana"))</f>
        <v>Rencana</v>
      </c>
      <c r="C352" s="18" t="s">
        <v>82</v>
      </c>
      <c r="D352" s="26" t="n">
        <f aca="false">IFERROR(INDEX(sumber_pasokan!$E:$E,MATCH(C352,sumber_pasokan!$B:$B,0)),"")</f>
        <v>0</v>
      </c>
      <c r="E352" s="27"/>
    </row>
    <row r="353" customFormat="false" ht="15" hidden="false" customHeight="false" outlineLevel="0" collapsed="false">
      <c r="A353" s="25" t="n">
        <v>46198</v>
      </c>
      <c r="B353" s="23" t="str">
        <f aca="false">IF(A353="","",IF(A353&lt;=profil!$B$9,"Realisasi","Rencana"))</f>
        <v>Rencana</v>
      </c>
      <c r="C353" s="18" t="s">
        <v>150</v>
      </c>
      <c r="D353" s="26" t="n">
        <f aca="false">IFERROR(INDEX(sumber_pasokan!$E:$E,MATCH(C353,sumber_pasokan!$B:$B,0)),"")</f>
        <v>0</v>
      </c>
      <c r="E353" s="27"/>
    </row>
    <row r="354" customFormat="false" ht="15" hidden="false" customHeight="false" outlineLevel="0" collapsed="false">
      <c r="A354" s="25" t="n">
        <v>46199</v>
      </c>
      <c r="B354" s="23" t="str">
        <f aca="false">IF(A354="","",IF(A354&lt;=profil!$B$9,"Realisasi","Rencana"))</f>
        <v>Rencana</v>
      </c>
      <c r="C354" s="18" t="s">
        <v>82</v>
      </c>
      <c r="D354" s="26" t="n">
        <f aca="false">IFERROR(INDEX(sumber_pasokan!$E:$E,MATCH(C354,sumber_pasokan!$B:$B,0)),"")</f>
        <v>0</v>
      </c>
      <c r="E354" s="27"/>
    </row>
    <row r="355" customFormat="false" ht="15" hidden="false" customHeight="false" outlineLevel="0" collapsed="false">
      <c r="A355" s="25" t="n">
        <v>46199</v>
      </c>
      <c r="B355" s="23" t="str">
        <f aca="false">IF(A355="","",IF(A355&lt;=profil!$B$9,"Realisasi","Rencana"))</f>
        <v>Rencana</v>
      </c>
      <c r="C355" s="18" t="s">
        <v>150</v>
      </c>
      <c r="D355" s="26" t="n">
        <f aca="false">IFERROR(INDEX(sumber_pasokan!$E:$E,MATCH(C355,sumber_pasokan!$B:$B,0)),"")</f>
        <v>0</v>
      </c>
      <c r="E355" s="27"/>
    </row>
    <row r="356" customFormat="false" ht="15" hidden="false" customHeight="false" outlineLevel="0" collapsed="false">
      <c r="A356" s="25" t="n">
        <v>46200</v>
      </c>
      <c r="B356" s="23" t="str">
        <f aca="false">IF(A356="","",IF(A356&lt;=profil!$B$9,"Realisasi","Rencana"))</f>
        <v>Rencana</v>
      </c>
      <c r="C356" s="18" t="s">
        <v>82</v>
      </c>
      <c r="D356" s="26" t="n">
        <f aca="false">IFERROR(INDEX(sumber_pasokan!$E:$E,MATCH(C356,sumber_pasokan!$B:$B,0)),"")</f>
        <v>0</v>
      </c>
      <c r="E356" s="27"/>
    </row>
    <row r="357" customFormat="false" ht="15" hidden="false" customHeight="false" outlineLevel="0" collapsed="false">
      <c r="A357" s="25" t="n">
        <v>46200</v>
      </c>
      <c r="B357" s="23" t="str">
        <f aca="false">IF(A357="","",IF(A357&lt;=profil!$B$9,"Realisasi","Rencana"))</f>
        <v>Rencana</v>
      </c>
      <c r="C357" s="18" t="s">
        <v>150</v>
      </c>
      <c r="D357" s="26" t="n">
        <f aca="false">IFERROR(INDEX(sumber_pasokan!$E:$E,MATCH(C357,sumber_pasokan!$B:$B,0)),"")</f>
        <v>0</v>
      </c>
      <c r="E357" s="27"/>
    </row>
    <row r="358" customFormat="false" ht="15" hidden="false" customHeight="false" outlineLevel="0" collapsed="false">
      <c r="A358" s="25" t="n">
        <v>46201</v>
      </c>
      <c r="B358" s="23" t="str">
        <f aca="false">IF(A358="","",IF(A358&lt;=profil!$B$9,"Realisasi","Rencana"))</f>
        <v>Rencana</v>
      </c>
      <c r="C358" s="18" t="s">
        <v>82</v>
      </c>
      <c r="D358" s="26" t="n">
        <f aca="false">IFERROR(INDEX(sumber_pasokan!$E:$E,MATCH(C358,sumber_pasokan!$B:$B,0)),"")</f>
        <v>0</v>
      </c>
      <c r="E358" s="27"/>
    </row>
    <row r="359" customFormat="false" ht="15" hidden="false" customHeight="false" outlineLevel="0" collapsed="false">
      <c r="A359" s="25" t="n">
        <v>46201</v>
      </c>
      <c r="B359" s="23" t="str">
        <f aca="false">IF(A359="","",IF(A359&lt;=profil!$B$9,"Realisasi","Rencana"))</f>
        <v>Rencana</v>
      </c>
      <c r="C359" s="18" t="s">
        <v>150</v>
      </c>
      <c r="D359" s="26" t="n">
        <f aca="false">IFERROR(INDEX(sumber_pasokan!$E:$E,MATCH(C359,sumber_pasokan!$B:$B,0)),"")</f>
        <v>0</v>
      </c>
      <c r="E359" s="27"/>
    </row>
    <row r="360" customFormat="false" ht="15" hidden="false" customHeight="false" outlineLevel="0" collapsed="false">
      <c r="A360" s="25" t="n">
        <v>46202</v>
      </c>
      <c r="B360" s="23" t="str">
        <f aca="false">IF(A360="","",IF(A360&lt;=profil!$B$9,"Realisasi","Rencana"))</f>
        <v>Rencana</v>
      </c>
      <c r="C360" s="18" t="s">
        <v>82</v>
      </c>
      <c r="D360" s="26" t="n">
        <f aca="false">IFERROR(INDEX(sumber_pasokan!$E:$E,MATCH(C360,sumber_pasokan!$B:$B,0)),"")</f>
        <v>0</v>
      </c>
      <c r="E360" s="27"/>
    </row>
    <row r="361" customFormat="false" ht="15" hidden="false" customHeight="false" outlineLevel="0" collapsed="false">
      <c r="A361" s="25" t="n">
        <v>46202</v>
      </c>
      <c r="B361" s="23" t="str">
        <f aca="false">IF(A361="","",IF(A361&lt;=profil!$B$9,"Realisasi","Rencana"))</f>
        <v>Rencana</v>
      </c>
      <c r="C361" s="18" t="s">
        <v>150</v>
      </c>
      <c r="D361" s="26" t="n">
        <f aca="false">IFERROR(INDEX(sumber_pasokan!$E:$E,MATCH(C361,sumber_pasokan!$B:$B,0)),"")</f>
        <v>0</v>
      </c>
      <c r="E361" s="27"/>
    </row>
    <row r="362" customFormat="false" ht="15" hidden="false" customHeight="false" outlineLevel="0" collapsed="false">
      <c r="A362" s="25" t="n">
        <v>46203</v>
      </c>
      <c r="B362" s="23" t="str">
        <f aca="false">IF(A362="","",IF(A362&lt;=profil!$B$9,"Realisasi","Rencana"))</f>
        <v>Rencana</v>
      </c>
      <c r="C362" s="18" t="s">
        <v>82</v>
      </c>
      <c r="D362" s="26" t="n">
        <f aca="false">IFERROR(INDEX(sumber_pasokan!$E:$E,MATCH(C362,sumber_pasokan!$B:$B,0)),"")</f>
        <v>0</v>
      </c>
      <c r="E362" s="27"/>
    </row>
    <row r="363" customFormat="false" ht="15" hidden="false" customHeight="false" outlineLevel="0" collapsed="false">
      <c r="A363" s="25" t="n">
        <v>46203</v>
      </c>
      <c r="B363" s="23" t="str">
        <f aca="false">IF(A363="","",IF(A363&lt;=profil!$B$9,"Realisasi","Rencana"))</f>
        <v>Rencana</v>
      </c>
      <c r="C363" s="18" t="s">
        <v>150</v>
      </c>
      <c r="D363" s="26" t="n">
        <f aca="false">IFERROR(INDEX(sumber_pasokan!$E:$E,MATCH(C363,sumber_pasokan!$B:$B,0)),"")</f>
        <v>0</v>
      </c>
      <c r="E363" s="27"/>
    </row>
    <row r="364" customFormat="false" ht="15" hidden="false" customHeight="false" outlineLevel="0" collapsed="false">
      <c r="A364" s="25" t="n">
        <v>46204</v>
      </c>
      <c r="B364" s="23" t="str">
        <f aca="false">IF(A364="","",IF(A364&lt;=profil!$B$9,"Realisasi","Rencana"))</f>
        <v>Rencana</v>
      </c>
      <c r="C364" s="18" t="s">
        <v>82</v>
      </c>
      <c r="D364" s="26" t="n">
        <f aca="false">IFERROR(INDEX(sumber_pasokan!$E:$E,MATCH(C364,sumber_pasokan!$B:$B,0)),"")</f>
        <v>0</v>
      </c>
      <c r="E364" s="27"/>
    </row>
    <row r="365" customFormat="false" ht="15" hidden="false" customHeight="false" outlineLevel="0" collapsed="false">
      <c r="A365" s="25" t="n">
        <v>46204</v>
      </c>
      <c r="B365" s="23" t="str">
        <f aca="false">IF(A365="","",IF(A365&lt;=profil!$B$9,"Realisasi","Rencana"))</f>
        <v>Rencana</v>
      </c>
      <c r="C365" s="18" t="s">
        <v>150</v>
      </c>
      <c r="D365" s="26" t="n">
        <f aca="false">IFERROR(INDEX(sumber_pasokan!$E:$E,MATCH(C365,sumber_pasokan!$B:$B,0)),"")</f>
        <v>0</v>
      </c>
      <c r="E365" s="27"/>
    </row>
    <row r="366" customFormat="false" ht="15" hidden="false" customHeight="false" outlineLevel="0" collapsed="false">
      <c r="A366" s="25" t="n">
        <v>46205</v>
      </c>
      <c r="B366" s="23" t="str">
        <f aca="false">IF(A366="","",IF(A366&lt;=profil!$B$9,"Realisasi","Rencana"))</f>
        <v>Rencana</v>
      </c>
      <c r="C366" s="18" t="s">
        <v>82</v>
      </c>
      <c r="D366" s="26" t="n">
        <f aca="false">IFERROR(INDEX(sumber_pasokan!$E:$E,MATCH(C366,sumber_pasokan!$B:$B,0)),"")</f>
        <v>0</v>
      </c>
      <c r="E366" s="27"/>
    </row>
    <row r="367" customFormat="false" ht="15" hidden="false" customHeight="false" outlineLevel="0" collapsed="false">
      <c r="A367" s="25" t="n">
        <v>46205</v>
      </c>
      <c r="B367" s="23" t="str">
        <f aca="false">IF(A367="","",IF(A367&lt;=profil!$B$9,"Realisasi","Rencana"))</f>
        <v>Rencana</v>
      </c>
      <c r="C367" s="18" t="s">
        <v>150</v>
      </c>
      <c r="D367" s="26" t="n">
        <f aca="false">IFERROR(INDEX(sumber_pasokan!$E:$E,MATCH(C367,sumber_pasokan!$B:$B,0)),"")</f>
        <v>0</v>
      </c>
      <c r="E367" s="27"/>
    </row>
    <row r="368" customFormat="false" ht="15" hidden="false" customHeight="false" outlineLevel="0" collapsed="false">
      <c r="A368" s="25" t="n">
        <v>46206</v>
      </c>
      <c r="B368" s="23" t="str">
        <f aca="false">IF(A368="","",IF(A368&lt;=profil!$B$9,"Realisasi","Rencana"))</f>
        <v>Rencana</v>
      </c>
      <c r="C368" s="18" t="s">
        <v>82</v>
      </c>
      <c r="D368" s="26" t="n">
        <f aca="false">IFERROR(INDEX(sumber_pasokan!$E:$E,MATCH(C368,sumber_pasokan!$B:$B,0)),"")</f>
        <v>0</v>
      </c>
      <c r="E368" s="27"/>
    </row>
    <row r="369" customFormat="false" ht="15" hidden="false" customHeight="false" outlineLevel="0" collapsed="false">
      <c r="A369" s="25" t="n">
        <v>46206</v>
      </c>
      <c r="B369" s="23" t="str">
        <f aca="false">IF(A369="","",IF(A369&lt;=profil!$B$9,"Realisasi","Rencana"))</f>
        <v>Rencana</v>
      </c>
      <c r="C369" s="18" t="s">
        <v>150</v>
      </c>
      <c r="D369" s="26" t="n">
        <f aca="false">IFERROR(INDEX(sumber_pasokan!$E:$E,MATCH(C369,sumber_pasokan!$B:$B,0)),"")</f>
        <v>0</v>
      </c>
      <c r="E369" s="27"/>
    </row>
    <row r="370" customFormat="false" ht="15" hidden="false" customHeight="false" outlineLevel="0" collapsed="false">
      <c r="A370" s="25" t="n">
        <v>46207</v>
      </c>
      <c r="B370" s="23" t="str">
        <f aca="false">IF(A370="","",IF(A370&lt;=profil!$B$9,"Realisasi","Rencana"))</f>
        <v>Rencana</v>
      </c>
      <c r="C370" s="18" t="s">
        <v>82</v>
      </c>
      <c r="D370" s="26" t="n">
        <f aca="false">IFERROR(INDEX(sumber_pasokan!$E:$E,MATCH(C370,sumber_pasokan!$B:$B,0)),"")</f>
        <v>0</v>
      </c>
      <c r="E370" s="27"/>
    </row>
    <row r="371" customFormat="false" ht="15" hidden="false" customHeight="false" outlineLevel="0" collapsed="false">
      <c r="A371" s="25" t="n">
        <v>46207</v>
      </c>
      <c r="B371" s="23" t="str">
        <f aca="false">IF(A371="","",IF(A371&lt;=profil!$B$9,"Realisasi","Rencana"))</f>
        <v>Rencana</v>
      </c>
      <c r="C371" s="18" t="s">
        <v>150</v>
      </c>
      <c r="D371" s="26" t="n">
        <f aca="false">IFERROR(INDEX(sumber_pasokan!$E:$E,MATCH(C371,sumber_pasokan!$B:$B,0)),"")</f>
        <v>0</v>
      </c>
      <c r="E371" s="27"/>
    </row>
    <row r="372" customFormat="false" ht="15" hidden="false" customHeight="false" outlineLevel="0" collapsed="false">
      <c r="A372" s="25" t="n">
        <v>46208</v>
      </c>
      <c r="B372" s="23" t="str">
        <f aca="false">IF(A372="","",IF(A372&lt;=profil!$B$9,"Realisasi","Rencana"))</f>
        <v>Rencana</v>
      </c>
      <c r="C372" s="18" t="s">
        <v>82</v>
      </c>
      <c r="D372" s="26" t="n">
        <f aca="false">IFERROR(INDEX(sumber_pasokan!$E:$E,MATCH(C372,sumber_pasokan!$B:$B,0)),"")</f>
        <v>0</v>
      </c>
      <c r="E372" s="27"/>
    </row>
    <row r="373" customFormat="false" ht="15" hidden="false" customHeight="false" outlineLevel="0" collapsed="false">
      <c r="A373" s="25" t="n">
        <v>46208</v>
      </c>
      <c r="B373" s="23" t="str">
        <f aca="false">IF(A373="","",IF(A373&lt;=profil!$B$9,"Realisasi","Rencana"))</f>
        <v>Rencana</v>
      </c>
      <c r="C373" s="18" t="s">
        <v>150</v>
      </c>
      <c r="D373" s="26" t="n">
        <f aca="false">IFERROR(INDEX(sumber_pasokan!$E:$E,MATCH(C373,sumber_pasokan!$B:$B,0)),"")</f>
        <v>0</v>
      </c>
      <c r="E373" s="27"/>
    </row>
    <row r="374" customFormat="false" ht="15" hidden="false" customHeight="false" outlineLevel="0" collapsed="false">
      <c r="A374" s="25" t="n">
        <v>46209</v>
      </c>
      <c r="B374" s="23" t="str">
        <f aca="false">IF(A374="","",IF(A374&lt;=profil!$B$9,"Realisasi","Rencana"))</f>
        <v>Rencana</v>
      </c>
      <c r="C374" s="18" t="s">
        <v>82</v>
      </c>
      <c r="D374" s="26" t="n">
        <f aca="false">IFERROR(INDEX(sumber_pasokan!$E:$E,MATCH(C374,sumber_pasokan!$B:$B,0)),"")</f>
        <v>0</v>
      </c>
      <c r="E374" s="27"/>
    </row>
    <row r="375" customFormat="false" ht="15" hidden="false" customHeight="false" outlineLevel="0" collapsed="false">
      <c r="A375" s="25" t="n">
        <v>46209</v>
      </c>
      <c r="B375" s="23" t="str">
        <f aca="false">IF(A375="","",IF(A375&lt;=profil!$B$9,"Realisasi","Rencana"))</f>
        <v>Rencana</v>
      </c>
      <c r="C375" s="18" t="s">
        <v>150</v>
      </c>
      <c r="D375" s="26" t="n">
        <f aca="false">IFERROR(INDEX(sumber_pasokan!$E:$E,MATCH(C375,sumber_pasokan!$B:$B,0)),"")</f>
        <v>0</v>
      </c>
      <c r="E375" s="27"/>
    </row>
    <row r="376" customFormat="false" ht="15" hidden="false" customHeight="false" outlineLevel="0" collapsed="false">
      <c r="A376" s="25" t="n">
        <v>46210</v>
      </c>
      <c r="B376" s="23" t="str">
        <f aca="false">IF(A376="","",IF(A376&lt;=profil!$B$9,"Realisasi","Rencana"))</f>
        <v>Rencana</v>
      </c>
      <c r="C376" s="18" t="s">
        <v>82</v>
      </c>
      <c r="D376" s="26" t="n">
        <f aca="false">IFERROR(INDEX(sumber_pasokan!$E:$E,MATCH(C376,sumber_pasokan!$B:$B,0)),"")</f>
        <v>0</v>
      </c>
      <c r="E376" s="27"/>
    </row>
    <row r="377" customFormat="false" ht="15" hidden="false" customHeight="false" outlineLevel="0" collapsed="false">
      <c r="A377" s="25" t="n">
        <v>46210</v>
      </c>
      <c r="B377" s="23" t="str">
        <f aca="false">IF(A377="","",IF(A377&lt;=profil!$B$9,"Realisasi","Rencana"))</f>
        <v>Rencana</v>
      </c>
      <c r="C377" s="18" t="s">
        <v>150</v>
      </c>
      <c r="D377" s="26" t="n">
        <f aca="false">IFERROR(INDEX(sumber_pasokan!$E:$E,MATCH(C377,sumber_pasokan!$B:$B,0)),"")</f>
        <v>0</v>
      </c>
      <c r="E377" s="27"/>
    </row>
    <row r="378" customFormat="false" ht="15" hidden="false" customHeight="false" outlineLevel="0" collapsed="false">
      <c r="A378" s="25" t="n">
        <v>46211</v>
      </c>
      <c r="B378" s="23" t="str">
        <f aca="false">IF(A378="","",IF(A378&lt;=profil!$B$9,"Realisasi","Rencana"))</f>
        <v>Rencana</v>
      </c>
      <c r="C378" s="18" t="s">
        <v>82</v>
      </c>
      <c r="D378" s="26" t="n">
        <f aca="false">IFERROR(INDEX(sumber_pasokan!$E:$E,MATCH(C378,sumber_pasokan!$B:$B,0)),"")</f>
        <v>0</v>
      </c>
      <c r="E378" s="27"/>
    </row>
    <row r="379" customFormat="false" ht="15" hidden="false" customHeight="false" outlineLevel="0" collapsed="false">
      <c r="A379" s="25" t="n">
        <v>46211</v>
      </c>
      <c r="B379" s="23" t="str">
        <f aca="false">IF(A379="","",IF(A379&lt;=profil!$B$9,"Realisasi","Rencana"))</f>
        <v>Rencana</v>
      </c>
      <c r="C379" s="18" t="s">
        <v>150</v>
      </c>
      <c r="D379" s="26" t="n">
        <f aca="false">IFERROR(INDEX(sumber_pasokan!$E:$E,MATCH(C379,sumber_pasokan!$B:$B,0)),"")</f>
        <v>0</v>
      </c>
      <c r="E379" s="27"/>
    </row>
    <row r="380" customFormat="false" ht="15" hidden="false" customHeight="false" outlineLevel="0" collapsed="false">
      <c r="A380" s="25" t="n">
        <v>46212</v>
      </c>
      <c r="B380" s="23" t="str">
        <f aca="false">IF(A380="","",IF(A380&lt;=profil!$B$9,"Realisasi","Rencana"))</f>
        <v>Rencana</v>
      </c>
      <c r="C380" s="18" t="s">
        <v>82</v>
      </c>
      <c r="D380" s="26" t="n">
        <f aca="false">IFERROR(INDEX(sumber_pasokan!$E:$E,MATCH(C380,sumber_pasokan!$B:$B,0)),"")</f>
        <v>0</v>
      </c>
      <c r="E380" s="27"/>
    </row>
    <row r="381" customFormat="false" ht="15" hidden="false" customHeight="false" outlineLevel="0" collapsed="false">
      <c r="A381" s="25" t="n">
        <v>46212</v>
      </c>
      <c r="B381" s="23" t="str">
        <f aca="false">IF(A381="","",IF(A381&lt;=profil!$B$9,"Realisasi","Rencana"))</f>
        <v>Rencana</v>
      </c>
      <c r="C381" s="18" t="s">
        <v>150</v>
      </c>
      <c r="D381" s="26" t="n">
        <f aca="false">IFERROR(INDEX(sumber_pasokan!$E:$E,MATCH(C381,sumber_pasokan!$B:$B,0)),"")</f>
        <v>0</v>
      </c>
      <c r="E381" s="27"/>
    </row>
    <row r="382" customFormat="false" ht="15" hidden="false" customHeight="false" outlineLevel="0" collapsed="false">
      <c r="A382" s="25" t="n">
        <v>46213</v>
      </c>
      <c r="B382" s="23" t="str">
        <f aca="false">IF(A382="","",IF(A382&lt;=profil!$B$9,"Realisasi","Rencana"))</f>
        <v>Rencana</v>
      </c>
      <c r="C382" s="18" t="s">
        <v>82</v>
      </c>
      <c r="D382" s="26" t="n">
        <f aca="false">IFERROR(INDEX(sumber_pasokan!$E:$E,MATCH(C382,sumber_pasokan!$B:$B,0)),"")</f>
        <v>0</v>
      </c>
      <c r="E382" s="27"/>
    </row>
    <row r="383" customFormat="false" ht="15" hidden="false" customHeight="false" outlineLevel="0" collapsed="false">
      <c r="A383" s="25" t="n">
        <v>46213</v>
      </c>
      <c r="B383" s="23" t="str">
        <f aca="false">IF(A383="","",IF(A383&lt;=profil!$B$9,"Realisasi","Rencana"))</f>
        <v>Rencana</v>
      </c>
      <c r="C383" s="18" t="s">
        <v>150</v>
      </c>
      <c r="D383" s="26" t="n">
        <f aca="false">IFERROR(INDEX(sumber_pasokan!$E:$E,MATCH(C383,sumber_pasokan!$B:$B,0)),"")</f>
        <v>0</v>
      </c>
      <c r="E383" s="27"/>
    </row>
    <row r="384" customFormat="false" ht="15" hidden="false" customHeight="false" outlineLevel="0" collapsed="false">
      <c r="A384" s="25" t="n">
        <v>46214</v>
      </c>
      <c r="B384" s="23" t="str">
        <f aca="false">IF(A384="","",IF(A384&lt;=profil!$B$9,"Realisasi","Rencana"))</f>
        <v>Rencana</v>
      </c>
      <c r="C384" s="18" t="s">
        <v>82</v>
      </c>
      <c r="D384" s="26" t="n">
        <f aca="false">IFERROR(INDEX(sumber_pasokan!$E:$E,MATCH(C384,sumber_pasokan!$B:$B,0)),"")</f>
        <v>0</v>
      </c>
      <c r="E384" s="27"/>
    </row>
    <row r="385" customFormat="false" ht="15" hidden="false" customHeight="false" outlineLevel="0" collapsed="false">
      <c r="A385" s="25" t="n">
        <v>46214</v>
      </c>
      <c r="B385" s="23" t="str">
        <f aca="false">IF(A385="","",IF(A385&lt;=profil!$B$9,"Realisasi","Rencana"))</f>
        <v>Rencana</v>
      </c>
      <c r="C385" s="18" t="s">
        <v>150</v>
      </c>
      <c r="D385" s="26" t="n">
        <f aca="false">IFERROR(INDEX(sumber_pasokan!$E:$E,MATCH(C385,sumber_pasokan!$B:$B,0)),"")</f>
        <v>0</v>
      </c>
      <c r="E385" s="27"/>
    </row>
    <row r="386" customFormat="false" ht="15" hidden="false" customHeight="false" outlineLevel="0" collapsed="false">
      <c r="A386" s="25" t="n">
        <v>46215</v>
      </c>
      <c r="B386" s="23" t="str">
        <f aca="false">IF(A386="","",IF(A386&lt;=profil!$B$9,"Realisasi","Rencana"))</f>
        <v>Rencana</v>
      </c>
      <c r="C386" s="18" t="s">
        <v>82</v>
      </c>
      <c r="D386" s="26" t="n">
        <f aca="false">IFERROR(INDEX(sumber_pasokan!$E:$E,MATCH(C386,sumber_pasokan!$B:$B,0)),"")</f>
        <v>0</v>
      </c>
      <c r="E386" s="27"/>
    </row>
    <row r="387" customFormat="false" ht="15" hidden="false" customHeight="false" outlineLevel="0" collapsed="false">
      <c r="A387" s="25" t="n">
        <v>46215</v>
      </c>
      <c r="B387" s="23" t="str">
        <f aca="false">IF(A387="","",IF(A387&lt;=profil!$B$9,"Realisasi","Rencana"))</f>
        <v>Rencana</v>
      </c>
      <c r="C387" s="18" t="s">
        <v>150</v>
      </c>
      <c r="D387" s="26" t="n">
        <f aca="false">IFERROR(INDEX(sumber_pasokan!$E:$E,MATCH(C387,sumber_pasokan!$B:$B,0)),"")</f>
        <v>0</v>
      </c>
      <c r="E387" s="27"/>
    </row>
    <row r="388" customFormat="false" ht="15" hidden="false" customHeight="false" outlineLevel="0" collapsed="false">
      <c r="A388" s="25" t="n">
        <v>46216</v>
      </c>
      <c r="B388" s="23" t="str">
        <f aca="false">IF(A388="","",IF(A388&lt;=profil!$B$9,"Realisasi","Rencana"))</f>
        <v>Rencana</v>
      </c>
      <c r="C388" s="18" t="s">
        <v>82</v>
      </c>
      <c r="D388" s="26" t="n">
        <f aca="false">IFERROR(INDEX(sumber_pasokan!$E:$E,MATCH(C388,sumber_pasokan!$B:$B,0)),"")</f>
        <v>0</v>
      </c>
      <c r="E388" s="27"/>
    </row>
    <row r="389" customFormat="false" ht="15" hidden="false" customHeight="false" outlineLevel="0" collapsed="false">
      <c r="A389" s="25" t="n">
        <v>46216</v>
      </c>
      <c r="B389" s="23" t="str">
        <f aca="false">IF(A389="","",IF(A389&lt;=profil!$B$9,"Realisasi","Rencana"))</f>
        <v>Rencana</v>
      </c>
      <c r="C389" s="18" t="s">
        <v>150</v>
      </c>
      <c r="D389" s="26" t="n">
        <f aca="false">IFERROR(INDEX(sumber_pasokan!$E:$E,MATCH(C389,sumber_pasokan!$B:$B,0)),"")</f>
        <v>0</v>
      </c>
      <c r="E389" s="27"/>
    </row>
    <row r="390" customFormat="false" ht="15" hidden="false" customHeight="false" outlineLevel="0" collapsed="false">
      <c r="A390" s="25" t="n">
        <v>46217</v>
      </c>
      <c r="B390" s="23" t="str">
        <f aca="false">IF(A390="","",IF(A390&lt;=profil!$B$9,"Realisasi","Rencana"))</f>
        <v>Rencana</v>
      </c>
      <c r="C390" s="18" t="s">
        <v>82</v>
      </c>
      <c r="D390" s="26" t="n">
        <f aca="false">IFERROR(INDEX(sumber_pasokan!$E:$E,MATCH(C390,sumber_pasokan!$B:$B,0)),"")</f>
        <v>0</v>
      </c>
      <c r="E390" s="27"/>
    </row>
    <row r="391" customFormat="false" ht="15" hidden="false" customHeight="false" outlineLevel="0" collapsed="false">
      <c r="A391" s="25" t="n">
        <v>46217</v>
      </c>
      <c r="B391" s="23" t="str">
        <f aca="false">IF(A391="","",IF(A391&lt;=profil!$B$9,"Realisasi","Rencana"))</f>
        <v>Rencana</v>
      </c>
      <c r="C391" s="18" t="s">
        <v>150</v>
      </c>
      <c r="D391" s="26" t="n">
        <f aca="false">IFERROR(INDEX(sumber_pasokan!$E:$E,MATCH(C391,sumber_pasokan!$B:$B,0)),"")</f>
        <v>0</v>
      </c>
      <c r="E391" s="27"/>
    </row>
    <row r="392" customFormat="false" ht="15" hidden="false" customHeight="false" outlineLevel="0" collapsed="false">
      <c r="A392" s="25" t="n">
        <v>46218</v>
      </c>
      <c r="B392" s="23" t="str">
        <f aca="false">IF(A392="","",IF(A392&lt;=profil!$B$9,"Realisasi","Rencana"))</f>
        <v>Rencana</v>
      </c>
      <c r="C392" s="18" t="s">
        <v>82</v>
      </c>
      <c r="D392" s="26" t="n">
        <f aca="false">IFERROR(INDEX(sumber_pasokan!$E:$E,MATCH(C392,sumber_pasokan!$B:$B,0)),"")</f>
        <v>0</v>
      </c>
      <c r="E392" s="27"/>
    </row>
    <row r="393" customFormat="false" ht="15" hidden="false" customHeight="false" outlineLevel="0" collapsed="false">
      <c r="A393" s="25" t="n">
        <v>46218</v>
      </c>
      <c r="B393" s="23" t="str">
        <f aca="false">IF(A393="","",IF(A393&lt;=profil!$B$9,"Realisasi","Rencana"))</f>
        <v>Rencana</v>
      </c>
      <c r="C393" s="18" t="s">
        <v>150</v>
      </c>
      <c r="D393" s="26" t="n">
        <f aca="false">IFERROR(INDEX(sumber_pasokan!$E:$E,MATCH(C393,sumber_pasokan!$B:$B,0)),"")</f>
        <v>0</v>
      </c>
      <c r="E393" s="27"/>
    </row>
    <row r="394" customFormat="false" ht="15" hidden="false" customHeight="false" outlineLevel="0" collapsed="false">
      <c r="A394" s="25" t="n">
        <v>46219</v>
      </c>
      <c r="B394" s="23" t="str">
        <f aca="false">IF(A394="","",IF(A394&lt;=profil!$B$9,"Realisasi","Rencana"))</f>
        <v>Rencana</v>
      </c>
      <c r="C394" s="18" t="s">
        <v>82</v>
      </c>
      <c r="D394" s="26" t="n">
        <f aca="false">IFERROR(INDEX(sumber_pasokan!$E:$E,MATCH(C394,sumber_pasokan!$B:$B,0)),"")</f>
        <v>0</v>
      </c>
      <c r="E394" s="27"/>
    </row>
    <row r="395" customFormat="false" ht="15" hidden="false" customHeight="false" outlineLevel="0" collapsed="false">
      <c r="A395" s="25" t="n">
        <v>46219</v>
      </c>
      <c r="B395" s="23" t="str">
        <f aca="false">IF(A395="","",IF(A395&lt;=profil!$B$9,"Realisasi","Rencana"))</f>
        <v>Rencana</v>
      </c>
      <c r="C395" s="18" t="s">
        <v>150</v>
      </c>
      <c r="D395" s="26" t="n">
        <f aca="false">IFERROR(INDEX(sumber_pasokan!$E:$E,MATCH(C395,sumber_pasokan!$B:$B,0)),"")</f>
        <v>0</v>
      </c>
      <c r="E395" s="27"/>
    </row>
    <row r="396" customFormat="false" ht="15" hidden="false" customHeight="false" outlineLevel="0" collapsed="false">
      <c r="A396" s="25" t="n">
        <v>46220</v>
      </c>
      <c r="B396" s="23" t="str">
        <f aca="false">IF(A396="","",IF(A396&lt;=profil!$B$9,"Realisasi","Rencana"))</f>
        <v>Rencana</v>
      </c>
      <c r="C396" s="18" t="s">
        <v>82</v>
      </c>
      <c r="D396" s="26" t="n">
        <f aca="false">IFERROR(INDEX(sumber_pasokan!$E:$E,MATCH(C396,sumber_pasokan!$B:$B,0)),"")</f>
        <v>0</v>
      </c>
      <c r="E396" s="27"/>
    </row>
    <row r="397" customFormat="false" ht="15" hidden="false" customHeight="false" outlineLevel="0" collapsed="false">
      <c r="A397" s="25" t="n">
        <v>46220</v>
      </c>
      <c r="B397" s="23" t="str">
        <f aca="false">IF(A397="","",IF(A397&lt;=profil!$B$9,"Realisasi","Rencana"))</f>
        <v>Rencana</v>
      </c>
      <c r="C397" s="18" t="s">
        <v>150</v>
      </c>
      <c r="D397" s="26" t="n">
        <f aca="false">IFERROR(INDEX(sumber_pasokan!$E:$E,MATCH(C397,sumber_pasokan!$B:$B,0)),"")</f>
        <v>0</v>
      </c>
      <c r="E397" s="27"/>
    </row>
    <row r="398" customFormat="false" ht="15" hidden="false" customHeight="false" outlineLevel="0" collapsed="false">
      <c r="A398" s="25" t="n">
        <v>46221</v>
      </c>
      <c r="B398" s="23" t="str">
        <f aca="false">IF(A398="","",IF(A398&lt;=profil!$B$9,"Realisasi","Rencana"))</f>
        <v>Rencana</v>
      </c>
      <c r="C398" s="18" t="s">
        <v>82</v>
      </c>
      <c r="D398" s="26" t="n">
        <f aca="false">IFERROR(INDEX(sumber_pasokan!$E:$E,MATCH(C398,sumber_pasokan!$B:$B,0)),"")</f>
        <v>0</v>
      </c>
      <c r="E398" s="27"/>
    </row>
    <row r="399" customFormat="false" ht="15" hidden="false" customHeight="false" outlineLevel="0" collapsed="false">
      <c r="A399" s="25" t="n">
        <v>46221</v>
      </c>
      <c r="B399" s="23" t="str">
        <f aca="false">IF(A399="","",IF(A399&lt;=profil!$B$9,"Realisasi","Rencana"))</f>
        <v>Rencana</v>
      </c>
      <c r="C399" s="18" t="s">
        <v>150</v>
      </c>
      <c r="D399" s="26" t="n">
        <f aca="false">IFERROR(INDEX(sumber_pasokan!$E:$E,MATCH(C399,sumber_pasokan!$B:$B,0)),"")</f>
        <v>0</v>
      </c>
      <c r="E399" s="27"/>
    </row>
    <row r="400" customFormat="false" ht="15" hidden="false" customHeight="false" outlineLevel="0" collapsed="false">
      <c r="A400" s="25" t="n">
        <v>46222</v>
      </c>
      <c r="B400" s="23" t="str">
        <f aca="false">IF(A400="","",IF(A400&lt;=profil!$B$9,"Realisasi","Rencana"))</f>
        <v>Rencana</v>
      </c>
      <c r="C400" s="18" t="s">
        <v>82</v>
      </c>
      <c r="D400" s="26" t="n">
        <f aca="false">IFERROR(INDEX(sumber_pasokan!$E:$E,MATCH(C400,sumber_pasokan!$B:$B,0)),"")</f>
        <v>0</v>
      </c>
      <c r="E400" s="27"/>
    </row>
    <row r="401" customFormat="false" ht="15" hidden="false" customHeight="false" outlineLevel="0" collapsed="false">
      <c r="A401" s="25" t="n">
        <v>46222</v>
      </c>
      <c r="B401" s="23" t="str">
        <f aca="false">IF(A401="","",IF(A401&lt;=profil!$B$9,"Realisasi","Rencana"))</f>
        <v>Rencana</v>
      </c>
      <c r="C401" s="18" t="s">
        <v>150</v>
      </c>
      <c r="D401" s="26" t="n">
        <f aca="false">IFERROR(INDEX(sumber_pasokan!$E:$E,MATCH(C401,sumber_pasokan!$B:$B,0)),"")</f>
        <v>0</v>
      </c>
      <c r="E401" s="27"/>
    </row>
    <row r="402" customFormat="false" ht="15" hidden="false" customHeight="false" outlineLevel="0" collapsed="false">
      <c r="A402" s="25" t="n">
        <v>46223</v>
      </c>
      <c r="B402" s="23" t="str">
        <f aca="false">IF(A402="","",IF(A402&lt;=profil!$B$9,"Realisasi","Rencana"))</f>
        <v>Rencana</v>
      </c>
      <c r="C402" s="18" t="s">
        <v>82</v>
      </c>
      <c r="D402" s="26" t="n">
        <f aca="false">IFERROR(INDEX(sumber_pasokan!$E:$E,MATCH(C402,sumber_pasokan!$B:$B,0)),"")</f>
        <v>0</v>
      </c>
      <c r="E402" s="27"/>
    </row>
    <row r="403" customFormat="false" ht="15" hidden="false" customHeight="false" outlineLevel="0" collapsed="false">
      <c r="A403" s="25" t="n">
        <v>46223</v>
      </c>
      <c r="B403" s="23" t="str">
        <f aca="false">IF(A403="","",IF(A403&lt;=profil!$B$9,"Realisasi","Rencana"))</f>
        <v>Rencana</v>
      </c>
      <c r="C403" s="18" t="s">
        <v>150</v>
      </c>
      <c r="D403" s="26" t="n">
        <f aca="false">IFERROR(INDEX(sumber_pasokan!$E:$E,MATCH(C403,sumber_pasokan!$B:$B,0)),"")</f>
        <v>0</v>
      </c>
      <c r="E403" s="27"/>
    </row>
    <row r="404" customFormat="false" ht="15" hidden="false" customHeight="false" outlineLevel="0" collapsed="false">
      <c r="A404" s="25" t="n">
        <v>46224</v>
      </c>
      <c r="B404" s="23" t="str">
        <f aca="false">IF(A404="","",IF(A404&lt;=profil!$B$9,"Realisasi","Rencana"))</f>
        <v>Rencana</v>
      </c>
      <c r="C404" s="18" t="s">
        <v>82</v>
      </c>
      <c r="D404" s="26" t="n">
        <f aca="false">IFERROR(INDEX(sumber_pasokan!$E:$E,MATCH(C404,sumber_pasokan!$B:$B,0)),"")</f>
        <v>0</v>
      </c>
      <c r="E404" s="27"/>
    </row>
    <row r="405" customFormat="false" ht="15" hidden="false" customHeight="false" outlineLevel="0" collapsed="false">
      <c r="A405" s="25" t="n">
        <v>46224</v>
      </c>
      <c r="B405" s="23" t="str">
        <f aca="false">IF(A405="","",IF(A405&lt;=profil!$B$9,"Realisasi","Rencana"))</f>
        <v>Rencana</v>
      </c>
      <c r="C405" s="18" t="s">
        <v>150</v>
      </c>
      <c r="D405" s="26" t="n">
        <f aca="false">IFERROR(INDEX(sumber_pasokan!$E:$E,MATCH(C405,sumber_pasokan!$B:$B,0)),"")</f>
        <v>0</v>
      </c>
      <c r="E405" s="27"/>
    </row>
    <row r="406" customFormat="false" ht="15" hidden="false" customHeight="false" outlineLevel="0" collapsed="false">
      <c r="A406" s="25" t="n">
        <v>46225</v>
      </c>
      <c r="B406" s="23" t="str">
        <f aca="false">IF(A406="","",IF(A406&lt;=profil!$B$9,"Realisasi","Rencana"))</f>
        <v>Rencana</v>
      </c>
      <c r="C406" s="18" t="s">
        <v>82</v>
      </c>
      <c r="D406" s="26" t="n">
        <f aca="false">IFERROR(INDEX(sumber_pasokan!$E:$E,MATCH(C406,sumber_pasokan!$B:$B,0)),"")</f>
        <v>0</v>
      </c>
      <c r="E406" s="27"/>
    </row>
    <row r="407" customFormat="false" ht="15" hidden="false" customHeight="false" outlineLevel="0" collapsed="false">
      <c r="A407" s="25" t="n">
        <v>46225</v>
      </c>
      <c r="B407" s="23" t="str">
        <f aca="false">IF(A407="","",IF(A407&lt;=profil!$B$9,"Realisasi","Rencana"))</f>
        <v>Rencana</v>
      </c>
      <c r="C407" s="18" t="s">
        <v>150</v>
      </c>
      <c r="D407" s="26" t="n">
        <f aca="false">IFERROR(INDEX(sumber_pasokan!$E:$E,MATCH(C407,sumber_pasokan!$B:$B,0)),"")</f>
        <v>0</v>
      </c>
      <c r="E407" s="27"/>
    </row>
    <row r="408" customFormat="false" ht="15" hidden="false" customHeight="false" outlineLevel="0" collapsed="false">
      <c r="A408" s="25" t="n">
        <v>46226</v>
      </c>
      <c r="B408" s="23" t="str">
        <f aca="false">IF(A408="","",IF(A408&lt;=profil!$B$9,"Realisasi","Rencana"))</f>
        <v>Rencana</v>
      </c>
      <c r="C408" s="18" t="s">
        <v>82</v>
      </c>
      <c r="D408" s="26" t="n">
        <f aca="false">IFERROR(INDEX(sumber_pasokan!$E:$E,MATCH(C408,sumber_pasokan!$B:$B,0)),"")</f>
        <v>0</v>
      </c>
      <c r="E408" s="27"/>
    </row>
    <row r="409" customFormat="false" ht="15" hidden="false" customHeight="false" outlineLevel="0" collapsed="false">
      <c r="A409" s="25" t="n">
        <v>46226</v>
      </c>
      <c r="B409" s="23" t="str">
        <f aca="false">IF(A409="","",IF(A409&lt;=profil!$B$9,"Realisasi","Rencana"))</f>
        <v>Rencana</v>
      </c>
      <c r="C409" s="18" t="s">
        <v>150</v>
      </c>
      <c r="D409" s="26" t="n">
        <f aca="false">IFERROR(INDEX(sumber_pasokan!$E:$E,MATCH(C409,sumber_pasokan!$B:$B,0)),"")</f>
        <v>0</v>
      </c>
      <c r="E409" s="27"/>
    </row>
    <row r="410" customFormat="false" ht="15" hidden="false" customHeight="false" outlineLevel="0" collapsed="false">
      <c r="A410" s="25" t="n">
        <v>46227</v>
      </c>
      <c r="B410" s="23" t="str">
        <f aca="false">IF(A410="","",IF(A410&lt;=profil!$B$9,"Realisasi","Rencana"))</f>
        <v>Rencana</v>
      </c>
      <c r="C410" s="18" t="s">
        <v>82</v>
      </c>
      <c r="D410" s="26" t="n">
        <f aca="false">IFERROR(INDEX(sumber_pasokan!$E:$E,MATCH(C410,sumber_pasokan!$B:$B,0)),"")</f>
        <v>0</v>
      </c>
      <c r="E410" s="27"/>
    </row>
    <row r="411" customFormat="false" ht="15" hidden="false" customHeight="false" outlineLevel="0" collapsed="false">
      <c r="A411" s="25" t="n">
        <v>46227</v>
      </c>
      <c r="B411" s="23" t="str">
        <f aca="false">IF(A411="","",IF(A411&lt;=profil!$B$9,"Realisasi","Rencana"))</f>
        <v>Rencana</v>
      </c>
      <c r="C411" s="18" t="s">
        <v>150</v>
      </c>
      <c r="D411" s="26" t="n">
        <f aca="false">IFERROR(INDEX(sumber_pasokan!$E:$E,MATCH(C411,sumber_pasokan!$B:$B,0)),"")</f>
        <v>0</v>
      </c>
      <c r="E411" s="27"/>
    </row>
    <row r="412" customFormat="false" ht="15" hidden="false" customHeight="false" outlineLevel="0" collapsed="false">
      <c r="A412" s="25" t="n">
        <v>46228</v>
      </c>
      <c r="B412" s="23" t="str">
        <f aca="false">IF(A412="","",IF(A412&lt;=profil!$B$9,"Realisasi","Rencana"))</f>
        <v>Rencana</v>
      </c>
      <c r="C412" s="18" t="s">
        <v>82</v>
      </c>
      <c r="D412" s="26" t="n">
        <f aca="false">IFERROR(INDEX(sumber_pasokan!$E:$E,MATCH(C412,sumber_pasokan!$B:$B,0)),"")</f>
        <v>0</v>
      </c>
      <c r="E412" s="27"/>
    </row>
    <row r="413" customFormat="false" ht="15" hidden="false" customHeight="false" outlineLevel="0" collapsed="false">
      <c r="A413" s="25" t="n">
        <v>46228</v>
      </c>
      <c r="B413" s="23" t="str">
        <f aca="false">IF(A413="","",IF(A413&lt;=profil!$B$9,"Realisasi","Rencana"))</f>
        <v>Rencana</v>
      </c>
      <c r="C413" s="18" t="s">
        <v>150</v>
      </c>
      <c r="D413" s="26" t="n">
        <f aca="false">IFERROR(INDEX(sumber_pasokan!$E:$E,MATCH(C413,sumber_pasokan!$B:$B,0)),"")</f>
        <v>0</v>
      </c>
      <c r="E413" s="27"/>
    </row>
    <row r="414" customFormat="false" ht="15" hidden="false" customHeight="false" outlineLevel="0" collapsed="false">
      <c r="A414" s="25" t="n">
        <v>46229</v>
      </c>
      <c r="B414" s="23" t="str">
        <f aca="false">IF(A414="","",IF(A414&lt;=profil!$B$9,"Realisasi","Rencana"))</f>
        <v>Rencana</v>
      </c>
      <c r="C414" s="18" t="s">
        <v>82</v>
      </c>
      <c r="D414" s="26" t="n">
        <f aca="false">IFERROR(INDEX(sumber_pasokan!$E:$E,MATCH(C414,sumber_pasokan!$B:$B,0)),"")</f>
        <v>0</v>
      </c>
      <c r="E414" s="27"/>
    </row>
    <row r="415" customFormat="false" ht="15" hidden="false" customHeight="false" outlineLevel="0" collapsed="false">
      <c r="A415" s="25" t="n">
        <v>46229</v>
      </c>
      <c r="B415" s="23" t="str">
        <f aca="false">IF(A415="","",IF(A415&lt;=profil!$B$9,"Realisasi","Rencana"))</f>
        <v>Rencana</v>
      </c>
      <c r="C415" s="18" t="s">
        <v>150</v>
      </c>
      <c r="D415" s="26" t="n">
        <f aca="false">IFERROR(INDEX(sumber_pasokan!$E:$E,MATCH(C415,sumber_pasokan!$B:$B,0)),"")</f>
        <v>0</v>
      </c>
      <c r="E415" s="27"/>
    </row>
    <row r="416" customFormat="false" ht="15" hidden="false" customHeight="false" outlineLevel="0" collapsed="false">
      <c r="A416" s="25" t="n">
        <v>46230</v>
      </c>
      <c r="B416" s="23" t="str">
        <f aca="false">IF(A416="","",IF(A416&lt;=profil!$B$9,"Realisasi","Rencana"))</f>
        <v>Rencana</v>
      </c>
      <c r="C416" s="18" t="s">
        <v>82</v>
      </c>
      <c r="D416" s="26" t="n">
        <f aca="false">IFERROR(INDEX(sumber_pasokan!$E:$E,MATCH(C416,sumber_pasokan!$B:$B,0)),"")</f>
        <v>0</v>
      </c>
      <c r="E416" s="27"/>
    </row>
    <row r="417" customFormat="false" ht="15" hidden="false" customHeight="false" outlineLevel="0" collapsed="false">
      <c r="A417" s="25" t="n">
        <v>46230</v>
      </c>
      <c r="B417" s="23" t="str">
        <f aca="false">IF(A417="","",IF(A417&lt;=profil!$B$9,"Realisasi","Rencana"))</f>
        <v>Rencana</v>
      </c>
      <c r="C417" s="18" t="s">
        <v>150</v>
      </c>
      <c r="D417" s="26" t="n">
        <f aca="false">IFERROR(INDEX(sumber_pasokan!$E:$E,MATCH(C417,sumber_pasokan!$B:$B,0)),"")</f>
        <v>0</v>
      </c>
      <c r="E417" s="27"/>
    </row>
    <row r="418" customFormat="false" ht="15" hidden="false" customHeight="false" outlineLevel="0" collapsed="false">
      <c r="A418" s="25" t="n">
        <v>46231</v>
      </c>
      <c r="B418" s="23" t="str">
        <f aca="false">IF(A418="","",IF(A418&lt;=profil!$B$9,"Realisasi","Rencana"))</f>
        <v>Rencana</v>
      </c>
      <c r="C418" s="18" t="s">
        <v>82</v>
      </c>
      <c r="D418" s="26" t="n">
        <f aca="false">IFERROR(INDEX(sumber_pasokan!$E:$E,MATCH(C418,sumber_pasokan!$B:$B,0)),"")</f>
        <v>0</v>
      </c>
      <c r="E418" s="27"/>
    </row>
    <row r="419" customFormat="false" ht="15" hidden="false" customHeight="false" outlineLevel="0" collapsed="false">
      <c r="A419" s="25" t="n">
        <v>46231</v>
      </c>
      <c r="B419" s="23" t="str">
        <f aca="false">IF(A419="","",IF(A419&lt;=profil!$B$9,"Realisasi","Rencana"))</f>
        <v>Rencana</v>
      </c>
      <c r="C419" s="18" t="s">
        <v>150</v>
      </c>
      <c r="D419" s="26" t="n">
        <f aca="false">IFERROR(INDEX(sumber_pasokan!$E:$E,MATCH(C419,sumber_pasokan!$B:$B,0)),"")</f>
        <v>0</v>
      </c>
      <c r="E419" s="27"/>
    </row>
    <row r="420" customFormat="false" ht="15" hidden="false" customHeight="false" outlineLevel="0" collapsed="false">
      <c r="A420" s="25" t="n">
        <v>46232</v>
      </c>
      <c r="B420" s="23" t="str">
        <f aca="false">IF(A420="","",IF(A420&lt;=profil!$B$9,"Realisasi","Rencana"))</f>
        <v>Rencana</v>
      </c>
      <c r="C420" s="18" t="s">
        <v>82</v>
      </c>
      <c r="D420" s="26" t="n">
        <f aca="false">IFERROR(INDEX(sumber_pasokan!$E:$E,MATCH(C420,sumber_pasokan!$B:$B,0)),"")</f>
        <v>0</v>
      </c>
      <c r="E420" s="27"/>
    </row>
    <row r="421" customFormat="false" ht="15" hidden="false" customHeight="false" outlineLevel="0" collapsed="false">
      <c r="A421" s="25" t="n">
        <v>46232</v>
      </c>
      <c r="B421" s="23" t="str">
        <f aca="false">IF(A421="","",IF(A421&lt;=profil!$B$9,"Realisasi","Rencana"))</f>
        <v>Rencana</v>
      </c>
      <c r="C421" s="18" t="s">
        <v>150</v>
      </c>
      <c r="D421" s="26" t="n">
        <f aca="false">IFERROR(INDEX(sumber_pasokan!$E:$E,MATCH(C421,sumber_pasokan!$B:$B,0)),"")</f>
        <v>0</v>
      </c>
      <c r="E421" s="27"/>
    </row>
    <row r="422" customFormat="false" ht="15" hidden="false" customHeight="false" outlineLevel="0" collapsed="false">
      <c r="A422" s="25" t="n">
        <v>46233</v>
      </c>
      <c r="B422" s="23" t="str">
        <f aca="false">IF(A422="","",IF(A422&lt;=profil!$B$9,"Realisasi","Rencana"))</f>
        <v>Rencana</v>
      </c>
      <c r="C422" s="18" t="s">
        <v>82</v>
      </c>
      <c r="D422" s="26" t="n">
        <f aca="false">IFERROR(INDEX(sumber_pasokan!$E:$E,MATCH(C422,sumber_pasokan!$B:$B,0)),"")</f>
        <v>0</v>
      </c>
      <c r="E422" s="27"/>
    </row>
    <row r="423" customFormat="false" ht="15" hidden="false" customHeight="false" outlineLevel="0" collapsed="false">
      <c r="A423" s="25" t="n">
        <v>46233</v>
      </c>
      <c r="B423" s="23" t="str">
        <f aca="false">IF(A423="","",IF(A423&lt;=profil!$B$9,"Realisasi","Rencana"))</f>
        <v>Rencana</v>
      </c>
      <c r="C423" s="18" t="s">
        <v>150</v>
      </c>
      <c r="D423" s="26" t="n">
        <f aca="false">IFERROR(INDEX(sumber_pasokan!$E:$E,MATCH(C423,sumber_pasokan!$B:$B,0)),"")</f>
        <v>0</v>
      </c>
      <c r="E423" s="27"/>
    </row>
    <row r="424" customFormat="false" ht="15" hidden="false" customHeight="false" outlineLevel="0" collapsed="false">
      <c r="A424" s="25" t="n">
        <v>46234</v>
      </c>
      <c r="B424" s="23" t="str">
        <f aca="false">IF(A424="","",IF(A424&lt;=profil!$B$9,"Realisasi","Rencana"))</f>
        <v>Rencana</v>
      </c>
      <c r="C424" s="18" t="s">
        <v>82</v>
      </c>
      <c r="D424" s="26" t="n">
        <f aca="false">IFERROR(INDEX(sumber_pasokan!$E:$E,MATCH(C424,sumber_pasokan!$B:$B,0)),"")</f>
        <v>0</v>
      </c>
      <c r="E424" s="27"/>
    </row>
    <row r="425" customFormat="false" ht="15" hidden="false" customHeight="false" outlineLevel="0" collapsed="false">
      <c r="A425" s="25" t="n">
        <v>46234</v>
      </c>
      <c r="B425" s="23" t="str">
        <f aca="false">IF(A425="","",IF(A425&lt;=profil!$B$9,"Realisasi","Rencana"))</f>
        <v>Rencana</v>
      </c>
      <c r="C425" s="18" t="s">
        <v>150</v>
      </c>
      <c r="D425" s="26" t="n">
        <f aca="false">IFERROR(INDEX(sumber_pasokan!$E:$E,MATCH(C425,sumber_pasokan!$B:$B,0)),"")</f>
        <v>0</v>
      </c>
      <c r="E425" s="27"/>
    </row>
    <row r="426" customFormat="false" ht="15" hidden="false" customHeight="false" outlineLevel="0" collapsed="false">
      <c r="A426" s="25" t="n">
        <v>46235</v>
      </c>
      <c r="B426" s="23" t="str">
        <f aca="false">IF(A426="","",IF(A426&lt;=profil!$B$9,"Realisasi","Rencana"))</f>
        <v>Rencana</v>
      </c>
      <c r="C426" s="18" t="s">
        <v>82</v>
      </c>
      <c r="D426" s="26" t="n">
        <f aca="false">IFERROR(INDEX(sumber_pasokan!$E:$E,MATCH(C426,sumber_pasokan!$B:$B,0)),"")</f>
        <v>0</v>
      </c>
      <c r="E426" s="27"/>
    </row>
    <row r="427" customFormat="false" ht="15" hidden="false" customHeight="false" outlineLevel="0" collapsed="false">
      <c r="A427" s="25" t="n">
        <v>46235</v>
      </c>
      <c r="B427" s="23" t="str">
        <f aca="false">IF(A427="","",IF(A427&lt;=profil!$B$9,"Realisasi","Rencana"))</f>
        <v>Rencana</v>
      </c>
      <c r="C427" s="18" t="s">
        <v>150</v>
      </c>
      <c r="D427" s="26" t="n">
        <f aca="false">IFERROR(INDEX(sumber_pasokan!$E:$E,MATCH(C427,sumber_pasokan!$B:$B,0)),"")</f>
        <v>0</v>
      </c>
      <c r="E427" s="27"/>
    </row>
    <row r="428" customFormat="false" ht="15" hidden="false" customHeight="false" outlineLevel="0" collapsed="false">
      <c r="A428" s="25" t="n">
        <v>46236</v>
      </c>
      <c r="B428" s="23" t="str">
        <f aca="false">IF(A428="","",IF(A428&lt;=profil!$B$9,"Realisasi","Rencana"))</f>
        <v>Rencana</v>
      </c>
      <c r="C428" s="18" t="s">
        <v>82</v>
      </c>
      <c r="D428" s="26" t="n">
        <f aca="false">IFERROR(INDEX(sumber_pasokan!$E:$E,MATCH(C428,sumber_pasokan!$B:$B,0)),"")</f>
        <v>0</v>
      </c>
      <c r="E428" s="27"/>
    </row>
    <row r="429" customFormat="false" ht="15" hidden="false" customHeight="false" outlineLevel="0" collapsed="false">
      <c r="A429" s="25" t="n">
        <v>46236</v>
      </c>
      <c r="B429" s="23" t="str">
        <f aca="false">IF(A429="","",IF(A429&lt;=profil!$B$9,"Realisasi","Rencana"))</f>
        <v>Rencana</v>
      </c>
      <c r="C429" s="18" t="s">
        <v>150</v>
      </c>
      <c r="D429" s="26" t="n">
        <f aca="false">IFERROR(INDEX(sumber_pasokan!$E:$E,MATCH(C429,sumber_pasokan!$B:$B,0)),"")</f>
        <v>0</v>
      </c>
      <c r="E429" s="27"/>
    </row>
    <row r="430" customFormat="false" ht="15" hidden="false" customHeight="false" outlineLevel="0" collapsed="false">
      <c r="A430" s="25" t="n">
        <v>46237</v>
      </c>
      <c r="B430" s="23" t="str">
        <f aca="false">IF(A430="","",IF(A430&lt;=profil!$B$9,"Realisasi","Rencana"))</f>
        <v>Rencana</v>
      </c>
      <c r="C430" s="18" t="s">
        <v>82</v>
      </c>
      <c r="D430" s="26" t="n">
        <f aca="false">IFERROR(INDEX(sumber_pasokan!$E:$E,MATCH(C430,sumber_pasokan!$B:$B,0)),"")</f>
        <v>0</v>
      </c>
      <c r="E430" s="27"/>
    </row>
    <row r="431" customFormat="false" ht="15" hidden="false" customHeight="false" outlineLevel="0" collapsed="false">
      <c r="A431" s="25" t="n">
        <v>46237</v>
      </c>
      <c r="B431" s="23" t="str">
        <f aca="false">IF(A431="","",IF(A431&lt;=profil!$B$9,"Realisasi","Rencana"))</f>
        <v>Rencana</v>
      </c>
      <c r="C431" s="18" t="s">
        <v>150</v>
      </c>
      <c r="D431" s="26" t="n">
        <f aca="false">IFERROR(INDEX(sumber_pasokan!$E:$E,MATCH(C431,sumber_pasokan!$B:$B,0)),"")</f>
        <v>0</v>
      </c>
      <c r="E431" s="27"/>
    </row>
    <row r="432" customFormat="false" ht="15" hidden="false" customHeight="false" outlineLevel="0" collapsed="false">
      <c r="A432" s="25" t="n">
        <v>46238</v>
      </c>
      <c r="B432" s="23" t="str">
        <f aca="false">IF(A432="","",IF(A432&lt;=profil!$B$9,"Realisasi","Rencana"))</f>
        <v>Rencana</v>
      </c>
      <c r="C432" s="18" t="s">
        <v>82</v>
      </c>
      <c r="D432" s="26" t="n">
        <f aca="false">IFERROR(INDEX(sumber_pasokan!$E:$E,MATCH(C432,sumber_pasokan!$B:$B,0)),"")</f>
        <v>0</v>
      </c>
      <c r="E432" s="27"/>
    </row>
    <row r="433" customFormat="false" ht="15" hidden="false" customHeight="false" outlineLevel="0" collapsed="false">
      <c r="A433" s="25" t="n">
        <v>46238</v>
      </c>
      <c r="B433" s="23" t="str">
        <f aca="false">IF(A433="","",IF(A433&lt;=profil!$B$9,"Realisasi","Rencana"))</f>
        <v>Rencana</v>
      </c>
      <c r="C433" s="18" t="s">
        <v>150</v>
      </c>
      <c r="D433" s="26" t="n">
        <f aca="false">IFERROR(INDEX(sumber_pasokan!$E:$E,MATCH(C433,sumber_pasokan!$B:$B,0)),"")</f>
        <v>0</v>
      </c>
      <c r="E433" s="27"/>
    </row>
    <row r="434" customFormat="false" ht="15" hidden="false" customHeight="false" outlineLevel="0" collapsed="false">
      <c r="A434" s="25" t="n">
        <v>46239</v>
      </c>
      <c r="B434" s="23" t="str">
        <f aca="false">IF(A434="","",IF(A434&lt;=profil!$B$9,"Realisasi","Rencana"))</f>
        <v>Rencana</v>
      </c>
      <c r="C434" s="18" t="s">
        <v>82</v>
      </c>
      <c r="D434" s="26" t="n">
        <f aca="false">IFERROR(INDEX(sumber_pasokan!$E:$E,MATCH(C434,sumber_pasokan!$B:$B,0)),"")</f>
        <v>0</v>
      </c>
      <c r="E434" s="27"/>
    </row>
    <row r="435" customFormat="false" ht="15" hidden="false" customHeight="false" outlineLevel="0" collapsed="false">
      <c r="A435" s="25" t="n">
        <v>46239</v>
      </c>
      <c r="B435" s="23" t="str">
        <f aca="false">IF(A435="","",IF(A435&lt;=profil!$B$9,"Realisasi","Rencana"))</f>
        <v>Rencana</v>
      </c>
      <c r="C435" s="18" t="s">
        <v>150</v>
      </c>
      <c r="D435" s="26" t="n">
        <f aca="false">IFERROR(INDEX(sumber_pasokan!$E:$E,MATCH(C435,sumber_pasokan!$B:$B,0)),"")</f>
        <v>0</v>
      </c>
      <c r="E435" s="27"/>
    </row>
    <row r="436" customFormat="false" ht="15" hidden="false" customHeight="false" outlineLevel="0" collapsed="false">
      <c r="A436" s="25" t="n">
        <v>46240</v>
      </c>
      <c r="B436" s="23" t="str">
        <f aca="false">IF(A436="","",IF(A436&lt;=profil!$B$9,"Realisasi","Rencana"))</f>
        <v>Rencana</v>
      </c>
      <c r="C436" s="18" t="s">
        <v>82</v>
      </c>
      <c r="D436" s="26" t="n">
        <f aca="false">IFERROR(INDEX(sumber_pasokan!$E:$E,MATCH(C436,sumber_pasokan!$B:$B,0)),"")</f>
        <v>0</v>
      </c>
      <c r="E436" s="27"/>
    </row>
    <row r="437" customFormat="false" ht="15" hidden="false" customHeight="false" outlineLevel="0" collapsed="false">
      <c r="A437" s="25" t="n">
        <v>46240</v>
      </c>
      <c r="B437" s="23" t="str">
        <f aca="false">IF(A437="","",IF(A437&lt;=profil!$B$9,"Realisasi","Rencana"))</f>
        <v>Rencana</v>
      </c>
      <c r="C437" s="18" t="s">
        <v>150</v>
      </c>
      <c r="D437" s="26" t="n">
        <f aca="false">IFERROR(INDEX(sumber_pasokan!$E:$E,MATCH(C437,sumber_pasokan!$B:$B,0)),"")</f>
        <v>0</v>
      </c>
      <c r="E437" s="27"/>
    </row>
    <row r="438" customFormat="false" ht="15" hidden="false" customHeight="false" outlineLevel="0" collapsed="false">
      <c r="A438" s="25" t="n">
        <v>46241</v>
      </c>
      <c r="B438" s="23" t="str">
        <f aca="false">IF(A438="","",IF(A438&lt;=profil!$B$9,"Realisasi","Rencana"))</f>
        <v>Rencana</v>
      </c>
      <c r="C438" s="18" t="s">
        <v>82</v>
      </c>
      <c r="D438" s="26" t="n">
        <f aca="false">IFERROR(INDEX(sumber_pasokan!$E:$E,MATCH(C438,sumber_pasokan!$B:$B,0)),"")</f>
        <v>0</v>
      </c>
      <c r="E438" s="27"/>
    </row>
    <row r="439" customFormat="false" ht="15" hidden="false" customHeight="false" outlineLevel="0" collapsed="false">
      <c r="A439" s="25" t="n">
        <v>46241</v>
      </c>
      <c r="B439" s="23" t="str">
        <f aca="false">IF(A439="","",IF(A439&lt;=profil!$B$9,"Realisasi","Rencana"))</f>
        <v>Rencana</v>
      </c>
      <c r="C439" s="18" t="s">
        <v>150</v>
      </c>
      <c r="D439" s="26" t="n">
        <f aca="false">IFERROR(INDEX(sumber_pasokan!$E:$E,MATCH(C439,sumber_pasokan!$B:$B,0)),"")</f>
        <v>0</v>
      </c>
      <c r="E439" s="27"/>
    </row>
    <row r="440" customFormat="false" ht="15" hidden="false" customHeight="false" outlineLevel="0" collapsed="false">
      <c r="A440" s="25" t="n">
        <v>46242</v>
      </c>
      <c r="B440" s="23" t="str">
        <f aca="false">IF(A440="","",IF(A440&lt;=profil!$B$9,"Realisasi","Rencana"))</f>
        <v>Rencana</v>
      </c>
      <c r="C440" s="18" t="s">
        <v>82</v>
      </c>
      <c r="D440" s="26" t="n">
        <f aca="false">IFERROR(INDEX(sumber_pasokan!$E:$E,MATCH(C440,sumber_pasokan!$B:$B,0)),"")</f>
        <v>0</v>
      </c>
      <c r="E440" s="27"/>
    </row>
    <row r="441" customFormat="false" ht="15" hidden="false" customHeight="false" outlineLevel="0" collapsed="false">
      <c r="A441" s="25" t="n">
        <v>46242</v>
      </c>
      <c r="B441" s="23" t="str">
        <f aca="false">IF(A441="","",IF(A441&lt;=profil!$B$9,"Realisasi","Rencana"))</f>
        <v>Rencana</v>
      </c>
      <c r="C441" s="18" t="s">
        <v>150</v>
      </c>
      <c r="D441" s="26" t="n">
        <f aca="false">IFERROR(INDEX(sumber_pasokan!$E:$E,MATCH(C441,sumber_pasokan!$B:$B,0)),"")</f>
        <v>0</v>
      </c>
      <c r="E441" s="27"/>
    </row>
    <row r="442" customFormat="false" ht="15" hidden="false" customHeight="false" outlineLevel="0" collapsed="false">
      <c r="A442" s="25" t="n">
        <v>46243</v>
      </c>
      <c r="B442" s="23" t="str">
        <f aca="false">IF(A442="","",IF(A442&lt;=profil!$B$9,"Realisasi","Rencana"))</f>
        <v>Rencana</v>
      </c>
      <c r="C442" s="18" t="s">
        <v>82</v>
      </c>
      <c r="D442" s="26" t="n">
        <f aca="false">IFERROR(INDEX(sumber_pasokan!$E:$E,MATCH(C442,sumber_pasokan!$B:$B,0)),"")</f>
        <v>0</v>
      </c>
      <c r="E442" s="27"/>
    </row>
    <row r="443" customFormat="false" ht="15" hidden="false" customHeight="false" outlineLevel="0" collapsed="false">
      <c r="A443" s="25" t="n">
        <v>46243</v>
      </c>
      <c r="B443" s="23" t="str">
        <f aca="false">IF(A443="","",IF(A443&lt;=profil!$B$9,"Realisasi","Rencana"))</f>
        <v>Rencana</v>
      </c>
      <c r="C443" s="18" t="s">
        <v>150</v>
      </c>
      <c r="D443" s="26" t="n">
        <f aca="false">IFERROR(INDEX(sumber_pasokan!$E:$E,MATCH(C443,sumber_pasokan!$B:$B,0)),"")</f>
        <v>0</v>
      </c>
      <c r="E443" s="27"/>
    </row>
    <row r="444" customFormat="false" ht="15" hidden="false" customHeight="false" outlineLevel="0" collapsed="false">
      <c r="A444" s="25" t="n">
        <v>46244</v>
      </c>
      <c r="B444" s="23" t="str">
        <f aca="false">IF(A444="","",IF(A444&lt;=profil!$B$9,"Realisasi","Rencana"))</f>
        <v>Rencana</v>
      </c>
      <c r="C444" s="18" t="s">
        <v>82</v>
      </c>
      <c r="D444" s="26" t="n">
        <f aca="false">IFERROR(INDEX(sumber_pasokan!$E:$E,MATCH(C444,sumber_pasokan!$B:$B,0)),"")</f>
        <v>0</v>
      </c>
      <c r="E444" s="27"/>
    </row>
    <row r="445" customFormat="false" ht="15" hidden="false" customHeight="false" outlineLevel="0" collapsed="false">
      <c r="A445" s="25" t="n">
        <v>46244</v>
      </c>
      <c r="B445" s="23" t="str">
        <f aca="false">IF(A445="","",IF(A445&lt;=profil!$B$9,"Realisasi","Rencana"))</f>
        <v>Rencana</v>
      </c>
      <c r="C445" s="18" t="s">
        <v>150</v>
      </c>
      <c r="D445" s="26" t="n">
        <f aca="false">IFERROR(INDEX(sumber_pasokan!$E:$E,MATCH(C445,sumber_pasokan!$B:$B,0)),"")</f>
        <v>0</v>
      </c>
      <c r="E445" s="27"/>
    </row>
    <row r="446" customFormat="false" ht="15" hidden="false" customHeight="false" outlineLevel="0" collapsed="false">
      <c r="A446" s="25" t="n">
        <v>46245</v>
      </c>
      <c r="B446" s="23" t="str">
        <f aca="false">IF(A446="","",IF(A446&lt;=profil!$B$9,"Realisasi","Rencana"))</f>
        <v>Rencana</v>
      </c>
      <c r="C446" s="18" t="s">
        <v>82</v>
      </c>
      <c r="D446" s="26" t="n">
        <f aca="false">IFERROR(INDEX(sumber_pasokan!$E:$E,MATCH(C446,sumber_pasokan!$B:$B,0)),"")</f>
        <v>0</v>
      </c>
      <c r="E446" s="27"/>
    </row>
    <row r="447" customFormat="false" ht="15" hidden="false" customHeight="false" outlineLevel="0" collapsed="false">
      <c r="A447" s="25" t="n">
        <v>46245</v>
      </c>
      <c r="B447" s="23" t="str">
        <f aca="false">IF(A447="","",IF(A447&lt;=profil!$B$9,"Realisasi","Rencana"))</f>
        <v>Rencana</v>
      </c>
      <c r="C447" s="18" t="s">
        <v>150</v>
      </c>
      <c r="D447" s="26" t="n">
        <f aca="false">IFERROR(INDEX(sumber_pasokan!$E:$E,MATCH(C447,sumber_pasokan!$B:$B,0)),"")</f>
        <v>0</v>
      </c>
      <c r="E447" s="27"/>
    </row>
    <row r="448" customFormat="false" ht="15" hidden="false" customHeight="false" outlineLevel="0" collapsed="false">
      <c r="A448" s="25" t="n">
        <v>46246</v>
      </c>
      <c r="B448" s="23" t="str">
        <f aca="false">IF(A448="","",IF(A448&lt;=profil!$B$9,"Realisasi","Rencana"))</f>
        <v>Rencana</v>
      </c>
      <c r="C448" s="18" t="s">
        <v>82</v>
      </c>
      <c r="D448" s="26" t="n">
        <f aca="false">IFERROR(INDEX(sumber_pasokan!$E:$E,MATCH(C448,sumber_pasokan!$B:$B,0)),"")</f>
        <v>0</v>
      </c>
      <c r="E448" s="27"/>
    </row>
    <row r="449" customFormat="false" ht="15" hidden="false" customHeight="false" outlineLevel="0" collapsed="false">
      <c r="A449" s="25" t="n">
        <v>46246</v>
      </c>
      <c r="B449" s="23" t="str">
        <f aca="false">IF(A449="","",IF(A449&lt;=profil!$B$9,"Realisasi","Rencana"))</f>
        <v>Rencana</v>
      </c>
      <c r="C449" s="18" t="s">
        <v>150</v>
      </c>
      <c r="D449" s="26" t="n">
        <f aca="false">IFERROR(INDEX(sumber_pasokan!$E:$E,MATCH(C449,sumber_pasokan!$B:$B,0)),"")</f>
        <v>0</v>
      </c>
      <c r="E449" s="27"/>
    </row>
    <row r="450" customFormat="false" ht="15" hidden="false" customHeight="false" outlineLevel="0" collapsed="false">
      <c r="A450" s="25" t="n">
        <v>46247</v>
      </c>
      <c r="B450" s="23" t="str">
        <f aca="false">IF(A450="","",IF(A450&lt;=profil!$B$9,"Realisasi","Rencana"))</f>
        <v>Rencana</v>
      </c>
      <c r="C450" s="18" t="s">
        <v>82</v>
      </c>
      <c r="D450" s="26" t="n">
        <f aca="false">IFERROR(INDEX(sumber_pasokan!$E:$E,MATCH(C450,sumber_pasokan!$B:$B,0)),"")</f>
        <v>0</v>
      </c>
      <c r="E450" s="27"/>
    </row>
    <row r="451" customFormat="false" ht="15" hidden="false" customHeight="false" outlineLevel="0" collapsed="false">
      <c r="A451" s="25" t="n">
        <v>46247</v>
      </c>
      <c r="B451" s="23" t="str">
        <f aca="false">IF(A451="","",IF(A451&lt;=profil!$B$9,"Realisasi","Rencana"))</f>
        <v>Rencana</v>
      </c>
      <c r="C451" s="18" t="s">
        <v>150</v>
      </c>
      <c r="D451" s="26" t="n">
        <f aca="false">IFERROR(INDEX(sumber_pasokan!$E:$E,MATCH(C451,sumber_pasokan!$B:$B,0)),"")</f>
        <v>0</v>
      </c>
      <c r="E451" s="27"/>
    </row>
    <row r="452" customFormat="false" ht="15" hidden="false" customHeight="false" outlineLevel="0" collapsed="false">
      <c r="A452" s="25" t="n">
        <v>46248</v>
      </c>
      <c r="B452" s="23" t="str">
        <f aca="false">IF(A452="","",IF(A452&lt;=profil!$B$9,"Realisasi","Rencana"))</f>
        <v>Rencana</v>
      </c>
      <c r="C452" s="18" t="s">
        <v>82</v>
      </c>
      <c r="D452" s="26" t="n">
        <f aca="false">IFERROR(INDEX(sumber_pasokan!$E:$E,MATCH(C452,sumber_pasokan!$B:$B,0)),"")</f>
        <v>0</v>
      </c>
      <c r="E452" s="27"/>
    </row>
    <row r="453" customFormat="false" ht="15" hidden="false" customHeight="false" outlineLevel="0" collapsed="false">
      <c r="A453" s="25" t="n">
        <v>46248</v>
      </c>
      <c r="B453" s="23" t="str">
        <f aca="false">IF(A453="","",IF(A453&lt;=profil!$B$9,"Realisasi","Rencana"))</f>
        <v>Rencana</v>
      </c>
      <c r="C453" s="18" t="s">
        <v>150</v>
      </c>
      <c r="D453" s="26" t="n">
        <f aca="false">IFERROR(INDEX(sumber_pasokan!$E:$E,MATCH(C453,sumber_pasokan!$B:$B,0)),"")</f>
        <v>0</v>
      </c>
      <c r="E453" s="27"/>
    </row>
    <row r="454" customFormat="false" ht="15" hidden="false" customHeight="false" outlineLevel="0" collapsed="false">
      <c r="A454" s="25" t="n">
        <v>46249</v>
      </c>
      <c r="B454" s="23" t="str">
        <f aca="false">IF(A454="","",IF(A454&lt;=profil!$B$9,"Realisasi","Rencana"))</f>
        <v>Rencana</v>
      </c>
      <c r="C454" s="18" t="s">
        <v>82</v>
      </c>
      <c r="D454" s="26" t="n">
        <f aca="false">IFERROR(INDEX(sumber_pasokan!$E:$E,MATCH(C454,sumber_pasokan!$B:$B,0)),"")</f>
        <v>0</v>
      </c>
      <c r="E454" s="27"/>
    </row>
    <row r="455" customFormat="false" ht="15" hidden="false" customHeight="false" outlineLevel="0" collapsed="false">
      <c r="A455" s="25" t="n">
        <v>46249</v>
      </c>
      <c r="B455" s="23" t="str">
        <f aca="false">IF(A455="","",IF(A455&lt;=profil!$B$9,"Realisasi","Rencana"))</f>
        <v>Rencana</v>
      </c>
      <c r="C455" s="18" t="s">
        <v>150</v>
      </c>
      <c r="D455" s="26" t="n">
        <f aca="false">IFERROR(INDEX(sumber_pasokan!$E:$E,MATCH(C455,sumber_pasokan!$B:$B,0)),"")</f>
        <v>0</v>
      </c>
      <c r="E455" s="27"/>
    </row>
    <row r="456" customFormat="false" ht="15" hidden="false" customHeight="false" outlineLevel="0" collapsed="false">
      <c r="A456" s="25" t="n">
        <v>46250</v>
      </c>
      <c r="B456" s="23" t="str">
        <f aca="false">IF(A456="","",IF(A456&lt;=profil!$B$9,"Realisasi","Rencana"))</f>
        <v>Rencana</v>
      </c>
      <c r="C456" s="18" t="s">
        <v>82</v>
      </c>
      <c r="D456" s="26" t="n">
        <f aca="false">IFERROR(INDEX(sumber_pasokan!$E:$E,MATCH(C456,sumber_pasokan!$B:$B,0)),"")</f>
        <v>0</v>
      </c>
      <c r="E456" s="27"/>
    </row>
    <row r="457" customFormat="false" ht="15" hidden="false" customHeight="false" outlineLevel="0" collapsed="false">
      <c r="A457" s="25" t="n">
        <v>46250</v>
      </c>
      <c r="B457" s="23" t="str">
        <f aca="false">IF(A457="","",IF(A457&lt;=profil!$B$9,"Realisasi","Rencana"))</f>
        <v>Rencana</v>
      </c>
      <c r="C457" s="18" t="s">
        <v>150</v>
      </c>
      <c r="D457" s="26" t="n">
        <f aca="false">IFERROR(INDEX(sumber_pasokan!$E:$E,MATCH(C457,sumber_pasokan!$B:$B,0)),"")</f>
        <v>0</v>
      </c>
      <c r="E457" s="27"/>
    </row>
    <row r="458" customFormat="false" ht="15" hidden="false" customHeight="false" outlineLevel="0" collapsed="false">
      <c r="A458" s="25" t="n">
        <v>46251</v>
      </c>
      <c r="B458" s="23" t="str">
        <f aca="false">IF(A458="","",IF(A458&lt;=profil!$B$9,"Realisasi","Rencana"))</f>
        <v>Rencana</v>
      </c>
      <c r="C458" s="18" t="s">
        <v>82</v>
      </c>
      <c r="D458" s="26" t="n">
        <f aca="false">IFERROR(INDEX(sumber_pasokan!$E:$E,MATCH(C458,sumber_pasokan!$B:$B,0)),"")</f>
        <v>0</v>
      </c>
      <c r="E458" s="27"/>
    </row>
    <row r="459" customFormat="false" ht="15" hidden="false" customHeight="false" outlineLevel="0" collapsed="false">
      <c r="A459" s="25" t="n">
        <v>46251</v>
      </c>
      <c r="B459" s="23" t="str">
        <f aca="false">IF(A459="","",IF(A459&lt;=profil!$B$9,"Realisasi","Rencana"))</f>
        <v>Rencana</v>
      </c>
      <c r="C459" s="18" t="s">
        <v>150</v>
      </c>
      <c r="D459" s="26" t="n">
        <f aca="false">IFERROR(INDEX(sumber_pasokan!$E:$E,MATCH(C459,sumber_pasokan!$B:$B,0)),"")</f>
        <v>0</v>
      </c>
      <c r="E459" s="27"/>
    </row>
    <row r="460" customFormat="false" ht="15" hidden="false" customHeight="false" outlineLevel="0" collapsed="false">
      <c r="A460" s="25" t="n">
        <v>46252</v>
      </c>
      <c r="B460" s="23" t="str">
        <f aca="false">IF(A460="","",IF(A460&lt;=profil!$B$9,"Realisasi","Rencana"))</f>
        <v>Rencana</v>
      </c>
      <c r="C460" s="18" t="s">
        <v>82</v>
      </c>
      <c r="D460" s="26" t="n">
        <f aca="false">IFERROR(INDEX(sumber_pasokan!$E:$E,MATCH(C460,sumber_pasokan!$B:$B,0)),"")</f>
        <v>0</v>
      </c>
      <c r="E460" s="27"/>
    </row>
    <row r="461" customFormat="false" ht="15" hidden="false" customHeight="false" outlineLevel="0" collapsed="false">
      <c r="A461" s="25" t="n">
        <v>46252</v>
      </c>
      <c r="B461" s="23" t="str">
        <f aca="false">IF(A461="","",IF(A461&lt;=profil!$B$9,"Realisasi","Rencana"))</f>
        <v>Rencana</v>
      </c>
      <c r="C461" s="18" t="s">
        <v>150</v>
      </c>
      <c r="D461" s="26" t="n">
        <f aca="false">IFERROR(INDEX(sumber_pasokan!$E:$E,MATCH(C461,sumber_pasokan!$B:$B,0)),"")</f>
        <v>0</v>
      </c>
      <c r="E461" s="27"/>
    </row>
    <row r="462" customFormat="false" ht="15" hidden="false" customHeight="false" outlineLevel="0" collapsed="false">
      <c r="A462" s="25" t="n">
        <v>46253</v>
      </c>
      <c r="B462" s="23" t="str">
        <f aca="false">IF(A462="","",IF(A462&lt;=profil!$B$9,"Realisasi","Rencana"))</f>
        <v>Rencana</v>
      </c>
      <c r="C462" s="18" t="s">
        <v>82</v>
      </c>
      <c r="D462" s="26" t="n">
        <f aca="false">IFERROR(INDEX(sumber_pasokan!$E:$E,MATCH(C462,sumber_pasokan!$B:$B,0)),"")</f>
        <v>0</v>
      </c>
      <c r="E462" s="27"/>
    </row>
    <row r="463" customFormat="false" ht="15" hidden="false" customHeight="false" outlineLevel="0" collapsed="false">
      <c r="A463" s="25" t="n">
        <v>46253</v>
      </c>
      <c r="B463" s="23" t="str">
        <f aca="false">IF(A463="","",IF(A463&lt;=profil!$B$9,"Realisasi","Rencana"))</f>
        <v>Rencana</v>
      </c>
      <c r="C463" s="18" t="s">
        <v>150</v>
      </c>
      <c r="D463" s="26" t="n">
        <f aca="false">IFERROR(INDEX(sumber_pasokan!$E:$E,MATCH(C463,sumber_pasokan!$B:$B,0)),"")</f>
        <v>0</v>
      </c>
      <c r="E463" s="27"/>
    </row>
    <row r="464" customFormat="false" ht="15" hidden="false" customHeight="false" outlineLevel="0" collapsed="false">
      <c r="A464" s="25" t="n">
        <v>46254</v>
      </c>
      <c r="B464" s="23" t="str">
        <f aca="false">IF(A464="","",IF(A464&lt;=profil!$B$9,"Realisasi","Rencana"))</f>
        <v>Rencana</v>
      </c>
      <c r="C464" s="18" t="s">
        <v>82</v>
      </c>
      <c r="D464" s="26" t="n">
        <f aca="false">IFERROR(INDEX(sumber_pasokan!$E:$E,MATCH(C464,sumber_pasokan!$B:$B,0)),"")</f>
        <v>0</v>
      </c>
      <c r="E464" s="27"/>
    </row>
    <row r="465" customFormat="false" ht="15" hidden="false" customHeight="false" outlineLevel="0" collapsed="false">
      <c r="A465" s="25" t="n">
        <v>46254</v>
      </c>
      <c r="B465" s="23" t="str">
        <f aca="false">IF(A465="","",IF(A465&lt;=profil!$B$9,"Realisasi","Rencana"))</f>
        <v>Rencana</v>
      </c>
      <c r="C465" s="18" t="s">
        <v>150</v>
      </c>
      <c r="D465" s="26" t="n">
        <f aca="false">IFERROR(INDEX(sumber_pasokan!$E:$E,MATCH(C465,sumber_pasokan!$B:$B,0)),"")</f>
        <v>0</v>
      </c>
      <c r="E465" s="27"/>
    </row>
    <row r="466" customFormat="false" ht="15" hidden="false" customHeight="false" outlineLevel="0" collapsed="false">
      <c r="A466" s="25" t="n">
        <v>46255</v>
      </c>
      <c r="B466" s="23" t="str">
        <f aca="false">IF(A466="","",IF(A466&lt;=profil!$B$9,"Realisasi","Rencana"))</f>
        <v>Rencana</v>
      </c>
      <c r="C466" s="18" t="s">
        <v>82</v>
      </c>
      <c r="D466" s="26" t="n">
        <f aca="false">IFERROR(INDEX(sumber_pasokan!$E:$E,MATCH(C466,sumber_pasokan!$B:$B,0)),"")</f>
        <v>0</v>
      </c>
      <c r="E466" s="27"/>
    </row>
    <row r="467" customFormat="false" ht="15" hidden="false" customHeight="false" outlineLevel="0" collapsed="false">
      <c r="A467" s="25" t="n">
        <v>46255</v>
      </c>
      <c r="B467" s="23" t="str">
        <f aca="false">IF(A467="","",IF(A467&lt;=profil!$B$9,"Realisasi","Rencana"))</f>
        <v>Rencana</v>
      </c>
      <c r="C467" s="18" t="s">
        <v>150</v>
      </c>
      <c r="D467" s="26" t="n">
        <f aca="false">IFERROR(INDEX(sumber_pasokan!$E:$E,MATCH(C467,sumber_pasokan!$B:$B,0)),"")</f>
        <v>0</v>
      </c>
      <c r="E467" s="27"/>
    </row>
    <row r="468" customFormat="false" ht="15" hidden="false" customHeight="false" outlineLevel="0" collapsed="false">
      <c r="A468" s="25" t="n">
        <v>46256</v>
      </c>
      <c r="B468" s="23" t="str">
        <f aca="false">IF(A468="","",IF(A468&lt;=profil!$B$9,"Realisasi","Rencana"))</f>
        <v>Rencana</v>
      </c>
      <c r="C468" s="18" t="s">
        <v>82</v>
      </c>
      <c r="D468" s="26" t="n">
        <f aca="false">IFERROR(INDEX(sumber_pasokan!$E:$E,MATCH(C468,sumber_pasokan!$B:$B,0)),"")</f>
        <v>0</v>
      </c>
      <c r="E468" s="27"/>
    </row>
    <row r="469" customFormat="false" ht="15" hidden="false" customHeight="false" outlineLevel="0" collapsed="false">
      <c r="A469" s="25" t="n">
        <v>46256</v>
      </c>
      <c r="B469" s="23" t="str">
        <f aca="false">IF(A469="","",IF(A469&lt;=profil!$B$9,"Realisasi","Rencana"))</f>
        <v>Rencana</v>
      </c>
      <c r="C469" s="18" t="s">
        <v>150</v>
      </c>
      <c r="D469" s="26" t="n">
        <f aca="false">IFERROR(INDEX(sumber_pasokan!$E:$E,MATCH(C469,sumber_pasokan!$B:$B,0)),"")</f>
        <v>0</v>
      </c>
      <c r="E469" s="27"/>
    </row>
    <row r="470" customFormat="false" ht="15" hidden="false" customHeight="false" outlineLevel="0" collapsed="false">
      <c r="A470" s="25" t="n">
        <v>46257</v>
      </c>
      <c r="B470" s="23" t="str">
        <f aca="false">IF(A470="","",IF(A470&lt;=profil!$B$9,"Realisasi","Rencana"))</f>
        <v>Rencana</v>
      </c>
      <c r="C470" s="18" t="s">
        <v>82</v>
      </c>
      <c r="D470" s="26" t="n">
        <f aca="false">IFERROR(INDEX(sumber_pasokan!$E:$E,MATCH(C470,sumber_pasokan!$B:$B,0)),"")</f>
        <v>0</v>
      </c>
      <c r="E470" s="27"/>
    </row>
    <row r="471" customFormat="false" ht="15" hidden="false" customHeight="false" outlineLevel="0" collapsed="false">
      <c r="A471" s="25" t="n">
        <v>46257</v>
      </c>
      <c r="B471" s="23" t="str">
        <f aca="false">IF(A471="","",IF(A471&lt;=profil!$B$9,"Realisasi","Rencana"))</f>
        <v>Rencana</v>
      </c>
      <c r="C471" s="18" t="s">
        <v>150</v>
      </c>
      <c r="D471" s="26" t="n">
        <f aca="false">IFERROR(INDEX(sumber_pasokan!$E:$E,MATCH(C471,sumber_pasokan!$B:$B,0)),"")</f>
        <v>0</v>
      </c>
      <c r="E471" s="27"/>
    </row>
    <row r="472" customFormat="false" ht="15" hidden="false" customHeight="false" outlineLevel="0" collapsed="false">
      <c r="A472" s="25" t="n">
        <v>46258</v>
      </c>
      <c r="B472" s="23" t="str">
        <f aca="false">IF(A472="","",IF(A472&lt;=profil!$B$9,"Realisasi","Rencana"))</f>
        <v>Rencana</v>
      </c>
      <c r="C472" s="18" t="s">
        <v>82</v>
      </c>
      <c r="D472" s="26" t="n">
        <f aca="false">IFERROR(INDEX(sumber_pasokan!$E:$E,MATCH(C472,sumber_pasokan!$B:$B,0)),"")</f>
        <v>0</v>
      </c>
      <c r="E472" s="27"/>
    </row>
    <row r="473" customFormat="false" ht="15" hidden="false" customHeight="false" outlineLevel="0" collapsed="false">
      <c r="A473" s="25" t="n">
        <v>46258</v>
      </c>
      <c r="B473" s="23" t="str">
        <f aca="false">IF(A473="","",IF(A473&lt;=profil!$B$9,"Realisasi","Rencana"))</f>
        <v>Rencana</v>
      </c>
      <c r="C473" s="18" t="s">
        <v>150</v>
      </c>
      <c r="D473" s="26" t="n">
        <f aca="false">IFERROR(INDEX(sumber_pasokan!$E:$E,MATCH(C473,sumber_pasokan!$B:$B,0)),"")</f>
        <v>0</v>
      </c>
      <c r="E473" s="27"/>
    </row>
    <row r="474" customFormat="false" ht="15" hidden="false" customHeight="false" outlineLevel="0" collapsed="false">
      <c r="A474" s="25" t="n">
        <v>46259</v>
      </c>
      <c r="B474" s="23" t="str">
        <f aca="false">IF(A474="","",IF(A474&lt;=profil!$B$9,"Realisasi","Rencana"))</f>
        <v>Rencana</v>
      </c>
      <c r="C474" s="18" t="s">
        <v>82</v>
      </c>
      <c r="D474" s="26" t="n">
        <f aca="false">IFERROR(INDEX(sumber_pasokan!$E:$E,MATCH(C474,sumber_pasokan!$B:$B,0)),"")</f>
        <v>0</v>
      </c>
      <c r="E474" s="27"/>
    </row>
    <row r="475" customFormat="false" ht="15" hidden="false" customHeight="false" outlineLevel="0" collapsed="false">
      <c r="A475" s="25" t="n">
        <v>46259</v>
      </c>
      <c r="B475" s="23" t="str">
        <f aca="false">IF(A475="","",IF(A475&lt;=profil!$B$9,"Realisasi","Rencana"))</f>
        <v>Rencana</v>
      </c>
      <c r="C475" s="18" t="s">
        <v>150</v>
      </c>
      <c r="D475" s="26" t="n">
        <f aca="false">IFERROR(INDEX(sumber_pasokan!$E:$E,MATCH(C475,sumber_pasokan!$B:$B,0)),"")</f>
        <v>0</v>
      </c>
      <c r="E475" s="27"/>
    </row>
    <row r="476" customFormat="false" ht="15" hidden="false" customHeight="false" outlineLevel="0" collapsed="false">
      <c r="A476" s="25" t="n">
        <v>46260</v>
      </c>
      <c r="B476" s="23" t="str">
        <f aca="false">IF(A476="","",IF(A476&lt;=profil!$B$9,"Realisasi","Rencana"))</f>
        <v>Rencana</v>
      </c>
      <c r="C476" s="18" t="s">
        <v>82</v>
      </c>
      <c r="D476" s="26" t="n">
        <f aca="false">IFERROR(INDEX(sumber_pasokan!$E:$E,MATCH(C476,sumber_pasokan!$B:$B,0)),"")</f>
        <v>0</v>
      </c>
      <c r="E476" s="27"/>
    </row>
    <row r="477" customFormat="false" ht="15" hidden="false" customHeight="false" outlineLevel="0" collapsed="false">
      <c r="A477" s="25" t="n">
        <v>46260</v>
      </c>
      <c r="B477" s="23" t="str">
        <f aca="false">IF(A477="","",IF(A477&lt;=profil!$B$9,"Realisasi","Rencana"))</f>
        <v>Rencana</v>
      </c>
      <c r="C477" s="18" t="s">
        <v>150</v>
      </c>
      <c r="D477" s="26" t="n">
        <f aca="false">IFERROR(INDEX(sumber_pasokan!$E:$E,MATCH(C477,sumber_pasokan!$B:$B,0)),"")</f>
        <v>0</v>
      </c>
      <c r="E477" s="27"/>
    </row>
    <row r="478" customFormat="false" ht="15" hidden="false" customHeight="false" outlineLevel="0" collapsed="false">
      <c r="A478" s="25" t="n">
        <v>46261</v>
      </c>
      <c r="B478" s="23" t="str">
        <f aca="false">IF(A478="","",IF(A478&lt;=profil!$B$9,"Realisasi","Rencana"))</f>
        <v>Rencana</v>
      </c>
      <c r="C478" s="18" t="s">
        <v>82</v>
      </c>
      <c r="D478" s="26" t="n">
        <f aca="false">IFERROR(INDEX(sumber_pasokan!$E:$E,MATCH(C478,sumber_pasokan!$B:$B,0)),"")</f>
        <v>0</v>
      </c>
      <c r="E478" s="27"/>
    </row>
    <row r="479" customFormat="false" ht="15" hidden="false" customHeight="false" outlineLevel="0" collapsed="false">
      <c r="A479" s="25" t="n">
        <v>46261</v>
      </c>
      <c r="B479" s="23" t="str">
        <f aca="false">IF(A479="","",IF(A479&lt;=profil!$B$9,"Realisasi","Rencana"))</f>
        <v>Rencana</v>
      </c>
      <c r="C479" s="18" t="s">
        <v>150</v>
      </c>
      <c r="D479" s="26" t="n">
        <f aca="false">IFERROR(INDEX(sumber_pasokan!$E:$E,MATCH(C479,sumber_pasokan!$B:$B,0)),"")</f>
        <v>0</v>
      </c>
      <c r="E479" s="27"/>
    </row>
    <row r="480" customFormat="false" ht="15" hidden="false" customHeight="false" outlineLevel="0" collapsed="false">
      <c r="A480" s="25" t="n">
        <v>46262</v>
      </c>
      <c r="B480" s="23" t="str">
        <f aca="false">IF(A480="","",IF(A480&lt;=profil!$B$9,"Realisasi","Rencana"))</f>
        <v>Rencana</v>
      </c>
      <c r="C480" s="18" t="s">
        <v>82</v>
      </c>
      <c r="D480" s="26" t="n">
        <f aca="false">IFERROR(INDEX(sumber_pasokan!$E:$E,MATCH(C480,sumber_pasokan!$B:$B,0)),"")</f>
        <v>0</v>
      </c>
      <c r="E480" s="27"/>
    </row>
    <row r="481" customFormat="false" ht="15" hidden="false" customHeight="false" outlineLevel="0" collapsed="false">
      <c r="A481" s="25" t="n">
        <v>46262</v>
      </c>
      <c r="B481" s="23" t="str">
        <f aca="false">IF(A481="","",IF(A481&lt;=profil!$B$9,"Realisasi","Rencana"))</f>
        <v>Rencana</v>
      </c>
      <c r="C481" s="18" t="s">
        <v>150</v>
      </c>
      <c r="D481" s="26" t="n">
        <f aca="false">IFERROR(INDEX(sumber_pasokan!$E:$E,MATCH(C481,sumber_pasokan!$B:$B,0)),"")</f>
        <v>0</v>
      </c>
      <c r="E481" s="27"/>
    </row>
    <row r="482" customFormat="false" ht="15" hidden="false" customHeight="false" outlineLevel="0" collapsed="false">
      <c r="A482" s="25" t="n">
        <v>46263</v>
      </c>
      <c r="B482" s="23" t="str">
        <f aca="false">IF(A482="","",IF(A482&lt;=profil!$B$9,"Realisasi","Rencana"))</f>
        <v>Rencana</v>
      </c>
      <c r="C482" s="18" t="s">
        <v>82</v>
      </c>
      <c r="D482" s="26" t="n">
        <f aca="false">IFERROR(INDEX(sumber_pasokan!$E:$E,MATCH(C482,sumber_pasokan!$B:$B,0)),"")</f>
        <v>0</v>
      </c>
      <c r="E482" s="27"/>
    </row>
    <row r="483" customFormat="false" ht="15" hidden="false" customHeight="false" outlineLevel="0" collapsed="false">
      <c r="A483" s="25" t="n">
        <v>46263</v>
      </c>
      <c r="B483" s="23" t="str">
        <f aca="false">IF(A483="","",IF(A483&lt;=profil!$B$9,"Realisasi","Rencana"))</f>
        <v>Rencana</v>
      </c>
      <c r="C483" s="18" t="s">
        <v>150</v>
      </c>
      <c r="D483" s="26" t="n">
        <f aca="false">IFERROR(INDEX(sumber_pasokan!$E:$E,MATCH(C483,sumber_pasokan!$B:$B,0)),"")</f>
        <v>0</v>
      </c>
      <c r="E483" s="27"/>
    </row>
    <row r="484" customFormat="false" ht="15" hidden="false" customHeight="false" outlineLevel="0" collapsed="false">
      <c r="A484" s="25" t="n">
        <v>46264</v>
      </c>
      <c r="B484" s="23" t="str">
        <f aca="false">IF(A484="","",IF(A484&lt;=profil!$B$9,"Realisasi","Rencana"))</f>
        <v>Rencana</v>
      </c>
      <c r="C484" s="18" t="s">
        <v>82</v>
      </c>
      <c r="D484" s="26" t="n">
        <f aca="false">IFERROR(INDEX(sumber_pasokan!$E:$E,MATCH(C484,sumber_pasokan!$B:$B,0)),"")</f>
        <v>0</v>
      </c>
      <c r="E484" s="27"/>
    </row>
    <row r="485" customFormat="false" ht="15" hidden="false" customHeight="false" outlineLevel="0" collapsed="false">
      <c r="A485" s="25" t="n">
        <v>46264</v>
      </c>
      <c r="B485" s="23" t="str">
        <f aca="false">IF(A485="","",IF(A485&lt;=profil!$B$9,"Realisasi","Rencana"))</f>
        <v>Rencana</v>
      </c>
      <c r="C485" s="18" t="s">
        <v>150</v>
      </c>
      <c r="D485" s="26" t="n">
        <f aca="false">IFERROR(INDEX(sumber_pasokan!$E:$E,MATCH(C485,sumber_pasokan!$B:$B,0)),"")</f>
        <v>0</v>
      </c>
      <c r="E485" s="27"/>
    </row>
    <row r="486" customFormat="false" ht="15" hidden="false" customHeight="false" outlineLevel="0" collapsed="false">
      <c r="A486" s="25" t="n">
        <v>46265</v>
      </c>
      <c r="B486" s="23" t="str">
        <f aca="false">IF(A486="","",IF(A486&lt;=profil!$B$9,"Realisasi","Rencana"))</f>
        <v>Rencana</v>
      </c>
      <c r="C486" s="18" t="s">
        <v>82</v>
      </c>
      <c r="D486" s="26" t="n">
        <f aca="false">IFERROR(INDEX(sumber_pasokan!$E:$E,MATCH(C486,sumber_pasokan!$B:$B,0)),"")</f>
        <v>0</v>
      </c>
      <c r="E486" s="27"/>
    </row>
    <row r="487" customFormat="false" ht="15" hidden="false" customHeight="false" outlineLevel="0" collapsed="false">
      <c r="A487" s="25" t="n">
        <v>46265</v>
      </c>
      <c r="B487" s="23" t="str">
        <f aca="false">IF(A487="","",IF(A487&lt;=profil!$B$9,"Realisasi","Rencana"))</f>
        <v>Rencana</v>
      </c>
      <c r="C487" s="18" t="s">
        <v>150</v>
      </c>
      <c r="D487" s="26" t="n">
        <f aca="false">IFERROR(INDEX(sumber_pasokan!$E:$E,MATCH(C487,sumber_pasokan!$B:$B,0)),"")</f>
        <v>0</v>
      </c>
      <c r="E487" s="27"/>
    </row>
    <row r="488" customFormat="false" ht="15" hidden="false" customHeight="false" outlineLevel="0" collapsed="false">
      <c r="A488" s="25" t="n">
        <v>46266</v>
      </c>
      <c r="B488" s="23" t="str">
        <f aca="false">IF(A488="","",IF(A488&lt;=profil!$B$9,"Realisasi","Rencana"))</f>
        <v>Rencana</v>
      </c>
      <c r="C488" s="18" t="s">
        <v>82</v>
      </c>
      <c r="D488" s="26" t="n">
        <f aca="false">IFERROR(INDEX(sumber_pasokan!$E:$E,MATCH(C488,sumber_pasokan!$B:$B,0)),"")</f>
        <v>0</v>
      </c>
      <c r="E488" s="27"/>
    </row>
    <row r="489" customFormat="false" ht="15" hidden="false" customHeight="false" outlineLevel="0" collapsed="false">
      <c r="A489" s="25" t="n">
        <v>46266</v>
      </c>
      <c r="B489" s="23" t="str">
        <f aca="false">IF(A489="","",IF(A489&lt;=profil!$B$9,"Realisasi","Rencana"))</f>
        <v>Rencana</v>
      </c>
      <c r="C489" s="18" t="s">
        <v>150</v>
      </c>
      <c r="D489" s="26" t="n">
        <f aca="false">IFERROR(INDEX(sumber_pasokan!$E:$E,MATCH(C489,sumber_pasokan!$B:$B,0)),"")</f>
        <v>0</v>
      </c>
      <c r="E489" s="27"/>
    </row>
    <row r="490" customFormat="false" ht="15" hidden="false" customHeight="false" outlineLevel="0" collapsed="false">
      <c r="A490" s="25" t="n">
        <v>46267</v>
      </c>
      <c r="B490" s="23" t="str">
        <f aca="false">IF(A490="","",IF(A490&lt;=profil!$B$9,"Realisasi","Rencana"))</f>
        <v>Rencana</v>
      </c>
      <c r="C490" s="18" t="s">
        <v>82</v>
      </c>
      <c r="D490" s="26" t="n">
        <f aca="false">IFERROR(INDEX(sumber_pasokan!$E:$E,MATCH(C490,sumber_pasokan!$B:$B,0)),"")</f>
        <v>0</v>
      </c>
      <c r="E490" s="27"/>
    </row>
    <row r="491" customFormat="false" ht="15" hidden="false" customHeight="false" outlineLevel="0" collapsed="false">
      <c r="A491" s="25" t="n">
        <v>46267</v>
      </c>
      <c r="B491" s="23" t="str">
        <f aca="false">IF(A491="","",IF(A491&lt;=profil!$B$9,"Realisasi","Rencana"))</f>
        <v>Rencana</v>
      </c>
      <c r="C491" s="18" t="s">
        <v>150</v>
      </c>
      <c r="D491" s="26" t="n">
        <f aca="false">IFERROR(INDEX(sumber_pasokan!$E:$E,MATCH(C491,sumber_pasokan!$B:$B,0)),"")</f>
        <v>0</v>
      </c>
      <c r="E491" s="27"/>
    </row>
    <row r="492" customFormat="false" ht="15" hidden="false" customHeight="false" outlineLevel="0" collapsed="false">
      <c r="A492" s="25" t="n">
        <v>46268</v>
      </c>
      <c r="B492" s="23" t="str">
        <f aca="false">IF(A492="","",IF(A492&lt;=profil!$B$9,"Realisasi","Rencana"))</f>
        <v>Rencana</v>
      </c>
      <c r="C492" s="18" t="s">
        <v>82</v>
      </c>
      <c r="D492" s="26" t="n">
        <f aca="false">IFERROR(INDEX(sumber_pasokan!$E:$E,MATCH(C492,sumber_pasokan!$B:$B,0)),"")</f>
        <v>0</v>
      </c>
      <c r="E492" s="27"/>
    </row>
    <row r="493" customFormat="false" ht="15" hidden="false" customHeight="false" outlineLevel="0" collapsed="false">
      <c r="A493" s="25" t="n">
        <v>46268</v>
      </c>
      <c r="B493" s="23" t="str">
        <f aca="false">IF(A493="","",IF(A493&lt;=profil!$B$9,"Realisasi","Rencana"))</f>
        <v>Rencana</v>
      </c>
      <c r="C493" s="18" t="s">
        <v>150</v>
      </c>
      <c r="D493" s="26" t="n">
        <f aca="false">IFERROR(INDEX(sumber_pasokan!$E:$E,MATCH(C493,sumber_pasokan!$B:$B,0)),"")</f>
        <v>0</v>
      </c>
      <c r="E493" s="27"/>
    </row>
    <row r="494" customFormat="false" ht="15" hidden="false" customHeight="false" outlineLevel="0" collapsed="false">
      <c r="A494" s="25" t="n">
        <v>46269</v>
      </c>
      <c r="B494" s="23" t="str">
        <f aca="false">IF(A494="","",IF(A494&lt;=profil!$B$9,"Realisasi","Rencana"))</f>
        <v>Rencana</v>
      </c>
      <c r="C494" s="18" t="s">
        <v>82</v>
      </c>
      <c r="D494" s="26" t="n">
        <f aca="false">IFERROR(INDEX(sumber_pasokan!$E:$E,MATCH(C494,sumber_pasokan!$B:$B,0)),"")</f>
        <v>0</v>
      </c>
      <c r="E494" s="27"/>
    </row>
    <row r="495" customFormat="false" ht="15" hidden="false" customHeight="false" outlineLevel="0" collapsed="false">
      <c r="A495" s="25" t="n">
        <v>46269</v>
      </c>
      <c r="B495" s="23" t="str">
        <f aca="false">IF(A495="","",IF(A495&lt;=profil!$B$9,"Realisasi","Rencana"))</f>
        <v>Rencana</v>
      </c>
      <c r="C495" s="18" t="s">
        <v>150</v>
      </c>
      <c r="D495" s="26" t="n">
        <f aca="false">IFERROR(INDEX(sumber_pasokan!$E:$E,MATCH(C495,sumber_pasokan!$B:$B,0)),"")</f>
        <v>0</v>
      </c>
      <c r="E495" s="27"/>
    </row>
    <row r="496" customFormat="false" ht="15" hidden="false" customHeight="false" outlineLevel="0" collapsed="false">
      <c r="A496" s="25" t="n">
        <v>46270</v>
      </c>
      <c r="B496" s="23" t="str">
        <f aca="false">IF(A496="","",IF(A496&lt;=profil!$B$9,"Realisasi","Rencana"))</f>
        <v>Rencana</v>
      </c>
      <c r="C496" s="18" t="s">
        <v>82</v>
      </c>
      <c r="D496" s="26" t="n">
        <f aca="false">IFERROR(INDEX(sumber_pasokan!$E:$E,MATCH(C496,sumber_pasokan!$B:$B,0)),"")</f>
        <v>0</v>
      </c>
      <c r="E496" s="27"/>
    </row>
    <row r="497" customFormat="false" ht="15" hidden="false" customHeight="false" outlineLevel="0" collapsed="false">
      <c r="A497" s="25" t="n">
        <v>46270</v>
      </c>
      <c r="B497" s="23" t="str">
        <f aca="false">IF(A497="","",IF(A497&lt;=profil!$B$9,"Realisasi","Rencana"))</f>
        <v>Rencana</v>
      </c>
      <c r="C497" s="18" t="s">
        <v>150</v>
      </c>
      <c r="D497" s="26" t="n">
        <f aca="false">IFERROR(INDEX(sumber_pasokan!$E:$E,MATCH(C497,sumber_pasokan!$B:$B,0)),"")</f>
        <v>0</v>
      </c>
      <c r="E497" s="27"/>
    </row>
    <row r="498" customFormat="false" ht="15" hidden="false" customHeight="false" outlineLevel="0" collapsed="false">
      <c r="A498" s="25" t="n">
        <v>46271</v>
      </c>
      <c r="B498" s="23" t="str">
        <f aca="false">IF(A498="","",IF(A498&lt;=profil!$B$9,"Realisasi","Rencana"))</f>
        <v>Rencana</v>
      </c>
      <c r="C498" s="18" t="s">
        <v>82</v>
      </c>
      <c r="D498" s="26" t="n">
        <f aca="false">IFERROR(INDEX(sumber_pasokan!$E:$E,MATCH(C498,sumber_pasokan!$B:$B,0)),"")</f>
        <v>0</v>
      </c>
      <c r="E498" s="27"/>
    </row>
    <row r="499" customFormat="false" ht="15" hidden="false" customHeight="false" outlineLevel="0" collapsed="false">
      <c r="A499" s="25" t="n">
        <v>46271</v>
      </c>
      <c r="B499" s="23" t="str">
        <f aca="false">IF(A499="","",IF(A499&lt;=profil!$B$9,"Realisasi","Rencana"))</f>
        <v>Rencana</v>
      </c>
      <c r="C499" s="18" t="s">
        <v>150</v>
      </c>
      <c r="D499" s="26" t="n">
        <f aca="false">IFERROR(INDEX(sumber_pasokan!$E:$E,MATCH(C499,sumber_pasokan!$B:$B,0)),"")</f>
        <v>0</v>
      </c>
      <c r="E499" s="27"/>
    </row>
    <row r="500" customFormat="false" ht="15" hidden="false" customHeight="false" outlineLevel="0" collapsed="false">
      <c r="A500" s="25" t="n">
        <v>46272</v>
      </c>
      <c r="B500" s="23" t="str">
        <f aca="false">IF(A500="","",IF(A500&lt;=profil!$B$9,"Realisasi","Rencana"))</f>
        <v>Rencana</v>
      </c>
      <c r="C500" s="18" t="s">
        <v>82</v>
      </c>
      <c r="D500" s="26" t="n">
        <f aca="false">IFERROR(INDEX(sumber_pasokan!$E:$E,MATCH(C500,sumber_pasokan!$B:$B,0)),"")</f>
        <v>0</v>
      </c>
      <c r="E500" s="27"/>
    </row>
    <row r="501" customFormat="false" ht="15" hidden="false" customHeight="false" outlineLevel="0" collapsed="false">
      <c r="A501" s="25" t="n">
        <v>46272</v>
      </c>
      <c r="B501" s="23" t="str">
        <f aca="false">IF(A501="","",IF(A501&lt;=profil!$B$9,"Realisasi","Rencana"))</f>
        <v>Rencana</v>
      </c>
      <c r="C501" s="18" t="s">
        <v>150</v>
      </c>
      <c r="D501" s="26" t="n">
        <f aca="false">IFERROR(INDEX(sumber_pasokan!$E:$E,MATCH(C501,sumber_pasokan!$B:$B,0)),"")</f>
        <v>0</v>
      </c>
      <c r="E501" s="27"/>
    </row>
    <row r="502" customFormat="false" ht="15" hidden="false" customHeight="false" outlineLevel="0" collapsed="false">
      <c r="A502" s="25" t="n">
        <v>46273</v>
      </c>
      <c r="B502" s="23" t="str">
        <f aca="false">IF(A502="","",IF(A502&lt;=profil!$B$9,"Realisasi","Rencana"))</f>
        <v>Rencana</v>
      </c>
      <c r="C502" s="18" t="s">
        <v>82</v>
      </c>
      <c r="D502" s="26" t="n">
        <f aca="false">IFERROR(INDEX(sumber_pasokan!$E:$E,MATCH(C502,sumber_pasokan!$B:$B,0)),"")</f>
        <v>0</v>
      </c>
      <c r="E502" s="27"/>
    </row>
    <row r="503" customFormat="false" ht="15" hidden="false" customHeight="false" outlineLevel="0" collapsed="false">
      <c r="A503" s="25" t="n">
        <v>46273</v>
      </c>
      <c r="B503" s="23" t="str">
        <f aca="false">IF(A503="","",IF(A503&lt;=profil!$B$9,"Realisasi","Rencana"))</f>
        <v>Rencana</v>
      </c>
      <c r="C503" s="18" t="s">
        <v>150</v>
      </c>
      <c r="D503" s="26" t="n">
        <f aca="false">IFERROR(INDEX(sumber_pasokan!$E:$E,MATCH(C503,sumber_pasokan!$B:$B,0)),"")</f>
        <v>0</v>
      </c>
      <c r="E503" s="27"/>
    </row>
    <row r="504" customFormat="false" ht="15" hidden="false" customHeight="false" outlineLevel="0" collapsed="false">
      <c r="A504" s="25" t="n">
        <v>46274</v>
      </c>
      <c r="B504" s="23" t="str">
        <f aca="false">IF(A504="","",IF(A504&lt;=profil!$B$9,"Realisasi","Rencana"))</f>
        <v>Rencana</v>
      </c>
      <c r="C504" s="18" t="s">
        <v>82</v>
      </c>
      <c r="D504" s="26" t="n">
        <f aca="false">IFERROR(INDEX(sumber_pasokan!$E:$E,MATCH(C504,sumber_pasokan!$B:$B,0)),"")</f>
        <v>0</v>
      </c>
      <c r="E504" s="27"/>
    </row>
    <row r="505" customFormat="false" ht="15" hidden="false" customHeight="false" outlineLevel="0" collapsed="false">
      <c r="A505" s="25" t="n">
        <v>46274</v>
      </c>
      <c r="B505" s="23" t="str">
        <f aca="false">IF(A505="","",IF(A505&lt;=profil!$B$9,"Realisasi","Rencana"))</f>
        <v>Rencana</v>
      </c>
      <c r="C505" s="18" t="s">
        <v>150</v>
      </c>
      <c r="D505" s="26" t="n">
        <f aca="false">IFERROR(INDEX(sumber_pasokan!$E:$E,MATCH(C505,sumber_pasokan!$B:$B,0)),"")</f>
        <v>0</v>
      </c>
      <c r="E505" s="27"/>
    </row>
    <row r="506" customFormat="false" ht="15" hidden="false" customHeight="false" outlineLevel="0" collapsed="false">
      <c r="A506" s="25" t="n">
        <v>46275</v>
      </c>
      <c r="B506" s="23" t="str">
        <f aca="false">IF(A506="","",IF(A506&lt;=profil!$B$9,"Realisasi","Rencana"))</f>
        <v>Rencana</v>
      </c>
      <c r="C506" s="18" t="s">
        <v>82</v>
      </c>
      <c r="D506" s="26" t="n">
        <f aca="false">IFERROR(INDEX(sumber_pasokan!$E:$E,MATCH(C506,sumber_pasokan!$B:$B,0)),"")</f>
        <v>0</v>
      </c>
      <c r="E506" s="27"/>
    </row>
    <row r="507" customFormat="false" ht="15" hidden="false" customHeight="false" outlineLevel="0" collapsed="false">
      <c r="A507" s="25" t="n">
        <v>46275</v>
      </c>
      <c r="B507" s="23" t="str">
        <f aca="false">IF(A507="","",IF(A507&lt;=profil!$B$9,"Realisasi","Rencana"))</f>
        <v>Rencana</v>
      </c>
      <c r="C507" s="18" t="s">
        <v>150</v>
      </c>
      <c r="D507" s="26" t="n">
        <f aca="false">IFERROR(INDEX(sumber_pasokan!$E:$E,MATCH(C507,sumber_pasokan!$B:$B,0)),"")</f>
        <v>0</v>
      </c>
      <c r="E507" s="27"/>
    </row>
    <row r="508" customFormat="false" ht="15" hidden="false" customHeight="false" outlineLevel="0" collapsed="false">
      <c r="A508" s="25" t="n">
        <v>46276</v>
      </c>
      <c r="B508" s="23" t="str">
        <f aca="false">IF(A508="","",IF(A508&lt;=profil!$B$9,"Realisasi","Rencana"))</f>
        <v>Rencana</v>
      </c>
      <c r="C508" s="18" t="s">
        <v>82</v>
      </c>
      <c r="D508" s="26" t="n">
        <f aca="false">IFERROR(INDEX(sumber_pasokan!$E:$E,MATCH(C508,sumber_pasokan!$B:$B,0)),"")</f>
        <v>0</v>
      </c>
      <c r="E508" s="27"/>
    </row>
    <row r="509" customFormat="false" ht="15" hidden="false" customHeight="false" outlineLevel="0" collapsed="false">
      <c r="A509" s="25" t="n">
        <v>46276</v>
      </c>
      <c r="B509" s="23" t="str">
        <f aca="false">IF(A509="","",IF(A509&lt;=profil!$B$9,"Realisasi","Rencana"))</f>
        <v>Rencana</v>
      </c>
      <c r="C509" s="18" t="s">
        <v>150</v>
      </c>
      <c r="D509" s="26" t="n">
        <f aca="false">IFERROR(INDEX(sumber_pasokan!$E:$E,MATCH(C509,sumber_pasokan!$B:$B,0)),"")</f>
        <v>0</v>
      </c>
      <c r="E509" s="27"/>
    </row>
    <row r="510" customFormat="false" ht="15" hidden="false" customHeight="false" outlineLevel="0" collapsed="false">
      <c r="A510" s="25" t="n">
        <v>46277</v>
      </c>
      <c r="B510" s="23" t="str">
        <f aca="false">IF(A510="","",IF(A510&lt;=profil!$B$9,"Realisasi","Rencana"))</f>
        <v>Rencana</v>
      </c>
      <c r="C510" s="18" t="s">
        <v>82</v>
      </c>
      <c r="D510" s="26" t="n">
        <f aca="false">IFERROR(INDEX(sumber_pasokan!$E:$E,MATCH(C510,sumber_pasokan!$B:$B,0)),"")</f>
        <v>0</v>
      </c>
      <c r="E510" s="27"/>
    </row>
    <row r="511" customFormat="false" ht="15" hidden="false" customHeight="false" outlineLevel="0" collapsed="false">
      <c r="A511" s="25" t="n">
        <v>46277</v>
      </c>
      <c r="B511" s="23" t="str">
        <f aca="false">IF(A511="","",IF(A511&lt;=profil!$B$9,"Realisasi","Rencana"))</f>
        <v>Rencana</v>
      </c>
      <c r="C511" s="18" t="s">
        <v>150</v>
      </c>
      <c r="D511" s="26" t="n">
        <f aca="false">IFERROR(INDEX(sumber_pasokan!$E:$E,MATCH(C511,sumber_pasokan!$B:$B,0)),"")</f>
        <v>0</v>
      </c>
      <c r="E511" s="27"/>
    </row>
    <row r="512" customFormat="false" ht="15" hidden="false" customHeight="false" outlineLevel="0" collapsed="false">
      <c r="A512" s="25" t="n">
        <v>46278</v>
      </c>
      <c r="B512" s="23" t="str">
        <f aca="false">IF(A512="","",IF(A512&lt;=profil!$B$9,"Realisasi","Rencana"))</f>
        <v>Rencana</v>
      </c>
      <c r="C512" s="18" t="s">
        <v>82</v>
      </c>
      <c r="D512" s="26" t="n">
        <f aca="false">IFERROR(INDEX(sumber_pasokan!$E:$E,MATCH(C512,sumber_pasokan!$B:$B,0)),"")</f>
        <v>0</v>
      </c>
      <c r="E512" s="27"/>
    </row>
    <row r="513" customFormat="false" ht="15" hidden="false" customHeight="false" outlineLevel="0" collapsed="false">
      <c r="A513" s="25" t="n">
        <v>46278</v>
      </c>
      <c r="B513" s="23" t="str">
        <f aca="false">IF(A513="","",IF(A513&lt;=profil!$B$9,"Realisasi","Rencana"))</f>
        <v>Rencana</v>
      </c>
      <c r="C513" s="18" t="s">
        <v>150</v>
      </c>
      <c r="D513" s="26" t="n">
        <f aca="false">IFERROR(INDEX(sumber_pasokan!$E:$E,MATCH(C513,sumber_pasokan!$B:$B,0)),"")</f>
        <v>0</v>
      </c>
      <c r="E513" s="27"/>
    </row>
    <row r="514" customFormat="false" ht="15" hidden="false" customHeight="false" outlineLevel="0" collapsed="false">
      <c r="A514" s="25" t="n">
        <v>46279</v>
      </c>
      <c r="B514" s="23" t="str">
        <f aca="false">IF(A514="","",IF(A514&lt;=profil!$B$9,"Realisasi","Rencana"))</f>
        <v>Rencana</v>
      </c>
      <c r="C514" s="18" t="s">
        <v>82</v>
      </c>
      <c r="D514" s="26" t="n">
        <f aca="false">IFERROR(INDEX(sumber_pasokan!$E:$E,MATCH(C514,sumber_pasokan!$B:$B,0)),"")</f>
        <v>0</v>
      </c>
      <c r="E514" s="27"/>
    </row>
    <row r="515" customFormat="false" ht="15" hidden="false" customHeight="false" outlineLevel="0" collapsed="false">
      <c r="A515" s="25" t="n">
        <v>46279</v>
      </c>
      <c r="B515" s="23" t="str">
        <f aca="false">IF(A515="","",IF(A515&lt;=profil!$B$9,"Realisasi","Rencana"))</f>
        <v>Rencana</v>
      </c>
      <c r="C515" s="18" t="s">
        <v>150</v>
      </c>
      <c r="D515" s="26" t="n">
        <f aca="false">IFERROR(INDEX(sumber_pasokan!$E:$E,MATCH(C515,sumber_pasokan!$B:$B,0)),"")</f>
        <v>0</v>
      </c>
      <c r="E515" s="27"/>
    </row>
    <row r="516" customFormat="false" ht="15" hidden="false" customHeight="false" outlineLevel="0" collapsed="false">
      <c r="A516" s="25" t="n">
        <v>46280</v>
      </c>
      <c r="B516" s="23" t="str">
        <f aca="false">IF(A516="","",IF(A516&lt;=profil!$B$9,"Realisasi","Rencana"))</f>
        <v>Rencana</v>
      </c>
      <c r="C516" s="18" t="s">
        <v>82</v>
      </c>
      <c r="D516" s="26" t="n">
        <f aca="false">IFERROR(INDEX(sumber_pasokan!$E:$E,MATCH(C516,sumber_pasokan!$B:$B,0)),"")</f>
        <v>0</v>
      </c>
      <c r="E516" s="27"/>
    </row>
    <row r="517" customFormat="false" ht="15" hidden="false" customHeight="false" outlineLevel="0" collapsed="false">
      <c r="A517" s="25" t="n">
        <v>46280</v>
      </c>
      <c r="B517" s="23" t="str">
        <f aca="false">IF(A517="","",IF(A517&lt;=profil!$B$9,"Realisasi","Rencana"))</f>
        <v>Rencana</v>
      </c>
      <c r="C517" s="18" t="s">
        <v>150</v>
      </c>
      <c r="D517" s="26" t="n">
        <f aca="false">IFERROR(INDEX(sumber_pasokan!$E:$E,MATCH(C517,sumber_pasokan!$B:$B,0)),"")</f>
        <v>0</v>
      </c>
      <c r="E517" s="27"/>
    </row>
    <row r="518" customFormat="false" ht="15" hidden="false" customHeight="false" outlineLevel="0" collapsed="false">
      <c r="A518" s="25" t="n">
        <v>46281</v>
      </c>
      <c r="B518" s="23" t="str">
        <f aca="false">IF(A518="","",IF(A518&lt;=profil!$B$9,"Realisasi","Rencana"))</f>
        <v>Rencana</v>
      </c>
      <c r="C518" s="18" t="s">
        <v>82</v>
      </c>
      <c r="D518" s="26" t="n">
        <f aca="false">IFERROR(INDEX(sumber_pasokan!$E:$E,MATCH(C518,sumber_pasokan!$B:$B,0)),"")</f>
        <v>0</v>
      </c>
      <c r="E518" s="27"/>
    </row>
    <row r="519" customFormat="false" ht="15" hidden="false" customHeight="false" outlineLevel="0" collapsed="false">
      <c r="A519" s="25" t="n">
        <v>46281</v>
      </c>
      <c r="B519" s="23" t="str">
        <f aca="false">IF(A519="","",IF(A519&lt;=profil!$B$9,"Realisasi","Rencana"))</f>
        <v>Rencana</v>
      </c>
      <c r="C519" s="18" t="s">
        <v>150</v>
      </c>
      <c r="D519" s="26" t="n">
        <f aca="false">IFERROR(INDEX(sumber_pasokan!$E:$E,MATCH(C519,sumber_pasokan!$B:$B,0)),"")</f>
        <v>0</v>
      </c>
      <c r="E519" s="27"/>
    </row>
    <row r="520" customFormat="false" ht="15" hidden="false" customHeight="false" outlineLevel="0" collapsed="false">
      <c r="A520" s="25" t="n">
        <v>46282</v>
      </c>
      <c r="B520" s="23" t="str">
        <f aca="false">IF(A520="","",IF(A520&lt;=profil!$B$9,"Realisasi","Rencana"))</f>
        <v>Rencana</v>
      </c>
      <c r="C520" s="18" t="s">
        <v>82</v>
      </c>
      <c r="D520" s="26" t="n">
        <f aca="false">IFERROR(INDEX(sumber_pasokan!$E:$E,MATCH(C520,sumber_pasokan!$B:$B,0)),"")</f>
        <v>0</v>
      </c>
      <c r="E520" s="27"/>
    </row>
    <row r="521" customFormat="false" ht="15" hidden="false" customHeight="false" outlineLevel="0" collapsed="false">
      <c r="A521" s="25" t="n">
        <v>46282</v>
      </c>
      <c r="B521" s="23" t="str">
        <f aca="false">IF(A521="","",IF(A521&lt;=profil!$B$9,"Realisasi","Rencana"))</f>
        <v>Rencana</v>
      </c>
      <c r="C521" s="18" t="s">
        <v>150</v>
      </c>
      <c r="D521" s="26" t="n">
        <f aca="false">IFERROR(INDEX(sumber_pasokan!$E:$E,MATCH(C521,sumber_pasokan!$B:$B,0)),"")</f>
        <v>0</v>
      </c>
      <c r="E521" s="27"/>
    </row>
    <row r="522" customFormat="false" ht="15" hidden="false" customHeight="false" outlineLevel="0" collapsed="false">
      <c r="A522" s="25" t="n">
        <v>46283</v>
      </c>
      <c r="B522" s="23" t="str">
        <f aca="false">IF(A522="","",IF(A522&lt;=profil!$B$9,"Realisasi","Rencana"))</f>
        <v>Rencana</v>
      </c>
      <c r="C522" s="18" t="s">
        <v>82</v>
      </c>
      <c r="D522" s="26" t="n">
        <f aca="false">IFERROR(INDEX(sumber_pasokan!$E:$E,MATCH(C522,sumber_pasokan!$B:$B,0)),"")</f>
        <v>0</v>
      </c>
      <c r="E522" s="27"/>
    </row>
    <row r="523" customFormat="false" ht="15" hidden="false" customHeight="false" outlineLevel="0" collapsed="false">
      <c r="A523" s="25" t="n">
        <v>46283</v>
      </c>
      <c r="B523" s="23" t="str">
        <f aca="false">IF(A523="","",IF(A523&lt;=profil!$B$9,"Realisasi","Rencana"))</f>
        <v>Rencana</v>
      </c>
      <c r="C523" s="18" t="s">
        <v>150</v>
      </c>
      <c r="D523" s="26" t="n">
        <f aca="false">IFERROR(INDEX(sumber_pasokan!$E:$E,MATCH(C523,sumber_pasokan!$B:$B,0)),"")</f>
        <v>0</v>
      </c>
      <c r="E523" s="27"/>
    </row>
    <row r="524" customFormat="false" ht="15" hidden="false" customHeight="false" outlineLevel="0" collapsed="false">
      <c r="A524" s="25" t="n">
        <v>46284</v>
      </c>
      <c r="B524" s="23" t="str">
        <f aca="false">IF(A524="","",IF(A524&lt;=profil!$B$9,"Realisasi","Rencana"))</f>
        <v>Rencana</v>
      </c>
      <c r="C524" s="18" t="s">
        <v>82</v>
      </c>
      <c r="D524" s="26" t="n">
        <f aca="false">IFERROR(INDEX(sumber_pasokan!$E:$E,MATCH(C524,sumber_pasokan!$B:$B,0)),"")</f>
        <v>0</v>
      </c>
      <c r="E524" s="27"/>
    </row>
    <row r="525" customFormat="false" ht="15" hidden="false" customHeight="false" outlineLevel="0" collapsed="false">
      <c r="A525" s="25" t="n">
        <v>46284</v>
      </c>
      <c r="B525" s="23" t="str">
        <f aca="false">IF(A525="","",IF(A525&lt;=profil!$B$9,"Realisasi","Rencana"))</f>
        <v>Rencana</v>
      </c>
      <c r="C525" s="18" t="s">
        <v>150</v>
      </c>
      <c r="D525" s="26" t="n">
        <f aca="false">IFERROR(INDEX(sumber_pasokan!$E:$E,MATCH(C525,sumber_pasokan!$B:$B,0)),"")</f>
        <v>0</v>
      </c>
      <c r="E525" s="27"/>
    </row>
    <row r="526" customFormat="false" ht="15" hidden="false" customHeight="false" outlineLevel="0" collapsed="false">
      <c r="A526" s="25" t="n">
        <v>46285</v>
      </c>
      <c r="B526" s="23" t="str">
        <f aca="false">IF(A526="","",IF(A526&lt;=profil!$B$9,"Realisasi","Rencana"))</f>
        <v>Rencana</v>
      </c>
      <c r="C526" s="18" t="s">
        <v>82</v>
      </c>
      <c r="D526" s="26" t="n">
        <f aca="false">IFERROR(INDEX(sumber_pasokan!$E:$E,MATCH(C526,sumber_pasokan!$B:$B,0)),"")</f>
        <v>0</v>
      </c>
      <c r="E526" s="27"/>
    </row>
    <row r="527" customFormat="false" ht="15" hidden="false" customHeight="false" outlineLevel="0" collapsed="false">
      <c r="A527" s="25" t="n">
        <v>46285</v>
      </c>
      <c r="B527" s="23" t="str">
        <f aca="false">IF(A527="","",IF(A527&lt;=profil!$B$9,"Realisasi","Rencana"))</f>
        <v>Rencana</v>
      </c>
      <c r="C527" s="18" t="s">
        <v>150</v>
      </c>
      <c r="D527" s="26" t="n">
        <f aca="false">IFERROR(INDEX(sumber_pasokan!$E:$E,MATCH(C527,sumber_pasokan!$B:$B,0)),"")</f>
        <v>0</v>
      </c>
      <c r="E527" s="27"/>
    </row>
    <row r="528" customFormat="false" ht="15" hidden="false" customHeight="false" outlineLevel="0" collapsed="false">
      <c r="A528" s="25" t="n">
        <v>46286</v>
      </c>
      <c r="B528" s="23" t="str">
        <f aca="false">IF(A528="","",IF(A528&lt;=profil!$B$9,"Realisasi","Rencana"))</f>
        <v>Rencana</v>
      </c>
      <c r="C528" s="18" t="s">
        <v>82</v>
      </c>
      <c r="D528" s="26" t="n">
        <f aca="false">IFERROR(INDEX(sumber_pasokan!$E:$E,MATCH(C528,sumber_pasokan!$B:$B,0)),"")</f>
        <v>0</v>
      </c>
      <c r="E528" s="27"/>
    </row>
    <row r="529" customFormat="false" ht="15" hidden="false" customHeight="false" outlineLevel="0" collapsed="false">
      <c r="A529" s="25" t="n">
        <v>46286</v>
      </c>
      <c r="B529" s="23" t="str">
        <f aca="false">IF(A529="","",IF(A529&lt;=profil!$B$9,"Realisasi","Rencana"))</f>
        <v>Rencana</v>
      </c>
      <c r="C529" s="18" t="s">
        <v>150</v>
      </c>
      <c r="D529" s="26" t="n">
        <f aca="false">IFERROR(INDEX(sumber_pasokan!$E:$E,MATCH(C529,sumber_pasokan!$B:$B,0)),"")</f>
        <v>0</v>
      </c>
      <c r="E529" s="27"/>
    </row>
    <row r="530" customFormat="false" ht="15" hidden="false" customHeight="false" outlineLevel="0" collapsed="false">
      <c r="A530" s="25" t="n">
        <v>46287</v>
      </c>
      <c r="B530" s="23" t="str">
        <f aca="false">IF(A530="","",IF(A530&lt;=profil!$B$9,"Realisasi","Rencana"))</f>
        <v>Rencana</v>
      </c>
      <c r="C530" s="18" t="s">
        <v>82</v>
      </c>
      <c r="D530" s="26" t="n">
        <f aca="false">IFERROR(INDEX(sumber_pasokan!$E:$E,MATCH(C530,sumber_pasokan!$B:$B,0)),"")</f>
        <v>0</v>
      </c>
      <c r="E530" s="27"/>
    </row>
    <row r="531" customFormat="false" ht="15" hidden="false" customHeight="false" outlineLevel="0" collapsed="false">
      <c r="A531" s="25" t="n">
        <v>46287</v>
      </c>
      <c r="B531" s="23" t="str">
        <f aca="false">IF(A531="","",IF(A531&lt;=profil!$B$9,"Realisasi","Rencana"))</f>
        <v>Rencana</v>
      </c>
      <c r="C531" s="18" t="s">
        <v>150</v>
      </c>
      <c r="D531" s="26" t="n">
        <f aca="false">IFERROR(INDEX(sumber_pasokan!$E:$E,MATCH(C531,sumber_pasokan!$B:$B,0)),"")</f>
        <v>0</v>
      </c>
      <c r="E531" s="27"/>
    </row>
    <row r="532" customFormat="false" ht="15" hidden="false" customHeight="false" outlineLevel="0" collapsed="false">
      <c r="A532" s="25" t="n">
        <v>46288</v>
      </c>
      <c r="B532" s="23" t="str">
        <f aca="false">IF(A532="","",IF(A532&lt;=profil!$B$9,"Realisasi","Rencana"))</f>
        <v>Rencana</v>
      </c>
      <c r="C532" s="18" t="s">
        <v>82</v>
      </c>
      <c r="D532" s="26" t="n">
        <f aca="false">IFERROR(INDEX(sumber_pasokan!$E:$E,MATCH(C532,sumber_pasokan!$B:$B,0)),"")</f>
        <v>0</v>
      </c>
      <c r="E532" s="27"/>
    </row>
    <row r="533" customFormat="false" ht="15" hidden="false" customHeight="false" outlineLevel="0" collapsed="false">
      <c r="A533" s="25" t="n">
        <v>46288</v>
      </c>
      <c r="B533" s="23" t="str">
        <f aca="false">IF(A533="","",IF(A533&lt;=profil!$B$9,"Realisasi","Rencana"))</f>
        <v>Rencana</v>
      </c>
      <c r="C533" s="18" t="s">
        <v>150</v>
      </c>
      <c r="D533" s="26" t="n">
        <f aca="false">IFERROR(INDEX(sumber_pasokan!$E:$E,MATCH(C533,sumber_pasokan!$B:$B,0)),"")</f>
        <v>0</v>
      </c>
      <c r="E533" s="27"/>
    </row>
    <row r="534" customFormat="false" ht="15" hidden="false" customHeight="false" outlineLevel="0" collapsed="false">
      <c r="A534" s="25" t="n">
        <v>46289</v>
      </c>
      <c r="B534" s="23" t="str">
        <f aca="false">IF(A534="","",IF(A534&lt;=profil!$B$9,"Realisasi","Rencana"))</f>
        <v>Rencana</v>
      </c>
      <c r="C534" s="18" t="s">
        <v>82</v>
      </c>
      <c r="D534" s="26" t="n">
        <f aca="false">IFERROR(INDEX(sumber_pasokan!$E:$E,MATCH(C534,sumber_pasokan!$B:$B,0)),"")</f>
        <v>0</v>
      </c>
      <c r="E534" s="27"/>
    </row>
    <row r="535" customFormat="false" ht="15" hidden="false" customHeight="false" outlineLevel="0" collapsed="false">
      <c r="A535" s="25" t="n">
        <v>46289</v>
      </c>
      <c r="B535" s="23" t="str">
        <f aca="false">IF(A535="","",IF(A535&lt;=profil!$B$9,"Realisasi","Rencana"))</f>
        <v>Rencana</v>
      </c>
      <c r="C535" s="18" t="s">
        <v>150</v>
      </c>
      <c r="D535" s="26" t="n">
        <f aca="false">IFERROR(INDEX(sumber_pasokan!$E:$E,MATCH(C535,sumber_pasokan!$B:$B,0)),"")</f>
        <v>0</v>
      </c>
      <c r="E535" s="27"/>
    </row>
    <row r="536" customFormat="false" ht="15" hidden="false" customHeight="false" outlineLevel="0" collapsed="false">
      <c r="A536" s="25" t="n">
        <v>46290</v>
      </c>
      <c r="B536" s="23" t="str">
        <f aca="false">IF(A536="","",IF(A536&lt;=profil!$B$9,"Realisasi","Rencana"))</f>
        <v>Rencana</v>
      </c>
      <c r="C536" s="18" t="s">
        <v>82</v>
      </c>
      <c r="D536" s="26" t="n">
        <f aca="false">IFERROR(INDEX(sumber_pasokan!$E:$E,MATCH(C536,sumber_pasokan!$B:$B,0)),"")</f>
        <v>0</v>
      </c>
      <c r="E536" s="27"/>
    </row>
    <row r="537" customFormat="false" ht="15" hidden="false" customHeight="false" outlineLevel="0" collapsed="false">
      <c r="A537" s="25" t="n">
        <v>46290</v>
      </c>
      <c r="B537" s="23" t="str">
        <f aca="false">IF(A537="","",IF(A537&lt;=profil!$B$9,"Realisasi","Rencana"))</f>
        <v>Rencana</v>
      </c>
      <c r="C537" s="18" t="s">
        <v>150</v>
      </c>
      <c r="D537" s="26" t="n">
        <f aca="false">IFERROR(INDEX(sumber_pasokan!$E:$E,MATCH(C537,sumber_pasokan!$B:$B,0)),"")</f>
        <v>0</v>
      </c>
      <c r="E537" s="27"/>
    </row>
    <row r="538" customFormat="false" ht="15" hidden="false" customHeight="false" outlineLevel="0" collapsed="false">
      <c r="A538" s="25" t="n">
        <v>46291</v>
      </c>
      <c r="B538" s="23" t="str">
        <f aca="false">IF(A538="","",IF(A538&lt;=profil!$B$9,"Realisasi","Rencana"))</f>
        <v>Rencana</v>
      </c>
      <c r="C538" s="18" t="s">
        <v>82</v>
      </c>
      <c r="D538" s="26" t="n">
        <f aca="false">IFERROR(INDEX(sumber_pasokan!$E:$E,MATCH(C538,sumber_pasokan!$B:$B,0)),"")</f>
        <v>0</v>
      </c>
      <c r="E538" s="27"/>
    </row>
    <row r="539" customFormat="false" ht="15" hidden="false" customHeight="false" outlineLevel="0" collapsed="false">
      <c r="A539" s="25" t="n">
        <v>46291</v>
      </c>
      <c r="B539" s="23" t="str">
        <f aca="false">IF(A539="","",IF(A539&lt;=profil!$B$9,"Realisasi","Rencana"))</f>
        <v>Rencana</v>
      </c>
      <c r="C539" s="18" t="s">
        <v>150</v>
      </c>
      <c r="D539" s="26" t="n">
        <f aca="false">IFERROR(INDEX(sumber_pasokan!$E:$E,MATCH(C539,sumber_pasokan!$B:$B,0)),"")</f>
        <v>0</v>
      </c>
      <c r="E539" s="27"/>
    </row>
    <row r="540" customFormat="false" ht="15" hidden="false" customHeight="false" outlineLevel="0" collapsed="false">
      <c r="A540" s="25" t="n">
        <v>46292</v>
      </c>
      <c r="B540" s="23" t="str">
        <f aca="false">IF(A540="","",IF(A540&lt;=profil!$B$9,"Realisasi","Rencana"))</f>
        <v>Rencana</v>
      </c>
      <c r="C540" s="18" t="s">
        <v>82</v>
      </c>
      <c r="D540" s="26" t="n">
        <f aca="false">IFERROR(INDEX(sumber_pasokan!$E:$E,MATCH(C540,sumber_pasokan!$B:$B,0)),"")</f>
        <v>0</v>
      </c>
      <c r="E540" s="27"/>
    </row>
    <row r="541" customFormat="false" ht="15" hidden="false" customHeight="false" outlineLevel="0" collapsed="false">
      <c r="A541" s="25" t="n">
        <v>46292</v>
      </c>
      <c r="B541" s="23" t="str">
        <f aca="false">IF(A541="","",IF(A541&lt;=profil!$B$9,"Realisasi","Rencana"))</f>
        <v>Rencana</v>
      </c>
      <c r="C541" s="18" t="s">
        <v>150</v>
      </c>
      <c r="D541" s="26" t="n">
        <f aca="false">IFERROR(INDEX(sumber_pasokan!$E:$E,MATCH(C541,sumber_pasokan!$B:$B,0)),"")</f>
        <v>0</v>
      </c>
      <c r="E541" s="27"/>
    </row>
    <row r="542" customFormat="false" ht="15" hidden="false" customHeight="false" outlineLevel="0" collapsed="false">
      <c r="A542" s="25" t="n">
        <v>46293</v>
      </c>
      <c r="B542" s="23" t="str">
        <f aca="false">IF(A542="","",IF(A542&lt;=profil!$B$9,"Realisasi","Rencana"))</f>
        <v>Rencana</v>
      </c>
      <c r="C542" s="18" t="s">
        <v>82</v>
      </c>
      <c r="D542" s="26" t="n">
        <f aca="false">IFERROR(INDEX(sumber_pasokan!$E:$E,MATCH(C542,sumber_pasokan!$B:$B,0)),"")</f>
        <v>0</v>
      </c>
      <c r="E542" s="27"/>
    </row>
    <row r="543" customFormat="false" ht="15" hidden="false" customHeight="false" outlineLevel="0" collapsed="false">
      <c r="A543" s="25" t="n">
        <v>46293</v>
      </c>
      <c r="B543" s="23" t="str">
        <f aca="false">IF(A543="","",IF(A543&lt;=profil!$B$9,"Realisasi","Rencana"))</f>
        <v>Rencana</v>
      </c>
      <c r="C543" s="18" t="s">
        <v>150</v>
      </c>
      <c r="D543" s="26" t="n">
        <f aca="false">IFERROR(INDEX(sumber_pasokan!$E:$E,MATCH(C543,sumber_pasokan!$B:$B,0)),"")</f>
        <v>0</v>
      </c>
      <c r="E543" s="27"/>
    </row>
    <row r="544" customFormat="false" ht="15" hidden="false" customHeight="false" outlineLevel="0" collapsed="false">
      <c r="A544" s="25" t="n">
        <v>46294</v>
      </c>
      <c r="B544" s="23" t="str">
        <f aca="false">IF(A544="","",IF(A544&lt;=profil!$B$9,"Realisasi","Rencana"))</f>
        <v>Rencana</v>
      </c>
      <c r="C544" s="18" t="s">
        <v>82</v>
      </c>
      <c r="D544" s="26" t="n">
        <f aca="false">IFERROR(INDEX(sumber_pasokan!$E:$E,MATCH(C544,sumber_pasokan!$B:$B,0)),"")</f>
        <v>0</v>
      </c>
      <c r="E544" s="27"/>
    </row>
    <row r="545" customFormat="false" ht="15" hidden="false" customHeight="false" outlineLevel="0" collapsed="false">
      <c r="A545" s="25" t="n">
        <v>46294</v>
      </c>
      <c r="B545" s="23" t="str">
        <f aca="false">IF(A545="","",IF(A545&lt;=profil!$B$9,"Realisasi","Rencana"))</f>
        <v>Rencana</v>
      </c>
      <c r="C545" s="18" t="s">
        <v>150</v>
      </c>
      <c r="D545" s="26" t="n">
        <f aca="false">IFERROR(INDEX(sumber_pasokan!$E:$E,MATCH(C545,sumber_pasokan!$B:$B,0)),"")</f>
        <v>0</v>
      </c>
      <c r="E545" s="27"/>
    </row>
    <row r="546" customFormat="false" ht="15" hidden="false" customHeight="false" outlineLevel="0" collapsed="false">
      <c r="A546" s="25" t="n">
        <v>46295</v>
      </c>
      <c r="B546" s="23" t="str">
        <f aca="false">IF(A546="","",IF(A546&lt;=profil!$B$9,"Realisasi","Rencana"))</f>
        <v>Rencana</v>
      </c>
      <c r="C546" s="18" t="s">
        <v>82</v>
      </c>
      <c r="D546" s="26" t="n">
        <f aca="false">IFERROR(INDEX(sumber_pasokan!$E:$E,MATCH(C546,sumber_pasokan!$B:$B,0)),"")</f>
        <v>0</v>
      </c>
      <c r="E546" s="27"/>
    </row>
    <row r="547" customFormat="false" ht="15" hidden="false" customHeight="false" outlineLevel="0" collapsed="false">
      <c r="A547" s="25" t="n">
        <v>46295</v>
      </c>
      <c r="B547" s="23" t="str">
        <f aca="false">IF(A547="","",IF(A547&lt;=profil!$B$9,"Realisasi","Rencana"))</f>
        <v>Rencana</v>
      </c>
      <c r="C547" s="18" t="s">
        <v>150</v>
      </c>
      <c r="D547" s="26" t="n">
        <f aca="false">IFERROR(INDEX(sumber_pasokan!$E:$E,MATCH(C547,sumber_pasokan!$B:$B,0)),"")</f>
        <v>0</v>
      </c>
      <c r="E547" s="27"/>
    </row>
    <row r="548" customFormat="false" ht="15" hidden="false" customHeight="false" outlineLevel="0" collapsed="false">
      <c r="A548" s="25" t="n">
        <v>46296</v>
      </c>
      <c r="B548" s="23" t="str">
        <f aca="false">IF(A548="","",IF(A548&lt;=profil!$B$9,"Realisasi","Rencana"))</f>
        <v>Rencana</v>
      </c>
      <c r="C548" s="18" t="s">
        <v>82</v>
      </c>
      <c r="D548" s="26" t="n">
        <f aca="false">IFERROR(INDEX(sumber_pasokan!$E:$E,MATCH(C548,sumber_pasokan!$B:$B,0)),"")</f>
        <v>0</v>
      </c>
      <c r="E548" s="27"/>
    </row>
    <row r="549" customFormat="false" ht="15" hidden="false" customHeight="false" outlineLevel="0" collapsed="false">
      <c r="A549" s="25" t="n">
        <v>46296</v>
      </c>
      <c r="B549" s="23" t="str">
        <f aca="false">IF(A549="","",IF(A549&lt;=profil!$B$9,"Realisasi","Rencana"))</f>
        <v>Rencana</v>
      </c>
      <c r="C549" s="18" t="s">
        <v>150</v>
      </c>
      <c r="D549" s="26" t="n">
        <f aca="false">IFERROR(INDEX(sumber_pasokan!$E:$E,MATCH(C549,sumber_pasokan!$B:$B,0)),"")</f>
        <v>0</v>
      </c>
      <c r="E549" s="27"/>
    </row>
    <row r="550" customFormat="false" ht="15" hidden="false" customHeight="false" outlineLevel="0" collapsed="false">
      <c r="A550" s="25" t="n">
        <v>46297</v>
      </c>
      <c r="B550" s="23" t="str">
        <f aca="false">IF(A550="","",IF(A550&lt;=profil!$B$9,"Realisasi","Rencana"))</f>
        <v>Rencana</v>
      </c>
      <c r="C550" s="18" t="s">
        <v>82</v>
      </c>
      <c r="D550" s="26" t="n">
        <f aca="false">IFERROR(INDEX(sumber_pasokan!$E:$E,MATCH(C550,sumber_pasokan!$B:$B,0)),"")</f>
        <v>0</v>
      </c>
      <c r="E550" s="27"/>
    </row>
    <row r="551" customFormat="false" ht="15" hidden="false" customHeight="false" outlineLevel="0" collapsed="false">
      <c r="A551" s="25" t="n">
        <v>46297</v>
      </c>
      <c r="B551" s="23" t="str">
        <f aca="false">IF(A551="","",IF(A551&lt;=profil!$B$9,"Realisasi","Rencana"))</f>
        <v>Rencana</v>
      </c>
      <c r="C551" s="18" t="s">
        <v>150</v>
      </c>
      <c r="D551" s="26" t="n">
        <f aca="false">IFERROR(INDEX(sumber_pasokan!$E:$E,MATCH(C551,sumber_pasokan!$B:$B,0)),"")</f>
        <v>0</v>
      </c>
      <c r="E551" s="27"/>
    </row>
    <row r="552" customFormat="false" ht="15" hidden="false" customHeight="false" outlineLevel="0" collapsed="false">
      <c r="A552" s="25" t="n">
        <v>46298</v>
      </c>
      <c r="B552" s="23" t="str">
        <f aca="false">IF(A552="","",IF(A552&lt;=profil!$B$9,"Realisasi","Rencana"))</f>
        <v>Rencana</v>
      </c>
      <c r="C552" s="18" t="s">
        <v>82</v>
      </c>
      <c r="D552" s="26" t="n">
        <f aca="false">IFERROR(INDEX(sumber_pasokan!$E:$E,MATCH(C552,sumber_pasokan!$B:$B,0)),"")</f>
        <v>0</v>
      </c>
      <c r="E552" s="27"/>
    </row>
    <row r="553" customFormat="false" ht="15" hidden="false" customHeight="false" outlineLevel="0" collapsed="false">
      <c r="A553" s="25" t="n">
        <v>46298</v>
      </c>
      <c r="B553" s="23" t="str">
        <f aca="false">IF(A553="","",IF(A553&lt;=profil!$B$9,"Realisasi","Rencana"))</f>
        <v>Rencana</v>
      </c>
      <c r="C553" s="18" t="s">
        <v>150</v>
      </c>
      <c r="D553" s="26" t="n">
        <f aca="false">IFERROR(INDEX(sumber_pasokan!$E:$E,MATCH(C553,sumber_pasokan!$B:$B,0)),"")</f>
        <v>0</v>
      </c>
      <c r="E553" s="27"/>
    </row>
    <row r="554" customFormat="false" ht="15" hidden="false" customHeight="false" outlineLevel="0" collapsed="false">
      <c r="A554" s="25" t="n">
        <v>46299</v>
      </c>
      <c r="B554" s="23" t="str">
        <f aca="false">IF(A554="","",IF(A554&lt;=profil!$B$9,"Realisasi","Rencana"))</f>
        <v>Rencana</v>
      </c>
      <c r="C554" s="18" t="s">
        <v>82</v>
      </c>
      <c r="D554" s="26" t="n">
        <f aca="false">IFERROR(INDEX(sumber_pasokan!$E:$E,MATCH(C554,sumber_pasokan!$B:$B,0)),"")</f>
        <v>0</v>
      </c>
      <c r="E554" s="27"/>
    </row>
    <row r="555" customFormat="false" ht="15" hidden="false" customHeight="false" outlineLevel="0" collapsed="false">
      <c r="A555" s="25" t="n">
        <v>46299</v>
      </c>
      <c r="B555" s="23" t="str">
        <f aca="false">IF(A555="","",IF(A555&lt;=profil!$B$9,"Realisasi","Rencana"))</f>
        <v>Rencana</v>
      </c>
      <c r="C555" s="18" t="s">
        <v>150</v>
      </c>
      <c r="D555" s="26" t="n">
        <f aca="false">IFERROR(INDEX(sumber_pasokan!$E:$E,MATCH(C555,sumber_pasokan!$B:$B,0)),"")</f>
        <v>0</v>
      </c>
      <c r="E555" s="27"/>
    </row>
    <row r="556" customFormat="false" ht="15" hidden="false" customHeight="false" outlineLevel="0" collapsed="false">
      <c r="A556" s="25" t="n">
        <v>46300</v>
      </c>
      <c r="B556" s="23" t="str">
        <f aca="false">IF(A556="","",IF(A556&lt;=profil!$B$9,"Realisasi","Rencana"))</f>
        <v>Rencana</v>
      </c>
      <c r="C556" s="18" t="s">
        <v>82</v>
      </c>
      <c r="D556" s="26" t="n">
        <f aca="false">IFERROR(INDEX(sumber_pasokan!$E:$E,MATCH(C556,sumber_pasokan!$B:$B,0)),"")</f>
        <v>0</v>
      </c>
      <c r="E556" s="27"/>
    </row>
    <row r="557" customFormat="false" ht="15" hidden="false" customHeight="false" outlineLevel="0" collapsed="false">
      <c r="A557" s="25" t="n">
        <v>46300</v>
      </c>
      <c r="B557" s="23" t="str">
        <f aca="false">IF(A557="","",IF(A557&lt;=profil!$B$9,"Realisasi","Rencana"))</f>
        <v>Rencana</v>
      </c>
      <c r="C557" s="18" t="s">
        <v>150</v>
      </c>
      <c r="D557" s="26" t="n">
        <f aca="false">IFERROR(INDEX(sumber_pasokan!$E:$E,MATCH(C557,sumber_pasokan!$B:$B,0)),"")</f>
        <v>0</v>
      </c>
      <c r="E557" s="27"/>
    </row>
    <row r="558" customFormat="false" ht="15" hidden="false" customHeight="false" outlineLevel="0" collapsed="false">
      <c r="A558" s="25" t="n">
        <v>46301</v>
      </c>
      <c r="B558" s="23" t="str">
        <f aca="false">IF(A558="","",IF(A558&lt;=profil!$B$9,"Realisasi","Rencana"))</f>
        <v>Rencana</v>
      </c>
      <c r="C558" s="18" t="s">
        <v>82</v>
      </c>
      <c r="D558" s="26" t="n">
        <f aca="false">IFERROR(INDEX(sumber_pasokan!$E:$E,MATCH(C558,sumber_pasokan!$B:$B,0)),"")</f>
        <v>0</v>
      </c>
      <c r="E558" s="27"/>
    </row>
    <row r="559" customFormat="false" ht="15" hidden="false" customHeight="false" outlineLevel="0" collapsed="false">
      <c r="A559" s="25" t="n">
        <v>46301</v>
      </c>
      <c r="B559" s="23" t="str">
        <f aca="false">IF(A559="","",IF(A559&lt;=profil!$B$9,"Realisasi","Rencana"))</f>
        <v>Rencana</v>
      </c>
      <c r="C559" s="18" t="s">
        <v>150</v>
      </c>
      <c r="D559" s="26" t="n">
        <f aca="false">IFERROR(INDEX(sumber_pasokan!$E:$E,MATCH(C559,sumber_pasokan!$B:$B,0)),"")</f>
        <v>0</v>
      </c>
      <c r="E559" s="27"/>
    </row>
    <row r="560" customFormat="false" ht="15" hidden="false" customHeight="false" outlineLevel="0" collapsed="false">
      <c r="A560" s="25" t="n">
        <v>46302</v>
      </c>
      <c r="B560" s="23" t="str">
        <f aca="false">IF(A560="","",IF(A560&lt;=profil!$B$9,"Realisasi","Rencana"))</f>
        <v>Rencana</v>
      </c>
      <c r="C560" s="18" t="s">
        <v>82</v>
      </c>
      <c r="D560" s="26" t="n">
        <f aca="false">IFERROR(INDEX(sumber_pasokan!$E:$E,MATCH(C560,sumber_pasokan!$B:$B,0)),"")</f>
        <v>0</v>
      </c>
      <c r="E560" s="27"/>
    </row>
    <row r="561" customFormat="false" ht="15" hidden="false" customHeight="false" outlineLevel="0" collapsed="false">
      <c r="A561" s="25" t="n">
        <v>46302</v>
      </c>
      <c r="B561" s="23" t="str">
        <f aca="false">IF(A561="","",IF(A561&lt;=profil!$B$9,"Realisasi","Rencana"))</f>
        <v>Rencana</v>
      </c>
      <c r="C561" s="18" t="s">
        <v>150</v>
      </c>
      <c r="D561" s="26" t="n">
        <f aca="false">IFERROR(INDEX(sumber_pasokan!$E:$E,MATCH(C561,sumber_pasokan!$B:$B,0)),"")</f>
        <v>0</v>
      </c>
      <c r="E561" s="27"/>
    </row>
    <row r="562" customFormat="false" ht="15" hidden="false" customHeight="false" outlineLevel="0" collapsed="false">
      <c r="A562" s="25" t="n">
        <v>46303</v>
      </c>
      <c r="B562" s="23" t="str">
        <f aca="false">IF(A562="","",IF(A562&lt;=profil!$B$9,"Realisasi","Rencana"))</f>
        <v>Rencana</v>
      </c>
      <c r="C562" s="18" t="s">
        <v>82</v>
      </c>
      <c r="D562" s="26" t="n">
        <f aca="false">IFERROR(INDEX(sumber_pasokan!$E:$E,MATCH(C562,sumber_pasokan!$B:$B,0)),"")</f>
        <v>0</v>
      </c>
      <c r="E562" s="27"/>
    </row>
    <row r="563" customFormat="false" ht="15" hidden="false" customHeight="false" outlineLevel="0" collapsed="false">
      <c r="A563" s="25" t="n">
        <v>46303</v>
      </c>
      <c r="B563" s="23" t="str">
        <f aca="false">IF(A563="","",IF(A563&lt;=profil!$B$9,"Realisasi","Rencana"))</f>
        <v>Rencana</v>
      </c>
      <c r="C563" s="18" t="s">
        <v>150</v>
      </c>
      <c r="D563" s="26" t="n">
        <f aca="false">IFERROR(INDEX(sumber_pasokan!$E:$E,MATCH(C563,sumber_pasokan!$B:$B,0)),"")</f>
        <v>0</v>
      </c>
      <c r="E563" s="27"/>
    </row>
    <row r="564" customFormat="false" ht="15" hidden="false" customHeight="false" outlineLevel="0" collapsed="false">
      <c r="A564" s="25" t="n">
        <v>46304</v>
      </c>
      <c r="B564" s="23" t="str">
        <f aca="false">IF(A564="","",IF(A564&lt;=profil!$B$9,"Realisasi","Rencana"))</f>
        <v>Rencana</v>
      </c>
      <c r="C564" s="18" t="s">
        <v>82</v>
      </c>
      <c r="D564" s="26" t="n">
        <f aca="false">IFERROR(INDEX(sumber_pasokan!$E:$E,MATCH(C564,sumber_pasokan!$B:$B,0)),"")</f>
        <v>0</v>
      </c>
      <c r="E564" s="27"/>
    </row>
    <row r="565" customFormat="false" ht="15" hidden="false" customHeight="false" outlineLevel="0" collapsed="false">
      <c r="A565" s="25" t="n">
        <v>46304</v>
      </c>
      <c r="B565" s="23" t="str">
        <f aca="false">IF(A565="","",IF(A565&lt;=profil!$B$9,"Realisasi","Rencana"))</f>
        <v>Rencana</v>
      </c>
      <c r="C565" s="18" t="s">
        <v>150</v>
      </c>
      <c r="D565" s="26" t="n">
        <f aca="false">IFERROR(INDEX(sumber_pasokan!$E:$E,MATCH(C565,sumber_pasokan!$B:$B,0)),"")</f>
        <v>0</v>
      </c>
      <c r="E565" s="27"/>
    </row>
    <row r="566" customFormat="false" ht="15" hidden="false" customHeight="false" outlineLevel="0" collapsed="false">
      <c r="A566" s="25" t="n">
        <v>46305</v>
      </c>
      <c r="B566" s="23" t="str">
        <f aca="false">IF(A566="","",IF(A566&lt;=profil!$B$9,"Realisasi","Rencana"))</f>
        <v>Rencana</v>
      </c>
      <c r="C566" s="18" t="s">
        <v>82</v>
      </c>
      <c r="D566" s="26" t="n">
        <f aca="false">IFERROR(INDEX(sumber_pasokan!$E:$E,MATCH(C566,sumber_pasokan!$B:$B,0)),"")</f>
        <v>0</v>
      </c>
      <c r="E566" s="27"/>
    </row>
    <row r="567" customFormat="false" ht="15" hidden="false" customHeight="false" outlineLevel="0" collapsed="false">
      <c r="A567" s="25" t="n">
        <v>46305</v>
      </c>
      <c r="B567" s="23" t="str">
        <f aca="false">IF(A567="","",IF(A567&lt;=profil!$B$9,"Realisasi","Rencana"))</f>
        <v>Rencana</v>
      </c>
      <c r="C567" s="18" t="s">
        <v>150</v>
      </c>
      <c r="D567" s="26" t="n">
        <f aca="false">IFERROR(INDEX(sumber_pasokan!$E:$E,MATCH(C567,sumber_pasokan!$B:$B,0)),"")</f>
        <v>0</v>
      </c>
      <c r="E567" s="27"/>
    </row>
    <row r="568" customFormat="false" ht="15" hidden="false" customHeight="false" outlineLevel="0" collapsed="false">
      <c r="A568" s="25" t="n">
        <v>46306</v>
      </c>
      <c r="B568" s="23" t="str">
        <f aca="false">IF(A568="","",IF(A568&lt;=profil!$B$9,"Realisasi","Rencana"))</f>
        <v>Rencana</v>
      </c>
      <c r="C568" s="18" t="s">
        <v>82</v>
      </c>
      <c r="D568" s="26" t="n">
        <f aca="false">IFERROR(INDEX(sumber_pasokan!$E:$E,MATCH(C568,sumber_pasokan!$B:$B,0)),"")</f>
        <v>0</v>
      </c>
      <c r="E568" s="27"/>
    </row>
    <row r="569" customFormat="false" ht="15" hidden="false" customHeight="false" outlineLevel="0" collapsed="false">
      <c r="A569" s="25" t="n">
        <v>46306</v>
      </c>
      <c r="B569" s="23" t="str">
        <f aca="false">IF(A569="","",IF(A569&lt;=profil!$B$9,"Realisasi","Rencana"))</f>
        <v>Rencana</v>
      </c>
      <c r="C569" s="18" t="s">
        <v>150</v>
      </c>
      <c r="D569" s="26" t="n">
        <f aca="false">IFERROR(INDEX(sumber_pasokan!$E:$E,MATCH(C569,sumber_pasokan!$B:$B,0)),"")</f>
        <v>0</v>
      </c>
      <c r="E569" s="27"/>
    </row>
    <row r="570" customFormat="false" ht="15" hidden="false" customHeight="false" outlineLevel="0" collapsed="false">
      <c r="A570" s="25" t="n">
        <v>46307</v>
      </c>
      <c r="B570" s="23" t="str">
        <f aca="false">IF(A570="","",IF(A570&lt;=profil!$B$9,"Realisasi","Rencana"))</f>
        <v>Rencana</v>
      </c>
      <c r="C570" s="18" t="s">
        <v>82</v>
      </c>
      <c r="D570" s="26" t="n">
        <f aca="false">IFERROR(INDEX(sumber_pasokan!$E:$E,MATCH(C570,sumber_pasokan!$B:$B,0)),"")</f>
        <v>0</v>
      </c>
      <c r="E570" s="27"/>
    </row>
    <row r="571" customFormat="false" ht="15" hidden="false" customHeight="false" outlineLevel="0" collapsed="false">
      <c r="A571" s="25" t="n">
        <v>46307</v>
      </c>
      <c r="B571" s="23" t="str">
        <f aca="false">IF(A571="","",IF(A571&lt;=profil!$B$9,"Realisasi","Rencana"))</f>
        <v>Rencana</v>
      </c>
      <c r="C571" s="18" t="s">
        <v>150</v>
      </c>
      <c r="D571" s="26" t="n">
        <f aca="false">IFERROR(INDEX(sumber_pasokan!$E:$E,MATCH(C571,sumber_pasokan!$B:$B,0)),"")</f>
        <v>0</v>
      </c>
      <c r="E571" s="27"/>
    </row>
    <row r="572" customFormat="false" ht="15" hidden="false" customHeight="false" outlineLevel="0" collapsed="false">
      <c r="A572" s="25" t="n">
        <v>46308</v>
      </c>
      <c r="B572" s="23" t="str">
        <f aca="false">IF(A572="","",IF(A572&lt;=profil!$B$9,"Realisasi","Rencana"))</f>
        <v>Rencana</v>
      </c>
      <c r="C572" s="18" t="s">
        <v>82</v>
      </c>
      <c r="D572" s="26" t="n">
        <f aca="false">IFERROR(INDEX(sumber_pasokan!$E:$E,MATCH(C572,sumber_pasokan!$B:$B,0)),"")</f>
        <v>0</v>
      </c>
      <c r="E572" s="27"/>
    </row>
    <row r="573" customFormat="false" ht="15" hidden="false" customHeight="false" outlineLevel="0" collapsed="false">
      <c r="A573" s="25" t="n">
        <v>46308</v>
      </c>
      <c r="B573" s="23" t="str">
        <f aca="false">IF(A573="","",IF(A573&lt;=profil!$B$9,"Realisasi","Rencana"))</f>
        <v>Rencana</v>
      </c>
      <c r="C573" s="18" t="s">
        <v>150</v>
      </c>
      <c r="D573" s="26" t="n">
        <f aca="false">IFERROR(INDEX(sumber_pasokan!$E:$E,MATCH(C573,sumber_pasokan!$B:$B,0)),"")</f>
        <v>0</v>
      </c>
      <c r="E573" s="27"/>
    </row>
    <row r="574" customFormat="false" ht="15" hidden="false" customHeight="false" outlineLevel="0" collapsed="false">
      <c r="A574" s="25" t="n">
        <v>46309</v>
      </c>
      <c r="B574" s="23" t="str">
        <f aca="false">IF(A574="","",IF(A574&lt;=profil!$B$9,"Realisasi","Rencana"))</f>
        <v>Rencana</v>
      </c>
      <c r="C574" s="18" t="s">
        <v>82</v>
      </c>
      <c r="D574" s="26" t="n">
        <f aca="false">IFERROR(INDEX(sumber_pasokan!$E:$E,MATCH(C574,sumber_pasokan!$B:$B,0)),"")</f>
        <v>0</v>
      </c>
      <c r="E574" s="27"/>
    </row>
    <row r="575" customFormat="false" ht="15" hidden="false" customHeight="false" outlineLevel="0" collapsed="false">
      <c r="A575" s="25" t="n">
        <v>46309</v>
      </c>
      <c r="B575" s="23" t="str">
        <f aca="false">IF(A575="","",IF(A575&lt;=profil!$B$9,"Realisasi","Rencana"))</f>
        <v>Rencana</v>
      </c>
      <c r="C575" s="18" t="s">
        <v>150</v>
      </c>
      <c r="D575" s="26" t="n">
        <f aca="false">IFERROR(INDEX(sumber_pasokan!$E:$E,MATCH(C575,sumber_pasokan!$B:$B,0)),"")</f>
        <v>0</v>
      </c>
      <c r="E575" s="27"/>
    </row>
    <row r="576" customFormat="false" ht="15" hidden="false" customHeight="false" outlineLevel="0" collapsed="false">
      <c r="A576" s="25" t="n">
        <v>46310</v>
      </c>
      <c r="B576" s="23" t="str">
        <f aca="false">IF(A576="","",IF(A576&lt;=profil!$B$9,"Realisasi","Rencana"))</f>
        <v>Rencana</v>
      </c>
      <c r="C576" s="18" t="s">
        <v>82</v>
      </c>
      <c r="D576" s="26" t="n">
        <f aca="false">IFERROR(INDEX(sumber_pasokan!$E:$E,MATCH(C576,sumber_pasokan!$B:$B,0)),"")</f>
        <v>0</v>
      </c>
      <c r="E576" s="27"/>
    </row>
    <row r="577" customFormat="false" ht="15" hidden="false" customHeight="false" outlineLevel="0" collapsed="false">
      <c r="A577" s="25" t="n">
        <v>46310</v>
      </c>
      <c r="B577" s="23" t="str">
        <f aca="false">IF(A577="","",IF(A577&lt;=profil!$B$9,"Realisasi","Rencana"))</f>
        <v>Rencana</v>
      </c>
      <c r="C577" s="18" t="s">
        <v>150</v>
      </c>
      <c r="D577" s="26" t="n">
        <f aca="false">IFERROR(INDEX(sumber_pasokan!$E:$E,MATCH(C577,sumber_pasokan!$B:$B,0)),"")</f>
        <v>0</v>
      </c>
      <c r="E577" s="27"/>
    </row>
    <row r="578" customFormat="false" ht="15" hidden="false" customHeight="false" outlineLevel="0" collapsed="false">
      <c r="A578" s="25" t="n">
        <v>46311</v>
      </c>
      <c r="B578" s="23" t="str">
        <f aca="false">IF(A578="","",IF(A578&lt;=profil!$B$9,"Realisasi","Rencana"))</f>
        <v>Rencana</v>
      </c>
      <c r="C578" s="18" t="s">
        <v>82</v>
      </c>
      <c r="D578" s="26" t="n">
        <f aca="false">IFERROR(INDEX(sumber_pasokan!$E:$E,MATCH(C578,sumber_pasokan!$B:$B,0)),"")</f>
        <v>0</v>
      </c>
      <c r="E578" s="27"/>
    </row>
    <row r="579" customFormat="false" ht="15" hidden="false" customHeight="false" outlineLevel="0" collapsed="false">
      <c r="A579" s="25" t="n">
        <v>46311</v>
      </c>
      <c r="B579" s="23" t="str">
        <f aca="false">IF(A579="","",IF(A579&lt;=profil!$B$9,"Realisasi","Rencana"))</f>
        <v>Rencana</v>
      </c>
      <c r="C579" s="18" t="s">
        <v>150</v>
      </c>
      <c r="D579" s="26" t="n">
        <f aca="false">IFERROR(INDEX(sumber_pasokan!$E:$E,MATCH(C579,sumber_pasokan!$B:$B,0)),"")</f>
        <v>0</v>
      </c>
      <c r="E579" s="27"/>
    </row>
    <row r="580" customFormat="false" ht="15" hidden="false" customHeight="false" outlineLevel="0" collapsed="false">
      <c r="A580" s="25" t="n">
        <v>46312</v>
      </c>
      <c r="B580" s="23" t="str">
        <f aca="false">IF(A580="","",IF(A580&lt;=profil!$B$9,"Realisasi","Rencana"))</f>
        <v>Rencana</v>
      </c>
      <c r="C580" s="18" t="s">
        <v>82</v>
      </c>
      <c r="D580" s="26" t="n">
        <f aca="false">IFERROR(INDEX(sumber_pasokan!$E:$E,MATCH(C580,sumber_pasokan!$B:$B,0)),"")</f>
        <v>0</v>
      </c>
      <c r="E580" s="27"/>
    </row>
    <row r="581" customFormat="false" ht="15" hidden="false" customHeight="false" outlineLevel="0" collapsed="false">
      <c r="A581" s="25" t="n">
        <v>46312</v>
      </c>
      <c r="B581" s="23" t="str">
        <f aca="false">IF(A581="","",IF(A581&lt;=profil!$B$9,"Realisasi","Rencana"))</f>
        <v>Rencana</v>
      </c>
      <c r="C581" s="18" t="s">
        <v>150</v>
      </c>
      <c r="D581" s="26" t="n">
        <f aca="false">IFERROR(INDEX(sumber_pasokan!$E:$E,MATCH(C581,sumber_pasokan!$B:$B,0)),"")</f>
        <v>0</v>
      </c>
      <c r="E581" s="27"/>
    </row>
    <row r="582" customFormat="false" ht="15" hidden="false" customHeight="false" outlineLevel="0" collapsed="false">
      <c r="A582" s="25" t="n">
        <v>46313</v>
      </c>
      <c r="B582" s="23" t="str">
        <f aca="false">IF(A582="","",IF(A582&lt;=profil!$B$9,"Realisasi","Rencana"))</f>
        <v>Rencana</v>
      </c>
      <c r="C582" s="18" t="s">
        <v>82</v>
      </c>
      <c r="D582" s="26" t="n">
        <f aca="false">IFERROR(INDEX(sumber_pasokan!$E:$E,MATCH(C582,sumber_pasokan!$B:$B,0)),"")</f>
        <v>0</v>
      </c>
      <c r="E582" s="27"/>
    </row>
    <row r="583" customFormat="false" ht="15" hidden="false" customHeight="false" outlineLevel="0" collapsed="false">
      <c r="A583" s="25" t="n">
        <v>46313</v>
      </c>
      <c r="B583" s="23" t="str">
        <f aca="false">IF(A583="","",IF(A583&lt;=profil!$B$9,"Realisasi","Rencana"))</f>
        <v>Rencana</v>
      </c>
      <c r="C583" s="18" t="s">
        <v>150</v>
      </c>
      <c r="D583" s="26" t="n">
        <f aca="false">IFERROR(INDEX(sumber_pasokan!$E:$E,MATCH(C583,sumber_pasokan!$B:$B,0)),"")</f>
        <v>0</v>
      </c>
      <c r="E583" s="27"/>
    </row>
    <row r="584" customFormat="false" ht="15" hidden="false" customHeight="false" outlineLevel="0" collapsed="false">
      <c r="A584" s="25" t="n">
        <v>46314</v>
      </c>
      <c r="B584" s="23" t="str">
        <f aca="false">IF(A584="","",IF(A584&lt;=profil!$B$9,"Realisasi","Rencana"))</f>
        <v>Rencana</v>
      </c>
      <c r="C584" s="18" t="s">
        <v>82</v>
      </c>
      <c r="D584" s="26" t="n">
        <f aca="false">IFERROR(INDEX(sumber_pasokan!$E:$E,MATCH(C584,sumber_pasokan!$B:$B,0)),"")</f>
        <v>0</v>
      </c>
      <c r="E584" s="27"/>
    </row>
    <row r="585" customFormat="false" ht="15" hidden="false" customHeight="false" outlineLevel="0" collapsed="false">
      <c r="A585" s="25" t="n">
        <v>46314</v>
      </c>
      <c r="B585" s="23" t="str">
        <f aca="false">IF(A585="","",IF(A585&lt;=profil!$B$9,"Realisasi","Rencana"))</f>
        <v>Rencana</v>
      </c>
      <c r="C585" s="18" t="s">
        <v>150</v>
      </c>
      <c r="D585" s="26" t="n">
        <f aca="false">IFERROR(INDEX(sumber_pasokan!$E:$E,MATCH(C585,sumber_pasokan!$B:$B,0)),"")</f>
        <v>0</v>
      </c>
      <c r="E585" s="27"/>
    </row>
    <row r="586" customFormat="false" ht="15" hidden="false" customHeight="false" outlineLevel="0" collapsed="false">
      <c r="A586" s="25" t="n">
        <v>46315</v>
      </c>
      <c r="B586" s="23" t="str">
        <f aca="false">IF(A586="","",IF(A586&lt;=profil!$B$9,"Realisasi","Rencana"))</f>
        <v>Rencana</v>
      </c>
      <c r="C586" s="18" t="s">
        <v>82</v>
      </c>
      <c r="D586" s="26" t="n">
        <f aca="false">IFERROR(INDEX(sumber_pasokan!$E:$E,MATCH(C586,sumber_pasokan!$B:$B,0)),"")</f>
        <v>0</v>
      </c>
      <c r="E586" s="27"/>
    </row>
    <row r="587" customFormat="false" ht="15" hidden="false" customHeight="false" outlineLevel="0" collapsed="false">
      <c r="A587" s="25" t="n">
        <v>46315</v>
      </c>
      <c r="B587" s="23" t="str">
        <f aca="false">IF(A587="","",IF(A587&lt;=profil!$B$9,"Realisasi","Rencana"))</f>
        <v>Rencana</v>
      </c>
      <c r="C587" s="18" t="s">
        <v>150</v>
      </c>
      <c r="D587" s="26" t="n">
        <f aca="false">IFERROR(INDEX(sumber_pasokan!$E:$E,MATCH(C587,sumber_pasokan!$B:$B,0)),"")</f>
        <v>0</v>
      </c>
      <c r="E587" s="27"/>
    </row>
    <row r="588" customFormat="false" ht="15" hidden="false" customHeight="false" outlineLevel="0" collapsed="false">
      <c r="A588" s="25" t="n">
        <v>46316</v>
      </c>
      <c r="B588" s="23" t="str">
        <f aca="false">IF(A588="","",IF(A588&lt;=profil!$B$9,"Realisasi","Rencana"))</f>
        <v>Rencana</v>
      </c>
      <c r="C588" s="18" t="s">
        <v>82</v>
      </c>
      <c r="D588" s="26" t="n">
        <f aca="false">IFERROR(INDEX(sumber_pasokan!$E:$E,MATCH(C588,sumber_pasokan!$B:$B,0)),"")</f>
        <v>0</v>
      </c>
      <c r="E588" s="27"/>
    </row>
    <row r="589" customFormat="false" ht="15" hidden="false" customHeight="false" outlineLevel="0" collapsed="false">
      <c r="A589" s="25" t="n">
        <v>46316</v>
      </c>
      <c r="B589" s="23" t="str">
        <f aca="false">IF(A589="","",IF(A589&lt;=profil!$B$9,"Realisasi","Rencana"))</f>
        <v>Rencana</v>
      </c>
      <c r="C589" s="18" t="s">
        <v>150</v>
      </c>
      <c r="D589" s="26" t="n">
        <f aca="false">IFERROR(INDEX(sumber_pasokan!$E:$E,MATCH(C589,sumber_pasokan!$B:$B,0)),"")</f>
        <v>0</v>
      </c>
      <c r="E589" s="27"/>
    </row>
    <row r="590" customFormat="false" ht="15" hidden="false" customHeight="false" outlineLevel="0" collapsed="false">
      <c r="A590" s="25" t="n">
        <v>46317</v>
      </c>
      <c r="B590" s="23" t="str">
        <f aca="false">IF(A590="","",IF(A590&lt;=profil!$B$9,"Realisasi","Rencana"))</f>
        <v>Rencana</v>
      </c>
      <c r="C590" s="18" t="s">
        <v>82</v>
      </c>
      <c r="D590" s="26" t="n">
        <f aca="false">IFERROR(INDEX(sumber_pasokan!$E:$E,MATCH(C590,sumber_pasokan!$B:$B,0)),"")</f>
        <v>0</v>
      </c>
      <c r="E590" s="27"/>
    </row>
    <row r="591" customFormat="false" ht="15" hidden="false" customHeight="false" outlineLevel="0" collapsed="false">
      <c r="A591" s="25" t="n">
        <v>46317</v>
      </c>
      <c r="B591" s="23" t="str">
        <f aca="false">IF(A591="","",IF(A591&lt;=profil!$B$9,"Realisasi","Rencana"))</f>
        <v>Rencana</v>
      </c>
      <c r="C591" s="18" t="s">
        <v>150</v>
      </c>
      <c r="D591" s="26" t="n">
        <f aca="false">IFERROR(INDEX(sumber_pasokan!$E:$E,MATCH(C591,sumber_pasokan!$B:$B,0)),"")</f>
        <v>0</v>
      </c>
      <c r="E591" s="27"/>
    </row>
    <row r="592" customFormat="false" ht="15" hidden="false" customHeight="false" outlineLevel="0" collapsed="false">
      <c r="A592" s="25" t="n">
        <v>46318</v>
      </c>
      <c r="B592" s="23" t="str">
        <f aca="false">IF(A592="","",IF(A592&lt;=profil!$B$9,"Realisasi","Rencana"))</f>
        <v>Rencana</v>
      </c>
      <c r="C592" s="18" t="s">
        <v>82</v>
      </c>
      <c r="D592" s="26" t="n">
        <f aca="false">IFERROR(INDEX(sumber_pasokan!$E:$E,MATCH(C592,sumber_pasokan!$B:$B,0)),"")</f>
        <v>0</v>
      </c>
      <c r="E592" s="27"/>
    </row>
    <row r="593" customFormat="false" ht="15" hidden="false" customHeight="false" outlineLevel="0" collapsed="false">
      <c r="A593" s="25" t="n">
        <v>46318</v>
      </c>
      <c r="B593" s="23" t="str">
        <f aca="false">IF(A593="","",IF(A593&lt;=profil!$B$9,"Realisasi","Rencana"))</f>
        <v>Rencana</v>
      </c>
      <c r="C593" s="18" t="s">
        <v>150</v>
      </c>
      <c r="D593" s="26" t="n">
        <f aca="false">IFERROR(INDEX(sumber_pasokan!$E:$E,MATCH(C593,sumber_pasokan!$B:$B,0)),"")</f>
        <v>0</v>
      </c>
      <c r="E593" s="27"/>
    </row>
    <row r="594" customFormat="false" ht="15" hidden="false" customHeight="false" outlineLevel="0" collapsed="false">
      <c r="A594" s="25" t="n">
        <v>46319</v>
      </c>
      <c r="B594" s="23" t="str">
        <f aca="false">IF(A594="","",IF(A594&lt;=profil!$B$9,"Realisasi","Rencana"))</f>
        <v>Rencana</v>
      </c>
      <c r="C594" s="18" t="s">
        <v>82</v>
      </c>
      <c r="D594" s="26" t="n">
        <f aca="false">IFERROR(INDEX(sumber_pasokan!$E:$E,MATCH(C594,sumber_pasokan!$B:$B,0)),"")</f>
        <v>0</v>
      </c>
      <c r="E594" s="27"/>
    </row>
    <row r="595" customFormat="false" ht="15" hidden="false" customHeight="false" outlineLevel="0" collapsed="false">
      <c r="A595" s="25" t="n">
        <v>46319</v>
      </c>
      <c r="B595" s="23" t="str">
        <f aca="false">IF(A595="","",IF(A595&lt;=profil!$B$9,"Realisasi","Rencana"))</f>
        <v>Rencana</v>
      </c>
      <c r="C595" s="18" t="s">
        <v>150</v>
      </c>
      <c r="D595" s="26" t="n">
        <f aca="false">IFERROR(INDEX(sumber_pasokan!$E:$E,MATCH(C595,sumber_pasokan!$B:$B,0)),"")</f>
        <v>0</v>
      </c>
      <c r="E595" s="27"/>
    </row>
    <row r="596" customFormat="false" ht="15" hidden="false" customHeight="false" outlineLevel="0" collapsed="false">
      <c r="A596" s="25" t="n">
        <v>46320</v>
      </c>
      <c r="B596" s="23" t="str">
        <f aca="false">IF(A596="","",IF(A596&lt;=profil!$B$9,"Realisasi","Rencana"))</f>
        <v>Rencana</v>
      </c>
      <c r="C596" s="18" t="s">
        <v>82</v>
      </c>
      <c r="D596" s="26" t="n">
        <f aca="false">IFERROR(INDEX(sumber_pasokan!$E:$E,MATCH(C596,sumber_pasokan!$B:$B,0)),"")</f>
        <v>0</v>
      </c>
      <c r="E596" s="27"/>
    </row>
    <row r="597" customFormat="false" ht="15" hidden="false" customHeight="false" outlineLevel="0" collapsed="false">
      <c r="A597" s="25" t="n">
        <v>46320</v>
      </c>
      <c r="B597" s="23" t="str">
        <f aca="false">IF(A597="","",IF(A597&lt;=profil!$B$9,"Realisasi","Rencana"))</f>
        <v>Rencana</v>
      </c>
      <c r="C597" s="18" t="s">
        <v>150</v>
      </c>
      <c r="D597" s="26" t="n">
        <f aca="false">IFERROR(INDEX(sumber_pasokan!$E:$E,MATCH(C597,sumber_pasokan!$B:$B,0)),"")</f>
        <v>0</v>
      </c>
      <c r="E597" s="27"/>
    </row>
    <row r="598" customFormat="false" ht="15" hidden="false" customHeight="false" outlineLevel="0" collapsed="false">
      <c r="A598" s="25" t="n">
        <v>46321</v>
      </c>
      <c r="B598" s="23" t="str">
        <f aca="false">IF(A598="","",IF(A598&lt;=profil!$B$9,"Realisasi","Rencana"))</f>
        <v>Rencana</v>
      </c>
      <c r="C598" s="18" t="s">
        <v>82</v>
      </c>
      <c r="D598" s="26" t="n">
        <f aca="false">IFERROR(INDEX(sumber_pasokan!$E:$E,MATCH(C598,sumber_pasokan!$B:$B,0)),"")</f>
        <v>0</v>
      </c>
      <c r="E598" s="27"/>
    </row>
    <row r="599" customFormat="false" ht="15" hidden="false" customHeight="false" outlineLevel="0" collapsed="false">
      <c r="A599" s="25" t="n">
        <v>46321</v>
      </c>
      <c r="B599" s="23" t="str">
        <f aca="false">IF(A599="","",IF(A599&lt;=profil!$B$9,"Realisasi","Rencana"))</f>
        <v>Rencana</v>
      </c>
      <c r="C599" s="18" t="s">
        <v>150</v>
      </c>
      <c r="D599" s="26" t="n">
        <f aca="false">IFERROR(INDEX(sumber_pasokan!$E:$E,MATCH(C599,sumber_pasokan!$B:$B,0)),"")</f>
        <v>0</v>
      </c>
      <c r="E599" s="27"/>
    </row>
    <row r="600" customFormat="false" ht="15" hidden="false" customHeight="false" outlineLevel="0" collapsed="false">
      <c r="A600" s="25" t="n">
        <v>46322</v>
      </c>
      <c r="B600" s="23" t="str">
        <f aca="false">IF(A600="","",IF(A600&lt;=profil!$B$9,"Realisasi","Rencana"))</f>
        <v>Rencana</v>
      </c>
      <c r="C600" s="18" t="s">
        <v>82</v>
      </c>
      <c r="D600" s="26" t="n">
        <f aca="false">IFERROR(INDEX(sumber_pasokan!$E:$E,MATCH(C600,sumber_pasokan!$B:$B,0)),"")</f>
        <v>0</v>
      </c>
      <c r="E600" s="27"/>
    </row>
    <row r="601" customFormat="false" ht="15" hidden="false" customHeight="false" outlineLevel="0" collapsed="false">
      <c r="A601" s="25" t="n">
        <v>46322</v>
      </c>
      <c r="B601" s="23" t="str">
        <f aca="false">IF(A601="","",IF(A601&lt;=profil!$B$9,"Realisasi","Rencana"))</f>
        <v>Rencana</v>
      </c>
      <c r="C601" s="18" t="s">
        <v>150</v>
      </c>
      <c r="D601" s="26" t="n">
        <f aca="false">IFERROR(INDEX(sumber_pasokan!$E:$E,MATCH(C601,sumber_pasokan!$B:$B,0)),"")</f>
        <v>0</v>
      </c>
      <c r="E601" s="27"/>
    </row>
    <row r="602" customFormat="false" ht="15" hidden="false" customHeight="false" outlineLevel="0" collapsed="false">
      <c r="A602" s="25" t="n">
        <v>46323</v>
      </c>
      <c r="B602" s="23" t="str">
        <f aca="false">IF(A602="","",IF(A602&lt;=profil!$B$9,"Realisasi","Rencana"))</f>
        <v>Rencana</v>
      </c>
      <c r="C602" s="18" t="s">
        <v>82</v>
      </c>
      <c r="D602" s="26" t="n">
        <f aca="false">IFERROR(INDEX(sumber_pasokan!$E:$E,MATCH(C602,sumber_pasokan!$B:$B,0)),"")</f>
        <v>0</v>
      </c>
      <c r="E602" s="27"/>
    </row>
    <row r="603" customFormat="false" ht="15" hidden="false" customHeight="false" outlineLevel="0" collapsed="false">
      <c r="A603" s="25" t="n">
        <v>46323</v>
      </c>
      <c r="B603" s="23" t="str">
        <f aca="false">IF(A603="","",IF(A603&lt;=profil!$B$9,"Realisasi","Rencana"))</f>
        <v>Rencana</v>
      </c>
      <c r="C603" s="18" t="s">
        <v>150</v>
      </c>
      <c r="D603" s="26" t="n">
        <f aca="false">IFERROR(INDEX(sumber_pasokan!$E:$E,MATCH(C603,sumber_pasokan!$B:$B,0)),"")</f>
        <v>0</v>
      </c>
      <c r="E603" s="27"/>
    </row>
    <row r="604" customFormat="false" ht="15" hidden="false" customHeight="false" outlineLevel="0" collapsed="false">
      <c r="A604" s="25" t="n">
        <v>46324</v>
      </c>
      <c r="B604" s="23" t="str">
        <f aca="false">IF(A604="","",IF(A604&lt;=profil!$B$9,"Realisasi","Rencana"))</f>
        <v>Rencana</v>
      </c>
      <c r="C604" s="18" t="s">
        <v>82</v>
      </c>
      <c r="D604" s="26" t="n">
        <f aca="false">IFERROR(INDEX(sumber_pasokan!$E:$E,MATCH(C604,sumber_pasokan!$B:$B,0)),"")</f>
        <v>0</v>
      </c>
      <c r="E604" s="27"/>
    </row>
    <row r="605" customFormat="false" ht="15" hidden="false" customHeight="false" outlineLevel="0" collapsed="false">
      <c r="A605" s="25" t="n">
        <v>46324</v>
      </c>
      <c r="B605" s="23" t="str">
        <f aca="false">IF(A605="","",IF(A605&lt;=profil!$B$9,"Realisasi","Rencana"))</f>
        <v>Rencana</v>
      </c>
      <c r="C605" s="18" t="s">
        <v>150</v>
      </c>
      <c r="D605" s="26" t="n">
        <f aca="false">IFERROR(INDEX(sumber_pasokan!$E:$E,MATCH(C605,sumber_pasokan!$B:$B,0)),"")</f>
        <v>0</v>
      </c>
      <c r="E605" s="27"/>
    </row>
    <row r="606" customFormat="false" ht="15" hidden="false" customHeight="false" outlineLevel="0" collapsed="false">
      <c r="A606" s="25" t="n">
        <v>46325</v>
      </c>
      <c r="B606" s="23" t="str">
        <f aca="false">IF(A606="","",IF(A606&lt;=profil!$B$9,"Realisasi","Rencana"))</f>
        <v>Rencana</v>
      </c>
      <c r="C606" s="18" t="s">
        <v>82</v>
      </c>
      <c r="D606" s="26" t="n">
        <f aca="false">IFERROR(INDEX(sumber_pasokan!$E:$E,MATCH(C606,sumber_pasokan!$B:$B,0)),"")</f>
        <v>0</v>
      </c>
      <c r="E606" s="27"/>
    </row>
    <row r="607" customFormat="false" ht="15" hidden="false" customHeight="false" outlineLevel="0" collapsed="false">
      <c r="A607" s="25" t="n">
        <v>46325</v>
      </c>
      <c r="B607" s="23" t="str">
        <f aca="false">IF(A607="","",IF(A607&lt;=profil!$B$9,"Realisasi","Rencana"))</f>
        <v>Rencana</v>
      </c>
      <c r="C607" s="18" t="s">
        <v>150</v>
      </c>
      <c r="D607" s="26" t="n">
        <f aca="false">IFERROR(INDEX(sumber_pasokan!$E:$E,MATCH(C607,sumber_pasokan!$B:$B,0)),"")</f>
        <v>0</v>
      </c>
      <c r="E607" s="27"/>
    </row>
    <row r="608" customFormat="false" ht="15" hidden="false" customHeight="false" outlineLevel="0" collapsed="false">
      <c r="A608" s="25" t="n">
        <v>46326</v>
      </c>
      <c r="B608" s="23" t="str">
        <f aca="false">IF(A608="","",IF(A608&lt;=profil!$B$9,"Realisasi","Rencana"))</f>
        <v>Rencana</v>
      </c>
      <c r="C608" s="18" t="s">
        <v>82</v>
      </c>
      <c r="D608" s="26" t="n">
        <f aca="false">IFERROR(INDEX(sumber_pasokan!$E:$E,MATCH(C608,sumber_pasokan!$B:$B,0)),"")</f>
        <v>0</v>
      </c>
      <c r="E608" s="27"/>
    </row>
    <row r="609" customFormat="false" ht="15" hidden="false" customHeight="false" outlineLevel="0" collapsed="false">
      <c r="A609" s="25" t="n">
        <v>46326</v>
      </c>
      <c r="B609" s="23" t="str">
        <f aca="false">IF(A609="","",IF(A609&lt;=profil!$B$9,"Realisasi","Rencana"))</f>
        <v>Rencana</v>
      </c>
      <c r="C609" s="18" t="s">
        <v>150</v>
      </c>
      <c r="D609" s="26" t="n">
        <f aca="false">IFERROR(INDEX(sumber_pasokan!$E:$E,MATCH(C609,sumber_pasokan!$B:$B,0)),"")</f>
        <v>0</v>
      </c>
      <c r="E609" s="27"/>
    </row>
    <row r="610" customFormat="false" ht="15" hidden="false" customHeight="false" outlineLevel="0" collapsed="false">
      <c r="A610" s="25" t="n">
        <v>46327</v>
      </c>
      <c r="B610" s="23" t="str">
        <f aca="false">IF(A610="","",IF(A610&lt;=profil!$B$9,"Realisasi","Rencana"))</f>
        <v>Rencana</v>
      </c>
      <c r="C610" s="18" t="s">
        <v>82</v>
      </c>
      <c r="D610" s="26" t="n">
        <f aca="false">IFERROR(INDEX(sumber_pasokan!$E:$E,MATCH(C610,sumber_pasokan!$B:$B,0)),"")</f>
        <v>0</v>
      </c>
      <c r="E610" s="27"/>
    </row>
    <row r="611" customFormat="false" ht="15" hidden="false" customHeight="false" outlineLevel="0" collapsed="false">
      <c r="A611" s="25" t="n">
        <v>46327</v>
      </c>
      <c r="B611" s="23" t="str">
        <f aca="false">IF(A611="","",IF(A611&lt;=profil!$B$9,"Realisasi","Rencana"))</f>
        <v>Rencana</v>
      </c>
      <c r="C611" s="18" t="s">
        <v>150</v>
      </c>
      <c r="D611" s="26" t="n">
        <f aca="false">IFERROR(INDEX(sumber_pasokan!$E:$E,MATCH(C611,sumber_pasokan!$B:$B,0)),"")</f>
        <v>0</v>
      </c>
      <c r="E611" s="27"/>
    </row>
    <row r="612" customFormat="false" ht="15" hidden="false" customHeight="false" outlineLevel="0" collapsed="false">
      <c r="A612" s="25" t="n">
        <v>46328</v>
      </c>
      <c r="B612" s="23" t="str">
        <f aca="false">IF(A612="","",IF(A612&lt;=profil!$B$9,"Realisasi","Rencana"))</f>
        <v>Rencana</v>
      </c>
      <c r="C612" s="18" t="s">
        <v>82</v>
      </c>
      <c r="D612" s="26" t="n">
        <f aca="false">IFERROR(INDEX(sumber_pasokan!$E:$E,MATCH(C612,sumber_pasokan!$B:$B,0)),"")</f>
        <v>0</v>
      </c>
      <c r="E612" s="27"/>
    </row>
    <row r="613" customFormat="false" ht="15" hidden="false" customHeight="false" outlineLevel="0" collapsed="false">
      <c r="A613" s="25" t="n">
        <v>46328</v>
      </c>
      <c r="B613" s="23" t="str">
        <f aca="false">IF(A613="","",IF(A613&lt;=profil!$B$9,"Realisasi","Rencana"))</f>
        <v>Rencana</v>
      </c>
      <c r="C613" s="18" t="s">
        <v>150</v>
      </c>
      <c r="D613" s="26" t="n">
        <f aca="false">IFERROR(INDEX(sumber_pasokan!$E:$E,MATCH(C613,sumber_pasokan!$B:$B,0)),"")</f>
        <v>0</v>
      </c>
      <c r="E613" s="27"/>
    </row>
    <row r="614" customFormat="false" ht="15" hidden="false" customHeight="false" outlineLevel="0" collapsed="false">
      <c r="A614" s="25" t="n">
        <v>46329</v>
      </c>
      <c r="B614" s="23" t="str">
        <f aca="false">IF(A614="","",IF(A614&lt;=profil!$B$9,"Realisasi","Rencana"))</f>
        <v>Rencana</v>
      </c>
      <c r="C614" s="18" t="s">
        <v>82</v>
      </c>
      <c r="D614" s="26" t="n">
        <f aca="false">IFERROR(INDEX(sumber_pasokan!$E:$E,MATCH(C614,sumber_pasokan!$B:$B,0)),"")</f>
        <v>0</v>
      </c>
      <c r="E614" s="27"/>
    </row>
    <row r="615" customFormat="false" ht="15" hidden="false" customHeight="false" outlineLevel="0" collapsed="false">
      <c r="A615" s="25" t="n">
        <v>46329</v>
      </c>
      <c r="B615" s="23" t="str">
        <f aca="false">IF(A615="","",IF(A615&lt;=profil!$B$9,"Realisasi","Rencana"))</f>
        <v>Rencana</v>
      </c>
      <c r="C615" s="18" t="s">
        <v>150</v>
      </c>
      <c r="D615" s="26" t="n">
        <f aca="false">IFERROR(INDEX(sumber_pasokan!$E:$E,MATCH(C615,sumber_pasokan!$B:$B,0)),"")</f>
        <v>0</v>
      </c>
      <c r="E615" s="27"/>
    </row>
    <row r="616" customFormat="false" ht="15" hidden="false" customHeight="false" outlineLevel="0" collapsed="false">
      <c r="A616" s="25" t="n">
        <v>46330</v>
      </c>
      <c r="B616" s="23" t="str">
        <f aca="false">IF(A616="","",IF(A616&lt;=profil!$B$9,"Realisasi","Rencana"))</f>
        <v>Rencana</v>
      </c>
      <c r="C616" s="18" t="s">
        <v>82</v>
      </c>
      <c r="D616" s="26" t="n">
        <f aca="false">IFERROR(INDEX(sumber_pasokan!$E:$E,MATCH(C616,sumber_pasokan!$B:$B,0)),"")</f>
        <v>0</v>
      </c>
      <c r="E616" s="27"/>
    </row>
    <row r="617" customFormat="false" ht="15" hidden="false" customHeight="false" outlineLevel="0" collapsed="false">
      <c r="A617" s="25" t="n">
        <v>46330</v>
      </c>
      <c r="B617" s="23" t="str">
        <f aca="false">IF(A617="","",IF(A617&lt;=profil!$B$9,"Realisasi","Rencana"))</f>
        <v>Rencana</v>
      </c>
      <c r="C617" s="18" t="s">
        <v>150</v>
      </c>
      <c r="D617" s="26" t="n">
        <f aca="false">IFERROR(INDEX(sumber_pasokan!$E:$E,MATCH(C617,sumber_pasokan!$B:$B,0)),"")</f>
        <v>0</v>
      </c>
      <c r="E617" s="27"/>
    </row>
    <row r="618" customFormat="false" ht="15" hidden="false" customHeight="false" outlineLevel="0" collapsed="false">
      <c r="A618" s="25" t="n">
        <v>46331</v>
      </c>
      <c r="B618" s="23" t="str">
        <f aca="false">IF(A618="","",IF(A618&lt;=profil!$B$9,"Realisasi","Rencana"))</f>
        <v>Rencana</v>
      </c>
      <c r="C618" s="18" t="s">
        <v>82</v>
      </c>
      <c r="D618" s="26" t="n">
        <f aca="false">IFERROR(INDEX(sumber_pasokan!$E:$E,MATCH(C618,sumber_pasokan!$B:$B,0)),"")</f>
        <v>0</v>
      </c>
      <c r="E618" s="27"/>
    </row>
    <row r="619" customFormat="false" ht="15" hidden="false" customHeight="false" outlineLevel="0" collapsed="false">
      <c r="A619" s="25" t="n">
        <v>46331</v>
      </c>
      <c r="B619" s="23" t="str">
        <f aca="false">IF(A619="","",IF(A619&lt;=profil!$B$9,"Realisasi","Rencana"))</f>
        <v>Rencana</v>
      </c>
      <c r="C619" s="18" t="s">
        <v>150</v>
      </c>
      <c r="D619" s="26" t="n">
        <f aca="false">IFERROR(INDEX(sumber_pasokan!$E:$E,MATCH(C619,sumber_pasokan!$B:$B,0)),"")</f>
        <v>0</v>
      </c>
      <c r="E619" s="27"/>
    </row>
    <row r="620" customFormat="false" ht="15" hidden="false" customHeight="false" outlineLevel="0" collapsed="false">
      <c r="A620" s="25" t="n">
        <v>46332</v>
      </c>
      <c r="B620" s="23" t="str">
        <f aca="false">IF(A620="","",IF(A620&lt;=profil!$B$9,"Realisasi","Rencana"))</f>
        <v>Rencana</v>
      </c>
      <c r="C620" s="18" t="s">
        <v>82</v>
      </c>
      <c r="D620" s="26" t="n">
        <f aca="false">IFERROR(INDEX(sumber_pasokan!$E:$E,MATCH(C620,sumber_pasokan!$B:$B,0)),"")</f>
        <v>0</v>
      </c>
      <c r="E620" s="27"/>
    </row>
    <row r="621" customFormat="false" ht="15" hidden="false" customHeight="false" outlineLevel="0" collapsed="false">
      <c r="A621" s="25" t="n">
        <v>46332</v>
      </c>
      <c r="B621" s="23" t="str">
        <f aca="false">IF(A621="","",IF(A621&lt;=profil!$B$9,"Realisasi","Rencana"))</f>
        <v>Rencana</v>
      </c>
      <c r="C621" s="18" t="s">
        <v>150</v>
      </c>
      <c r="D621" s="26" t="n">
        <f aca="false">IFERROR(INDEX(sumber_pasokan!$E:$E,MATCH(C621,sumber_pasokan!$B:$B,0)),"")</f>
        <v>0</v>
      </c>
      <c r="E621" s="27"/>
    </row>
    <row r="622" customFormat="false" ht="15" hidden="false" customHeight="false" outlineLevel="0" collapsed="false">
      <c r="A622" s="25" t="n">
        <v>46333</v>
      </c>
      <c r="B622" s="23" t="str">
        <f aca="false">IF(A622="","",IF(A622&lt;=profil!$B$9,"Realisasi","Rencana"))</f>
        <v>Rencana</v>
      </c>
      <c r="C622" s="18" t="s">
        <v>82</v>
      </c>
      <c r="D622" s="26" t="n">
        <f aca="false">IFERROR(INDEX(sumber_pasokan!$E:$E,MATCH(C622,sumber_pasokan!$B:$B,0)),"")</f>
        <v>0</v>
      </c>
      <c r="E622" s="27"/>
    </row>
    <row r="623" customFormat="false" ht="15" hidden="false" customHeight="false" outlineLevel="0" collapsed="false">
      <c r="A623" s="25" t="n">
        <v>46333</v>
      </c>
      <c r="B623" s="23" t="str">
        <f aca="false">IF(A623="","",IF(A623&lt;=profil!$B$9,"Realisasi","Rencana"))</f>
        <v>Rencana</v>
      </c>
      <c r="C623" s="18" t="s">
        <v>150</v>
      </c>
      <c r="D623" s="26" t="n">
        <f aca="false">IFERROR(INDEX(sumber_pasokan!$E:$E,MATCH(C623,sumber_pasokan!$B:$B,0)),"")</f>
        <v>0</v>
      </c>
      <c r="E623" s="27"/>
    </row>
    <row r="624" customFormat="false" ht="15" hidden="false" customHeight="false" outlineLevel="0" collapsed="false">
      <c r="A624" s="25" t="n">
        <v>46334</v>
      </c>
      <c r="B624" s="23" t="str">
        <f aca="false">IF(A624="","",IF(A624&lt;=profil!$B$9,"Realisasi","Rencana"))</f>
        <v>Rencana</v>
      </c>
      <c r="C624" s="18" t="s">
        <v>82</v>
      </c>
      <c r="D624" s="26" t="n">
        <f aca="false">IFERROR(INDEX(sumber_pasokan!$E:$E,MATCH(C624,sumber_pasokan!$B:$B,0)),"")</f>
        <v>0</v>
      </c>
      <c r="E624" s="27"/>
    </row>
    <row r="625" customFormat="false" ht="15" hidden="false" customHeight="false" outlineLevel="0" collapsed="false">
      <c r="A625" s="25" t="n">
        <v>46334</v>
      </c>
      <c r="B625" s="23" t="str">
        <f aca="false">IF(A625="","",IF(A625&lt;=profil!$B$9,"Realisasi","Rencana"))</f>
        <v>Rencana</v>
      </c>
      <c r="C625" s="18" t="s">
        <v>150</v>
      </c>
      <c r="D625" s="26" t="n">
        <f aca="false">IFERROR(INDEX(sumber_pasokan!$E:$E,MATCH(C625,sumber_pasokan!$B:$B,0)),"")</f>
        <v>0</v>
      </c>
      <c r="E625" s="27"/>
    </row>
    <row r="626" customFormat="false" ht="15" hidden="false" customHeight="false" outlineLevel="0" collapsed="false">
      <c r="A626" s="25" t="n">
        <v>46335</v>
      </c>
      <c r="B626" s="23" t="str">
        <f aca="false">IF(A626="","",IF(A626&lt;=profil!$B$9,"Realisasi","Rencana"))</f>
        <v>Rencana</v>
      </c>
      <c r="C626" s="18" t="s">
        <v>82</v>
      </c>
      <c r="D626" s="26" t="n">
        <f aca="false">IFERROR(INDEX(sumber_pasokan!$E:$E,MATCH(C626,sumber_pasokan!$B:$B,0)),"")</f>
        <v>0</v>
      </c>
      <c r="E626" s="27"/>
    </row>
    <row r="627" customFormat="false" ht="15" hidden="false" customHeight="false" outlineLevel="0" collapsed="false">
      <c r="A627" s="25" t="n">
        <v>46335</v>
      </c>
      <c r="B627" s="23" t="str">
        <f aca="false">IF(A627="","",IF(A627&lt;=profil!$B$9,"Realisasi","Rencana"))</f>
        <v>Rencana</v>
      </c>
      <c r="C627" s="18" t="s">
        <v>150</v>
      </c>
      <c r="D627" s="26" t="n">
        <f aca="false">IFERROR(INDEX(sumber_pasokan!$E:$E,MATCH(C627,sumber_pasokan!$B:$B,0)),"")</f>
        <v>0</v>
      </c>
      <c r="E627" s="27"/>
    </row>
    <row r="628" customFormat="false" ht="15" hidden="false" customHeight="false" outlineLevel="0" collapsed="false">
      <c r="A628" s="25" t="n">
        <v>46336</v>
      </c>
      <c r="B628" s="23" t="str">
        <f aca="false">IF(A628="","",IF(A628&lt;=profil!$B$9,"Realisasi","Rencana"))</f>
        <v>Rencana</v>
      </c>
      <c r="C628" s="18" t="s">
        <v>82</v>
      </c>
      <c r="D628" s="26" t="n">
        <f aca="false">IFERROR(INDEX(sumber_pasokan!$E:$E,MATCH(C628,sumber_pasokan!$B:$B,0)),"")</f>
        <v>0</v>
      </c>
      <c r="E628" s="27"/>
    </row>
    <row r="629" customFormat="false" ht="15" hidden="false" customHeight="false" outlineLevel="0" collapsed="false">
      <c r="A629" s="25" t="n">
        <v>46336</v>
      </c>
      <c r="B629" s="23" t="str">
        <f aca="false">IF(A629="","",IF(A629&lt;=profil!$B$9,"Realisasi","Rencana"))</f>
        <v>Rencana</v>
      </c>
      <c r="C629" s="18" t="s">
        <v>150</v>
      </c>
      <c r="D629" s="26" t="n">
        <f aca="false">IFERROR(INDEX(sumber_pasokan!$E:$E,MATCH(C629,sumber_pasokan!$B:$B,0)),"")</f>
        <v>0</v>
      </c>
      <c r="E629" s="27"/>
    </row>
    <row r="630" customFormat="false" ht="15" hidden="false" customHeight="false" outlineLevel="0" collapsed="false">
      <c r="A630" s="25" t="n">
        <v>46337</v>
      </c>
      <c r="B630" s="23" t="str">
        <f aca="false">IF(A630="","",IF(A630&lt;=profil!$B$9,"Realisasi","Rencana"))</f>
        <v>Rencana</v>
      </c>
      <c r="C630" s="18" t="s">
        <v>82</v>
      </c>
      <c r="D630" s="26" t="n">
        <f aca="false">IFERROR(INDEX(sumber_pasokan!$E:$E,MATCH(C630,sumber_pasokan!$B:$B,0)),"")</f>
        <v>0</v>
      </c>
      <c r="E630" s="27"/>
    </row>
    <row r="631" customFormat="false" ht="15" hidden="false" customHeight="false" outlineLevel="0" collapsed="false">
      <c r="A631" s="25" t="n">
        <v>46337</v>
      </c>
      <c r="B631" s="23" t="str">
        <f aca="false">IF(A631="","",IF(A631&lt;=profil!$B$9,"Realisasi","Rencana"))</f>
        <v>Rencana</v>
      </c>
      <c r="C631" s="18" t="s">
        <v>150</v>
      </c>
      <c r="D631" s="26" t="n">
        <f aca="false">IFERROR(INDEX(sumber_pasokan!$E:$E,MATCH(C631,sumber_pasokan!$B:$B,0)),"")</f>
        <v>0</v>
      </c>
      <c r="E631" s="27"/>
    </row>
    <row r="632" customFormat="false" ht="15" hidden="false" customHeight="false" outlineLevel="0" collapsed="false">
      <c r="A632" s="25" t="n">
        <v>46338</v>
      </c>
      <c r="B632" s="23" t="str">
        <f aca="false">IF(A632="","",IF(A632&lt;=profil!$B$9,"Realisasi","Rencana"))</f>
        <v>Rencana</v>
      </c>
      <c r="C632" s="18" t="s">
        <v>82</v>
      </c>
      <c r="D632" s="26" t="n">
        <f aca="false">IFERROR(INDEX(sumber_pasokan!$E:$E,MATCH(C632,sumber_pasokan!$B:$B,0)),"")</f>
        <v>0</v>
      </c>
      <c r="E632" s="27"/>
    </row>
    <row r="633" customFormat="false" ht="15" hidden="false" customHeight="false" outlineLevel="0" collapsed="false">
      <c r="A633" s="25" t="n">
        <v>46338</v>
      </c>
      <c r="B633" s="23" t="str">
        <f aca="false">IF(A633="","",IF(A633&lt;=profil!$B$9,"Realisasi","Rencana"))</f>
        <v>Rencana</v>
      </c>
      <c r="C633" s="18" t="s">
        <v>150</v>
      </c>
      <c r="D633" s="26" t="n">
        <f aca="false">IFERROR(INDEX(sumber_pasokan!$E:$E,MATCH(C633,sumber_pasokan!$B:$B,0)),"")</f>
        <v>0</v>
      </c>
      <c r="E633" s="27"/>
    </row>
    <row r="634" customFormat="false" ht="15" hidden="false" customHeight="false" outlineLevel="0" collapsed="false">
      <c r="A634" s="25" t="n">
        <v>46339</v>
      </c>
      <c r="B634" s="23" t="str">
        <f aca="false">IF(A634="","",IF(A634&lt;=profil!$B$9,"Realisasi","Rencana"))</f>
        <v>Rencana</v>
      </c>
      <c r="C634" s="18" t="s">
        <v>82</v>
      </c>
      <c r="D634" s="26" t="n">
        <f aca="false">IFERROR(INDEX(sumber_pasokan!$E:$E,MATCH(C634,sumber_pasokan!$B:$B,0)),"")</f>
        <v>0</v>
      </c>
      <c r="E634" s="27"/>
    </row>
    <row r="635" customFormat="false" ht="15" hidden="false" customHeight="false" outlineLevel="0" collapsed="false">
      <c r="A635" s="25" t="n">
        <v>46339</v>
      </c>
      <c r="B635" s="23" t="str">
        <f aca="false">IF(A635="","",IF(A635&lt;=profil!$B$9,"Realisasi","Rencana"))</f>
        <v>Rencana</v>
      </c>
      <c r="C635" s="18" t="s">
        <v>150</v>
      </c>
      <c r="D635" s="26" t="n">
        <f aca="false">IFERROR(INDEX(sumber_pasokan!$E:$E,MATCH(C635,sumber_pasokan!$B:$B,0)),"")</f>
        <v>0</v>
      </c>
      <c r="E635" s="27"/>
    </row>
    <row r="636" customFormat="false" ht="15" hidden="false" customHeight="false" outlineLevel="0" collapsed="false">
      <c r="A636" s="25" t="n">
        <v>46340</v>
      </c>
      <c r="B636" s="23" t="str">
        <f aca="false">IF(A636="","",IF(A636&lt;=profil!$B$9,"Realisasi","Rencana"))</f>
        <v>Rencana</v>
      </c>
      <c r="C636" s="18" t="s">
        <v>82</v>
      </c>
      <c r="D636" s="26" t="n">
        <f aca="false">IFERROR(INDEX(sumber_pasokan!$E:$E,MATCH(C636,sumber_pasokan!$B:$B,0)),"")</f>
        <v>0</v>
      </c>
      <c r="E636" s="27"/>
    </row>
    <row r="637" customFormat="false" ht="15" hidden="false" customHeight="false" outlineLevel="0" collapsed="false">
      <c r="A637" s="25" t="n">
        <v>46340</v>
      </c>
      <c r="B637" s="23" t="str">
        <f aca="false">IF(A637="","",IF(A637&lt;=profil!$B$9,"Realisasi","Rencana"))</f>
        <v>Rencana</v>
      </c>
      <c r="C637" s="18" t="s">
        <v>150</v>
      </c>
      <c r="D637" s="26" t="n">
        <f aca="false">IFERROR(INDEX(sumber_pasokan!$E:$E,MATCH(C637,sumber_pasokan!$B:$B,0)),"")</f>
        <v>0</v>
      </c>
      <c r="E637" s="27"/>
    </row>
    <row r="638" customFormat="false" ht="15" hidden="false" customHeight="false" outlineLevel="0" collapsed="false">
      <c r="A638" s="25" t="n">
        <v>46341</v>
      </c>
      <c r="B638" s="23" t="str">
        <f aca="false">IF(A638="","",IF(A638&lt;=profil!$B$9,"Realisasi","Rencana"))</f>
        <v>Rencana</v>
      </c>
      <c r="C638" s="18" t="s">
        <v>82</v>
      </c>
      <c r="D638" s="26" t="n">
        <f aca="false">IFERROR(INDEX(sumber_pasokan!$E:$E,MATCH(C638,sumber_pasokan!$B:$B,0)),"")</f>
        <v>0</v>
      </c>
      <c r="E638" s="27"/>
    </row>
    <row r="639" customFormat="false" ht="15" hidden="false" customHeight="false" outlineLevel="0" collapsed="false">
      <c r="A639" s="25" t="n">
        <v>46341</v>
      </c>
      <c r="B639" s="23" t="str">
        <f aca="false">IF(A639="","",IF(A639&lt;=profil!$B$9,"Realisasi","Rencana"))</f>
        <v>Rencana</v>
      </c>
      <c r="C639" s="18" t="s">
        <v>150</v>
      </c>
      <c r="D639" s="26" t="n">
        <f aca="false">IFERROR(INDEX(sumber_pasokan!$E:$E,MATCH(C639,sumber_pasokan!$B:$B,0)),"")</f>
        <v>0</v>
      </c>
      <c r="E639" s="27"/>
    </row>
    <row r="640" customFormat="false" ht="15" hidden="false" customHeight="false" outlineLevel="0" collapsed="false">
      <c r="A640" s="25" t="n">
        <v>46342</v>
      </c>
      <c r="B640" s="23" t="str">
        <f aca="false">IF(A640="","",IF(A640&lt;=profil!$B$9,"Realisasi","Rencana"))</f>
        <v>Rencana</v>
      </c>
      <c r="C640" s="18" t="s">
        <v>82</v>
      </c>
      <c r="D640" s="26" t="n">
        <f aca="false">IFERROR(INDEX(sumber_pasokan!$E:$E,MATCH(C640,sumber_pasokan!$B:$B,0)),"")</f>
        <v>0</v>
      </c>
      <c r="E640" s="27"/>
    </row>
    <row r="641" customFormat="false" ht="15" hidden="false" customHeight="false" outlineLevel="0" collapsed="false">
      <c r="A641" s="25" t="n">
        <v>46342</v>
      </c>
      <c r="B641" s="23" t="str">
        <f aca="false">IF(A641="","",IF(A641&lt;=profil!$B$9,"Realisasi","Rencana"))</f>
        <v>Rencana</v>
      </c>
      <c r="C641" s="18" t="s">
        <v>150</v>
      </c>
      <c r="D641" s="26" t="n">
        <f aca="false">IFERROR(INDEX(sumber_pasokan!$E:$E,MATCH(C641,sumber_pasokan!$B:$B,0)),"")</f>
        <v>0</v>
      </c>
      <c r="E641" s="27"/>
    </row>
    <row r="642" customFormat="false" ht="15" hidden="false" customHeight="false" outlineLevel="0" collapsed="false">
      <c r="A642" s="25" t="n">
        <v>46343</v>
      </c>
      <c r="B642" s="23" t="str">
        <f aca="false">IF(A642="","",IF(A642&lt;=profil!$B$9,"Realisasi","Rencana"))</f>
        <v>Rencana</v>
      </c>
      <c r="C642" s="18" t="s">
        <v>82</v>
      </c>
      <c r="D642" s="26" t="n">
        <f aca="false">IFERROR(INDEX(sumber_pasokan!$E:$E,MATCH(C642,sumber_pasokan!$B:$B,0)),"")</f>
        <v>0</v>
      </c>
      <c r="E642" s="27"/>
    </row>
    <row r="643" customFormat="false" ht="15" hidden="false" customHeight="false" outlineLevel="0" collapsed="false">
      <c r="A643" s="25" t="n">
        <v>46343</v>
      </c>
      <c r="B643" s="23" t="str">
        <f aca="false">IF(A643="","",IF(A643&lt;=profil!$B$9,"Realisasi","Rencana"))</f>
        <v>Rencana</v>
      </c>
      <c r="C643" s="18" t="s">
        <v>150</v>
      </c>
      <c r="D643" s="26" t="n">
        <f aca="false">IFERROR(INDEX(sumber_pasokan!$E:$E,MATCH(C643,sumber_pasokan!$B:$B,0)),"")</f>
        <v>0</v>
      </c>
      <c r="E643" s="27"/>
    </row>
    <row r="644" customFormat="false" ht="15" hidden="false" customHeight="false" outlineLevel="0" collapsed="false">
      <c r="A644" s="25" t="n">
        <v>46344</v>
      </c>
      <c r="B644" s="23" t="str">
        <f aca="false">IF(A644="","",IF(A644&lt;=profil!$B$9,"Realisasi","Rencana"))</f>
        <v>Rencana</v>
      </c>
      <c r="C644" s="18" t="s">
        <v>82</v>
      </c>
      <c r="D644" s="26" t="n">
        <f aca="false">IFERROR(INDEX(sumber_pasokan!$E:$E,MATCH(C644,sumber_pasokan!$B:$B,0)),"")</f>
        <v>0</v>
      </c>
      <c r="E644" s="27"/>
    </row>
    <row r="645" customFormat="false" ht="15" hidden="false" customHeight="false" outlineLevel="0" collapsed="false">
      <c r="A645" s="25" t="n">
        <v>46344</v>
      </c>
      <c r="B645" s="23" t="str">
        <f aca="false">IF(A645="","",IF(A645&lt;=profil!$B$9,"Realisasi","Rencana"))</f>
        <v>Rencana</v>
      </c>
      <c r="C645" s="18" t="s">
        <v>150</v>
      </c>
      <c r="D645" s="26" t="n">
        <f aca="false">IFERROR(INDEX(sumber_pasokan!$E:$E,MATCH(C645,sumber_pasokan!$B:$B,0)),"")</f>
        <v>0</v>
      </c>
      <c r="E645" s="27"/>
    </row>
    <row r="646" customFormat="false" ht="15" hidden="false" customHeight="false" outlineLevel="0" collapsed="false">
      <c r="A646" s="25" t="n">
        <v>46345</v>
      </c>
      <c r="B646" s="23" t="str">
        <f aca="false">IF(A646="","",IF(A646&lt;=profil!$B$9,"Realisasi","Rencana"))</f>
        <v>Rencana</v>
      </c>
      <c r="C646" s="18" t="s">
        <v>82</v>
      </c>
      <c r="D646" s="26" t="n">
        <f aca="false">IFERROR(INDEX(sumber_pasokan!$E:$E,MATCH(C646,sumber_pasokan!$B:$B,0)),"")</f>
        <v>0</v>
      </c>
      <c r="E646" s="27"/>
    </row>
    <row r="647" customFormat="false" ht="15" hidden="false" customHeight="false" outlineLevel="0" collapsed="false">
      <c r="A647" s="25" t="n">
        <v>46345</v>
      </c>
      <c r="B647" s="23" t="str">
        <f aca="false">IF(A647="","",IF(A647&lt;=profil!$B$9,"Realisasi","Rencana"))</f>
        <v>Rencana</v>
      </c>
      <c r="C647" s="18" t="s">
        <v>150</v>
      </c>
      <c r="D647" s="26" t="n">
        <f aca="false">IFERROR(INDEX(sumber_pasokan!$E:$E,MATCH(C647,sumber_pasokan!$B:$B,0)),"")</f>
        <v>0</v>
      </c>
      <c r="E647" s="27"/>
    </row>
    <row r="648" customFormat="false" ht="15" hidden="false" customHeight="false" outlineLevel="0" collapsed="false">
      <c r="A648" s="25" t="n">
        <v>46346</v>
      </c>
      <c r="B648" s="23" t="str">
        <f aca="false">IF(A648="","",IF(A648&lt;=profil!$B$9,"Realisasi","Rencana"))</f>
        <v>Rencana</v>
      </c>
      <c r="C648" s="18" t="s">
        <v>82</v>
      </c>
      <c r="D648" s="26" t="n">
        <f aca="false">IFERROR(INDEX(sumber_pasokan!$E:$E,MATCH(C648,sumber_pasokan!$B:$B,0)),"")</f>
        <v>0</v>
      </c>
      <c r="E648" s="27"/>
    </row>
    <row r="649" customFormat="false" ht="15" hidden="false" customHeight="false" outlineLevel="0" collapsed="false">
      <c r="A649" s="25" t="n">
        <v>46346</v>
      </c>
      <c r="B649" s="23" t="str">
        <f aca="false">IF(A649="","",IF(A649&lt;=profil!$B$9,"Realisasi","Rencana"))</f>
        <v>Rencana</v>
      </c>
      <c r="C649" s="18" t="s">
        <v>150</v>
      </c>
      <c r="D649" s="26" t="n">
        <f aca="false">IFERROR(INDEX(sumber_pasokan!$E:$E,MATCH(C649,sumber_pasokan!$B:$B,0)),"")</f>
        <v>0</v>
      </c>
      <c r="E649" s="27"/>
    </row>
    <row r="650" customFormat="false" ht="15" hidden="false" customHeight="false" outlineLevel="0" collapsed="false">
      <c r="A650" s="25" t="n">
        <v>46347</v>
      </c>
      <c r="B650" s="23" t="str">
        <f aca="false">IF(A650="","",IF(A650&lt;=profil!$B$9,"Realisasi","Rencana"))</f>
        <v>Rencana</v>
      </c>
      <c r="C650" s="18" t="s">
        <v>82</v>
      </c>
      <c r="D650" s="26" t="n">
        <f aca="false">IFERROR(INDEX(sumber_pasokan!$E:$E,MATCH(C650,sumber_pasokan!$B:$B,0)),"")</f>
        <v>0</v>
      </c>
      <c r="E650" s="27"/>
    </row>
    <row r="651" customFormat="false" ht="15" hidden="false" customHeight="false" outlineLevel="0" collapsed="false">
      <c r="A651" s="25" t="n">
        <v>46347</v>
      </c>
      <c r="B651" s="23" t="str">
        <f aca="false">IF(A651="","",IF(A651&lt;=profil!$B$9,"Realisasi","Rencana"))</f>
        <v>Rencana</v>
      </c>
      <c r="C651" s="18" t="s">
        <v>150</v>
      </c>
      <c r="D651" s="26" t="n">
        <f aca="false">IFERROR(INDEX(sumber_pasokan!$E:$E,MATCH(C651,sumber_pasokan!$B:$B,0)),"")</f>
        <v>0</v>
      </c>
      <c r="E651" s="27"/>
    </row>
    <row r="652" customFormat="false" ht="15" hidden="false" customHeight="false" outlineLevel="0" collapsed="false">
      <c r="A652" s="25" t="n">
        <v>46348</v>
      </c>
      <c r="B652" s="23" t="str">
        <f aca="false">IF(A652="","",IF(A652&lt;=profil!$B$9,"Realisasi","Rencana"))</f>
        <v>Rencana</v>
      </c>
      <c r="C652" s="18" t="s">
        <v>82</v>
      </c>
      <c r="D652" s="26" t="n">
        <f aca="false">IFERROR(INDEX(sumber_pasokan!$E:$E,MATCH(C652,sumber_pasokan!$B:$B,0)),"")</f>
        <v>0</v>
      </c>
      <c r="E652" s="27"/>
    </row>
    <row r="653" customFormat="false" ht="15" hidden="false" customHeight="false" outlineLevel="0" collapsed="false">
      <c r="A653" s="25" t="n">
        <v>46348</v>
      </c>
      <c r="B653" s="23" t="str">
        <f aca="false">IF(A653="","",IF(A653&lt;=profil!$B$9,"Realisasi","Rencana"))</f>
        <v>Rencana</v>
      </c>
      <c r="C653" s="18" t="s">
        <v>150</v>
      </c>
      <c r="D653" s="26" t="n">
        <f aca="false">IFERROR(INDEX(sumber_pasokan!$E:$E,MATCH(C653,sumber_pasokan!$B:$B,0)),"")</f>
        <v>0</v>
      </c>
      <c r="E653" s="27"/>
    </row>
    <row r="654" customFormat="false" ht="15" hidden="false" customHeight="false" outlineLevel="0" collapsed="false">
      <c r="A654" s="25" t="n">
        <v>46349</v>
      </c>
      <c r="B654" s="23" t="str">
        <f aca="false">IF(A654="","",IF(A654&lt;=profil!$B$9,"Realisasi","Rencana"))</f>
        <v>Rencana</v>
      </c>
      <c r="C654" s="18" t="s">
        <v>82</v>
      </c>
      <c r="D654" s="26" t="n">
        <f aca="false">IFERROR(INDEX(sumber_pasokan!$E:$E,MATCH(C654,sumber_pasokan!$B:$B,0)),"")</f>
        <v>0</v>
      </c>
      <c r="E654" s="27"/>
    </row>
    <row r="655" customFormat="false" ht="15" hidden="false" customHeight="false" outlineLevel="0" collapsed="false">
      <c r="A655" s="25" t="n">
        <v>46349</v>
      </c>
      <c r="B655" s="23" t="str">
        <f aca="false">IF(A655="","",IF(A655&lt;=profil!$B$9,"Realisasi","Rencana"))</f>
        <v>Rencana</v>
      </c>
      <c r="C655" s="18" t="s">
        <v>150</v>
      </c>
      <c r="D655" s="26" t="n">
        <f aca="false">IFERROR(INDEX(sumber_pasokan!$E:$E,MATCH(C655,sumber_pasokan!$B:$B,0)),"")</f>
        <v>0</v>
      </c>
      <c r="E655" s="27"/>
    </row>
    <row r="656" customFormat="false" ht="15" hidden="false" customHeight="false" outlineLevel="0" collapsed="false">
      <c r="A656" s="25" t="n">
        <v>46350</v>
      </c>
      <c r="B656" s="23" t="str">
        <f aca="false">IF(A656="","",IF(A656&lt;=profil!$B$9,"Realisasi","Rencana"))</f>
        <v>Rencana</v>
      </c>
      <c r="C656" s="18" t="s">
        <v>82</v>
      </c>
      <c r="D656" s="26" t="n">
        <f aca="false">IFERROR(INDEX(sumber_pasokan!$E:$E,MATCH(C656,sumber_pasokan!$B:$B,0)),"")</f>
        <v>0</v>
      </c>
      <c r="E656" s="27"/>
    </row>
    <row r="657" customFormat="false" ht="15" hidden="false" customHeight="false" outlineLevel="0" collapsed="false">
      <c r="A657" s="25" t="n">
        <v>46350</v>
      </c>
      <c r="B657" s="23" t="str">
        <f aca="false">IF(A657="","",IF(A657&lt;=profil!$B$9,"Realisasi","Rencana"))</f>
        <v>Rencana</v>
      </c>
      <c r="C657" s="18" t="s">
        <v>150</v>
      </c>
      <c r="D657" s="26" t="n">
        <f aca="false">IFERROR(INDEX(sumber_pasokan!$E:$E,MATCH(C657,sumber_pasokan!$B:$B,0)),"")</f>
        <v>0</v>
      </c>
      <c r="E657" s="27"/>
    </row>
    <row r="658" customFormat="false" ht="15" hidden="false" customHeight="false" outlineLevel="0" collapsed="false">
      <c r="A658" s="25" t="n">
        <v>46351</v>
      </c>
      <c r="B658" s="23" t="str">
        <f aca="false">IF(A658="","",IF(A658&lt;=profil!$B$9,"Realisasi","Rencana"))</f>
        <v>Rencana</v>
      </c>
      <c r="C658" s="18" t="s">
        <v>82</v>
      </c>
      <c r="D658" s="26" t="n">
        <f aca="false">IFERROR(INDEX(sumber_pasokan!$E:$E,MATCH(C658,sumber_pasokan!$B:$B,0)),"")</f>
        <v>0</v>
      </c>
      <c r="E658" s="27"/>
    </row>
    <row r="659" customFormat="false" ht="15" hidden="false" customHeight="false" outlineLevel="0" collapsed="false">
      <c r="A659" s="25" t="n">
        <v>46351</v>
      </c>
      <c r="B659" s="23" t="str">
        <f aca="false">IF(A659="","",IF(A659&lt;=profil!$B$9,"Realisasi","Rencana"))</f>
        <v>Rencana</v>
      </c>
      <c r="C659" s="18" t="s">
        <v>150</v>
      </c>
      <c r="D659" s="26" t="n">
        <f aca="false">IFERROR(INDEX(sumber_pasokan!$E:$E,MATCH(C659,sumber_pasokan!$B:$B,0)),"")</f>
        <v>0</v>
      </c>
      <c r="E659" s="27"/>
    </row>
    <row r="660" customFormat="false" ht="15" hidden="false" customHeight="false" outlineLevel="0" collapsed="false">
      <c r="A660" s="25" t="n">
        <v>46352</v>
      </c>
      <c r="B660" s="23" t="str">
        <f aca="false">IF(A660="","",IF(A660&lt;=profil!$B$9,"Realisasi","Rencana"))</f>
        <v>Rencana</v>
      </c>
      <c r="C660" s="18" t="s">
        <v>82</v>
      </c>
      <c r="D660" s="26" t="n">
        <f aca="false">IFERROR(INDEX(sumber_pasokan!$E:$E,MATCH(C660,sumber_pasokan!$B:$B,0)),"")</f>
        <v>0</v>
      </c>
      <c r="E660" s="27"/>
    </row>
    <row r="661" customFormat="false" ht="15" hidden="false" customHeight="false" outlineLevel="0" collapsed="false">
      <c r="A661" s="25" t="n">
        <v>46352</v>
      </c>
      <c r="B661" s="23" t="str">
        <f aca="false">IF(A661="","",IF(A661&lt;=profil!$B$9,"Realisasi","Rencana"))</f>
        <v>Rencana</v>
      </c>
      <c r="C661" s="18" t="s">
        <v>150</v>
      </c>
      <c r="D661" s="26" t="n">
        <f aca="false">IFERROR(INDEX(sumber_pasokan!$E:$E,MATCH(C661,sumber_pasokan!$B:$B,0)),"")</f>
        <v>0</v>
      </c>
      <c r="E661" s="27"/>
    </row>
    <row r="662" customFormat="false" ht="15" hidden="false" customHeight="false" outlineLevel="0" collapsed="false">
      <c r="A662" s="25" t="n">
        <v>46353</v>
      </c>
      <c r="B662" s="23" t="str">
        <f aca="false">IF(A662="","",IF(A662&lt;=profil!$B$9,"Realisasi","Rencana"))</f>
        <v>Rencana</v>
      </c>
      <c r="C662" s="18" t="s">
        <v>82</v>
      </c>
      <c r="D662" s="26" t="n">
        <f aca="false">IFERROR(INDEX(sumber_pasokan!$E:$E,MATCH(C662,sumber_pasokan!$B:$B,0)),"")</f>
        <v>0</v>
      </c>
      <c r="E662" s="27"/>
    </row>
    <row r="663" customFormat="false" ht="15" hidden="false" customHeight="false" outlineLevel="0" collapsed="false">
      <c r="A663" s="25" t="n">
        <v>46353</v>
      </c>
      <c r="B663" s="23" t="str">
        <f aca="false">IF(A663="","",IF(A663&lt;=profil!$B$9,"Realisasi","Rencana"))</f>
        <v>Rencana</v>
      </c>
      <c r="C663" s="18" t="s">
        <v>150</v>
      </c>
      <c r="D663" s="26" t="n">
        <f aca="false">IFERROR(INDEX(sumber_pasokan!$E:$E,MATCH(C663,sumber_pasokan!$B:$B,0)),"")</f>
        <v>0</v>
      </c>
      <c r="E663" s="27"/>
    </row>
    <row r="664" customFormat="false" ht="15" hidden="false" customHeight="false" outlineLevel="0" collapsed="false">
      <c r="A664" s="25" t="n">
        <v>46354</v>
      </c>
      <c r="B664" s="23" t="str">
        <f aca="false">IF(A664="","",IF(A664&lt;=profil!$B$9,"Realisasi","Rencana"))</f>
        <v>Rencana</v>
      </c>
      <c r="C664" s="18" t="s">
        <v>82</v>
      </c>
      <c r="D664" s="26" t="n">
        <f aca="false">IFERROR(INDEX(sumber_pasokan!$E:$E,MATCH(C664,sumber_pasokan!$B:$B,0)),"")</f>
        <v>0</v>
      </c>
      <c r="E664" s="27"/>
    </row>
    <row r="665" customFormat="false" ht="15" hidden="false" customHeight="false" outlineLevel="0" collapsed="false">
      <c r="A665" s="25" t="n">
        <v>46354</v>
      </c>
      <c r="B665" s="23" t="str">
        <f aca="false">IF(A665="","",IF(A665&lt;=profil!$B$9,"Realisasi","Rencana"))</f>
        <v>Rencana</v>
      </c>
      <c r="C665" s="18" t="s">
        <v>150</v>
      </c>
      <c r="D665" s="26" t="n">
        <f aca="false">IFERROR(INDEX(sumber_pasokan!$E:$E,MATCH(C665,sumber_pasokan!$B:$B,0)),"")</f>
        <v>0</v>
      </c>
      <c r="E665" s="27"/>
    </row>
    <row r="666" customFormat="false" ht="15" hidden="false" customHeight="false" outlineLevel="0" collapsed="false">
      <c r="A666" s="25" t="n">
        <v>46355</v>
      </c>
      <c r="B666" s="23" t="str">
        <f aca="false">IF(A666="","",IF(A666&lt;=profil!$B$9,"Realisasi","Rencana"))</f>
        <v>Rencana</v>
      </c>
      <c r="C666" s="18" t="s">
        <v>82</v>
      </c>
      <c r="D666" s="26" t="n">
        <f aca="false">IFERROR(INDEX(sumber_pasokan!$E:$E,MATCH(C666,sumber_pasokan!$B:$B,0)),"")</f>
        <v>0</v>
      </c>
      <c r="E666" s="27"/>
    </row>
    <row r="667" customFormat="false" ht="15" hidden="false" customHeight="false" outlineLevel="0" collapsed="false">
      <c r="A667" s="25" t="n">
        <v>46355</v>
      </c>
      <c r="B667" s="23" t="str">
        <f aca="false">IF(A667="","",IF(A667&lt;=profil!$B$9,"Realisasi","Rencana"))</f>
        <v>Rencana</v>
      </c>
      <c r="C667" s="18" t="s">
        <v>150</v>
      </c>
      <c r="D667" s="26" t="n">
        <f aca="false">IFERROR(INDEX(sumber_pasokan!$E:$E,MATCH(C667,sumber_pasokan!$B:$B,0)),"")</f>
        <v>0</v>
      </c>
      <c r="E667" s="27"/>
    </row>
    <row r="668" customFormat="false" ht="15" hidden="false" customHeight="false" outlineLevel="0" collapsed="false">
      <c r="A668" s="25" t="n">
        <v>46356</v>
      </c>
      <c r="B668" s="23" t="str">
        <f aca="false">IF(A668="","",IF(A668&lt;=profil!$B$9,"Realisasi","Rencana"))</f>
        <v>Rencana</v>
      </c>
      <c r="C668" s="18" t="s">
        <v>82</v>
      </c>
      <c r="D668" s="26" t="n">
        <f aca="false">IFERROR(INDEX(sumber_pasokan!$E:$E,MATCH(C668,sumber_pasokan!$B:$B,0)),"")</f>
        <v>0</v>
      </c>
      <c r="E668" s="27"/>
    </row>
    <row r="669" customFormat="false" ht="15" hidden="false" customHeight="false" outlineLevel="0" collapsed="false">
      <c r="A669" s="25" t="n">
        <v>46356</v>
      </c>
      <c r="B669" s="23" t="str">
        <f aca="false">IF(A669="","",IF(A669&lt;=profil!$B$9,"Realisasi","Rencana"))</f>
        <v>Rencana</v>
      </c>
      <c r="C669" s="18" t="s">
        <v>150</v>
      </c>
      <c r="D669" s="26" t="n">
        <f aca="false">IFERROR(INDEX(sumber_pasokan!$E:$E,MATCH(C669,sumber_pasokan!$B:$B,0)),"")</f>
        <v>0</v>
      </c>
      <c r="E669" s="27"/>
    </row>
    <row r="670" customFormat="false" ht="15" hidden="false" customHeight="false" outlineLevel="0" collapsed="false">
      <c r="A670" s="25" t="n">
        <v>46357</v>
      </c>
      <c r="B670" s="23" t="str">
        <f aca="false">IF(A670="","",IF(A670&lt;=profil!$B$9,"Realisasi","Rencana"))</f>
        <v>Rencana</v>
      </c>
      <c r="C670" s="18" t="s">
        <v>82</v>
      </c>
      <c r="D670" s="26" t="n">
        <f aca="false">IFERROR(INDEX(sumber_pasokan!$E:$E,MATCH(C670,sumber_pasokan!$B:$B,0)),"")</f>
        <v>0</v>
      </c>
      <c r="E670" s="27"/>
    </row>
    <row r="671" customFormat="false" ht="15" hidden="false" customHeight="false" outlineLevel="0" collapsed="false">
      <c r="A671" s="25" t="n">
        <v>46357</v>
      </c>
      <c r="B671" s="23" t="str">
        <f aca="false">IF(A671="","",IF(A671&lt;=profil!$B$9,"Realisasi","Rencana"))</f>
        <v>Rencana</v>
      </c>
      <c r="C671" s="18" t="s">
        <v>150</v>
      </c>
      <c r="D671" s="26" t="n">
        <f aca="false">IFERROR(INDEX(sumber_pasokan!$E:$E,MATCH(C671,sumber_pasokan!$B:$B,0)),"")</f>
        <v>0</v>
      </c>
      <c r="E671" s="27"/>
    </row>
    <row r="672" customFormat="false" ht="15" hidden="false" customHeight="false" outlineLevel="0" collapsed="false">
      <c r="A672" s="25" t="n">
        <v>46358</v>
      </c>
      <c r="B672" s="23" t="str">
        <f aca="false">IF(A672="","",IF(A672&lt;=profil!$B$9,"Realisasi","Rencana"))</f>
        <v>Rencana</v>
      </c>
      <c r="C672" s="18" t="s">
        <v>82</v>
      </c>
      <c r="D672" s="26" t="n">
        <f aca="false">IFERROR(INDEX(sumber_pasokan!$E:$E,MATCH(C672,sumber_pasokan!$B:$B,0)),"")</f>
        <v>0</v>
      </c>
      <c r="E672" s="27"/>
    </row>
    <row r="673" customFormat="false" ht="15" hidden="false" customHeight="false" outlineLevel="0" collapsed="false">
      <c r="A673" s="25" t="n">
        <v>46358</v>
      </c>
      <c r="B673" s="23" t="str">
        <f aca="false">IF(A673="","",IF(A673&lt;=profil!$B$9,"Realisasi","Rencana"))</f>
        <v>Rencana</v>
      </c>
      <c r="C673" s="18" t="s">
        <v>150</v>
      </c>
      <c r="D673" s="26" t="n">
        <f aca="false">IFERROR(INDEX(sumber_pasokan!$E:$E,MATCH(C673,sumber_pasokan!$B:$B,0)),"")</f>
        <v>0</v>
      </c>
      <c r="E673" s="27"/>
    </row>
    <row r="674" customFormat="false" ht="15" hidden="false" customHeight="false" outlineLevel="0" collapsed="false">
      <c r="A674" s="25" t="n">
        <v>46359</v>
      </c>
      <c r="B674" s="23" t="str">
        <f aca="false">IF(A674="","",IF(A674&lt;=profil!$B$9,"Realisasi","Rencana"))</f>
        <v>Rencana</v>
      </c>
      <c r="C674" s="18" t="s">
        <v>82</v>
      </c>
      <c r="D674" s="26" t="n">
        <f aca="false">IFERROR(INDEX(sumber_pasokan!$E:$E,MATCH(C674,sumber_pasokan!$B:$B,0)),"")</f>
        <v>0</v>
      </c>
      <c r="E674" s="27"/>
    </row>
    <row r="675" customFormat="false" ht="15" hidden="false" customHeight="false" outlineLevel="0" collapsed="false">
      <c r="A675" s="25" t="n">
        <v>46359</v>
      </c>
      <c r="B675" s="23" t="str">
        <f aca="false">IF(A675="","",IF(A675&lt;=profil!$B$9,"Realisasi","Rencana"))</f>
        <v>Rencana</v>
      </c>
      <c r="C675" s="18" t="s">
        <v>150</v>
      </c>
      <c r="D675" s="26" t="n">
        <f aca="false">IFERROR(INDEX(sumber_pasokan!$E:$E,MATCH(C675,sumber_pasokan!$B:$B,0)),"")</f>
        <v>0</v>
      </c>
      <c r="E675" s="27"/>
    </row>
    <row r="676" customFormat="false" ht="15" hidden="false" customHeight="false" outlineLevel="0" collapsed="false">
      <c r="A676" s="25" t="n">
        <v>46360</v>
      </c>
      <c r="B676" s="23" t="str">
        <f aca="false">IF(A676="","",IF(A676&lt;=profil!$B$9,"Realisasi","Rencana"))</f>
        <v>Rencana</v>
      </c>
      <c r="C676" s="18" t="s">
        <v>82</v>
      </c>
      <c r="D676" s="26" t="n">
        <f aca="false">IFERROR(INDEX(sumber_pasokan!$E:$E,MATCH(C676,sumber_pasokan!$B:$B,0)),"")</f>
        <v>0</v>
      </c>
      <c r="E676" s="27"/>
    </row>
    <row r="677" customFormat="false" ht="15" hidden="false" customHeight="false" outlineLevel="0" collapsed="false">
      <c r="A677" s="25" t="n">
        <v>46360</v>
      </c>
      <c r="B677" s="23" t="str">
        <f aca="false">IF(A677="","",IF(A677&lt;=profil!$B$9,"Realisasi","Rencana"))</f>
        <v>Rencana</v>
      </c>
      <c r="C677" s="18" t="s">
        <v>150</v>
      </c>
      <c r="D677" s="26" t="n">
        <f aca="false">IFERROR(INDEX(sumber_pasokan!$E:$E,MATCH(C677,sumber_pasokan!$B:$B,0)),"")</f>
        <v>0</v>
      </c>
      <c r="E677" s="27"/>
    </row>
    <row r="678" customFormat="false" ht="15" hidden="false" customHeight="false" outlineLevel="0" collapsed="false">
      <c r="A678" s="25" t="n">
        <v>46361</v>
      </c>
      <c r="B678" s="23" t="str">
        <f aca="false">IF(A678="","",IF(A678&lt;=profil!$B$9,"Realisasi","Rencana"))</f>
        <v>Rencana</v>
      </c>
      <c r="C678" s="18" t="s">
        <v>82</v>
      </c>
      <c r="D678" s="26" t="n">
        <f aca="false">IFERROR(INDEX(sumber_pasokan!$E:$E,MATCH(C678,sumber_pasokan!$B:$B,0)),"")</f>
        <v>0</v>
      </c>
      <c r="E678" s="27"/>
    </row>
    <row r="679" customFormat="false" ht="15" hidden="false" customHeight="false" outlineLevel="0" collapsed="false">
      <c r="A679" s="25" t="n">
        <v>46361</v>
      </c>
      <c r="B679" s="23" t="str">
        <f aca="false">IF(A679="","",IF(A679&lt;=profil!$B$9,"Realisasi","Rencana"))</f>
        <v>Rencana</v>
      </c>
      <c r="C679" s="18" t="s">
        <v>150</v>
      </c>
      <c r="D679" s="26" t="n">
        <f aca="false">IFERROR(INDEX(sumber_pasokan!$E:$E,MATCH(C679,sumber_pasokan!$B:$B,0)),"")</f>
        <v>0</v>
      </c>
      <c r="E679" s="27"/>
    </row>
    <row r="680" customFormat="false" ht="15" hidden="false" customHeight="false" outlineLevel="0" collapsed="false">
      <c r="A680" s="25" t="n">
        <v>46362</v>
      </c>
      <c r="B680" s="23" t="str">
        <f aca="false">IF(A680="","",IF(A680&lt;=profil!$B$9,"Realisasi","Rencana"))</f>
        <v>Rencana</v>
      </c>
      <c r="C680" s="18" t="s">
        <v>82</v>
      </c>
      <c r="D680" s="26" t="n">
        <f aca="false">IFERROR(INDEX(sumber_pasokan!$E:$E,MATCH(C680,sumber_pasokan!$B:$B,0)),"")</f>
        <v>0</v>
      </c>
      <c r="E680" s="27"/>
    </row>
    <row r="681" customFormat="false" ht="15" hidden="false" customHeight="false" outlineLevel="0" collapsed="false">
      <c r="A681" s="25" t="n">
        <v>46362</v>
      </c>
      <c r="B681" s="23" t="str">
        <f aca="false">IF(A681="","",IF(A681&lt;=profil!$B$9,"Realisasi","Rencana"))</f>
        <v>Rencana</v>
      </c>
      <c r="C681" s="18" t="s">
        <v>150</v>
      </c>
      <c r="D681" s="26" t="n">
        <f aca="false">IFERROR(INDEX(sumber_pasokan!$E:$E,MATCH(C681,sumber_pasokan!$B:$B,0)),"")</f>
        <v>0</v>
      </c>
      <c r="E681" s="27"/>
    </row>
    <row r="682" customFormat="false" ht="15" hidden="false" customHeight="false" outlineLevel="0" collapsed="false">
      <c r="A682" s="25" t="n">
        <v>46363</v>
      </c>
      <c r="B682" s="23" t="str">
        <f aca="false">IF(A682="","",IF(A682&lt;=profil!$B$9,"Realisasi","Rencana"))</f>
        <v>Rencana</v>
      </c>
      <c r="C682" s="18" t="s">
        <v>82</v>
      </c>
      <c r="D682" s="26" t="n">
        <f aca="false">IFERROR(INDEX(sumber_pasokan!$E:$E,MATCH(C682,sumber_pasokan!$B:$B,0)),"")</f>
        <v>0</v>
      </c>
      <c r="E682" s="27"/>
    </row>
    <row r="683" customFormat="false" ht="15" hidden="false" customHeight="false" outlineLevel="0" collapsed="false">
      <c r="A683" s="25" t="n">
        <v>46363</v>
      </c>
      <c r="B683" s="23" t="str">
        <f aca="false">IF(A683="","",IF(A683&lt;=profil!$B$9,"Realisasi","Rencana"))</f>
        <v>Rencana</v>
      </c>
      <c r="C683" s="18" t="s">
        <v>150</v>
      </c>
      <c r="D683" s="26" t="n">
        <f aca="false">IFERROR(INDEX(sumber_pasokan!$E:$E,MATCH(C683,sumber_pasokan!$B:$B,0)),"")</f>
        <v>0</v>
      </c>
      <c r="E683" s="27"/>
    </row>
    <row r="684" customFormat="false" ht="15" hidden="false" customHeight="false" outlineLevel="0" collapsed="false">
      <c r="A684" s="25" t="n">
        <v>46364</v>
      </c>
      <c r="B684" s="23" t="str">
        <f aca="false">IF(A684="","",IF(A684&lt;=profil!$B$9,"Realisasi","Rencana"))</f>
        <v>Rencana</v>
      </c>
      <c r="C684" s="18" t="s">
        <v>82</v>
      </c>
      <c r="D684" s="26" t="n">
        <f aca="false">IFERROR(INDEX(sumber_pasokan!$E:$E,MATCH(C684,sumber_pasokan!$B:$B,0)),"")</f>
        <v>0</v>
      </c>
      <c r="E684" s="27"/>
    </row>
    <row r="685" customFormat="false" ht="15" hidden="false" customHeight="false" outlineLevel="0" collapsed="false">
      <c r="A685" s="25" t="n">
        <v>46364</v>
      </c>
      <c r="B685" s="23" t="str">
        <f aca="false">IF(A685="","",IF(A685&lt;=profil!$B$9,"Realisasi","Rencana"))</f>
        <v>Rencana</v>
      </c>
      <c r="C685" s="18" t="s">
        <v>150</v>
      </c>
      <c r="D685" s="26" t="n">
        <f aca="false">IFERROR(INDEX(sumber_pasokan!$E:$E,MATCH(C685,sumber_pasokan!$B:$B,0)),"")</f>
        <v>0</v>
      </c>
      <c r="E685" s="27"/>
    </row>
    <row r="686" customFormat="false" ht="15" hidden="false" customHeight="false" outlineLevel="0" collapsed="false">
      <c r="A686" s="25" t="n">
        <v>46365</v>
      </c>
      <c r="B686" s="23" t="str">
        <f aca="false">IF(A686="","",IF(A686&lt;=profil!$B$9,"Realisasi","Rencana"))</f>
        <v>Rencana</v>
      </c>
      <c r="C686" s="18" t="s">
        <v>82</v>
      </c>
      <c r="D686" s="26" t="n">
        <f aca="false">IFERROR(INDEX(sumber_pasokan!$E:$E,MATCH(C686,sumber_pasokan!$B:$B,0)),"")</f>
        <v>0</v>
      </c>
      <c r="E686" s="27"/>
    </row>
    <row r="687" customFormat="false" ht="15" hidden="false" customHeight="false" outlineLevel="0" collapsed="false">
      <c r="A687" s="25" t="n">
        <v>46365</v>
      </c>
      <c r="B687" s="23" t="str">
        <f aca="false">IF(A687="","",IF(A687&lt;=profil!$B$9,"Realisasi","Rencana"))</f>
        <v>Rencana</v>
      </c>
      <c r="C687" s="18" t="s">
        <v>150</v>
      </c>
      <c r="D687" s="26" t="n">
        <f aca="false">IFERROR(INDEX(sumber_pasokan!$E:$E,MATCH(C687,sumber_pasokan!$B:$B,0)),"")</f>
        <v>0</v>
      </c>
      <c r="E687" s="27"/>
    </row>
    <row r="688" customFormat="false" ht="15" hidden="false" customHeight="false" outlineLevel="0" collapsed="false">
      <c r="A688" s="25" t="n">
        <v>46366</v>
      </c>
      <c r="B688" s="23" t="str">
        <f aca="false">IF(A688="","",IF(A688&lt;=profil!$B$9,"Realisasi","Rencana"))</f>
        <v>Rencana</v>
      </c>
      <c r="C688" s="18" t="s">
        <v>82</v>
      </c>
      <c r="D688" s="26" t="n">
        <f aca="false">IFERROR(INDEX(sumber_pasokan!$E:$E,MATCH(C688,sumber_pasokan!$B:$B,0)),"")</f>
        <v>0</v>
      </c>
      <c r="E688" s="27"/>
    </row>
    <row r="689" customFormat="false" ht="15" hidden="false" customHeight="false" outlineLevel="0" collapsed="false">
      <c r="A689" s="25" t="n">
        <v>46366</v>
      </c>
      <c r="B689" s="23" t="str">
        <f aca="false">IF(A689="","",IF(A689&lt;=profil!$B$9,"Realisasi","Rencana"))</f>
        <v>Rencana</v>
      </c>
      <c r="C689" s="18" t="s">
        <v>150</v>
      </c>
      <c r="D689" s="26" t="n">
        <f aca="false">IFERROR(INDEX(sumber_pasokan!$E:$E,MATCH(C689,sumber_pasokan!$B:$B,0)),"")</f>
        <v>0</v>
      </c>
      <c r="E689" s="27"/>
    </row>
    <row r="690" customFormat="false" ht="15" hidden="false" customHeight="false" outlineLevel="0" collapsed="false">
      <c r="A690" s="25" t="n">
        <v>46367</v>
      </c>
      <c r="B690" s="23" t="str">
        <f aca="false">IF(A690="","",IF(A690&lt;=profil!$B$9,"Realisasi","Rencana"))</f>
        <v>Rencana</v>
      </c>
      <c r="C690" s="18" t="s">
        <v>82</v>
      </c>
      <c r="D690" s="26" t="n">
        <f aca="false">IFERROR(INDEX(sumber_pasokan!$E:$E,MATCH(C690,sumber_pasokan!$B:$B,0)),"")</f>
        <v>0</v>
      </c>
      <c r="E690" s="27"/>
    </row>
    <row r="691" customFormat="false" ht="15" hidden="false" customHeight="false" outlineLevel="0" collapsed="false">
      <c r="A691" s="25" t="n">
        <v>46367</v>
      </c>
      <c r="B691" s="23" t="str">
        <f aca="false">IF(A691="","",IF(A691&lt;=profil!$B$9,"Realisasi","Rencana"))</f>
        <v>Rencana</v>
      </c>
      <c r="C691" s="18" t="s">
        <v>150</v>
      </c>
      <c r="D691" s="26" t="n">
        <f aca="false">IFERROR(INDEX(sumber_pasokan!$E:$E,MATCH(C691,sumber_pasokan!$B:$B,0)),"")</f>
        <v>0</v>
      </c>
      <c r="E691" s="27"/>
    </row>
    <row r="692" customFormat="false" ht="15" hidden="false" customHeight="false" outlineLevel="0" collapsed="false">
      <c r="A692" s="25" t="n">
        <v>46368</v>
      </c>
      <c r="B692" s="23" t="str">
        <f aca="false">IF(A692="","",IF(A692&lt;=profil!$B$9,"Realisasi","Rencana"))</f>
        <v>Rencana</v>
      </c>
      <c r="C692" s="18" t="s">
        <v>82</v>
      </c>
      <c r="D692" s="26" t="n">
        <f aca="false">IFERROR(INDEX(sumber_pasokan!$E:$E,MATCH(C692,sumber_pasokan!$B:$B,0)),"")</f>
        <v>0</v>
      </c>
      <c r="E692" s="27"/>
    </row>
    <row r="693" customFormat="false" ht="15" hidden="false" customHeight="false" outlineLevel="0" collapsed="false">
      <c r="A693" s="25" t="n">
        <v>46368</v>
      </c>
      <c r="B693" s="23" t="str">
        <f aca="false">IF(A693="","",IF(A693&lt;=profil!$B$9,"Realisasi","Rencana"))</f>
        <v>Rencana</v>
      </c>
      <c r="C693" s="18" t="s">
        <v>150</v>
      </c>
      <c r="D693" s="26" t="n">
        <f aca="false">IFERROR(INDEX(sumber_pasokan!$E:$E,MATCH(C693,sumber_pasokan!$B:$B,0)),"")</f>
        <v>0</v>
      </c>
      <c r="E693" s="27"/>
    </row>
    <row r="694" customFormat="false" ht="15" hidden="false" customHeight="false" outlineLevel="0" collapsed="false">
      <c r="A694" s="25" t="n">
        <v>46369</v>
      </c>
      <c r="B694" s="23" t="str">
        <f aca="false">IF(A694="","",IF(A694&lt;=profil!$B$9,"Realisasi","Rencana"))</f>
        <v>Rencana</v>
      </c>
      <c r="C694" s="18" t="s">
        <v>82</v>
      </c>
      <c r="D694" s="26" t="n">
        <f aca="false">IFERROR(INDEX(sumber_pasokan!$E:$E,MATCH(C694,sumber_pasokan!$B:$B,0)),"")</f>
        <v>0</v>
      </c>
      <c r="E694" s="27"/>
    </row>
    <row r="695" customFormat="false" ht="15" hidden="false" customHeight="false" outlineLevel="0" collapsed="false">
      <c r="A695" s="25" t="n">
        <v>46369</v>
      </c>
      <c r="B695" s="23" t="str">
        <f aca="false">IF(A695="","",IF(A695&lt;=profil!$B$9,"Realisasi","Rencana"))</f>
        <v>Rencana</v>
      </c>
      <c r="C695" s="18" t="s">
        <v>150</v>
      </c>
      <c r="D695" s="26" t="n">
        <f aca="false">IFERROR(INDEX(sumber_pasokan!$E:$E,MATCH(C695,sumber_pasokan!$B:$B,0)),"")</f>
        <v>0</v>
      </c>
      <c r="E695" s="27"/>
    </row>
    <row r="696" customFormat="false" ht="15" hidden="false" customHeight="false" outlineLevel="0" collapsed="false">
      <c r="A696" s="25" t="n">
        <v>46370</v>
      </c>
      <c r="B696" s="23" t="str">
        <f aca="false">IF(A696="","",IF(A696&lt;=profil!$B$9,"Realisasi","Rencana"))</f>
        <v>Rencana</v>
      </c>
      <c r="C696" s="18" t="s">
        <v>82</v>
      </c>
      <c r="D696" s="26" t="n">
        <f aca="false">IFERROR(INDEX(sumber_pasokan!$E:$E,MATCH(C696,sumber_pasokan!$B:$B,0)),"")</f>
        <v>0</v>
      </c>
      <c r="E696" s="27"/>
    </row>
    <row r="697" customFormat="false" ht="15" hidden="false" customHeight="false" outlineLevel="0" collapsed="false">
      <c r="A697" s="25" t="n">
        <v>46370</v>
      </c>
      <c r="B697" s="23" t="str">
        <f aca="false">IF(A697="","",IF(A697&lt;=profil!$B$9,"Realisasi","Rencana"))</f>
        <v>Rencana</v>
      </c>
      <c r="C697" s="18" t="s">
        <v>150</v>
      </c>
      <c r="D697" s="26" t="n">
        <f aca="false">IFERROR(INDEX(sumber_pasokan!$E:$E,MATCH(C697,sumber_pasokan!$B:$B,0)),"")</f>
        <v>0</v>
      </c>
      <c r="E697" s="27"/>
    </row>
    <row r="698" customFormat="false" ht="15" hidden="false" customHeight="false" outlineLevel="0" collapsed="false">
      <c r="A698" s="25" t="n">
        <v>46371</v>
      </c>
      <c r="B698" s="23" t="str">
        <f aca="false">IF(A698="","",IF(A698&lt;=profil!$B$9,"Realisasi","Rencana"))</f>
        <v>Rencana</v>
      </c>
      <c r="C698" s="18" t="s">
        <v>82</v>
      </c>
      <c r="D698" s="26" t="n">
        <f aca="false">IFERROR(INDEX(sumber_pasokan!$E:$E,MATCH(C698,sumber_pasokan!$B:$B,0)),"")</f>
        <v>0</v>
      </c>
      <c r="E698" s="27"/>
    </row>
    <row r="699" customFormat="false" ht="15" hidden="false" customHeight="false" outlineLevel="0" collapsed="false">
      <c r="A699" s="25" t="n">
        <v>46371</v>
      </c>
      <c r="B699" s="23" t="str">
        <f aca="false">IF(A699="","",IF(A699&lt;=profil!$B$9,"Realisasi","Rencana"))</f>
        <v>Rencana</v>
      </c>
      <c r="C699" s="18" t="s">
        <v>150</v>
      </c>
      <c r="D699" s="26" t="n">
        <f aca="false">IFERROR(INDEX(sumber_pasokan!$E:$E,MATCH(C699,sumber_pasokan!$B:$B,0)),"")</f>
        <v>0</v>
      </c>
      <c r="E699" s="27"/>
    </row>
    <row r="700" customFormat="false" ht="15" hidden="false" customHeight="false" outlineLevel="0" collapsed="false">
      <c r="A700" s="25" t="n">
        <v>46372</v>
      </c>
      <c r="B700" s="23" t="str">
        <f aca="false">IF(A700="","",IF(A700&lt;=profil!$B$9,"Realisasi","Rencana"))</f>
        <v>Rencana</v>
      </c>
      <c r="C700" s="18" t="s">
        <v>82</v>
      </c>
      <c r="D700" s="26" t="n">
        <f aca="false">IFERROR(INDEX(sumber_pasokan!$E:$E,MATCH(C700,sumber_pasokan!$B:$B,0)),"")</f>
        <v>0</v>
      </c>
      <c r="E700" s="27"/>
    </row>
    <row r="701" customFormat="false" ht="15" hidden="false" customHeight="false" outlineLevel="0" collapsed="false">
      <c r="A701" s="25" t="n">
        <v>46372</v>
      </c>
      <c r="B701" s="23" t="str">
        <f aca="false">IF(A701="","",IF(A701&lt;=profil!$B$9,"Realisasi","Rencana"))</f>
        <v>Rencana</v>
      </c>
      <c r="C701" s="18" t="s">
        <v>150</v>
      </c>
      <c r="D701" s="26" t="n">
        <f aca="false">IFERROR(INDEX(sumber_pasokan!$E:$E,MATCH(C701,sumber_pasokan!$B:$B,0)),"")</f>
        <v>0</v>
      </c>
      <c r="E701" s="27"/>
    </row>
    <row r="702" customFormat="false" ht="15" hidden="false" customHeight="false" outlineLevel="0" collapsed="false">
      <c r="A702" s="25" t="n">
        <v>46373</v>
      </c>
      <c r="B702" s="23" t="str">
        <f aca="false">IF(A702="","",IF(A702&lt;=profil!$B$9,"Realisasi","Rencana"))</f>
        <v>Rencana</v>
      </c>
      <c r="C702" s="18" t="s">
        <v>82</v>
      </c>
      <c r="D702" s="26" t="n">
        <f aca="false">IFERROR(INDEX(sumber_pasokan!$E:$E,MATCH(C702,sumber_pasokan!$B:$B,0)),"")</f>
        <v>0</v>
      </c>
      <c r="E702" s="27"/>
    </row>
    <row r="703" customFormat="false" ht="15" hidden="false" customHeight="false" outlineLevel="0" collapsed="false">
      <c r="A703" s="25" t="n">
        <v>46373</v>
      </c>
      <c r="B703" s="23" t="str">
        <f aca="false">IF(A703="","",IF(A703&lt;=profil!$B$9,"Realisasi","Rencana"))</f>
        <v>Rencana</v>
      </c>
      <c r="C703" s="18" t="s">
        <v>150</v>
      </c>
      <c r="D703" s="26" t="n">
        <f aca="false">IFERROR(INDEX(sumber_pasokan!$E:$E,MATCH(C703,sumber_pasokan!$B:$B,0)),"")</f>
        <v>0</v>
      </c>
      <c r="E703" s="27"/>
    </row>
    <row r="704" customFormat="false" ht="15" hidden="false" customHeight="false" outlineLevel="0" collapsed="false">
      <c r="A704" s="25" t="n">
        <v>46374</v>
      </c>
      <c r="B704" s="23" t="str">
        <f aca="false">IF(A704="","",IF(A704&lt;=profil!$B$9,"Realisasi","Rencana"))</f>
        <v>Rencana</v>
      </c>
      <c r="C704" s="18" t="s">
        <v>82</v>
      </c>
      <c r="D704" s="26" t="n">
        <f aca="false">IFERROR(INDEX(sumber_pasokan!$E:$E,MATCH(C704,sumber_pasokan!$B:$B,0)),"")</f>
        <v>0</v>
      </c>
      <c r="E704" s="27"/>
    </row>
    <row r="705" customFormat="false" ht="15" hidden="false" customHeight="false" outlineLevel="0" collapsed="false">
      <c r="A705" s="25" t="n">
        <v>46374</v>
      </c>
      <c r="B705" s="23" t="str">
        <f aca="false">IF(A705="","",IF(A705&lt;=profil!$B$9,"Realisasi","Rencana"))</f>
        <v>Rencana</v>
      </c>
      <c r="C705" s="18" t="s">
        <v>150</v>
      </c>
      <c r="D705" s="26" t="n">
        <f aca="false">IFERROR(INDEX(sumber_pasokan!$E:$E,MATCH(C705,sumber_pasokan!$B:$B,0)),"")</f>
        <v>0</v>
      </c>
      <c r="E705" s="27"/>
    </row>
    <row r="706" customFormat="false" ht="15" hidden="false" customHeight="false" outlineLevel="0" collapsed="false">
      <c r="A706" s="25" t="n">
        <v>46375</v>
      </c>
      <c r="B706" s="23" t="str">
        <f aca="false">IF(A706="","",IF(A706&lt;=profil!$B$9,"Realisasi","Rencana"))</f>
        <v>Rencana</v>
      </c>
      <c r="C706" s="18" t="s">
        <v>82</v>
      </c>
      <c r="D706" s="26" t="n">
        <f aca="false">IFERROR(INDEX(sumber_pasokan!$E:$E,MATCH(C706,sumber_pasokan!$B:$B,0)),"")</f>
        <v>0</v>
      </c>
      <c r="E706" s="27"/>
    </row>
    <row r="707" customFormat="false" ht="15" hidden="false" customHeight="false" outlineLevel="0" collapsed="false">
      <c r="A707" s="25" t="n">
        <v>46375</v>
      </c>
      <c r="B707" s="23" t="str">
        <f aca="false">IF(A707="","",IF(A707&lt;=profil!$B$9,"Realisasi","Rencana"))</f>
        <v>Rencana</v>
      </c>
      <c r="C707" s="18" t="s">
        <v>150</v>
      </c>
      <c r="D707" s="26" t="n">
        <f aca="false">IFERROR(INDEX(sumber_pasokan!$E:$E,MATCH(C707,sumber_pasokan!$B:$B,0)),"")</f>
        <v>0</v>
      </c>
      <c r="E707" s="27"/>
    </row>
    <row r="708" customFormat="false" ht="15" hidden="false" customHeight="false" outlineLevel="0" collapsed="false">
      <c r="A708" s="25" t="n">
        <v>46376</v>
      </c>
      <c r="B708" s="23" t="str">
        <f aca="false">IF(A708="","",IF(A708&lt;=profil!$B$9,"Realisasi","Rencana"))</f>
        <v>Rencana</v>
      </c>
      <c r="C708" s="18" t="s">
        <v>82</v>
      </c>
      <c r="D708" s="26" t="n">
        <f aca="false">IFERROR(INDEX(sumber_pasokan!$E:$E,MATCH(C708,sumber_pasokan!$B:$B,0)),"")</f>
        <v>0</v>
      </c>
      <c r="E708" s="27"/>
    </row>
    <row r="709" customFormat="false" ht="15" hidden="false" customHeight="false" outlineLevel="0" collapsed="false">
      <c r="A709" s="25" t="n">
        <v>46376</v>
      </c>
      <c r="B709" s="23" t="str">
        <f aca="false">IF(A709="","",IF(A709&lt;=profil!$B$9,"Realisasi","Rencana"))</f>
        <v>Rencana</v>
      </c>
      <c r="C709" s="18" t="s">
        <v>150</v>
      </c>
      <c r="D709" s="26" t="n">
        <f aca="false">IFERROR(INDEX(sumber_pasokan!$E:$E,MATCH(C709,sumber_pasokan!$B:$B,0)),"")</f>
        <v>0</v>
      </c>
      <c r="E709" s="27"/>
    </row>
    <row r="710" customFormat="false" ht="15" hidden="false" customHeight="false" outlineLevel="0" collapsed="false">
      <c r="A710" s="25" t="n">
        <v>46377</v>
      </c>
      <c r="B710" s="23" t="str">
        <f aca="false">IF(A710="","",IF(A710&lt;=profil!$B$9,"Realisasi","Rencana"))</f>
        <v>Rencana</v>
      </c>
      <c r="C710" s="18" t="s">
        <v>82</v>
      </c>
      <c r="D710" s="26" t="n">
        <f aca="false">IFERROR(INDEX(sumber_pasokan!$E:$E,MATCH(C710,sumber_pasokan!$B:$B,0)),"")</f>
        <v>0</v>
      </c>
      <c r="E710" s="27"/>
    </row>
    <row r="711" customFormat="false" ht="15" hidden="false" customHeight="false" outlineLevel="0" collapsed="false">
      <c r="A711" s="25" t="n">
        <v>46377</v>
      </c>
      <c r="B711" s="23" t="str">
        <f aca="false">IF(A711="","",IF(A711&lt;=profil!$B$9,"Realisasi","Rencana"))</f>
        <v>Rencana</v>
      </c>
      <c r="C711" s="18" t="s">
        <v>150</v>
      </c>
      <c r="D711" s="26" t="n">
        <f aca="false">IFERROR(INDEX(sumber_pasokan!$E:$E,MATCH(C711,sumber_pasokan!$B:$B,0)),"")</f>
        <v>0</v>
      </c>
      <c r="E711" s="27"/>
    </row>
    <row r="712" customFormat="false" ht="15" hidden="false" customHeight="false" outlineLevel="0" collapsed="false">
      <c r="A712" s="25" t="n">
        <v>46378</v>
      </c>
      <c r="B712" s="23" t="str">
        <f aca="false">IF(A712="","",IF(A712&lt;=profil!$B$9,"Realisasi","Rencana"))</f>
        <v>Rencana</v>
      </c>
      <c r="C712" s="18" t="s">
        <v>82</v>
      </c>
      <c r="D712" s="26" t="n">
        <f aca="false">IFERROR(INDEX(sumber_pasokan!$E:$E,MATCH(C712,sumber_pasokan!$B:$B,0)),"")</f>
        <v>0</v>
      </c>
      <c r="E712" s="27"/>
    </row>
    <row r="713" customFormat="false" ht="15" hidden="false" customHeight="false" outlineLevel="0" collapsed="false">
      <c r="A713" s="25" t="n">
        <v>46378</v>
      </c>
      <c r="B713" s="23" t="str">
        <f aca="false">IF(A713="","",IF(A713&lt;=profil!$B$9,"Realisasi","Rencana"))</f>
        <v>Rencana</v>
      </c>
      <c r="C713" s="18" t="s">
        <v>150</v>
      </c>
      <c r="D713" s="26" t="n">
        <f aca="false">IFERROR(INDEX(sumber_pasokan!$E:$E,MATCH(C713,sumber_pasokan!$B:$B,0)),"")</f>
        <v>0</v>
      </c>
      <c r="E713" s="27"/>
    </row>
    <row r="714" customFormat="false" ht="15" hidden="false" customHeight="false" outlineLevel="0" collapsed="false">
      <c r="A714" s="25" t="n">
        <v>46379</v>
      </c>
      <c r="B714" s="23" t="str">
        <f aca="false">IF(A714="","",IF(A714&lt;=profil!$B$9,"Realisasi","Rencana"))</f>
        <v>Rencana</v>
      </c>
      <c r="C714" s="18" t="s">
        <v>82</v>
      </c>
      <c r="D714" s="26" t="n">
        <f aca="false">IFERROR(INDEX(sumber_pasokan!$E:$E,MATCH(C714,sumber_pasokan!$B:$B,0)),"")</f>
        <v>0</v>
      </c>
      <c r="E714" s="27"/>
    </row>
    <row r="715" customFormat="false" ht="15" hidden="false" customHeight="false" outlineLevel="0" collapsed="false">
      <c r="A715" s="25" t="n">
        <v>46379</v>
      </c>
      <c r="B715" s="23" t="str">
        <f aca="false">IF(A715="","",IF(A715&lt;=profil!$B$9,"Realisasi","Rencana"))</f>
        <v>Rencana</v>
      </c>
      <c r="C715" s="18" t="s">
        <v>150</v>
      </c>
      <c r="D715" s="26" t="n">
        <f aca="false">IFERROR(INDEX(sumber_pasokan!$E:$E,MATCH(C715,sumber_pasokan!$B:$B,0)),"")</f>
        <v>0</v>
      </c>
      <c r="E715" s="27"/>
    </row>
    <row r="716" customFormat="false" ht="15" hidden="false" customHeight="false" outlineLevel="0" collapsed="false">
      <c r="A716" s="25" t="n">
        <v>46380</v>
      </c>
      <c r="B716" s="23" t="str">
        <f aca="false">IF(A716="","",IF(A716&lt;=profil!$B$9,"Realisasi","Rencana"))</f>
        <v>Rencana</v>
      </c>
      <c r="C716" s="18" t="s">
        <v>82</v>
      </c>
      <c r="D716" s="26" t="n">
        <f aca="false">IFERROR(INDEX(sumber_pasokan!$E:$E,MATCH(C716,sumber_pasokan!$B:$B,0)),"")</f>
        <v>0</v>
      </c>
      <c r="E716" s="27"/>
    </row>
    <row r="717" customFormat="false" ht="15" hidden="false" customHeight="false" outlineLevel="0" collapsed="false">
      <c r="A717" s="25" t="n">
        <v>46380</v>
      </c>
      <c r="B717" s="23" t="str">
        <f aca="false">IF(A717="","",IF(A717&lt;=profil!$B$9,"Realisasi","Rencana"))</f>
        <v>Rencana</v>
      </c>
      <c r="C717" s="18" t="s">
        <v>150</v>
      </c>
      <c r="D717" s="26" t="n">
        <f aca="false">IFERROR(INDEX(sumber_pasokan!$E:$E,MATCH(C717,sumber_pasokan!$B:$B,0)),"")</f>
        <v>0</v>
      </c>
      <c r="E717" s="27"/>
    </row>
    <row r="718" customFormat="false" ht="15" hidden="false" customHeight="false" outlineLevel="0" collapsed="false">
      <c r="A718" s="25" t="n">
        <v>46381</v>
      </c>
      <c r="B718" s="23" t="str">
        <f aca="false">IF(A718="","",IF(A718&lt;=profil!$B$9,"Realisasi","Rencana"))</f>
        <v>Rencana</v>
      </c>
      <c r="C718" s="18" t="s">
        <v>82</v>
      </c>
      <c r="D718" s="26" t="n">
        <f aca="false">IFERROR(INDEX(sumber_pasokan!$E:$E,MATCH(C718,sumber_pasokan!$B:$B,0)),"")</f>
        <v>0</v>
      </c>
      <c r="E718" s="27"/>
    </row>
    <row r="719" customFormat="false" ht="15" hidden="false" customHeight="false" outlineLevel="0" collapsed="false">
      <c r="A719" s="25" t="n">
        <v>46381</v>
      </c>
      <c r="B719" s="23" t="str">
        <f aca="false">IF(A719="","",IF(A719&lt;=profil!$B$9,"Realisasi","Rencana"))</f>
        <v>Rencana</v>
      </c>
      <c r="C719" s="18" t="s">
        <v>150</v>
      </c>
      <c r="D719" s="26" t="n">
        <f aca="false">IFERROR(INDEX(sumber_pasokan!$E:$E,MATCH(C719,sumber_pasokan!$B:$B,0)),"")</f>
        <v>0</v>
      </c>
      <c r="E719" s="27"/>
    </row>
    <row r="720" customFormat="false" ht="15" hidden="false" customHeight="false" outlineLevel="0" collapsed="false">
      <c r="A720" s="25" t="n">
        <v>46382</v>
      </c>
      <c r="B720" s="23" t="str">
        <f aca="false">IF(A720="","",IF(A720&lt;=profil!$B$9,"Realisasi","Rencana"))</f>
        <v>Rencana</v>
      </c>
      <c r="C720" s="18" t="s">
        <v>82</v>
      </c>
      <c r="D720" s="26" t="n">
        <f aca="false">IFERROR(INDEX(sumber_pasokan!$E:$E,MATCH(C720,sumber_pasokan!$B:$B,0)),"")</f>
        <v>0</v>
      </c>
      <c r="E720" s="27"/>
    </row>
    <row r="721" customFormat="false" ht="15" hidden="false" customHeight="false" outlineLevel="0" collapsed="false">
      <c r="A721" s="25" t="n">
        <v>46382</v>
      </c>
      <c r="B721" s="23" t="str">
        <f aca="false">IF(A721="","",IF(A721&lt;=profil!$B$9,"Realisasi","Rencana"))</f>
        <v>Rencana</v>
      </c>
      <c r="C721" s="18" t="s">
        <v>150</v>
      </c>
      <c r="D721" s="26" t="n">
        <f aca="false">IFERROR(INDEX(sumber_pasokan!$E:$E,MATCH(C721,sumber_pasokan!$B:$B,0)),"")</f>
        <v>0</v>
      </c>
      <c r="E721" s="27"/>
    </row>
    <row r="722" customFormat="false" ht="15" hidden="false" customHeight="false" outlineLevel="0" collapsed="false">
      <c r="A722" s="25" t="n">
        <v>46383</v>
      </c>
      <c r="B722" s="23" t="str">
        <f aca="false">IF(A722="","",IF(A722&lt;=profil!$B$9,"Realisasi","Rencana"))</f>
        <v>Rencana</v>
      </c>
      <c r="C722" s="18" t="s">
        <v>82</v>
      </c>
      <c r="D722" s="26" t="n">
        <f aca="false">IFERROR(INDEX(sumber_pasokan!$E:$E,MATCH(C722,sumber_pasokan!$B:$B,0)),"")</f>
        <v>0</v>
      </c>
      <c r="E722" s="27"/>
    </row>
    <row r="723" customFormat="false" ht="15" hidden="false" customHeight="false" outlineLevel="0" collapsed="false">
      <c r="A723" s="25" t="n">
        <v>46383</v>
      </c>
      <c r="B723" s="23" t="str">
        <f aca="false">IF(A723="","",IF(A723&lt;=profil!$B$9,"Realisasi","Rencana"))</f>
        <v>Rencana</v>
      </c>
      <c r="C723" s="18" t="s">
        <v>150</v>
      </c>
      <c r="D723" s="26" t="n">
        <f aca="false">IFERROR(INDEX(sumber_pasokan!$E:$E,MATCH(C723,sumber_pasokan!$B:$B,0)),"")</f>
        <v>0</v>
      </c>
      <c r="E723" s="27"/>
    </row>
    <row r="724" customFormat="false" ht="15" hidden="false" customHeight="false" outlineLevel="0" collapsed="false">
      <c r="A724" s="25" t="n">
        <v>46384</v>
      </c>
      <c r="B724" s="23" t="str">
        <f aca="false">IF(A724="","",IF(A724&lt;=profil!$B$9,"Realisasi","Rencana"))</f>
        <v>Rencana</v>
      </c>
      <c r="C724" s="18" t="s">
        <v>82</v>
      </c>
      <c r="D724" s="26" t="n">
        <f aca="false">IFERROR(INDEX(sumber_pasokan!$E:$E,MATCH(C724,sumber_pasokan!$B:$B,0)),"")</f>
        <v>0</v>
      </c>
      <c r="E724" s="27"/>
    </row>
    <row r="725" customFormat="false" ht="15" hidden="false" customHeight="false" outlineLevel="0" collapsed="false">
      <c r="A725" s="25" t="n">
        <v>46384</v>
      </c>
      <c r="B725" s="23" t="str">
        <f aca="false">IF(A725="","",IF(A725&lt;=profil!$B$9,"Realisasi","Rencana"))</f>
        <v>Rencana</v>
      </c>
      <c r="C725" s="18" t="s">
        <v>150</v>
      </c>
      <c r="D725" s="26" t="n">
        <f aca="false">IFERROR(INDEX(sumber_pasokan!$E:$E,MATCH(C725,sumber_pasokan!$B:$B,0)),"")</f>
        <v>0</v>
      </c>
      <c r="E725" s="27"/>
    </row>
    <row r="726" customFormat="false" ht="15" hidden="false" customHeight="false" outlineLevel="0" collapsed="false">
      <c r="A726" s="25" t="n">
        <v>46385</v>
      </c>
      <c r="B726" s="23" t="str">
        <f aca="false">IF(A726="","",IF(A726&lt;=profil!$B$9,"Realisasi","Rencana"))</f>
        <v>Rencana</v>
      </c>
      <c r="C726" s="18" t="s">
        <v>82</v>
      </c>
      <c r="D726" s="26" t="n">
        <f aca="false">IFERROR(INDEX(sumber_pasokan!$E:$E,MATCH(C726,sumber_pasokan!$B:$B,0)),"")</f>
        <v>0</v>
      </c>
      <c r="E726" s="27"/>
    </row>
    <row r="727" customFormat="false" ht="15" hidden="false" customHeight="false" outlineLevel="0" collapsed="false">
      <c r="A727" s="25" t="n">
        <v>46385</v>
      </c>
      <c r="B727" s="23" t="str">
        <f aca="false">IF(A727="","",IF(A727&lt;=profil!$B$9,"Realisasi","Rencana"))</f>
        <v>Rencana</v>
      </c>
      <c r="C727" s="18" t="s">
        <v>150</v>
      </c>
      <c r="D727" s="26" t="n">
        <f aca="false">IFERROR(INDEX(sumber_pasokan!$E:$E,MATCH(C727,sumber_pasokan!$B:$B,0)),"")</f>
        <v>0</v>
      </c>
      <c r="E727" s="27"/>
    </row>
    <row r="728" customFormat="false" ht="15" hidden="false" customHeight="false" outlineLevel="0" collapsed="false">
      <c r="A728" s="25" t="n">
        <v>46386</v>
      </c>
      <c r="B728" s="23" t="str">
        <f aca="false">IF(A728="","",IF(A728&lt;=profil!$B$9,"Realisasi","Rencana"))</f>
        <v>Rencana</v>
      </c>
      <c r="C728" s="18" t="s">
        <v>82</v>
      </c>
      <c r="D728" s="26" t="n">
        <f aca="false">IFERROR(INDEX(sumber_pasokan!$E:$E,MATCH(C728,sumber_pasokan!$B:$B,0)),"")</f>
        <v>0</v>
      </c>
      <c r="E728" s="27"/>
    </row>
    <row r="729" customFormat="false" ht="15" hidden="false" customHeight="false" outlineLevel="0" collapsed="false">
      <c r="A729" s="25" t="n">
        <v>46386</v>
      </c>
      <c r="B729" s="23" t="str">
        <f aca="false">IF(A729="","",IF(A729&lt;=profil!$B$9,"Realisasi","Rencana"))</f>
        <v>Rencana</v>
      </c>
      <c r="C729" s="18" t="s">
        <v>150</v>
      </c>
      <c r="D729" s="26" t="n">
        <f aca="false">IFERROR(INDEX(sumber_pasokan!$E:$E,MATCH(C729,sumber_pasokan!$B:$B,0)),"")</f>
        <v>0</v>
      </c>
      <c r="E729" s="27"/>
    </row>
    <row r="730" customFormat="false" ht="15" hidden="false" customHeight="false" outlineLevel="0" collapsed="false">
      <c r="A730" s="25" t="n">
        <v>46387</v>
      </c>
      <c r="B730" s="23" t="str">
        <f aca="false">IF(A730="","",IF(A730&lt;=profil!$B$9,"Realisasi","Rencana"))</f>
        <v>Rencana</v>
      </c>
      <c r="C730" s="18" t="s">
        <v>82</v>
      </c>
      <c r="D730" s="26" t="n">
        <f aca="false">IFERROR(INDEX(sumber_pasokan!$E:$E,MATCH(C730,sumber_pasokan!$B:$B,0)),"")</f>
        <v>0</v>
      </c>
      <c r="E730" s="27"/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150</v>
      </c>
      <c r="D731" s="26" t="n">
        <f aca="false">IFERROR(INDEX(sumber_pasokan!$E:$E,MATCH(C731,sumber_pasokan!$B:$B,0)),"")</f>
        <v>0</v>
      </c>
      <c r="E73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8" min="5" style="0" width="17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151</v>
      </c>
      <c r="D1" s="9" t="s">
        <v>152</v>
      </c>
      <c r="E1" s="9" t="s">
        <v>153</v>
      </c>
      <c r="F1" s="9" t="s">
        <v>154</v>
      </c>
      <c r="G1" s="9" t="s">
        <v>155</v>
      </c>
      <c r="H1" s="9" t="s">
        <v>156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26" t="n">
        <f aca="false">SUMIFS(harian_gas!$D:$D,harian_gas!$A:$A,A2)</f>
        <v>0</v>
      </c>
      <c r="D2" s="26" t="n">
        <f aca="false">SUMIFS(harian_gas!$E:$E,harian_gas!$A:$A,A2)</f>
        <v>0</v>
      </c>
      <c r="E2" s="27"/>
      <c r="F2" s="27"/>
      <c r="G2" s="27"/>
      <c r="H2" s="27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26" t="n">
        <f aca="false">SUMIFS(harian_gas!$D:$D,harian_gas!$A:$A,A3)</f>
        <v>0</v>
      </c>
      <c r="D3" s="26" t="n">
        <f aca="false">SUMIFS(harian_gas!$E:$E,harian_gas!$A:$A,A3)</f>
        <v>0</v>
      </c>
      <c r="E3" s="27"/>
      <c r="F3" s="27"/>
      <c r="G3" s="27"/>
      <c r="H3" s="27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26" t="n">
        <f aca="false">SUMIFS(harian_gas!$D:$D,harian_gas!$A:$A,A4)</f>
        <v>0</v>
      </c>
      <c r="D4" s="26" t="n">
        <f aca="false">SUMIFS(harian_gas!$E:$E,harian_gas!$A:$A,A4)</f>
        <v>0</v>
      </c>
      <c r="E4" s="27"/>
      <c r="F4" s="27"/>
      <c r="G4" s="27"/>
      <c r="H4" s="27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26" t="n">
        <f aca="false">SUMIFS(harian_gas!$D:$D,harian_gas!$A:$A,A5)</f>
        <v>0</v>
      </c>
      <c r="D5" s="26" t="n">
        <f aca="false">SUMIFS(harian_gas!$E:$E,harian_gas!$A:$A,A5)</f>
        <v>0</v>
      </c>
      <c r="E5" s="27"/>
      <c r="F5" s="27"/>
      <c r="G5" s="27"/>
      <c r="H5" s="27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26" t="n">
        <f aca="false">SUMIFS(harian_gas!$D:$D,harian_gas!$A:$A,A6)</f>
        <v>0</v>
      </c>
      <c r="D6" s="26" t="n">
        <f aca="false">SUMIFS(harian_gas!$E:$E,harian_gas!$A:$A,A6)</f>
        <v>0</v>
      </c>
      <c r="E6" s="27"/>
      <c r="F6" s="27"/>
      <c r="G6" s="27"/>
      <c r="H6" s="27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26" t="n">
        <f aca="false">SUMIFS(harian_gas!$D:$D,harian_gas!$A:$A,A7)</f>
        <v>0</v>
      </c>
      <c r="D7" s="26" t="n">
        <f aca="false">SUMIFS(harian_gas!$E:$E,harian_gas!$A:$A,A7)</f>
        <v>0</v>
      </c>
      <c r="E7" s="27"/>
      <c r="F7" s="27"/>
      <c r="G7" s="27"/>
      <c r="H7" s="27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26" t="n">
        <f aca="false">SUMIFS(harian_gas!$D:$D,harian_gas!$A:$A,A8)</f>
        <v>0</v>
      </c>
      <c r="D8" s="26" t="n">
        <f aca="false">SUMIFS(harian_gas!$E:$E,harian_gas!$A:$A,A8)</f>
        <v>0</v>
      </c>
      <c r="E8" s="27"/>
      <c r="F8" s="27"/>
      <c r="G8" s="27"/>
      <c r="H8" s="27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26" t="n">
        <f aca="false">SUMIFS(harian_gas!$D:$D,harian_gas!$A:$A,A9)</f>
        <v>0</v>
      </c>
      <c r="D9" s="26" t="n">
        <f aca="false">SUMIFS(harian_gas!$E:$E,harian_gas!$A:$A,A9)</f>
        <v>0</v>
      </c>
      <c r="E9" s="27"/>
      <c r="F9" s="27"/>
      <c r="G9" s="27"/>
      <c r="H9" s="27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26" t="n">
        <f aca="false">SUMIFS(harian_gas!$D:$D,harian_gas!$A:$A,A10)</f>
        <v>0</v>
      </c>
      <c r="D10" s="26" t="n">
        <f aca="false">SUMIFS(harian_gas!$E:$E,harian_gas!$A:$A,A10)</f>
        <v>0</v>
      </c>
      <c r="E10" s="27"/>
      <c r="F10" s="27"/>
      <c r="G10" s="27"/>
      <c r="H10" s="27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26" t="n">
        <f aca="false">SUMIFS(harian_gas!$D:$D,harian_gas!$A:$A,A11)</f>
        <v>0</v>
      </c>
      <c r="D11" s="26" t="n">
        <f aca="false">SUMIFS(harian_gas!$E:$E,harian_gas!$A:$A,A11)</f>
        <v>0</v>
      </c>
      <c r="E11" s="27"/>
      <c r="F11" s="27"/>
      <c r="G11" s="27"/>
      <c r="H11" s="27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26" t="n">
        <f aca="false">SUMIFS(harian_gas!$D:$D,harian_gas!$A:$A,A12)</f>
        <v>0</v>
      </c>
      <c r="D12" s="26" t="n">
        <f aca="false">SUMIFS(harian_gas!$E:$E,harian_gas!$A:$A,A12)</f>
        <v>0</v>
      </c>
      <c r="E12" s="27"/>
      <c r="F12" s="27"/>
      <c r="G12" s="27"/>
      <c r="H12" s="27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26" t="n">
        <f aca="false">SUMIFS(harian_gas!$D:$D,harian_gas!$A:$A,A13)</f>
        <v>0</v>
      </c>
      <c r="D13" s="26" t="n">
        <f aca="false">SUMIFS(harian_gas!$E:$E,harian_gas!$A:$A,A13)</f>
        <v>0</v>
      </c>
      <c r="E13" s="27"/>
      <c r="F13" s="27"/>
      <c r="G13" s="27"/>
      <c r="H13" s="27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26" t="n">
        <f aca="false">SUMIFS(harian_gas!$D:$D,harian_gas!$A:$A,A14)</f>
        <v>0</v>
      </c>
      <c r="D14" s="26" t="n">
        <f aca="false">SUMIFS(harian_gas!$E:$E,harian_gas!$A:$A,A14)</f>
        <v>0</v>
      </c>
      <c r="E14" s="27"/>
      <c r="F14" s="27"/>
      <c r="G14" s="27"/>
      <c r="H14" s="27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26" t="n">
        <f aca="false">SUMIFS(harian_gas!$D:$D,harian_gas!$A:$A,A15)</f>
        <v>0</v>
      </c>
      <c r="D15" s="26" t="n">
        <f aca="false">SUMIFS(harian_gas!$E:$E,harian_gas!$A:$A,A15)</f>
        <v>0</v>
      </c>
      <c r="E15" s="27"/>
      <c r="F15" s="27"/>
      <c r="G15" s="27"/>
      <c r="H15" s="27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26" t="n">
        <f aca="false">SUMIFS(harian_gas!$D:$D,harian_gas!$A:$A,A16)</f>
        <v>0</v>
      </c>
      <c r="D16" s="26" t="n">
        <f aca="false">SUMIFS(harian_gas!$E:$E,harian_gas!$A:$A,A16)</f>
        <v>0</v>
      </c>
      <c r="E16" s="27"/>
      <c r="F16" s="27"/>
      <c r="G16" s="27"/>
      <c r="H16" s="27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26" t="n">
        <f aca="false">SUMIFS(harian_gas!$D:$D,harian_gas!$A:$A,A17)</f>
        <v>0</v>
      </c>
      <c r="D17" s="26" t="n">
        <f aca="false">SUMIFS(harian_gas!$E:$E,harian_gas!$A:$A,A17)</f>
        <v>0</v>
      </c>
      <c r="E17" s="27"/>
      <c r="F17" s="27"/>
      <c r="G17" s="27"/>
      <c r="H17" s="27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26" t="n">
        <f aca="false">SUMIFS(harian_gas!$D:$D,harian_gas!$A:$A,A18)</f>
        <v>0</v>
      </c>
      <c r="D18" s="26" t="n">
        <f aca="false">SUMIFS(harian_gas!$E:$E,harian_gas!$A:$A,A18)</f>
        <v>0</v>
      </c>
      <c r="E18" s="27"/>
      <c r="F18" s="27"/>
      <c r="G18" s="27"/>
      <c r="H18" s="27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26" t="n">
        <f aca="false">SUMIFS(harian_gas!$D:$D,harian_gas!$A:$A,A19)</f>
        <v>0</v>
      </c>
      <c r="D19" s="26" t="n">
        <f aca="false">SUMIFS(harian_gas!$E:$E,harian_gas!$A:$A,A19)</f>
        <v>0</v>
      </c>
      <c r="E19" s="27"/>
      <c r="F19" s="27"/>
      <c r="G19" s="27"/>
      <c r="H19" s="27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26" t="n">
        <f aca="false">SUMIFS(harian_gas!$D:$D,harian_gas!$A:$A,A20)</f>
        <v>0</v>
      </c>
      <c r="D20" s="26" t="n">
        <f aca="false">SUMIFS(harian_gas!$E:$E,harian_gas!$A:$A,A20)</f>
        <v>0</v>
      </c>
      <c r="E20" s="27"/>
      <c r="F20" s="27"/>
      <c r="G20" s="27"/>
      <c r="H20" s="27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26" t="n">
        <f aca="false">SUMIFS(harian_gas!$D:$D,harian_gas!$A:$A,A21)</f>
        <v>0</v>
      </c>
      <c r="D21" s="26" t="n">
        <f aca="false">SUMIFS(harian_gas!$E:$E,harian_gas!$A:$A,A21)</f>
        <v>0</v>
      </c>
      <c r="E21" s="27"/>
      <c r="F21" s="27"/>
      <c r="G21" s="27"/>
      <c r="H21" s="27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26" t="n">
        <f aca="false">SUMIFS(harian_gas!$D:$D,harian_gas!$A:$A,A22)</f>
        <v>0</v>
      </c>
      <c r="D22" s="26" t="n">
        <f aca="false">SUMIFS(harian_gas!$E:$E,harian_gas!$A:$A,A22)</f>
        <v>0</v>
      </c>
      <c r="E22" s="27"/>
      <c r="F22" s="27"/>
      <c r="G22" s="27"/>
      <c r="H22" s="27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26" t="n">
        <f aca="false">SUMIFS(harian_gas!$D:$D,harian_gas!$A:$A,A23)</f>
        <v>0</v>
      </c>
      <c r="D23" s="26" t="n">
        <f aca="false">SUMIFS(harian_gas!$E:$E,harian_gas!$A:$A,A23)</f>
        <v>0</v>
      </c>
      <c r="E23" s="27"/>
      <c r="F23" s="27"/>
      <c r="G23" s="27"/>
      <c r="H23" s="27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26" t="n">
        <f aca="false">SUMIFS(harian_gas!$D:$D,harian_gas!$A:$A,A24)</f>
        <v>0</v>
      </c>
      <c r="D24" s="26" t="n">
        <f aca="false">SUMIFS(harian_gas!$E:$E,harian_gas!$A:$A,A24)</f>
        <v>0</v>
      </c>
      <c r="E24" s="27"/>
      <c r="F24" s="27"/>
      <c r="G24" s="27"/>
      <c r="H24" s="27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26" t="n">
        <f aca="false">SUMIFS(harian_gas!$D:$D,harian_gas!$A:$A,A25)</f>
        <v>0</v>
      </c>
      <c r="D25" s="26" t="n">
        <f aca="false">SUMIFS(harian_gas!$E:$E,harian_gas!$A:$A,A25)</f>
        <v>0</v>
      </c>
      <c r="E25" s="27"/>
      <c r="F25" s="27"/>
      <c r="G25" s="27"/>
      <c r="H25" s="27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26" t="n">
        <f aca="false">SUMIFS(harian_gas!$D:$D,harian_gas!$A:$A,A26)</f>
        <v>0</v>
      </c>
      <c r="D26" s="26" t="n">
        <f aca="false">SUMIFS(harian_gas!$E:$E,harian_gas!$A:$A,A26)</f>
        <v>0</v>
      </c>
      <c r="E26" s="27"/>
      <c r="F26" s="27"/>
      <c r="G26" s="27"/>
      <c r="H26" s="27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26" t="n">
        <f aca="false">SUMIFS(harian_gas!$D:$D,harian_gas!$A:$A,A27)</f>
        <v>0</v>
      </c>
      <c r="D27" s="26" t="n">
        <f aca="false">SUMIFS(harian_gas!$E:$E,harian_gas!$A:$A,A27)</f>
        <v>0</v>
      </c>
      <c r="E27" s="27"/>
      <c r="F27" s="27"/>
      <c r="G27" s="27"/>
      <c r="H27" s="27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26" t="n">
        <f aca="false">SUMIFS(harian_gas!$D:$D,harian_gas!$A:$A,A28)</f>
        <v>0</v>
      </c>
      <c r="D28" s="26" t="n">
        <f aca="false">SUMIFS(harian_gas!$E:$E,harian_gas!$A:$A,A28)</f>
        <v>0</v>
      </c>
      <c r="E28" s="27"/>
      <c r="F28" s="27"/>
      <c r="G28" s="27"/>
      <c r="H28" s="27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26" t="n">
        <f aca="false">SUMIFS(harian_gas!$D:$D,harian_gas!$A:$A,A29)</f>
        <v>0</v>
      </c>
      <c r="D29" s="26" t="n">
        <f aca="false">SUMIFS(harian_gas!$E:$E,harian_gas!$A:$A,A29)</f>
        <v>0</v>
      </c>
      <c r="E29" s="27"/>
      <c r="F29" s="27"/>
      <c r="G29" s="27"/>
      <c r="H29" s="27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26" t="n">
        <f aca="false">SUMIFS(harian_gas!$D:$D,harian_gas!$A:$A,A30)</f>
        <v>0</v>
      </c>
      <c r="D30" s="26" t="n">
        <f aca="false">SUMIFS(harian_gas!$E:$E,harian_gas!$A:$A,A30)</f>
        <v>0</v>
      </c>
      <c r="E30" s="27"/>
      <c r="F30" s="27"/>
      <c r="G30" s="27"/>
      <c r="H30" s="27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26" t="n">
        <f aca="false">SUMIFS(harian_gas!$D:$D,harian_gas!$A:$A,A31)</f>
        <v>0</v>
      </c>
      <c r="D31" s="26" t="n">
        <f aca="false">SUMIFS(harian_gas!$E:$E,harian_gas!$A:$A,A31)</f>
        <v>0</v>
      </c>
      <c r="E31" s="27"/>
      <c r="F31" s="27"/>
      <c r="G31" s="27"/>
      <c r="H31" s="27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26" t="n">
        <f aca="false">SUMIFS(harian_gas!$D:$D,harian_gas!$A:$A,A32)</f>
        <v>0</v>
      </c>
      <c r="D32" s="26" t="n">
        <f aca="false">SUMIFS(harian_gas!$E:$E,harian_gas!$A:$A,A32)</f>
        <v>0</v>
      </c>
      <c r="E32" s="27"/>
      <c r="F32" s="27"/>
      <c r="G32" s="27"/>
      <c r="H32" s="27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26" t="n">
        <f aca="false">SUMIFS(harian_gas!$D:$D,harian_gas!$A:$A,A33)</f>
        <v>0</v>
      </c>
      <c r="D33" s="26" t="n">
        <f aca="false">SUMIFS(harian_gas!$E:$E,harian_gas!$A:$A,A33)</f>
        <v>0</v>
      </c>
      <c r="E33" s="27"/>
      <c r="F33" s="27"/>
      <c r="G33" s="27"/>
      <c r="H33" s="27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26" t="n">
        <f aca="false">SUMIFS(harian_gas!$D:$D,harian_gas!$A:$A,A34)</f>
        <v>0</v>
      </c>
      <c r="D34" s="26" t="n">
        <f aca="false">SUMIFS(harian_gas!$E:$E,harian_gas!$A:$A,A34)</f>
        <v>0</v>
      </c>
      <c r="E34" s="27"/>
      <c r="F34" s="27"/>
      <c r="G34" s="27"/>
      <c r="H34" s="27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26" t="n">
        <f aca="false">SUMIFS(harian_gas!$D:$D,harian_gas!$A:$A,A35)</f>
        <v>0</v>
      </c>
      <c r="D35" s="26" t="n">
        <f aca="false">SUMIFS(harian_gas!$E:$E,harian_gas!$A:$A,A35)</f>
        <v>0</v>
      </c>
      <c r="E35" s="27"/>
      <c r="F35" s="27"/>
      <c r="G35" s="27"/>
      <c r="H35" s="27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26" t="n">
        <f aca="false">SUMIFS(harian_gas!$D:$D,harian_gas!$A:$A,A36)</f>
        <v>0</v>
      </c>
      <c r="D36" s="26" t="n">
        <f aca="false">SUMIFS(harian_gas!$E:$E,harian_gas!$A:$A,A36)</f>
        <v>0</v>
      </c>
      <c r="E36" s="27"/>
      <c r="F36" s="27"/>
      <c r="G36" s="27"/>
      <c r="H36" s="27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26" t="n">
        <f aca="false">SUMIFS(harian_gas!$D:$D,harian_gas!$A:$A,A37)</f>
        <v>0</v>
      </c>
      <c r="D37" s="26" t="n">
        <f aca="false">SUMIFS(harian_gas!$E:$E,harian_gas!$A:$A,A37)</f>
        <v>0</v>
      </c>
      <c r="E37" s="27"/>
      <c r="F37" s="27"/>
      <c r="G37" s="27"/>
      <c r="H37" s="27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26" t="n">
        <f aca="false">SUMIFS(harian_gas!$D:$D,harian_gas!$A:$A,A38)</f>
        <v>0</v>
      </c>
      <c r="D38" s="26" t="n">
        <f aca="false">SUMIFS(harian_gas!$E:$E,harian_gas!$A:$A,A38)</f>
        <v>0</v>
      </c>
      <c r="E38" s="27"/>
      <c r="F38" s="27"/>
      <c r="G38" s="27"/>
      <c r="H38" s="27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26" t="n">
        <f aca="false">SUMIFS(harian_gas!$D:$D,harian_gas!$A:$A,A39)</f>
        <v>0</v>
      </c>
      <c r="D39" s="26" t="n">
        <f aca="false">SUMIFS(harian_gas!$E:$E,harian_gas!$A:$A,A39)</f>
        <v>0</v>
      </c>
      <c r="E39" s="27"/>
      <c r="F39" s="27"/>
      <c r="G39" s="27"/>
      <c r="H39" s="27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26" t="n">
        <f aca="false">SUMIFS(harian_gas!$D:$D,harian_gas!$A:$A,A40)</f>
        <v>0</v>
      </c>
      <c r="D40" s="26" t="n">
        <f aca="false">SUMIFS(harian_gas!$E:$E,harian_gas!$A:$A,A40)</f>
        <v>0</v>
      </c>
      <c r="E40" s="27"/>
      <c r="F40" s="27"/>
      <c r="G40" s="27"/>
      <c r="H40" s="27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26" t="n">
        <f aca="false">SUMIFS(harian_gas!$D:$D,harian_gas!$A:$A,A41)</f>
        <v>0</v>
      </c>
      <c r="D41" s="26" t="n">
        <f aca="false">SUMIFS(harian_gas!$E:$E,harian_gas!$A:$A,A41)</f>
        <v>0</v>
      </c>
      <c r="E41" s="27"/>
      <c r="F41" s="27"/>
      <c r="G41" s="27"/>
      <c r="H41" s="27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26" t="n">
        <f aca="false">SUMIFS(harian_gas!$D:$D,harian_gas!$A:$A,A42)</f>
        <v>0</v>
      </c>
      <c r="D42" s="26" t="n">
        <f aca="false">SUMIFS(harian_gas!$E:$E,harian_gas!$A:$A,A42)</f>
        <v>0</v>
      </c>
      <c r="E42" s="27"/>
      <c r="F42" s="27"/>
      <c r="G42" s="27"/>
      <c r="H42" s="27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26" t="n">
        <f aca="false">SUMIFS(harian_gas!$D:$D,harian_gas!$A:$A,A43)</f>
        <v>0</v>
      </c>
      <c r="D43" s="26" t="n">
        <f aca="false">SUMIFS(harian_gas!$E:$E,harian_gas!$A:$A,A43)</f>
        <v>0</v>
      </c>
      <c r="E43" s="27"/>
      <c r="F43" s="27"/>
      <c r="G43" s="27"/>
      <c r="H43" s="27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26" t="n">
        <f aca="false">SUMIFS(harian_gas!$D:$D,harian_gas!$A:$A,A44)</f>
        <v>0</v>
      </c>
      <c r="D44" s="26" t="n">
        <f aca="false">SUMIFS(harian_gas!$E:$E,harian_gas!$A:$A,A44)</f>
        <v>0</v>
      </c>
      <c r="E44" s="27"/>
      <c r="F44" s="27"/>
      <c r="G44" s="27"/>
      <c r="H44" s="27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26" t="n">
        <f aca="false">SUMIFS(harian_gas!$D:$D,harian_gas!$A:$A,A45)</f>
        <v>0</v>
      </c>
      <c r="D45" s="26" t="n">
        <f aca="false">SUMIFS(harian_gas!$E:$E,harian_gas!$A:$A,A45)</f>
        <v>0</v>
      </c>
      <c r="E45" s="27"/>
      <c r="F45" s="27"/>
      <c r="G45" s="27"/>
      <c r="H45" s="27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26" t="n">
        <f aca="false">SUMIFS(harian_gas!$D:$D,harian_gas!$A:$A,A46)</f>
        <v>0</v>
      </c>
      <c r="D46" s="26" t="n">
        <f aca="false">SUMIFS(harian_gas!$E:$E,harian_gas!$A:$A,A46)</f>
        <v>0</v>
      </c>
      <c r="E46" s="27"/>
      <c r="F46" s="27"/>
      <c r="G46" s="27"/>
      <c r="H46" s="27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26" t="n">
        <f aca="false">SUMIFS(harian_gas!$D:$D,harian_gas!$A:$A,A47)</f>
        <v>0</v>
      </c>
      <c r="D47" s="26" t="n">
        <f aca="false">SUMIFS(harian_gas!$E:$E,harian_gas!$A:$A,A47)</f>
        <v>0</v>
      </c>
      <c r="E47" s="27"/>
      <c r="F47" s="27"/>
      <c r="G47" s="27"/>
      <c r="H47" s="27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26" t="n">
        <f aca="false">SUMIFS(harian_gas!$D:$D,harian_gas!$A:$A,A48)</f>
        <v>0</v>
      </c>
      <c r="D48" s="26" t="n">
        <f aca="false">SUMIFS(harian_gas!$E:$E,harian_gas!$A:$A,A48)</f>
        <v>0</v>
      </c>
      <c r="E48" s="27"/>
      <c r="F48" s="27"/>
      <c r="G48" s="27"/>
      <c r="H48" s="27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26" t="n">
        <f aca="false">SUMIFS(harian_gas!$D:$D,harian_gas!$A:$A,A49)</f>
        <v>0</v>
      </c>
      <c r="D49" s="26" t="n">
        <f aca="false">SUMIFS(harian_gas!$E:$E,harian_gas!$A:$A,A49)</f>
        <v>0</v>
      </c>
      <c r="E49" s="27"/>
      <c r="F49" s="27"/>
      <c r="G49" s="27"/>
      <c r="H49" s="27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26" t="n">
        <f aca="false">SUMIFS(harian_gas!$D:$D,harian_gas!$A:$A,A50)</f>
        <v>0</v>
      </c>
      <c r="D50" s="26" t="n">
        <f aca="false">SUMIFS(harian_gas!$E:$E,harian_gas!$A:$A,A50)</f>
        <v>0</v>
      </c>
      <c r="E50" s="27"/>
      <c r="F50" s="27"/>
      <c r="G50" s="27"/>
      <c r="H50" s="27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26" t="n">
        <f aca="false">SUMIFS(harian_gas!$D:$D,harian_gas!$A:$A,A51)</f>
        <v>0</v>
      </c>
      <c r="D51" s="26" t="n">
        <f aca="false">SUMIFS(harian_gas!$E:$E,harian_gas!$A:$A,A51)</f>
        <v>0</v>
      </c>
      <c r="E51" s="27"/>
      <c r="F51" s="27"/>
      <c r="G51" s="27"/>
      <c r="H51" s="27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26" t="n">
        <f aca="false">SUMIFS(harian_gas!$D:$D,harian_gas!$A:$A,A52)</f>
        <v>0</v>
      </c>
      <c r="D52" s="26" t="n">
        <f aca="false">SUMIFS(harian_gas!$E:$E,harian_gas!$A:$A,A52)</f>
        <v>0</v>
      </c>
      <c r="E52" s="27"/>
      <c r="F52" s="27"/>
      <c r="G52" s="27"/>
      <c r="H52" s="27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26" t="n">
        <f aca="false">SUMIFS(harian_gas!$D:$D,harian_gas!$A:$A,A53)</f>
        <v>0</v>
      </c>
      <c r="D53" s="26" t="n">
        <f aca="false">SUMIFS(harian_gas!$E:$E,harian_gas!$A:$A,A53)</f>
        <v>0</v>
      </c>
      <c r="E53" s="27"/>
      <c r="F53" s="27"/>
      <c r="G53" s="27"/>
      <c r="H53" s="27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26" t="n">
        <f aca="false">SUMIFS(harian_gas!$D:$D,harian_gas!$A:$A,A54)</f>
        <v>0</v>
      </c>
      <c r="D54" s="26" t="n">
        <f aca="false">SUMIFS(harian_gas!$E:$E,harian_gas!$A:$A,A54)</f>
        <v>0</v>
      </c>
      <c r="E54" s="27"/>
      <c r="F54" s="27"/>
      <c r="G54" s="27"/>
      <c r="H54" s="27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26" t="n">
        <f aca="false">SUMIFS(harian_gas!$D:$D,harian_gas!$A:$A,A55)</f>
        <v>0</v>
      </c>
      <c r="D55" s="26" t="n">
        <f aca="false">SUMIFS(harian_gas!$E:$E,harian_gas!$A:$A,A55)</f>
        <v>0</v>
      </c>
      <c r="E55" s="27"/>
      <c r="F55" s="27"/>
      <c r="G55" s="27"/>
      <c r="H55" s="27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26" t="n">
        <f aca="false">SUMIFS(harian_gas!$D:$D,harian_gas!$A:$A,A56)</f>
        <v>0</v>
      </c>
      <c r="D56" s="26" t="n">
        <f aca="false">SUMIFS(harian_gas!$E:$E,harian_gas!$A:$A,A56)</f>
        <v>0</v>
      </c>
      <c r="E56" s="27"/>
      <c r="F56" s="27"/>
      <c r="G56" s="27"/>
      <c r="H56" s="27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26" t="n">
        <f aca="false">SUMIFS(harian_gas!$D:$D,harian_gas!$A:$A,A57)</f>
        <v>0</v>
      </c>
      <c r="D57" s="26" t="n">
        <f aca="false">SUMIFS(harian_gas!$E:$E,harian_gas!$A:$A,A57)</f>
        <v>0</v>
      </c>
      <c r="E57" s="27"/>
      <c r="F57" s="27"/>
      <c r="G57" s="27"/>
      <c r="H57" s="27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26" t="n">
        <f aca="false">SUMIFS(harian_gas!$D:$D,harian_gas!$A:$A,A58)</f>
        <v>0</v>
      </c>
      <c r="D58" s="26" t="n">
        <f aca="false">SUMIFS(harian_gas!$E:$E,harian_gas!$A:$A,A58)</f>
        <v>0</v>
      </c>
      <c r="E58" s="27"/>
      <c r="F58" s="27"/>
      <c r="G58" s="27"/>
      <c r="H58" s="27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26" t="n">
        <f aca="false">SUMIFS(harian_gas!$D:$D,harian_gas!$A:$A,A59)</f>
        <v>0</v>
      </c>
      <c r="D59" s="26" t="n">
        <f aca="false">SUMIFS(harian_gas!$E:$E,harian_gas!$A:$A,A59)</f>
        <v>0</v>
      </c>
      <c r="E59" s="27"/>
      <c r="F59" s="27"/>
      <c r="G59" s="27"/>
      <c r="H59" s="27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26" t="n">
        <f aca="false">SUMIFS(harian_gas!$D:$D,harian_gas!$A:$A,A60)</f>
        <v>0</v>
      </c>
      <c r="D60" s="26" t="n">
        <f aca="false">SUMIFS(harian_gas!$E:$E,harian_gas!$A:$A,A60)</f>
        <v>0</v>
      </c>
      <c r="E60" s="27"/>
      <c r="F60" s="27"/>
      <c r="G60" s="27"/>
      <c r="H60" s="27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26" t="n">
        <f aca="false">SUMIFS(harian_gas!$D:$D,harian_gas!$A:$A,A61)</f>
        <v>0</v>
      </c>
      <c r="D61" s="26" t="n">
        <f aca="false">SUMIFS(harian_gas!$E:$E,harian_gas!$A:$A,A61)</f>
        <v>0</v>
      </c>
      <c r="E61" s="27"/>
      <c r="F61" s="27"/>
      <c r="G61" s="27"/>
      <c r="H61" s="27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26" t="n">
        <f aca="false">SUMIFS(harian_gas!$D:$D,harian_gas!$A:$A,A62)</f>
        <v>0</v>
      </c>
      <c r="D62" s="26" t="n">
        <f aca="false">SUMIFS(harian_gas!$E:$E,harian_gas!$A:$A,A62)</f>
        <v>0</v>
      </c>
      <c r="E62" s="27"/>
      <c r="F62" s="27"/>
      <c r="G62" s="27"/>
      <c r="H62" s="27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26" t="n">
        <f aca="false">SUMIFS(harian_gas!$D:$D,harian_gas!$A:$A,A63)</f>
        <v>0</v>
      </c>
      <c r="D63" s="26" t="n">
        <f aca="false">SUMIFS(harian_gas!$E:$E,harian_gas!$A:$A,A63)</f>
        <v>0</v>
      </c>
      <c r="E63" s="27"/>
      <c r="F63" s="27"/>
      <c r="G63" s="27"/>
      <c r="H63" s="27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26" t="n">
        <f aca="false">SUMIFS(harian_gas!$D:$D,harian_gas!$A:$A,A64)</f>
        <v>0</v>
      </c>
      <c r="D64" s="26" t="n">
        <f aca="false">SUMIFS(harian_gas!$E:$E,harian_gas!$A:$A,A64)</f>
        <v>0</v>
      </c>
      <c r="E64" s="27"/>
      <c r="F64" s="27"/>
      <c r="G64" s="27"/>
      <c r="H64" s="27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26" t="n">
        <f aca="false">SUMIFS(harian_gas!$D:$D,harian_gas!$A:$A,A65)</f>
        <v>0</v>
      </c>
      <c r="D65" s="26" t="n">
        <f aca="false">SUMIFS(harian_gas!$E:$E,harian_gas!$A:$A,A65)</f>
        <v>0</v>
      </c>
      <c r="E65" s="27"/>
      <c r="F65" s="27"/>
      <c r="G65" s="27"/>
      <c r="H65" s="27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26" t="n">
        <f aca="false">SUMIFS(harian_gas!$D:$D,harian_gas!$A:$A,A66)</f>
        <v>0</v>
      </c>
      <c r="D66" s="26" t="n">
        <f aca="false">SUMIFS(harian_gas!$E:$E,harian_gas!$A:$A,A66)</f>
        <v>0</v>
      </c>
      <c r="E66" s="27"/>
      <c r="F66" s="27"/>
      <c r="G66" s="27"/>
      <c r="H66" s="27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26" t="n">
        <f aca="false">SUMIFS(harian_gas!$D:$D,harian_gas!$A:$A,A67)</f>
        <v>0</v>
      </c>
      <c r="D67" s="26" t="n">
        <f aca="false">SUMIFS(harian_gas!$E:$E,harian_gas!$A:$A,A67)</f>
        <v>0</v>
      </c>
      <c r="E67" s="27"/>
      <c r="F67" s="27"/>
      <c r="G67" s="27"/>
      <c r="H67" s="27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26" t="n">
        <f aca="false">SUMIFS(harian_gas!$D:$D,harian_gas!$A:$A,A68)</f>
        <v>0</v>
      </c>
      <c r="D68" s="26" t="n">
        <f aca="false">SUMIFS(harian_gas!$E:$E,harian_gas!$A:$A,A68)</f>
        <v>0</v>
      </c>
      <c r="E68" s="27"/>
      <c r="F68" s="27"/>
      <c r="G68" s="27"/>
      <c r="H68" s="27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26" t="n">
        <f aca="false">SUMIFS(harian_gas!$D:$D,harian_gas!$A:$A,A69)</f>
        <v>0</v>
      </c>
      <c r="D69" s="26" t="n">
        <f aca="false">SUMIFS(harian_gas!$E:$E,harian_gas!$A:$A,A69)</f>
        <v>0</v>
      </c>
      <c r="E69" s="27"/>
      <c r="F69" s="27"/>
      <c r="G69" s="27"/>
      <c r="H69" s="27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26" t="n">
        <f aca="false">SUMIFS(harian_gas!$D:$D,harian_gas!$A:$A,A70)</f>
        <v>0</v>
      </c>
      <c r="D70" s="26" t="n">
        <f aca="false">SUMIFS(harian_gas!$E:$E,harian_gas!$A:$A,A70)</f>
        <v>0</v>
      </c>
      <c r="E70" s="27"/>
      <c r="F70" s="27"/>
      <c r="G70" s="27"/>
      <c r="H70" s="27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26" t="n">
        <f aca="false">SUMIFS(harian_gas!$D:$D,harian_gas!$A:$A,A71)</f>
        <v>0</v>
      </c>
      <c r="D71" s="26" t="n">
        <f aca="false">SUMIFS(harian_gas!$E:$E,harian_gas!$A:$A,A71)</f>
        <v>0</v>
      </c>
      <c r="E71" s="27"/>
      <c r="F71" s="27"/>
      <c r="G71" s="27"/>
      <c r="H71" s="27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26" t="n">
        <f aca="false">SUMIFS(harian_gas!$D:$D,harian_gas!$A:$A,A72)</f>
        <v>0</v>
      </c>
      <c r="D72" s="26" t="n">
        <f aca="false">SUMIFS(harian_gas!$E:$E,harian_gas!$A:$A,A72)</f>
        <v>0</v>
      </c>
      <c r="E72" s="27"/>
      <c r="F72" s="27"/>
      <c r="G72" s="27"/>
      <c r="H72" s="27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26" t="n">
        <f aca="false">SUMIFS(harian_gas!$D:$D,harian_gas!$A:$A,A73)</f>
        <v>0</v>
      </c>
      <c r="D73" s="26" t="n">
        <f aca="false">SUMIFS(harian_gas!$E:$E,harian_gas!$A:$A,A73)</f>
        <v>0</v>
      </c>
      <c r="E73" s="27"/>
      <c r="F73" s="27"/>
      <c r="G73" s="27"/>
      <c r="H73" s="27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26" t="n">
        <f aca="false">SUMIFS(harian_gas!$D:$D,harian_gas!$A:$A,A74)</f>
        <v>0</v>
      </c>
      <c r="D74" s="26" t="n">
        <f aca="false">SUMIFS(harian_gas!$E:$E,harian_gas!$A:$A,A74)</f>
        <v>0</v>
      </c>
      <c r="E74" s="27"/>
      <c r="F74" s="27"/>
      <c r="G74" s="27"/>
      <c r="H74" s="27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26" t="n">
        <f aca="false">SUMIFS(harian_gas!$D:$D,harian_gas!$A:$A,A75)</f>
        <v>0</v>
      </c>
      <c r="D75" s="26" t="n">
        <f aca="false">SUMIFS(harian_gas!$E:$E,harian_gas!$A:$A,A75)</f>
        <v>0</v>
      </c>
      <c r="E75" s="27"/>
      <c r="F75" s="27"/>
      <c r="G75" s="27"/>
      <c r="H75" s="27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26" t="n">
        <f aca="false">SUMIFS(harian_gas!$D:$D,harian_gas!$A:$A,A76)</f>
        <v>0</v>
      </c>
      <c r="D76" s="26" t="n">
        <f aca="false">SUMIFS(harian_gas!$E:$E,harian_gas!$A:$A,A76)</f>
        <v>0</v>
      </c>
      <c r="E76" s="27"/>
      <c r="F76" s="27"/>
      <c r="G76" s="27"/>
      <c r="H76" s="27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26" t="n">
        <f aca="false">SUMIFS(harian_gas!$D:$D,harian_gas!$A:$A,A77)</f>
        <v>0</v>
      </c>
      <c r="D77" s="26" t="n">
        <f aca="false">SUMIFS(harian_gas!$E:$E,harian_gas!$A:$A,A77)</f>
        <v>0</v>
      </c>
      <c r="E77" s="27"/>
      <c r="F77" s="27"/>
      <c r="G77" s="27"/>
      <c r="H77" s="27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26" t="n">
        <f aca="false">SUMIFS(harian_gas!$D:$D,harian_gas!$A:$A,A78)</f>
        <v>0</v>
      </c>
      <c r="D78" s="26" t="n">
        <f aca="false">SUMIFS(harian_gas!$E:$E,harian_gas!$A:$A,A78)</f>
        <v>0</v>
      </c>
      <c r="E78" s="27"/>
      <c r="F78" s="27"/>
      <c r="G78" s="27"/>
      <c r="H78" s="27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26" t="n">
        <f aca="false">SUMIFS(harian_gas!$D:$D,harian_gas!$A:$A,A79)</f>
        <v>0</v>
      </c>
      <c r="D79" s="26" t="n">
        <f aca="false">SUMIFS(harian_gas!$E:$E,harian_gas!$A:$A,A79)</f>
        <v>0</v>
      </c>
      <c r="E79" s="27"/>
      <c r="F79" s="27"/>
      <c r="G79" s="27"/>
      <c r="H79" s="27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26" t="n">
        <f aca="false">SUMIFS(harian_gas!$D:$D,harian_gas!$A:$A,A80)</f>
        <v>0</v>
      </c>
      <c r="D80" s="26" t="n">
        <f aca="false">SUMIFS(harian_gas!$E:$E,harian_gas!$A:$A,A80)</f>
        <v>0</v>
      </c>
      <c r="E80" s="27"/>
      <c r="F80" s="27"/>
      <c r="G80" s="27"/>
      <c r="H80" s="27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26" t="n">
        <f aca="false">SUMIFS(harian_gas!$D:$D,harian_gas!$A:$A,A81)</f>
        <v>0</v>
      </c>
      <c r="D81" s="26" t="n">
        <f aca="false">SUMIFS(harian_gas!$E:$E,harian_gas!$A:$A,A81)</f>
        <v>0</v>
      </c>
      <c r="E81" s="27"/>
      <c r="F81" s="27"/>
      <c r="G81" s="27"/>
      <c r="H81" s="27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26" t="n">
        <f aca="false">SUMIFS(harian_gas!$D:$D,harian_gas!$A:$A,A82)</f>
        <v>0</v>
      </c>
      <c r="D82" s="26" t="n">
        <f aca="false">SUMIFS(harian_gas!$E:$E,harian_gas!$A:$A,A82)</f>
        <v>0</v>
      </c>
      <c r="E82" s="27"/>
      <c r="F82" s="27"/>
      <c r="G82" s="27"/>
      <c r="H82" s="27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26" t="n">
        <f aca="false">SUMIFS(harian_gas!$D:$D,harian_gas!$A:$A,A83)</f>
        <v>0</v>
      </c>
      <c r="D83" s="26" t="n">
        <f aca="false">SUMIFS(harian_gas!$E:$E,harian_gas!$A:$A,A83)</f>
        <v>0</v>
      </c>
      <c r="E83" s="27"/>
      <c r="F83" s="27"/>
      <c r="G83" s="27"/>
      <c r="H83" s="27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26" t="n">
        <f aca="false">SUMIFS(harian_gas!$D:$D,harian_gas!$A:$A,A84)</f>
        <v>0</v>
      </c>
      <c r="D84" s="26" t="n">
        <f aca="false">SUMIFS(harian_gas!$E:$E,harian_gas!$A:$A,A84)</f>
        <v>0</v>
      </c>
      <c r="E84" s="27"/>
      <c r="F84" s="27"/>
      <c r="G84" s="27"/>
      <c r="H84" s="27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26" t="n">
        <f aca="false">SUMIFS(harian_gas!$D:$D,harian_gas!$A:$A,A85)</f>
        <v>0</v>
      </c>
      <c r="D85" s="26" t="n">
        <f aca="false">SUMIFS(harian_gas!$E:$E,harian_gas!$A:$A,A85)</f>
        <v>0</v>
      </c>
      <c r="E85" s="27"/>
      <c r="F85" s="27"/>
      <c r="G85" s="27"/>
      <c r="H85" s="27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26" t="n">
        <f aca="false">SUMIFS(harian_gas!$D:$D,harian_gas!$A:$A,A86)</f>
        <v>0</v>
      </c>
      <c r="D86" s="26" t="n">
        <f aca="false">SUMIFS(harian_gas!$E:$E,harian_gas!$A:$A,A86)</f>
        <v>0</v>
      </c>
      <c r="E86" s="27"/>
      <c r="F86" s="27"/>
      <c r="G86" s="27"/>
      <c r="H86" s="27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26" t="n">
        <f aca="false">SUMIFS(harian_gas!$D:$D,harian_gas!$A:$A,A87)</f>
        <v>0</v>
      </c>
      <c r="D87" s="26" t="n">
        <f aca="false">SUMIFS(harian_gas!$E:$E,harian_gas!$A:$A,A87)</f>
        <v>0</v>
      </c>
      <c r="E87" s="27"/>
      <c r="F87" s="27"/>
      <c r="G87" s="27"/>
      <c r="H87" s="27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26" t="n">
        <f aca="false">SUMIFS(harian_gas!$D:$D,harian_gas!$A:$A,A88)</f>
        <v>0</v>
      </c>
      <c r="D88" s="26" t="n">
        <f aca="false">SUMIFS(harian_gas!$E:$E,harian_gas!$A:$A,A88)</f>
        <v>0</v>
      </c>
      <c r="E88" s="27"/>
      <c r="F88" s="27"/>
      <c r="G88" s="27"/>
      <c r="H88" s="27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26" t="n">
        <f aca="false">SUMIFS(harian_gas!$D:$D,harian_gas!$A:$A,A89)</f>
        <v>0</v>
      </c>
      <c r="D89" s="26" t="n">
        <f aca="false">SUMIFS(harian_gas!$E:$E,harian_gas!$A:$A,A89)</f>
        <v>0</v>
      </c>
      <c r="E89" s="27"/>
      <c r="F89" s="27"/>
      <c r="G89" s="27"/>
      <c r="H89" s="27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26" t="n">
        <f aca="false">SUMIFS(harian_gas!$D:$D,harian_gas!$A:$A,A90)</f>
        <v>0</v>
      </c>
      <c r="D90" s="26" t="n">
        <f aca="false">SUMIFS(harian_gas!$E:$E,harian_gas!$A:$A,A90)</f>
        <v>0</v>
      </c>
      <c r="E90" s="27"/>
      <c r="F90" s="27"/>
      <c r="G90" s="27"/>
      <c r="H90" s="27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26" t="n">
        <f aca="false">SUMIFS(harian_gas!$D:$D,harian_gas!$A:$A,A91)</f>
        <v>0</v>
      </c>
      <c r="D91" s="26" t="n">
        <f aca="false">SUMIFS(harian_gas!$E:$E,harian_gas!$A:$A,A91)</f>
        <v>0</v>
      </c>
      <c r="E91" s="27"/>
      <c r="F91" s="27"/>
      <c r="G91" s="27"/>
      <c r="H91" s="27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26" t="n">
        <f aca="false">SUMIFS(harian_gas!$D:$D,harian_gas!$A:$A,A92)</f>
        <v>0</v>
      </c>
      <c r="D92" s="26" t="n">
        <f aca="false">SUMIFS(harian_gas!$E:$E,harian_gas!$A:$A,A92)</f>
        <v>0</v>
      </c>
      <c r="E92" s="27"/>
      <c r="F92" s="27"/>
      <c r="G92" s="27"/>
      <c r="H92" s="27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26" t="n">
        <f aca="false">SUMIFS(harian_gas!$D:$D,harian_gas!$A:$A,A93)</f>
        <v>0</v>
      </c>
      <c r="D93" s="26" t="n">
        <f aca="false">SUMIFS(harian_gas!$E:$E,harian_gas!$A:$A,A93)</f>
        <v>0</v>
      </c>
      <c r="E93" s="27"/>
      <c r="F93" s="27"/>
      <c r="G93" s="27"/>
      <c r="H93" s="27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26" t="n">
        <f aca="false">SUMIFS(harian_gas!$D:$D,harian_gas!$A:$A,A94)</f>
        <v>0</v>
      </c>
      <c r="D94" s="26" t="n">
        <f aca="false">SUMIFS(harian_gas!$E:$E,harian_gas!$A:$A,A94)</f>
        <v>0</v>
      </c>
      <c r="E94" s="27"/>
      <c r="F94" s="27"/>
      <c r="G94" s="27"/>
      <c r="H94" s="27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26" t="n">
        <f aca="false">SUMIFS(harian_gas!$D:$D,harian_gas!$A:$A,A95)</f>
        <v>0</v>
      </c>
      <c r="D95" s="26" t="n">
        <f aca="false">SUMIFS(harian_gas!$E:$E,harian_gas!$A:$A,A95)</f>
        <v>0</v>
      </c>
      <c r="E95" s="27"/>
      <c r="F95" s="27"/>
      <c r="G95" s="27"/>
      <c r="H95" s="27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26" t="n">
        <f aca="false">SUMIFS(harian_gas!$D:$D,harian_gas!$A:$A,A96)</f>
        <v>0</v>
      </c>
      <c r="D96" s="26" t="n">
        <f aca="false">SUMIFS(harian_gas!$E:$E,harian_gas!$A:$A,A96)</f>
        <v>0</v>
      </c>
      <c r="E96" s="27"/>
      <c r="F96" s="27"/>
      <c r="G96" s="27"/>
      <c r="H96" s="27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26" t="n">
        <f aca="false">SUMIFS(harian_gas!$D:$D,harian_gas!$A:$A,A97)</f>
        <v>0</v>
      </c>
      <c r="D97" s="26" t="n">
        <f aca="false">SUMIFS(harian_gas!$E:$E,harian_gas!$A:$A,A97)</f>
        <v>0</v>
      </c>
      <c r="E97" s="27"/>
      <c r="F97" s="27"/>
      <c r="G97" s="27"/>
      <c r="H97" s="27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26" t="n">
        <f aca="false">SUMIFS(harian_gas!$D:$D,harian_gas!$A:$A,A98)</f>
        <v>0</v>
      </c>
      <c r="D98" s="26" t="n">
        <f aca="false">SUMIFS(harian_gas!$E:$E,harian_gas!$A:$A,A98)</f>
        <v>0</v>
      </c>
      <c r="E98" s="27"/>
      <c r="F98" s="27"/>
      <c r="G98" s="27"/>
      <c r="H98" s="27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26" t="n">
        <f aca="false">SUMIFS(harian_gas!$D:$D,harian_gas!$A:$A,A99)</f>
        <v>0</v>
      </c>
      <c r="D99" s="26" t="n">
        <f aca="false">SUMIFS(harian_gas!$E:$E,harian_gas!$A:$A,A99)</f>
        <v>0</v>
      </c>
      <c r="E99" s="27"/>
      <c r="F99" s="27"/>
      <c r="G99" s="27"/>
      <c r="H99" s="27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26" t="n">
        <f aca="false">SUMIFS(harian_gas!$D:$D,harian_gas!$A:$A,A100)</f>
        <v>0</v>
      </c>
      <c r="D100" s="26" t="n">
        <f aca="false">SUMIFS(harian_gas!$E:$E,harian_gas!$A:$A,A100)</f>
        <v>0</v>
      </c>
      <c r="E100" s="27"/>
      <c r="F100" s="27"/>
      <c r="G100" s="27"/>
      <c r="H100" s="27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26" t="n">
        <f aca="false">SUMIFS(harian_gas!$D:$D,harian_gas!$A:$A,A101)</f>
        <v>0</v>
      </c>
      <c r="D101" s="26" t="n">
        <f aca="false">SUMIFS(harian_gas!$E:$E,harian_gas!$A:$A,A101)</f>
        <v>0</v>
      </c>
      <c r="E101" s="27"/>
      <c r="F101" s="27"/>
      <c r="G101" s="27"/>
      <c r="H101" s="27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26" t="n">
        <f aca="false">SUMIFS(harian_gas!$D:$D,harian_gas!$A:$A,A102)</f>
        <v>0</v>
      </c>
      <c r="D102" s="26" t="n">
        <f aca="false">SUMIFS(harian_gas!$E:$E,harian_gas!$A:$A,A102)</f>
        <v>0</v>
      </c>
      <c r="E102" s="27"/>
      <c r="F102" s="27"/>
      <c r="G102" s="27"/>
      <c r="H102" s="27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26" t="n">
        <f aca="false">SUMIFS(harian_gas!$D:$D,harian_gas!$A:$A,A103)</f>
        <v>0</v>
      </c>
      <c r="D103" s="26" t="n">
        <f aca="false">SUMIFS(harian_gas!$E:$E,harian_gas!$A:$A,A103)</f>
        <v>0</v>
      </c>
      <c r="E103" s="27"/>
      <c r="F103" s="27"/>
      <c r="G103" s="27"/>
      <c r="H103" s="27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26" t="n">
        <f aca="false">SUMIFS(harian_gas!$D:$D,harian_gas!$A:$A,A104)</f>
        <v>0</v>
      </c>
      <c r="D104" s="26" t="n">
        <f aca="false">SUMIFS(harian_gas!$E:$E,harian_gas!$A:$A,A104)</f>
        <v>0</v>
      </c>
      <c r="E104" s="27"/>
      <c r="F104" s="27"/>
      <c r="G104" s="27"/>
      <c r="H104" s="27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26" t="n">
        <f aca="false">SUMIFS(harian_gas!$D:$D,harian_gas!$A:$A,A105)</f>
        <v>0</v>
      </c>
      <c r="D105" s="26" t="n">
        <f aca="false">SUMIFS(harian_gas!$E:$E,harian_gas!$A:$A,A105)</f>
        <v>0</v>
      </c>
      <c r="E105" s="27"/>
      <c r="F105" s="27"/>
      <c r="G105" s="27"/>
      <c r="H105" s="27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26" t="n">
        <f aca="false">SUMIFS(harian_gas!$D:$D,harian_gas!$A:$A,A106)</f>
        <v>0</v>
      </c>
      <c r="D106" s="26" t="n">
        <f aca="false">SUMIFS(harian_gas!$E:$E,harian_gas!$A:$A,A106)</f>
        <v>0</v>
      </c>
      <c r="E106" s="27"/>
      <c r="F106" s="27"/>
      <c r="G106" s="27"/>
      <c r="H106" s="27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26" t="n">
        <f aca="false">SUMIFS(harian_gas!$D:$D,harian_gas!$A:$A,A107)</f>
        <v>0</v>
      </c>
      <c r="D107" s="26" t="n">
        <f aca="false">SUMIFS(harian_gas!$E:$E,harian_gas!$A:$A,A107)</f>
        <v>0</v>
      </c>
      <c r="E107" s="27"/>
      <c r="F107" s="27"/>
      <c r="G107" s="27"/>
      <c r="H107" s="27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26" t="n">
        <f aca="false">SUMIFS(harian_gas!$D:$D,harian_gas!$A:$A,A108)</f>
        <v>0</v>
      </c>
      <c r="D108" s="26" t="n">
        <f aca="false">SUMIFS(harian_gas!$E:$E,harian_gas!$A:$A,A108)</f>
        <v>0</v>
      </c>
      <c r="E108" s="27"/>
      <c r="F108" s="27"/>
      <c r="G108" s="27"/>
      <c r="H108" s="27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26" t="n">
        <f aca="false">SUMIFS(harian_gas!$D:$D,harian_gas!$A:$A,A109)</f>
        <v>0</v>
      </c>
      <c r="D109" s="26" t="n">
        <f aca="false">SUMIFS(harian_gas!$E:$E,harian_gas!$A:$A,A109)</f>
        <v>0</v>
      </c>
      <c r="E109" s="27"/>
      <c r="F109" s="27"/>
      <c r="G109" s="27"/>
      <c r="H109" s="27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26" t="n">
        <f aca="false">SUMIFS(harian_gas!$D:$D,harian_gas!$A:$A,A110)</f>
        <v>0</v>
      </c>
      <c r="D110" s="26" t="n">
        <f aca="false">SUMIFS(harian_gas!$E:$E,harian_gas!$A:$A,A110)</f>
        <v>0</v>
      </c>
      <c r="E110" s="27"/>
      <c r="F110" s="27"/>
      <c r="G110" s="27"/>
      <c r="H110" s="27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26" t="n">
        <f aca="false">SUMIFS(harian_gas!$D:$D,harian_gas!$A:$A,A111)</f>
        <v>0</v>
      </c>
      <c r="D111" s="26" t="n">
        <f aca="false">SUMIFS(harian_gas!$E:$E,harian_gas!$A:$A,A111)</f>
        <v>0</v>
      </c>
      <c r="E111" s="27"/>
      <c r="F111" s="27"/>
      <c r="G111" s="27"/>
      <c r="H111" s="27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26" t="n">
        <f aca="false">SUMIFS(harian_gas!$D:$D,harian_gas!$A:$A,A112)</f>
        <v>0</v>
      </c>
      <c r="D112" s="26" t="n">
        <f aca="false">SUMIFS(harian_gas!$E:$E,harian_gas!$A:$A,A112)</f>
        <v>0</v>
      </c>
      <c r="E112" s="27"/>
      <c r="F112" s="27"/>
      <c r="G112" s="27"/>
      <c r="H112" s="27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26" t="n">
        <f aca="false">SUMIFS(harian_gas!$D:$D,harian_gas!$A:$A,A113)</f>
        <v>0</v>
      </c>
      <c r="D113" s="26" t="n">
        <f aca="false">SUMIFS(harian_gas!$E:$E,harian_gas!$A:$A,A113)</f>
        <v>0</v>
      </c>
      <c r="E113" s="27"/>
      <c r="F113" s="27"/>
      <c r="G113" s="27"/>
      <c r="H113" s="27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26" t="n">
        <f aca="false">SUMIFS(harian_gas!$D:$D,harian_gas!$A:$A,A114)</f>
        <v>0</v>
      </c>
      <c r="D114" s="26" t="n">
        <f aca="false">SUMIFS(harian_gas!$E:$E,harian_gas!$A:$A,A114)</f>
        <v>0</v>
      </c>
      <c r="E114" s="27"/>
      <c r="F114" s="27"/>
      <c r="G114" s="27"/>
      <c r="H114" s="27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26" t="n">
        <f aca="false">SUMIFS(harian_gas!$D:$D,harian_gas!$A:$A,A115)</f>
        <v>0</v>
      </c>
      <c r="D115" s="26" t="n">
        <f aca="false">SUMIFS(harian_gas!$E:$E,harian_gas!$A:$A,A115)</f>
        <v>0</v>
      </c>
      <c r="E115" s="27"/>
      <c r="F115" s="27"/>
      <c r="G115" s="27"/>
      <c r="H115" s="27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26" t="n">
        <f aca="false">SUMIFS(harian_gas!$D:$D,harian_gas!$A:$A,A116)</f>
        <v>0</v>
      </c>
      <c r="D116" s="26" t="n">
        <f aca="false">SUMIFS(harian_gas!$E:$E,harian_gas!$A:$A,A116)</f>
        <v>0</v>
      </c>
      <c r="E116" s="27"/>
      <c r="F116" s="27"/>
      <c r="G116" s="27"/>
      <c r="H116" s="27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26" t="n">
        <f aca="false">SUMIFS(harian_gas!$D:$D,harian_gas!$A:$A,A117)</f>
        <v>0</v>
      </c>
      <c r="D117" s="26" t="n">
        <f aca="false">SUMIFS(harian_gas!$E:$E,harian_gas!$A:$A,A117)</f>
        <v>0</v>
      </c>
      <c r="E117" s="27"/>
      <c r="F117" s="27"/>
      <c r="G117" s="27"/>
      <c r="H117" s="27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26" t="n">
        <f aca="false">SUMIFS(harian_gas!$D:$D,harian_gas!$A:$A,A118)</f>
        <v>0</v>
      </c>
      <c r="D118" s="26" t="n">
        <f aca="false">SUMIFS(harian_gas!$E:$E,harian_gas!$A:$A,A118)</f>
        <v>0</v>
      </c>
      <c r="E118" s="27"/>
      <c r="F118" s="27"/>
      <c r="G118" s="27"/>
      <c r="H118" s="27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26" t="n">
        <f aca="false">SUMIFS(harian_gas!$D:$D,harian_gas!$A:$A,A119)</f>
        <v>0</v>
      </c>
      <c r="D119" s="26" t="n">
        <f aca="false">SUMIFS(harian_gas!$E:$E,harian_gas!$A:$A,A119)</f>
        <v>0</v>
      </c>
      <c r="E119" s="27"/>
      <c r="F119" s="27"/>
      <c r="G119" s="27"/>
      <c r="H119" s="27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26" t="n">
        <f aca="false">SUMIFS(harian_gas!$D:$D,harian_gas!$A:$A,A120)</f>
        <v>0</v>
      </c>
      <c r="D120" s="26" t="n">
        <f aca="false">SUMIFS(harian_gas!$E:$E,harian_gas!$A:$A,A120)</f>
        <v>0</v>
      </c>
      <c r="E120" s="27"/>
      <c r="F120" s="27"/>
      <c r="G120" s="27"/>
      <c r="H120" s="27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26" t="n">
        <f aca="false">SUMIFS(harian_gas!$D:$D,harian_gas!$A:$A,A121)</f>
        <v>0</v>
      </c>
      <c r="D121" s="26" t="n">
        <f aca="false">SUMIFS(harian_gas!$E:$E,harian_gas!$A:$A,A121)</f>
        <v>0</v>
      </c>
      <c r="E121" s="27"/>
      <c r="F121" s="27"/>
      <c r="G121" s="27"/>
      <c r="H121" s="27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26" t="n">
        <f aca="false">SUMIFS(harian_gas!$D:$D,harian_gas!$A:$A,A122)</f>
        <v>0</v>
      </c>
      <c r="D122" s="26" t="n">
        <f aca="false">SUMIFS(harian_gas!$E:$E,harian_gas!$A:$A,A122)</f>
        <v>0</v>
      </c>
      <c r="E122" s="27"/>
      <c r="F122" s="27"/>
      <c r="G122" s="27"/>
      <c r="H122" s="27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26" t="n">
        <f aca="false">SUMIFS(harian_gas!$D:$D,harian_gas!$A:$A,A123)</f>
        <v>0</v>
      </c>
      <c r="D123" s="26" t="n">
        <f aca="false">SUMIFS(harian_gas!$E:$E,harian_gas!$A:$A,A123)</f>
        <v>0</v>
      </c>
      <c r="E123" s="27"/>
      <c r="F123" s="27"/>
      <c r="G123" s="27"/>
      <c r="H123" s="27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26" t="n">
        <f aca="false">SUMIFS(harian_gas!$D:$D,harian_gas!$A:$A,A124)</f>
        <v>0</v>
      </c>
      <c r="D124" s="26" t="n">
        <f aca="false">SUMIFS(harian_gas!$E:$E,harian_gas!$A:$A,A124)</f>
        <v>0</v>
      </c>
      <c r="E124" s="27"/>
      <c r="F124" s="27"/>
      <c r="G124" s="27"/>
      <c r="H124" s="27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26" t="n">
        <f aca="false">SUMIFS(harian_gas!$D:$D,harian_gas!$A:$A,A125)</f>
        <v>0</v>
      </c>
      <c r="D125" s="26" t="n">
        <f aca="false">SUMIFS(harian_gas!$E:$E,harian_gas!$A:$A,A125)</f>
        <v>0</v>
      </c>
      <c r="E125" s="27"/>
      <c r="F125" s="27"/>
      <c r="G125" s="27"/>
      <c r="H125" s="27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26" t="n">
        <f aca="false">SUMIFS(harian_gas!$D:$D,harian_gas!$A:$A,A126)</f>
        <v>0</v>
      </c>
      <c r="D126" s="26" t="n">
        <f aca="false">SUMIFS(harian_gas!$E:$E,harian_gas!$A:$A,A126)</f>
        <v>0</v>
      </c>
      <c r="E126" s="27"/>
      <c r="F126" s="27"/>
      <c r="G126" s="27"/>
      <c r="H126" s="27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26" t="n">
        <f aca="false">SUMIFS(harian_gas!$D:$D,harian_gas!$A:$A,A127)</f>
        <v>0</v>
      </c>
      <c r="D127" s="26" t="n">
        <f aca="false">SUMIFS(harian_gas!$E:$E,harian_gas!$A:$A,A127)</f>
        <v>0</v>
      </c>
      <c r="E127" s="27"/>
      <c r="F127" s="27"/>
      <c r="G127" s="27"/>
      <c r="H127" s="27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26" t="n">
        <f aca="false">SUMIFS(harian_gas!$D:$D,harian_gas!$A:$A,A128)</f>
        <v>0</v>
      </c>
      <c r="D128" s="26" t="n">
        <f aca="false">SUMIFS(harian_gas!$E:$E,harian_gas!$A:$A,A128)</f>
        <v>0</v>
      </c>
      <c r="E128" s="27"/>
      <c r="F128" s="27"/>
      <c r="G128" s="27"/>
      <c r="H128" s="27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26" t="n">
        <f aca="false">SUMIFS(harian_gas!$D:$D,harian_gas!$A:$A,A129)</f>
        <v>0</v>
      </c>
      <c r="D129" s="26" t="n">
        <f aca="false">SUMIFS(harian_gas!$E:$E,harian_gas!$A:$A,A129)</f>
        <v>0</v>
      </c>
      <c r="E129" s="27"/>
      <c r="F129" s="27"/>
      <c r="G129" s="27"/>
      <c r="H129" s="27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26" t="n">
        <f aca="false">SUMIFS(harian_gas!$D:$D,harian_gas!$A:$A,A130)</f>
        <v>0</v>
      </c>
      <c r="D130" s="26" t="n">
        <f aca="false">SUMIFS(harian_gas!$E:$E,harian_gas!$A:$A,A130)</f>
        <v>0</v>
      </c>
      <c r="E130" s="27"/>
      <c r="F130" s="27"/>
      <c r="G130" s="27"/>
      <c r="H130" s="27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26" t="n">
        <f aca="false">SUMIFS(harian_gas!$D:$D,harian_gas!$A:$A,A131)</f>
        <v>0</v>
      </c>
      <c r="D131" s="26" t="n">
        <f aca="false">SUMIFS(harian_gas!$E:$E,harian_gas!$A:$A,A131)</f>
        <v>0</v>
      </c>
      <c r="E131" s="27"/>
      <c r="F131" s="27"/>
      <c r="G131" s="27"/>
      <c r="H131" s="27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26" t="n">
        <f aca="false">SUMIFS(harian_gas!$D:$D,harian_gas!$A:$A,A132)</f>
        <v>0</v>
      </c>
      <c r="D132" s="26" t="n">
        <f aca="false">SUMIFS(harian_gas!$E:$E,harian_gas!$A:$A,A132)</f>
        <v>0</v>
      </c>
      <c r="E132" s="27"/>
      <c r="F132" s="27"/>
      <c r="G132" s="27"/>
      <c r="H132" s="27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26" t="n">
        <f aca="false">SUMIFS(harian_gas!$D:$D,harian_gas!$A:$A,A133)</f>
        <v>0</v>
      </c>
      <c r="D133" s="26" t="n">
        <f aca="false">SUMIFS(harian_gas!$E:$E,harian_gas!$A:$A,A133)</f>
        <v>0</v>
      </c>
      <c r="E133" s="27"/>
      <c r="F133" s="27"/>
      <c r="G133" s="27"/>
      <c r="H133" s="27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26" t="n">
        <f aca="false">SUMIFS(harian_gas!$D:$D,harian_gas!$A:$A,A134)</f>
        <v>0</v>
      </c>
      <c r="D134" s="26" t="n">
        <f aca="false">SUMIFS(harian_gas!$E:$E,harian_gas!$A:$A,A134)</f>
        <v>0</v>
      </c>
      <c r="E134" s="27"/>
      <c r="F134" s="27"/>
      <c r="G134" s="27"/>
      <c r="H134" s="27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26" t="n">
        <f aca="false">SUMIFS(harian_gas!$D:$D,harian_gas!$A:$A,A135)</f>
        <v>0</v>
      </c>
      <c r="D135" s="26" t="n">
        <f aca="false">SUMIFS(harian_gas!$E:$E,harian_gas!$A:$A,A135)</f>
        <v>0</v>
      </c>
      <c r="E135" s="27"/>
      <c r="F135" s="27"/>
      <c r="G135" s="27"/>
      <c r="H135" s="27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26" t="n">
        <f aca="false">SUMIFS(harian_gas!$D:$D,harian_gas!$A:$A,A136)</f>
        <v>0</v>
      </c>
      <c r="D136" s="26" t="n">
        <f aca="false">SUMIFS(harian_gas!$E:$E,harian_gas!$A:$A,A136)</f>
        <v>0</v>
      </c>
      <c r="E136" s="27"/>
      <c r="F136" s="27"/>
      <c r="G136" s="27"/>
      <c r="H136" s="27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26" t="n">
        <f aca="false">SUMIFS(harian_gas!$D:$D,harian_gas!$A:$A,A137)</f>
        <v>0</v>
      </c>
      <c r="D137" s="26" t="n">
        <f aca="false">SUMIFS(harian_gas!$E:$E,harian_gas!$A:$A,A137)</f>
        <v>0</v>
      </c>
      <c r="E137" s="27"/>
      <c r="F137" s="27"/>
      <c r="G137" s="27"/>
      <c r="H137" s="27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26" t="n">
        <f aca="false">SUMIFS(harian_gas!$D:$D,harian_gas!$A:$A,A138)</f>
        <v>0</v>
      </c>
      <c r="D138" s="26" t="n">
        <f aca="false">SUMIFS(harian_gas!$E:$E,harian_gas!$A:$A,A138)</f>
        <v>0</v>
      </c>
      <c r="E138" s="27"/>
      <c r="F138" s="27"/>
      <c r="G138" s="27"/>
      <c r="H138" s="27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26" t="n">
        <f aca="false">SUMIFS(harian_gas!$D:$D,harian_gas!$A:$A,A139)</f>
        <v>0</v>
      </c>
      <c r="D139" s="26" t="n">
        <f aca="false">SUMIFS(harian_gas!$E:$E,harian_gas!$A:$A,A139)</f>
        <v>0</v>
      </c>
      <c r="E139" s="27"/>
      <c r="F139" s="27"/>
      <c r="G139" s="27"/>
      <c r="H139" s="27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26" t="n">
        <f aca="false">SUMIFS(harian_gas!$D:$D,harian_gas!$A:$A,A140)</f>
        <v>0</v>
      </c>
      <c r="D140" s="26" t="n">
        <f aca="false">SUMIFS(harian_gas!$E:$E,harian_gas!$A:$A,A140)</f>
        <v>0</v>
      </c>
      <c r="E140" s="27"/>
      <c r="F140" s="27"/>
      <c r="G140" s="27"/>
      <c r="H140" s="27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26" t="n">
        <f aca="false">SUMIFS(harian_gas!$D:$D,harian_gas!$A:$A,A141)</f>
        <v>0</v>
      </c>
      <c r="D141" s="26" t="n">
        <f aca="false">SUMIFS(harian_gas!$E:$E,harian_gas!$A:$A,A141)</f>
        <v>0</v>
      </c>
      <c r="E141" s="27"/>
      <c r="F141" s="27"/>
      <c r="G141" s="27"/>
      <c r="H141" s="27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26" t="n">
        <f aca="false">SUMIFS(harian_gas!$D:$D,harian_gas!$A:$A,A142)</f>
        <v>0</v>
      </c>
      <c r="D142" s="26" t="n">
        <f aca="false">SUMIFS(harian_gas!$E:$E,harian_gas!$A:$A,A142)</f>
        <v>0</v>
      </c>
      <c r="E142" s="27"/>
      <c r="F142" s="27"/>
      <c r="G142" s="27"/>
      <c r="H142" s="27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26" t="n">
        <f aca="false">SUMIFS(harian_gas!$D:$D,harian_gas!$A:$A,A143)</f>
        <v>0</v>
      </c>
      <c r="D143" s="26" t="n">
        <f aca="false">SUMIFS(harian_gas!$E:$E,harian_gas!$A:$A,A143)</f>
        <v>0</v>
      </c>
      <c r="E143" s="27"/>
      <c r="F143" s="27"/>
      <c r="G143" s="27"/>
      <c r="H143" s="27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26" t="n">
        <f aca="false">SUMIFS(harian_gas!$D:$D,harian_gas!$A:$A,A144)</f>
        <v>0</v>
      </c>
      <c r="D144" s="26" t="n">
        <f aca="false">SUMIFS(harian_gas!$E:$E,harian_gas!$A:$A,A144)</f>
        <v>0</v>
      </c>
      <c r="E144" s="27"/>
      <c r="F144" s="27"/>
      <c r="G144" s="27"/>
      <c r="H144" s="27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26" t="n">
        <f aca="false">SUMIFS(harian_gas!$D:$D,harian_gas!$A:$A,A145)</f>
        <v>0</v>
      </c>
      <c r="D145" s="26" t="n">
        <f aca="false">SUMIFS(harian_gas!$E:$E,harian_gas!$A:$A,A145)</f>
        <v>0</v>
      </c>
      <c r="E145" s="27"/>
      <c r="F145" s="27"/>
      <c r="G145" s="27"/>
      <c r="H145" s="27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26" t="n">
        <f aca="false">SUMIFS(harian_gas!$D:$D,harian_gas!$A:$A,A146)</f>
        <v>0</v>
      </c>
      <c r="D146" s="26" t="n">
        <f aca="false">SUMIFS(harian_gas!$E:$E,harian_gas!$A:$A,A146)</f>
        <v>0</v>
      </c>
      <c r="E146" s="27"/>
      <c r="F146" s="27"/>
      <c r="G146" s="27"/>
      <c r="H146" s="27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26" t="n">
        <f aca="false">SUMIFS(harian_gas!$D:$D,harian_gas!$A:$A,A147)</f>
        <v>0</v>
      </c>
      <c r="D147" s="26" t="n">
        <f aca="false">SUMIFS(harian_gas!$E:$E,harian_gas!$A:$A,A147)</f>
        <v>0</v>
      </c>
      <c r="E147" s="27"/>
      <c r="F147" s="27"/>
      <c r="G147" s="27"/>
      <c r="H147" s="27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26" t="n">
        <f aca="false">SUMIFS(harian_gas!$D:$D,harian_gas!$A:$A,A148)</f>
        <v>0</v>
      </c>
      <c r="D148" s="26" t="n">
        <f aca="false">SUMIFS(harian_gas!$E:$E,harian_gas!$A:$A,A148)</f>
        <v>0</v>
      </c>
      <c r="E148" s="27"/>
      <c r="F148" s="27"/>
      <c r="G148" s="27"/>
      <c r="H148" s="27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26" t="n">
        <f aca="false">SUMIFS(harian_gas!$D:$D,harian_gas!$A:$A,A149)</f>
        <v>0</v>
      </c>
      <c r="D149" s="26" t="n">
        <f aca="false">SUMIFS(harian_gas!$E:$E,harian_gas!$A:$A,A149)</f>
        <v>0</v>
      </c>
      <c r="E149" s="27"/>
      <c r="F149" s="27"/>
      <c r="G149" s="27"/>
      <c r="H149" s="27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26" t="n">
        <f aca="false">SUMIFS(harian_gas!$D:$D,harian_gas!$A:$A,A150)</f>
        <v>0</v>
      </c>
      <c r="D150" s="26" t="n">
        <f aca="false">SUMIFS(harian_gas!$E:$E,harian_gas!$A:$A,A150)</f>
        <v>0</v>
      </c>
      <c r="E150" s="27"/>
      <c r="F150" s="27"/>
      <c r="G150" s="27"/>
      <c r="H150" s="27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26" t="n">
        <f aca="false">SUMIFS(harian_gas!$D:$D,harian_gas!$A:$A,A151)</f>
        <v>0</v>
      </c>
      <c r="D151" s="26" t="n">
        <f aca="false">SUMIFS(harian_gas!$E:$E,harian_gas!$A:$A,A151)</f>
        <v>0</v>
      </c>
      <c r="E151" s="27"/>
      <c r="F151" s="27"/>
      <c r="G151" s="27"/>
      <c r="H151" s="27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26" t="n">
        <f aca="false">SUMIFS(harian_gas!$D:$D,harian_gas!$A:$A,A152)</f>
        <v>0</v>
      </c>
      <c r="D152" s="26" t="n">
        <f aca="false">SUMIFS(harian_gas!$E:$E,harian_gas!$A:$A,A152)</f>
        <v>0</v>
      </c>
      <c r="E152" s="27"/>
      <c r="F152" s="27"/>
      <c r="G152" s="27"/>
      <c r="H152" s="27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26" t="n">
        <f aca="false">SUMIFS(harian_gas!$D:$D,harian_gas!$A:$A,A153)</f>
        <v>0</v>
      </c>
      <c r="D153" s="26" t="n">
        <f aca="false">SUMIFS(harian_gas!$E:$E,harian_gas!$A:$A,A153)</f>
        <v>0</v>
      </c>
      <c r="E153" s="27"/>
      <c r="F153" s="27"/>
      <c r="G153" s="27"/>
      <c r="H153" s="27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26" t="n">
        <f aca="false">SUMIFS(harian_gas!$D:$D,harian_gas!$A:$A,A154)</f>
        <v>0</v>
      </c>
      <c r="D154" s="26" t="n">
        <f aca="false">SUMIFS(harian_gas!$E:$E,harian_gas!$A:$A,A154)</f>
        <v>0</v>
      </c>
      <c r="E154" s="27"/>
      <c r="F154" s="27"/>
      <c r="G154" s="27"/>
      <c r="H154" s="27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26" t="n">
        <f aca="false">SUMIFS(harian_gas!$D:$D,harian_gas!$A:$A,A155)</f>
        <v>0</v>
      </c>
      <c r="D155" s="26" t="n">
        <f aca="false">SUMIFS(harian_gas!$E:$E,harian_gas!$A:$A,A155)</f>
        <v>0</v>
      </c>
      <c r="E155" s="27"/>
      <c r="F155" s="27"/>
      <c r="G155" s="27"/>
      <c r="H155" s="27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26" t="n">
        <f aca="false">SUMIFS(harian_gas!$D:$D,harian_gas!$A:$A,A156)</f>
        <v>0</v>
      </c>
      <c r="D156" s="26" t="n">
        <f aca="false">SUMIFS(harian_gas!$E:$E,harian_gas!$A:$A,A156)</f>
        <v>0</v>
      </c>
      <c r="E156" s="27"/>
      <c r="F156" s="27"/>
      <c r="G156" s="27"/>
      <c r="H156" s="27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26" t="n">
        <f aca="false">SUMIFS(harian_gas!$D:$D,harian_gas!$A:$A,A157)</f>
        <v>0</v>
      </c>
      <c r="D157" s="26" t="n">
        <f aca="false">SUMIFS(harian_gas!$E:$E,harian_gas!$A:$A,A157)</f>
        <v>0</v>
      </c>
      <c r="E157" s="27"/>
      <c r="F157" s="27"/>
      <c r="G157" s="27"/>
      <c r="H157" s="27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26" t="n">
        <f aca="false">SUMIFS(harian_gas!$D:$D,harian_gas!$A:$A,A158)</f>
        <v>0</v>
      </c>
      <c r="D158" s="26" t="n">
        <f aca="false">SUMIFS(harian_gas!$E:$E,harian_gas!$A:$A,A158)</f>
        <v>0</v>
      </c>
      <c r="E158" s="27"/>
      <c r="F158" s="27"/>
      <c r="G158" s="27"/>
      <c r="H158" s="27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26" t="n">
        <f aca="false">SUMIFS(harian_gas!$D:$D,harian_gas!$A:$A,A159)</f>
        <v>0</v>
      </c>
      <c r="D159" s="26" t="n">
        <f aca="false">SUMIFS(harian_gas!$E:$E,harian_gas!$A:$A,A159)</f>
        <v>0</v>
      </c>
      <c r="E159" s="27"/>
      <c r="F159" s="27"/>
      <c r="G159" s="27"/>
      <c r="H159" s="27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26" t="n">
        <f aca="false">SUMIFS(harian_gas!$D:$D,harian_gas!$A:$A,A160)</f>
        <v>0</v>
      </c>
      <c r="D160" s="26" t="n">
        <f aca="false">SUMIFS(harian_gas!$E:$E,harian_gas!$A:$A,A160)</f>
        <v>0</v>
      </c>
      <c r="E160" s="27"/>
      <c r="F160" s="27"/>
      <c r="G160" s="27"/>
      <c r="H160" s="27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26" t="n">
        <f aca="false">SUMIFS(harian_gas!$D:$D,harian_gas!$A:$A,A161)</f>
        <v>0</v>
      </c>
      <c r="D161" s="26" t="n">
        <f aca="false">SUMIFS(harian_gas!$E:$E,harian_gas!$A:$A,A161)</f>
        <v>0</v>
      </c>
      <c r="E161" s="27"/>
      <c r="F161" s="27"/>
      <c r="G161" s="27"/>
      <c r="H161" s="27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26" t="n">
        <f aca="false">SUMIFS(harian_gas!$D:$D,harian_gas!$A:$A,A162)</f>
        <v>0</v>
      </c>
      <c r="D162" s="26" t="n">
        <f aca="false">SUMIFS(harian_gas!$E:$E,harian_gas!$A:$A,A162)</f>
        <v>0</v>
      </c>
      <c r="E162" s="27"/>
      <c r="F162" s="27"/>
      <c r="G162" s="27"/>
      <c r="H162" s="27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26" t="n">
        <f aca="false">SUMIFS(harian_gas!$D:$D,harian_gas!$A:$A,A163)</f>
        <v>0</v>
      </c>
      <c r="D163" s="26" t="n">
        <f aca="false">SUMIFS(harian_gas!$E:$E,harian_gas!$A:$A,A163)</f>
        <v>0</v>
      </c>
      <c r="E163" s="27"/>
      <c r="F163" s="27"/>
      <c r="G163" s="27"/>
      <c r="H163" s="27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26" t="n">
        <f aca="false">SUMIFS(harian_gas!$D:$D,harian_gas!$A:$A,A164)</f>
        <v>0</v>
      </c>
      <c r="D164" s="26" t="n">
        <f aca="false">SUMIFS(harian_gas!$E:$E,harian_gas!$A:$A,A164)</f>
        <v>0</v>
      </c>
      <c r="E164" s="27"/>
      <c r="F164" s="27"/>
      <c r="G164" s="27"/>
      <c r="H164" s="27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26" t="n">
        <f aca="false">SUMIFS(harian_gas!$D:$D,harian_gas!$A:$A,A165)</f>
        <v>0</v>
      </c>
      <c r="D165" s="26" t="n">
        <f aca="false">SUMIFS(harian_gas!$E:$E,harian_gas!$A:$A,A165)</f>
        <v>0</v>
      </c>
      <c r="E165" s="27"/>
      <c r="F165" s="27"/>
      <c r="G165" s="27"/>
      <c r="H165" s="27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26" t="n">
        <f aca="false">SUMIFS(harian_gas!$D:$D,harian_gas!$A:$A,A166)</f>
        <v>0</v>
      </c>
      <c r="D166" s="26" t="n">
        <f aca="false">SUMIFS(harian_gas!$E:$E,harian_gas!$A:$A,A166)</f>
        <v>0</v>
      </c>
      <c r="E166" s="27"/>
      <c r="F166" s="27"/>
      <c r="G166" s="27"/>
      <c r="H166" s="27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26" t="n">
        <f aca="false">SUMIFS(harian_gas!$D:$D,harian_gas!$A:$A,A167)</f>
        <v>0</v>
      </c>
      <c r="D167" s="26" t="n">
        <f aca="false">SUMIFS(harian_gas!$E:$E,harian_gas!$A:$A,A167)</f>
        <v>0</v>
      </c>
      <c r="E167" s="27"/>
      <c r="F167" s="27"/>
      <c r="G167" s="27"/>
      <c r="H167" s="27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26" t="n">
        <f aca="false">SUMIFS(harian_gas!$D:$D,harian_gas!$A:$A,A168)</f>
        <v>0</v>
      </c>
      <c r="D168" s="26" t="n">
        <f aca="false">SUMIFS(harian_gas!$E:$E,harian_gas!$A:$A,A168)</f>
        <v>0</v>
      </c>
      <c r="E168" s="27"/>
      <c r="F168" s="27"/>
      <c r="G168" s="27"/>
      <c r="H168" s="27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26" t="n">
        <f aca="false">SUMIFS(harian_gas!$D:$D,harian_gas!$A:$A,A169)</f>
        <v>0</v>
      </c>
      <c r="D169" s="26" t="n">
        <f aca="false">SUMIFS(harian_gas!$E:$E,harian_gas!$A:$A,A169)</f>
        <v>0</v>
      </c>
      <c r="E169" s="27"/>
      <c r="F169" s="27"/>
      <c r="G169" s="27"/>
      <c r="H169" s="27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26" t="n">
        <f aca="false">SUMIFS(harian_gas!$D:$D,harian_gas!$A:$A,A170)</f>
        <v>0</v>
      </c>
      <c r="D170" s="26" t="n">
        <f aca="false">SUMIFS(harian_gas!$E:$E,harian_gas!$A:$A,A170)</f>
        <v>0</v>
      </c>
      <c r="E170" s="27"/>
      <c r="F170" s="27"/>
      <c r="G170" s="27"/>
      <c r="H170" s="27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26" t="n">
        <f aca="false">SUMIFS(harian_gas!$D:$D,harian_gas!$A:$A,A171)</f>
        <v>0</v>
      </c>
      <c r="D171" s="26" t="n">
        <f aca="false">SUMIFS(harian_gas!$E:$E,harian_gas!$A:$A,A171)</f>
        <v>0</v>
      </c>
      <c r="E171" s="27"/>
      <c r="F171" s="27"/>
      <c r="G171" s="27"/>
      <c r="H171" s="27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26" t="n">
        <f aca="false">SUMIFS(harian_gas!$D:$D,harian_gas!$A:$A,A172)</f>
        <v>0</v>
      </c>
      <c r="D172" s="26" t="n">
        <f aca="false">SUMIFS(harian_gas!$E:$E,harian_gas!$A:$A,A172)</f>
        <v>0</v>
      </c>
      <c r="E172" s="27"/>
      <c r="F172" s="27"/>
      <c r="G172" s="27"/>
      <c r="H172" s="27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26" t="n">
        <f aca="false">SUMIFS(harian_gas!$D:$D,harian_gas!$A:$A,A173)</f>
        <v>0</v>
      </c>
      <c r="D173" s="26" t="n">
        <f aca="false">SUMIFS(harian_gas!$E:$E,harian_gas!$A:$A,A173)</f>
        <v>0</v>
      </c>
      <c r="E173" s="27"/>
      <c r="F173" s="27"/>
      <c r="G173" s="27"/>
      <c r="H173" s="27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26" t="n">
        <f aca="false">SUMIFS(harian_gas!$D:$D,harian_gas!$A:$A,A174)</f>
        <v>0</v>
      </c>
      <c r="D174" s="26" t="n">
        <f aca="false">SUMIFS(harian_gas!$E:$E,harian_gas!$A:$A,A174)</f>
        <v>0</v>
      </c>
      <c r="E174" s="27"/>
      <c r="F174" s="27"/>
      <c r="G174" s="27"/>
      <c r="H174" s="27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26" t="n">
        <f aca="false">SUMIFS(harian_gas!$D:$D,harian_gas!$A:$A,A175)</f>
        <v>0</v>
      </c>
      <c r="D175" s="26" t="n">
        <f aca="false">SUMIFS(harian_gas!$E:$E,harian_gas!$A:$A,A175)</f>
        <v>0</v>
      </c>
      <c r="E175" s="27"/>
      <c r="F175" s="27"/>
      <c r="G175" s="27"/>
      <c r="H175" s="27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26" t="n">
        <f aca="false">SUMIFS(harian_gas!$D:$D,harian_gas!$A:$A,A176)</f>
        <v>0</v>
      </c>
      <c r="D176" s="26" t="n">
        <f aca="false">SUMIFS(harian_gas!$E:$E,harian_gas!$A:$A,A176)</f>
        <v>0</v>
      </c>
      <c r="E176" s="27"/>
      <c r="F176" s="27"/>
      <c r="G176" s="27"/>
      <c r="H176" s="27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26" t="n">
        <f aca="false">SUMIFS(harian_gas!$D:$D,harian_gas!$A:$A,A177)</f>
        <v>0</v>
      </c>
      <c r="D177" s="26" t="n">
        <f aca="false">SUMIFS(harian_gas!$E:$E,harian_gas!$A:$A,A177)</f>
        <v>0</v>
      </c>
      <c r="E177" s="27"/>
      <c r="F177" s="27"/>
      <c r="G177" s="27"/>
      <c r="H177" s="27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26" t="n">
        <f aca="false">SUMIFS(harian_gas!$D:$D,harian_gas!$A:$A,A178)</f>
        <v>0</v>
      </c>
      <c r="D178" s="26" t="n">
        <f aca="false">SUMIFS(harian_gas!$E:$E,harian_gas!$A:$A,A178)</f>
        <v>0</v>
      </c>
      <c r="E178" s="27"/>
      <c r="F178" s="27"/>
      <c r="G178" s="27"/>
      <c r="H178" s="27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26" t="n">
        <f aca="false">SUMIFS(harian_gas!$D:$D,harian_gas!$A:$A,A179)</f>
        <v>0</v>
      </c>
      <c r="D179" s="26" t="n">
        <f aca="false">SUMIFS(harian_gas!$E:$E,harian_gas!$A:$A,A179)</f>
        <v>0</v>
      </c>
      <c r="E179" s="27"/>
      <c r="F179" s="27"/>
      <c r="G179" s="27"/>
      <c r="H179" s="27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26" t="n">
        <f aca="false">SUMIFS(harian_gas!$D:$D,harian_gas!$A:$A,A180)</f>
        <v>0</v>
      </c>
      <c r="D180" s="26" t="n">
        <f aca="false">SUMIFS(harian_gas!$E:$E,harian_gas!$A:$A,A180)</f>
        <v>0</v>
      </c>
      <c r="E180" s="27"/>
      <c r="F180" s="27"/>
      <c r="G180" s="27"/>
      <c r="H180" s="27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26" t="n">
        <f aca="false">SUMIFS(harian_gas!$D:$D,harian_gas!$A:$A,A181)</f>
        <v>0</v>
      </c>
      <c r="D181" s="26" t="n">
        <f aca="false">SUMIFS(harian_gas!$E:$E,harian_gas!$A:$A,A181)</f>
        <v>0</v>
      </c>
      <c r="E181" s="27"/>
      <c r="F181" s="27"/>
      <c r="G181" s="27"/>
      <c r="H181" s="27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26" t="n">
        <f aca="false">SUMIFS(harian_gas!$D:$D,harian_gas!$A:$A,A182)</f>
        <v>0</v>
      </c>
      <c r="D182" s="26" t="n">
        <f aca="false">SUMIFS(harian_gas!$E:$E,harian_gas!$A:$A,A182)</f>
        <v>0</v>
      </c>
      <c r="E182" s="27"/>
      <c r="F182" s="27"/>
      <c r="G182" s="27"/>
      <c r="H182" s="27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26" t="n">
        <f aca="false">SUMIFS(harian_gas!$D:$D,harian_gas!$A:$A,A183)</f>
        <v>0</v>
      </c>
      <c r="D183" s="26" t="n">
        <f aca="false">SUMIFS(harian_gas!$E:$E,harian_gas!$A:$A,A183)</f>
        <v>0</v>
      </c>
      <c r="E183" s="27"/>
      <c r="F183" s="27"/>
      <c r="G183" s="27"/>
      <c r="H183" s="27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26" t="n">
        <f aca="false">SUMIFS(harian_gas!$D:$D,harian_gas!$A:$A,A184)</f>
        <v>0</v>
      </c>
      <c r="D184" s="26" t="n">
        <f aca="false">SUMIFS(harian_gas!$E:$E,harian_gas!$A:$A,A184)</f>
        <v>0</v>
      </c>
      <c r="E184" s="27"/>
      <c r="F184" s="27"/>
      <c r="G184" s="27"/>
      <c r="H184" s="27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26" t="n">
        <f aca="false">SUMIFS(harian_gas!$D:$D,harian_gas!$A:$A,A185)</f>
        <v>0</v>
      </c>
      <c r="D185" s="26" t="n">
        <f aca="false">SUMIFS(harian_gas!$E:$E,harian_gas!$A:$A,A185)</f>
        <v>0</v>
      </c>
      <c r="E185" s="27"/>
      <c r="F185" s="27"/>
      <c r="G185" s="27"/>
      <c r="H185" s="27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26" t="n">
        <f aca="false">SUMIFS(harian_gas!$D:$D,harian_gas!$A:$A,A186)</f>
        <v>0</v>
      </c>
      <c r="D186" s="26" t="n">
        <f aca="false">SUMIFS(harian_gas!$E:$E,harian_gas!$A:$A,A186)</f>
        <v>0</v>
      </c>
      <c r="E186" s="27"/>
      <c r="F186" s="27"/>
      <c r="G186" s="27"/>
      <c r="H186" s="27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26" t="n">
        <f aca="false">SUMIFS(harian_gas!$D:$D,harian_gas!$A:$A,A187)</f>
        <v>0</v>
      </c>
      <c r="D187" s="26" t="n">
        <f aca="false">SUMIFS(harian_gas!$E:$E,harian_gas!$A:$A,A187)</f>
        <v>0</v>
      </c>
      <c r="E187" s="27"/>
      <c r="F187" s="27"/>
      <c r="G187" s="27"/>
      <c r="H187" s="27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26" t="n">
        <f aca="false">SUMIFS(harian_gas!$D:$D,harian_gas!$A:$A,A188)</f>
        <v>0</v>
      </c>
      <c r="D188" s="26" t="n">
        <f aca="false">SUMIFS(harian_gas!$E:$E,harian_gas!$A:$A,A188)</f>
        <v>0</v>
      </c>
      <c r="E188" s="27"/>
      <c r="F188" s="27"/>
      <c r="G188" s="27"/>
      <c r="H188" s="27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26" t="n">
        <f aca="false">SUMIFS(harian_gas!$D:$D,harian_gas!$A:$A,A189)</f>
        <v>0</v>
      </c>
      <c r="D189" s="26" t="n">
        <f aca="false">SUMIFS(harian_gas!$E:$E,harian_gas!$A:$A,A189)</f>
        <v>0</v>
      </c>
      <c r="E189" s="27"/>
      <c r="F189" s="27"/>
      <c r="G189" s="27"/>
      <c r="H189" s="27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26" t="n">
        <f aca="false">SUMIFS(harian_gas!$D:$D,harian_gas!$A:$A,A190)</f>
        <v>0</v>
      </c>
      <c r="D190" s="26" t="n">
        <f aca="false">SUMIFS(harian_gas!$E:$E,harian_gas!$A:$A,A190)</f>
        <v>0</v>
      </c>
      <c r="E190" s="27"/>
      <c r="F190" s="27"/>
      <c r="G190" s="27"/>
      <c r="H190" s="27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26" t="n">
        <f aca="false">SUMIFS(harian_gas!$D:$D,harian_gas!$A:$A,A191)</f>
        <v>0</v>
      </c>
      <c r="D191" s="26" t="n">
        <f aca="false">SUMIFS(harian_gas!$E:$E,harian_gas!$A:$A,A191)</f>
        <v>0</v>
      </c>
      <c r="E191" s="27"/>
      <c r="F191" s="27"/>
      <c r="G191" s="27"/>
      <c r="H191" s="27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26" t="n">
        <f aca="false">SUMIFS(harian_gas!$D:$D,harian_gas!$A:$A,A192)</f>
        <v>0</v>
      </c>
      <c r="D192" s="26" t="n">
        <f aca="false">SUMIFS(harian_gas!$E:$E,harian_gas!$A:$A,A192)</f>
        <v>0</v>
      </c>
      <c r="E192" s="27"/>
      <c r="F192" s="27"/>
      <c r="G192" s="27"/>
      <c r="H192" s="27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26" t="n">
        <f aca="false">SUMIFS(harian_gas!$D:$D,harian_gas!$A:$A,A193)</f>
        <v>0</v>
      </c>
      <c r="D193" s="26" t="n">
        <f aca="false">SUMIFS(harian_gas!$E:$E,harian_gas!$A:$A,A193)</f>
        <v>0</v>
      </c>
      <c r="E193" s="27"/>
      <c r="F193" s="27"/>
      <c r="G193" s="27"/>
      <c r="H193" s="27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26" t="n">
        <f aca="false">SUMIFS(harian_gas!$D:$D,harian_gas!$A:$A,A194)</f>
        <v>0</v>
      </c>
      <c r="D194" s="26" t="n">
        <f aca="false">SUMIFS(harian_gas!$E:$E,harian_gas!$A:$A,A194)</f>
        <v>0</v>
      </c>
      <c r="E194" s="27"/>
      <c r="F194" s="27"/>
      <c r="G194" s="27"/>
      <c r="H194" s="27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26" t="n">
        <f aca="false">SUMIFS(harian_gas!$D:$D,harian_gas!$A:$A,A195)</f>
        <v>0</v>
      </c>
      <c r="D195" s="26" t="n">
        <f aca="false">SUMIFS(harian_gas!$E:$E,harian_gas!$A:$A,A195)</f>
        <v>0</v>
      </c>
      <c r="E195" s="27"/>
      <c r="F195" s="27"/>
      <c r="G195" s="27"/>
      <c r="H195" s="27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26" t="n">
        <f aca="false">SUMIFS(harian_gas!$D:$D,harian_gas!$A:$A,A196)</f>
        <v>0</v>
      </c>
      <c r="D196" s="26" t="n">
        <f aca="false">SUMIFS(harian_gas!$E:$E,harian_gas!$A:$A,A196)</f>
        <v>0</v>
      </c>
      <c r="E196" s="27"/>
      <c r="F196" s="27"/>
      <c r="G196" s="27"/>
      <c r="H196" s="27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26" t="n">
        <f aca="false">SUMIFS(harian_gas!$D:$D,harian_gas!$A:$A,A197)</f>
        <v>0</v>
      </c>
      <c r="D197" s="26" t="n">
        <f aca="false">SUMIFS(harian_gas!$E:$E,harian_gas!$A:$A,A197)</f>
        <v>0</v>
      </c>
      <c r="E197" s="27"/>
      <c r="F197" s="27"/>
      <c r="G197" s="27"/>
      <c r="H197" s="27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26" t="n">
        <f aca="false">SUMIFS(harian_gas!$D:$D,harian_gas!$A:$A,A198)</f>
        <v>0</v>
      </c>
      <c r="D198" s="26" t="n">
        <f aca="false">SUMIFS(harian_gas!$E:$E,harian_gas!$A:$A,A198)</f>
        <v>0</v>
      </c>
      <c r="E198" s="27"/>
      <c r="F198" s="27"/>
      <c r="G198" s="27"/>
      <c r="H198" s="27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26" t="n">
        <f aca="false">SUMIFS(harian_gas!$D:$D,harian_gas!$A:$A,A199)</f>
        <v>0</v>
      </c>
      <c r="D199" s="26" t="n">
        <f aca="false">SUMIFS(harian_gas!$E:$E,harian_gas!$A:$A,A199)</f>
        <v>0</v>
      </c>
      <c r="E199" s="27"/>
      <c r="F199" s="27"/>
      <c r="G199" s="27"/>
      <c r="H199" s="27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26" t="n">
        <f aca="false">SUMIFS(harian_gas!$D:$D,harian_gas!$A:$A,A200)</f>
        <v>0</v>
      </c>
      <c r="D200" s="26" t="n">
        <f aca="false">SUMIFS(harian_gas!$E:$E,harian_gas!$A:$A,A200)</f>
        <v>0</v>
      </c>
      <c r="E200" s="27"/>
      <c r="F200" s="27"/>
      <c r="G200" s="27"/>
      <c r="H200" s="27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26" t="n">
        <f aca="false">SUMIFS(harian_gas!$D:$D,harian_gas!$A:$A,A201)</f>
        <v>0</v>
      </c>
      <c r="D201" s="26" t="n">
        <f aca="false">SUMIFS(harian_gas!$E:$E,harian_gas!$A:$A,A201)</f>
        <v>0</v>
      </c>
      <c r="E201" s="27"/>
      <c r="F201" s="27"/>
      <c r="G201" s="27"/>
      <c r="H201" s="27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26" t="n">
        <f aca="false">SUMIFS(harian_gas!$D:$D,harian_gas!$A:$A,A202)</f>
        <v>0</v>
      </c>
      <c r="D202" s="26" t="n">
        <f aca="false">SUMIFS(harian_gas!$E:$E,harian_gas!$A:$A,A202)</f>
        <v>0</v>
      </c>
      <c r="E202" s="27"/>
      <c r="F202" s="27"/>
      <c r="G202" s="27"/>
      <c r="H202" s="27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26" t="n">
        <f aca="false">SUMIFS(harian_gas!$D:$D,harian_gas!$A:$A,A203)</f>
        <v>0</v>
      </c>
      <c r="D203" s="26" t="n">
        <f aca="false">SUMIFS(harian_gas!$E:$E,harian_gas!$A:$A,A203)</f>
        <v>0</v>
      </c>
      <c r="E203" s="27"/>
      <c r="F203" s="27"/>
      <c r="G203" s="27"/>
      <c r="H203" s="27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26" t="n">
        <f aca="false">SUMIFS(harian_gas!$D:$D,harian_gas!$A:$A,A204)</f>
        <v>0</v>
      </c>
      <c r="D204" s="26" t="n">
        <f aca="false">SUMIFS(harian_gas!$E:$E,harian_gas!$A:$A,A204)</f>
        <v>0</v>
      </c>
      <c r="E204" s="27"/>
      <c r="F204" s="27"/>
      <c r="G204" s="27"/>
      <c r="H204" s="27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26" t="n">
        <f aca="false">SUMIFS(harian_gas!$D:$D,harian_gas!$A:$A,A205)</f>
        <v>0</v>
      </c>
      <c r="D205" s="26" t="n">
        <f aca="false">SUMIFS(harian_gas!$E:$E,harian_gas!$A:$A,A205)</f>
        <v>0</v>
      </c>
      <c r="E205" s="27"/>
      <c r="F205" s="27"/>
      <c r="G205" s="27"/>
      <c r="H205" s="27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26" t="n">
        <f aca="false">SUMIFS(harian_gas!$D:$D,harian_gas!$A:$A,A206)</f>
        <v>0</v>
      </c>
      <c r="D206" s="26" t="n">
        <f aca="false">SUMIFS(harian_gas!$E:$E,harian_gas!$A:$A,A206)</f>
        <v>0</v>
      </c>
      <c r="E206" s="27"/>
      <c r="F206" s="27"/>
      <c r="G206" s="27"/>
      <c r="H206" s="27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26" t="n">
        <f aca="false">SUMIFS(harian_gas!$D:$D,harian_gas!$A:$A,A207)</f>
        <v>0</v>
      </c>
      <c r="D207" s="26" t="n">
        <f aca="false">SUMIFS(harian_gas!$E:$E,harian_gas!$A:$A,A207)</f>
        <v>0</v>
      </c>
      <c r="E207" s="27"/>
      <c r="F207" s="27"/>
      <c r="G207" s="27"/>
      <c r="H207" s="27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26" t="n">
        <f aca="false">SUMIFS(harian_gas!$D:$D,harian_gas!$A:$A,A208)</f>
        <v>0</v>
      </c>
      <c r="D208" s="26" t="n">
        <f aca="false">SUMIFS(harian_gas!$E:$E,harian_gas!$A:$A,A208)</f>
        <v>0</v>
      </c>
      <c r="E208" s="27"/>
      <c r="F208" s="27"/>
      <c r="G208" s="27"/>
      <c r="H208" s="27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26" t="n">
        <f aca="false">SUMIFS(harian_gas!$D:$D,harian_gas!$A:$A,A209)</f>
        <v>0</v>
      </c>
      <c r="D209" s="26" t="n">
        <f aca="false">SUMIFS(harian_gas!$E:$E,harian_gas!$A:$A,A209)</f>
        <v>0</v>
      </c>
      <c r="E209" s="27"/>
      <c r="F209" s="27"/>
      <c r="G209" s="27"/>
      <c r="H209" s="27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26" t="n">
        <f aca="false">SUMIFS(harian_gas!$D:$D,harian_gas!$A:$A,A210)</f>
        <v>0</v>
      </c>
      <c r="D210" s="26" t="n">
        <f aca="false">SUMIFS(harian_gas!$E:$E,harian_gas!$A:$A,A210)</f>
        <v>0</v>
      </c>
      <c r="E210" s="27"/>
      <c r="F210" s="27"/>
      <c r="G210" s="27"/>
      <c r="H210" s="27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26" t="n">
        <f aca="false">SUMIFS(harian_gas!$D:$D,harian_gas!$A:$A,A211)</f>
        <v>0</v>
      </c>
      <c r="D211" s="26" t="n">
        <f aca="false">SUMIFS(harian_gas!$E:$E,harian_gas!$A:$A,A211)</f>
        <v>0</v>
      </c>
      <c r="E211" s="27"/>
      <c r="F211" s="27"/>
      <c r="G211" s="27"/>
      <c r="H211" s="27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26" t="n">
        <f aca="false">SUMIFS(harian_gas!$D:$D,harian_gas!$A:$A,A212)</f>
        <v>0</v>
      </c>
      <c r="D212" s="26" t="n">
        <f aca="false">SUMIFS(harian_gas!$E:$E,harian_gas!$A:$A,A212)</f>
        <v>0</v>
      </c>
      <c r="E212" s="27"/>
      <c r="F212" s="27"/>
      <c r="G212" s="27"/>
      <c r="H212" s="27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26" t="n">
        <f aca="false">SUMIFS(harian_gas!$D:$D,harian_gas!$A:$A,A213)</f>
        <v>0</v>
      </c>
      <c r="D213" s="26" t="n">
        <f aca="false">SUMIFS(harian_gas!$E:$E,harian_gas!$A:$A,A213)</f>
        <v>0</v>
      </c>
      <c r="E213" s="27"/>
      <c r="F213" s="27"/>
      <c r="G213" s="27"/>
      <c r="H213" s="27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26" t="n">
        <f aca="false">SUMIFS(harian_gas!$D:$D,harian_gas!$A:$A,A214)</f>
        <v>0</v>
      </c>
      <c r="D214" s="26" t="n">
        <f aca="false">SUMIFS(harian_gas!$E:$E,harian_gas!$A:$A,A214)</f>
        <v>0</v>
      </c>
      <c r="E214" s="27"/>
      <c r="F214" s="27"/>
      <c r="G214" s="27"/>
      <c r="H214" s="27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26" t="n">
        <f aca="false">SUMIFS(harian_gas!$D:$D,harian_gas!$A:$A,A215)</f>
        <v>0</v>
      </c>
      <c r="D215" s="26" t="n">
        <f aca="false">SUMIFS(harian_gas!$E:$E,harian_gas!$A:$A,A215)</f>
        <v>0</v>
      </c>
      <c r="E215" s="27"/>
      <c r="F215" s="27"/>
      <c r="G215" s="27"/>
      <c r="H215" s="27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26" t="n">
        <f aca="false">SUMIFS(harian_gas!$D:$D,harian_gas!$A:$A,A216)</f>
        <v>0</v>
      </c>
      <c r="D216" s="26" t="n">
        <f aca="false">SUMIFS(harian_gas!$E:$E,harian_gas!$A:$A,A216)</f>
        <v>0</v>
      </c>
      <c r="E216" s="27"/>
      <c r="F216" s="27"/>
      <c r="G216" s="27"/>
      <c r="H216" s="27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26" t="n">
        <f aca="false">SUMIFS(harian_gas!$D:$D,harian_gas!$A:$A,A217)</f>
        <v>0</v>
      </c>
      <c r="D217" s="26" t="n">
        <f aca="false">SUMIFS(harian_gas!$E:$E,harian_gas!$A:$A,A217)</f>
        <v>0</v>
      </c>
      <c r="E217" s="27"/>
      <c r="F217" s="27"/>
      <c r="G217" s="27"/>
      <c r="H217" s="27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26" t="n">
        <f aca="false">SUMIFS(harian_gas!$D:$D,harian_gas!$A:$A,A218)</f>
        <v>0</v>
      </c>
      <c r="D218" s="26" t="n">
        <f aca="false">SUMIFS(harian_gas!$E:$E,harian_gas!$A:$A,A218)</f>
        <v>0</v>
      </c>
      <c r="E218" s="27"/>
      <c r="F218" s="27"/>
      <c r="G218" s="27"/>
      <c r="H218" s="27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26" t="n">
        <f aca="false">SUMIFS(harian_gas!$D:$D,harian_gas!$A:$A,A219)</f>
        <v>0</v>
      </c>
      <c r="D219" s="26" t="n">
        <f aca="false">SUMIFS(harian_gas!$E:$E,harian_gas!$A:$A,A219)</f>
        <v>0</v>
      </c>
      <c r="E219" s="27"/>
      <c r="F219" s="27"/>
      <c r="G219" s="27"/>
      <c r="H219" s="27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26" t="n">
        <f aca="false">SUMIFS(harian_gas!$D:$D,harian_gas!$A:$A,A220)</f>
        <v>0</v>
      </c>
      <c r="D220" s="26" t="n">
        <f aca="false">SUMIFS(harian_gas!$E:$E,harian_gas!$A:$A,A220)</f>
        <v>0</v>
      </c>
      <c r="E220" s="27"/>
      <c r="F220" s="27"/>
      <c r="G220" s="27"/>
      <c r="H220" s="27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26" t="n">
        <f aca="false">SUMIFS(harian_gas!$D:$D,harian_gas!$A:$A,A221)</f>
        <v>0</v>
      </c>
      <c r="D221" s="26" t="n">
        <f aca="false">SUMIFS(harian_gas!$E:$E,harian_gas!$A:$A,A221)</f>
        <v>0</v>
      </c>
      <c r="E221" s="27"/>
      <c r="F221" s="27"/>
      <c r="G221" s="27"/>
      <c r="H221" s="27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26" t="n">
        <f aca="false">SUMIFS(harian_gas!$D:$D,harian_gas!$A:$A,A222)</f>
        <v>0</v>
      </c>
      <c r="D222" s="26" t="n">
        <f aca="false">SUMIFS(harian_gas!$E:$E,harian_gas!$A:$A,A222)</f>
        <v>0</v>
      </c>
      <c r="E222" s="27"/>
      <c r="F222" s="27"/>
      <c r="G222" s="27"/>
      <c r="H222" s="27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26" t="n">
        <f aca="false">SUMIFS(harian_gas!$D:$D,harian_gas!$A:$A,A223)</f>
        <v>0</v>
      </c>
      <c r="D223" s="26" t="n">
        <f aca="false">SUMIFS(harian_gas!$E:$E,harian_gas!$A:$A,A223)</f>
        <v>0</v>
      </c>
      <c r="E223" s="27"/>
      <c r="F223" s="27"/>
      <c r="G223" s="27"/>
      <c r="H223" s="27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26" t="n">
        <f aca="false">SUMIFS(harian_gas!$D:$D,harian_gas!$A:$A,A224)</f>
        <v>0</v>
      </c>
      <c r="D224" s="26" t="n">
        <f aca="false">SUMIFS(harian_gas!$E:$E,harian_gas!$A:$A,A224)</f>
        <v>0</v>
      </c>
      <c r="E224" s="27"/>
      <c r="F224" s="27"/>
      <c r="G224" s="27"/>
      <c r="H224" s="27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26" t="n">
        <f aca="false">SUMIFS(harian_gas!$D:$D,harian_gas!$A:$A,A225)</f>
        <v>0</v>
      </c>
      <c r="D225" s="26" t="n">
        <f aca="false">SUMIFS(harian_gas!$E:$E,harian_gas!$A:$A,A225)</f>
        <v>0</v>
      </c>
      <c r="E225" s="27"/>
      <c r="F225" s="27"/>
      <c r="G225" s="27"/>
      <c r="H225" s="27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26" t="n">
        <f aca="false">SUMIFS(harian_gas!$D:$D,harian_gas!$A:$A,A226)</f>
        <v>0</v>
      </c>
      <c r="D226" s="26" t="n">
        <f aca="false">SUMIFS(harian_gas!$E:$E,harian_gas!$A:$A,A226)</f>
        <v>0</v>
      </c>
      <c r="E226" s="27"/>
      <c r="F226" s="27"/>
      <c r="G226" s="27"/>
      <c r="H226" s="27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26" t="n">
        <f aca="false">SUMIFS(harian_gas!$D:$D,harian_gas!$A:$A,A227)</f>
        <v>0</v>
      </c>
      <c r="D227" s="26" t="n">
        <f aca="false">SUMIFS(harian_gas!$E:$E,harian_gas!$A:$A,A227)</f>
        <v>0</v>
      </c>
      <c r="E227" s="27"/>
      <c r="F227" s="27"/>
      <c r="G227" s="27"/>
      <c r="H227" s="27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26" t="n">
        <f aca="false">SUMIFS(harian_gas!$D:$D,harian_gas!$A:$A,A228)</f>
        <v>0</v>
      </c>
      <c r="D228" s="26" t="n">
        <f aca="false">SUMIFS(harian_gas!$E:$E,harian_gas!$A:$A,A228)</f>
        <v>0</v>
      </c>
      <c r="E228" s="27"/>
      <c r="F228" s="27"/>
      <c r="G228" s="27"/>
      <c r="H228" s="27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26" t="n">
        <f aca="false">SUMIFS(harian_gas!$D:$D,harian_gas!$A:$A,A229)</f>
        <v>0</v>
      </c>
      <c r="D229" s="26" t="n">
        <f aca="false">SUMIFS(harian_gas!$E:$E,harian_gas!$A:$A,A229)</f>
        <v>0</v>
      </c>
      <c r="E229" s="27"/>
      <c r="F229" s="27"/>
      <c r="G229" s="27"/>
      <c r="H229" s="27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26" t="n">
        <f aca="false">SUMIFS(harian_gas!$D:$D,harian_gas!$A:$A,A230)</f>
        <v>0</v>
      </c>
      <c r="D230" s="26" t="n">
        <f aca="false">SUMIFS(harian_gas!$E:$E,harian_gas!$A:$A,A230)</f>
        <v>0</v>
      </c>
      <c r="E230" s="27"/>
      <c r="F230" s="27"/>
      <c r="G230" s="27"/>
      <c r="H230" s="27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26" t="n">
        <f aca="false">SUMIFS(harian_gas!$D:$D,harian_gas!$A:$A,A231)</f>
        <v>0</v>
      </c>
      <c r="D231" s="26" t="n">
        <f aca="false">SUMIFS(harian_gas!$E:$E,harian_gas!$A:$A,A231)</f>
        <v>0</v>
      </c>
      <c r="E231" s="27"/>
      <c r="F231" s="27"/>
      <c r="G231" s="27"/>
      <c r="H231" s="27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26" t="n">
        <f aca="false">SUMIFS(harian_gas!$D:$D,harian_gas!$A:$A,A232)</f>
        <v>0</v>
      </c>
      <c r="D232" s="26" t="n">
        <f aca="false">SUMIFS(harian_gas!$E:$E,harian_gas!$A:$A,A232)</f>
        <v>0</v>
      </c>
      <c r="E232" s="27"/>
      <c r="F232" s="27"/>
      <c r="G232" s="27"/>
      <c r="H232" s="27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26" t="n">
        <f aca="false">SUMIFS(harian_gas!$D:$D,harian_gas!$A:$A,A233)</f>
        <v>0</v>
      </c>
      <c r="D233" s="26" t="n">
        <f aca="false">SUMIFS(harian_gas!$E:$E,harian_gas!$A:$A,A233)</f>
        <v>0</v>
      </c>
      <c r="E233" s="27"/>
      <c r="F233" s="27"/>
      <c r="G233" s="27"/>
      <c r="H233" s="27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26" t="n">
        <f aca="false">SUMIFS(harian_gas!$D:$D,harian_gas!$A:$A,A234)</f>
        <v>0</v>
      </c>
      <c r="D234" s="26" t="n">
        <f aca="false">SUMIFS(harian_gas!$E:$E,harian_gas!$A:$A,A234)</f>
        <v>0</v>
      </c>
      <c r="E234" s="27"/>
      <c r="F234" s="27"/>
      <c r="G234" s="27"/>
      <c r="H234" s="27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26" t="n">
        <f aca="false">SUMIFS(harian_gas!$D:$D,harian_gas!$A:$A,A235)</f>
        <v>0</v>
      </c>
      <c r="D235" s="26" t="n">
        <f aca="false">SUMIFS(harian_gas!$E:$E,harian_gas!$A:$A,A235)</f>
        <v>0</v>
      </c>
      <c r="E235" s="27"/>
      <c r="F235" s="27"/>
      <c r="G235" s="27"/>
      <c r="H235" s="27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26" t="n">
        <f aca="false">SUMIFS(harian_gas!$D:$D,harian_gas!$A:$A,A236)</f>
        <v>0</v>
      </c>
      <c r="D236" s="26" t="n">
        <f aca="false">SUMIFS(harian_gas!$E:$E,harian_gas!$A:$A,A236)</f>
        <v>0</v>
      </c>
      <c r="E236" s="27"/>
      <c r="F236" s="27"/>
      <c r="G236" s="27"/>
      <c r="H236" s="27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26" t="n">
        <f aca="false">SUMIFS(harian_gas!$D:$D,harian_gas!$A:$A,A237)</f>
        <v>0</v>
      </c>
      <c r="D237" s="26" t="n">
        <f aca="false">SUMIFS(harian_gas!$E:$E,harian_gas!$A:$A,A237)</f>
        <v>0</v>
      </c>
      <c r="E237" s="27"/>
      <c r="F237" s="27"/>
      <c r="G237" s="27"/>
      <c r="H237" s="27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26" t="n">
        <f aca="false">SUMIFS(harian_gas!$D:$D,harian_gas!$A:$A,A238)</f>
        <v>0</v>
      </c>
      <c r="D238" s="26" t="n">
        <f aca="false">SUMIFS(harian_gas!$E:$E,harian_gas!$A:$A,A238)</f>
        <v>0</v>
      </c>
      <c r="E238" s="27"/>
      <c r="F238" s="27"/>
      <c r="G238" s="27"/>
      <c r="H238" s="27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26" t="n">
        <f aca="false">SUMIFS(harian_gas!$D:$D,harian_gas!$A:$A,A239)</f>
        <v>0</v>
      </c>
      <c r="D239" s="26" t="n">
        <f aca="false">SUMIFS(harian_gas!$E:$E,harian_gas!$A:$A,A239)</f>
        <v>0</v>
      </c>
      <c r="E239" s="27"/>
      <c r="F239" s="27"/>
      <c r="G239" s="27"/>
      <c r="H239" s="27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26" t="n">
        <f aca="false">SUMIFS(harian_gas!$D:$D,harian_gas!$A:$A,A240)</f>
        <v>0</v>
      </c>
      <c r="D240" s="26" t="n">
        <f aca="false">SUMIFS(harian_gas!$E:$E,harian_gas!$A:$A,A240)</f>
        <v>0</v>
      </c>
      <c r="E240" s="27"/>
      <c r="F240" s="27"/>
      <c r="G240" s="27"/>
      <c r="H240" s="27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26" t="n">
        <f aca="false">SUMIFS(harian_gas!$D:$D,harian_gas!$A:$A,A241)</f>
        <v>0</v>
      </c>
      <c r="D241" s="26" t="n">
        <f aca="false">SUMIFS(harian_gas!$E:$E,harian_gas!$A:$A,A241)</f>
        <v>0</v>
      </c>
      <c r="E241" s="27"/>
      <c r="F241" s="27"/>
      <c r="G241" s="27"/>
      <c r="H241" s="27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26" t="n">
        <f aca="false">SUMIFS(harian_gas!$D:$D,harian_gas!$A:$A,A242)</f>
        <v>0</v>
      </c>
      <c r="D242" s="26" t="n">
        <f aca="false">SUMIFS(harian_gas!$E:$E,harian_gas!$A:$A,A242)</f>
        <v>0</v>
      </c>
      <c r="E242" s="27"/>
      <c r="F242" s="27"/>
      <c r="G242" s="27"/>
      <c r="H242" s="27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26" t="n">
        <f aca="false">SUMIFS(harian_gas!$D:$D,harian_gas!$A:$A,A243)</f>
        <v>0</v>
      </c>
      <c r="D243" s="26" t="n">
        <f aca="false">SUMIFS(harian_gas!$E:$E,harian_gas!$A:$A,A243)</f>
        <v>0</v>
      </c>
      <c r="E243" s="27"/>
      <c r="F243" s="27"/>
      <c r="G243" s="27"/>
      <c r="H243" s="27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26" t="n">
        <f aca="false">SUMIFS(harian_gas!$D:$D,harian_gas!$A:$A,A244)</f>
        <v>0</v>
      </c>
      <c r="D244" s="26" t="n">
        <f aca="false">SUMIFS(harian_gas!$E:$E,harian_gas!$A:$A,A244)</f>
        <v>0</v>
      </c>
      <c r="E244" s="27"/>
      <c r="F244" s="27"/>
      <c r="G244" s="27"/>
      <c r="H244" s="27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26" t="n">
        <f aca="false">SUMIFS(harian_gas!$D:$D,harian_gas!$A:$A,A245)</f>
        <v>0</v>
      </c>
      <c r="D245" s="26" t="n">
        <f aca="false">SUMIFS(harian_gas!$E:$E,harian_gas!$A:$A,A245)</f>
        <v>0</v>
      </c>
      <c r="E245" s="27"/>
      <c r="F245" s="27"/>
      <c r="G245" s="27"/>
      <c r="H245" s="27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26" t="n">
        <f aca="false">SUMIFS(harian_gas!$D:$D,harian_gas!$A:$A,A246)</f>
        <v>0</v>
      </c>
      <c r="D246" s="26" t="n">
        <f aca="false">SUMIFS(harian_gas!$E:$E,harian_gas!$A:$A,A246)</f>
        <v>0</v>
      </c>
      <c r="E246" s="27"/>
      <c r="F246" s="27"/>
      <c r="G246" s="27"/>
      <c r="H246" s="27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26" t="n">
        <f aca="false">SUMIFS(harian_gas!$D:$D,harian_gas!$A:$A,A247)</f>
        <v>0</v>
      </c>
      <c r="D247" s="26" t="n">
        <f aca="false">SUMIFS(harian_gas!$E:$E,harian_gas!$A:$A,A247)</f>
        <v>0</v>
      </c>
      <c r="E247" s="27"/>
      <c r="F247" s="27"/>
      <c r="G247" s="27"/>
      <c r="H247" s="27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26" t="n">
        <f aca="false">SUMIFS(harian_gas!$D:$D,harian_gas!$A:$A,A248)</f>
        <v>0</v>
      </c>
      <c r="D248" s="26" t="n">
        <f aca="false">SUMIFS(harian_gas!$E:$E,harian_gas!$A:$A,A248)</f>
        <v>0</v>
      </c>
      <c r="E248" s="27"/>
      <c r="F248" s="27"/>
      <c r="G248" s="27"/>
      <c r="H248" s="27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26" t="n">
        <f aca="false">SUMIFS(harian_gas!$D:$D,harian_gas!$A:$A,A249)</f>
        <v>0</v>
      </c>
      <c r="D249" s="26" t="n">
        <f aca="false">SUMIFS(harian_gas!$E:$E,harian_gas!$A:$A,A249)</f>
        <v>0</v>
      </c>
      <c r="E249" s="27"/>
      <c r="F249" s="27"/>
      <c r="G249" s="27"/>
      <c r="H249" s="27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26" t="n">
        <f aca="false">SUMIFS(harian_gas!$D:$D,harian_gas!$A:$A,A250)</f>
        <v>0</v>
      </c>
      <c r="D250" s="26" t="n">
        <f aca="false">SUMIFS(harian_gas!$E:$E,harian_gas!$A:$A,A250)</f>
        <v>0</v>
      </c>
      <c r="E250" s="27"/>
      <c r="F250" s="27"/>
      <c r="G250" s="27"/>
      <c r="H250" s="27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26" t="n">
        <f aca="false">SUMIFS(harian_gas!$D:$D,harian_gas!$A:$A,A251)</f>
        <v>0</v>
      </c>
      <c r="D251" s="26" t="n">
        <f aca="false">SUMIFS(harian_gas!$E:$E,harian_gas!$A:$A,A251)</f>
        <v>0</v>
      </c>
      <c r="E251" s="27"/>
      <c r="F251" s="27"/>
      <c r="G251" s="27"/>
      <c r="H251" s="27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26" t="n">
        <f aca="false">SUMIFS(harian_gas!$D:$D,harian_gas!$A:$A,A252)</f>
        <v>0</v>
      </c>
      <c r="D252" s="26" t="n">
        <f aca="false">SUMIFS(harian_gas!$E:$E,harian_gas!$A:$A,A252)</f>
        <v>0</v>
      </c>
      <c r="E252" s="27"/>
      <c r="F252" s="27"/>
      <c r="G252" s="27"/>
      <c r="H252" s="27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26" t="n">
        <f aca="false">SUMIFS(harian_gas!$D:$D,harian_gas!$A:$A,A253)</f>
        <v>0</v>
      </c>
      <c r="D253" s="26" t="n">
        <f aca="false">SUMIFS(harian_gas!$E:$E,harian_gas!$A:$A,A253)</f>
        <v>0</v>
      </c>
      <c r="E253" s="27"/>
      <c r="F253" s="27"/>
      <c r="G253" s="27"/>
      <c r="H253" s="27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26" t="n">
        <f aca="false">SUMIFS(harian_gas!$D:$D,harian_gas!$A:$A,A254)</f>
        <v>0</v>
      </c>
      <c r="D254" s="26" t="n">
        <f aca="false">SUMIFS(harian_gas!$E:$E,harian_gas!$A:$A,A254)</f>
        <v>0</v>
      </c>
      <c r="E254" s="27"/>
      <c r="F254" s="27"/>
      <c r="G254" s="27"/>
      <c r="H254" s="27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26" t="n">
        <f aca="false">SUMIFS(harian_gas!$D:$D,harian_gas!$A:$A,A255)</f>
        <v>0</v>
      </c>
      <c r="D255" s="26" t="n">
        <f aca="false">SUMIFS(harian_gas!$E:$E,harian_gas!$A:$A,A255)</f>
        <v>0</v>
      </c>
      <c r="E255" s="27"/>
      <c r="F255" s="27"/>
      <c r="G255" s="27"/>
      <c r="H255" s="27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26" t="n">
        <f aca="false">SUMIFS(harian_gas!$D:$D,harian_gas!$A:$A,A256)</f>
        <v>0</v>
      </c>
      <c r="D256" s="26" t="n">
        <f aca="false">SUMIFS(harian_gas!$E:$E,harian_gas!$A:$A,A256)</f>
        <v>0</v>
      </c>
      <c r="E256" s="27"/>
      <c r="F256" s="27"/>
      <c r="G256" s="27"/>
      <c r="H256" s="27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26" t="n">
        <f aca="false">SUMIFS(harian_gas!$D:$D,harian_gas!$A:$A,A257)</f>
        <v>0</v>
      </c>
      <c r="D257" s="26" t="n">
        <f aca="false">SUMIFS(harian_gas!$E:$E,harian_gas!$A:$A,A257)</f>
        <v>0</v>
      </c>
      <c r="E257" s="27"/>
      <c r="F257" s="27"/>
      <c r="G257" s="27"/>
      <c r="H257" s="27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26" t="n">
        <f aca="false">SUMIFS(harian_gas!$D:$D,harian_gas!$A:$A,A258)</f>
        <v>0</v>
      </c>
      <c r="D258" s="26" t="n">
        <f aca="false">SUMIFS(harian_gas!$E:$E,harian_gas!$A:$A,A258)</f>
        <v>0</v>
      </c>
      <c r="E258" s="27"/>
      <c r="F258" s="27"/>
      <c r="G258" s="27"/>
      <c r="H258" s="27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26" t="n">
        <f aca="false">SUMIFS(harian_gas!$D:$D,harian_gas!$A:$A,A259)</f>
        <v>0</v>
      </c>
      <c r="D259" s="26" t="n">
        <f aca="false">SUMIFS(harian_gas!$E:$E,harian_gas!$A:$A,A259)</f>
        <v>0</v>
      </c>
      <c r="E259" s="27"/>
      <c r="F259" s="27"/>
      <c r="G259" s="27"/>
      <c r="H259" s="27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26" t="n">
        <f aca="false">SUMIFS(harian_gas!$D:$D,harian_gas!$A:$A,A260)</f>
        <v>0</v>
      </c>
      <c r="D260" s="26" t="n">
        <f aca="false">SUMIFS(harian_gas!$E:$E,harian_gas!$A:$A,A260)</f>
        <v>0</v>
      </c>
      <c r="E260" s="27"/>
      <c r="F260" s="27"/>
      <c r="G260" s="27"/>
      <c r="H260" s="27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26" t="n">
        <f aca="false">SUMIFS(harian_gas!$D:$D,harian_gas!$A:$A,A261)</f>
        <v>0</v>
      </c>
      <c r="D261" s="26" t="n">
        <f aca="false">SUMIFS(harian_gas!$E:$E,harian_gas!$A:$A,A261)</f>
        <v>0</v>
      </c>
      <c r="E261" s="27"/>
      <c r="F261" s="27"/>
      <c r="G261" s="27"/>
      <c r="H261" s="27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26" t="n">
        <f aca="false">SUMIFS(harian_gas!$D:$D,harian_gas!$A:$A,A262)</f>
        <v>0</v>
      </c>
      <c r="D262" s="26" t="n">
        <f aca="false">SUMIFS(harian_gas!$E:$E,harian_gas!$A:$A,A262)</f>
        <v>0</v>
      </c>
      <c r="E262" s="27"/>
      <c r="F262" s="27"/>
      <c r="G262" s="27"/>
      <c r="H262" s="27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26" t="n">
        <f aca="false">SUMIFS(harian_gas!$D:$D,harian_gas!$A:$A,A263)</f>
        <v>0</v>
      </c>
      <c r="D263" s="26" t="n">
        <f aca="false">SUMIFS(harian_gas!$E:$E,harian_gas!$A:$A,A263)</f>
        <v>0</v>
      </c>
      <c r="E263" s="27"/>
      <c r="F263" s="27"/>
      <c r="G263" s="27"/>
      <c r="H263" s="27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26" t="n">
        <f aca="false">SUMIFS(harian_gas!$D:$D,harian_gas!$A:$A,A264)</f>
        <v>0</v>
      </c>
      <c r="D264" s="26" t="n">
        <f aca="false">SUMIFS(harian_gas!$E:$E,harian_gas!$A:$A,A264)</f>
        <v>0</v>
      </c>
      <c r="E264" s="27"/>
      <c r="F264" s="27"/>
      <c r="G264" s="27"/>
      <c r="H264" s="27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26" t="n">
        <f aca="false">SUMIFS(harian_gas!$D:$D,harian_gas!$A:$A,A265)</f>
        <v>0</v>
      </c>
      <c r="D265" s="26" t="n">
        <f aca="false">SUMIFS(harian_gas!$E:$E,harian_gas!$A:$A,A265)</f>
        <v>0</v>
      </c>
      <c r="E265" s="27"/>
      <c r="F265" s="27"/>
      <c r="G265" s="27"/>
      <c r="H265" s="27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26" t="n">
        <f aca="false">SUMIFS(harian_gas!$D:$D,harian_gas!$A:$A,A266)</f>
        <v>0</v>
      </c>
      <c r="D266" s="26" t="n">
        <f aca="false">SUMIFS(harian_gas!$E:$E,harian_gas!$A:$A,A266)</f>
        <v>0</v>
      </c>
      <c r="E266" s="27"/>
      <c r="F266" s="27"/>
      <c r="G266" s="27"/>
      <c r="H266" s="27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26" t="n">
        <f aca="false">SUMIFS(harian_gas!$D:$D,harian_gas!$A:$A,A267)</f>
        <v>0</v>
      </c>
      <c r="D267" s="26" t="n">
        <f aca="false">SUMIFS(harian_gas!$E:$E,harian_gas!$A:$A,A267)</f>
        <v>0</v>
      </c>
      <c r="E267" s="27"/>
      <c r="F267" s="27"/>
      <c r="G267" s="27"/>
      <c r="H267" s="27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26" t="n">
        <f aca="false">SUMIFS(harian_gas!$D:$D,harian_gas!$A:$A,A268)</f>
        <v>0</v>
      </c>
      <c r="D268" s="26" t="n">
        <f aca="false">SUMIFS(harian_gas!$E:$E,harian_gas!$A:$A,A268)</f>
        <v>0</v>
      </c>
      <c r="E268" s="27"/>
      <c r="F268" s="27"/>
      <c r="G268" s="27"/>
      <c r="H268" s="27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26" t="n">
        <f aca="false">SUMIFS(harian_gas!$D:$D,harian_gas!$A:$A,A269)</f>
        <v>0</v>
      </c>
      <c r="D269" s="26" t="n">
        <f aca="false">SUMIFS(harian_gas!$E:$E,harian_gas!$A:$A,A269)</f>
        <v>0</v>
      </c>
      <c r="E269" s="27"/>
      <c r="F269" s="27"/>
      <c r="G269" s="27"/>
      <c r="H269" s="27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26" t="n">
        <f aca="false">SUMIFS(harian_gas!$D:$D,harian_gas!$A:$A,A270)</f>
        <v>0</v>
      </c>
      <c r="D270" s="26" t="n">
        <f aca="false">SUMIFS(harian_gas!$E:$E,harian_gas!$A:$A,A270)</f>
        <v>0</v>
      </c>
      <c r="E270" s="27"/>
      <c r="F270" s="27"/>
      <c r="G270" s="27"/>
      <c r="H270" s="27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26" t="n">
        <f aca="false">SUMIFS(harian_gas!$D:$D,harian_gas!$A:$A,A271)</f>
        <v>0</v>
      </c>
      <c r="D271" s="26" t="n">
        <f aca="false">SUMIFS(harian_gas!$E:$E,harian_gas!$A:$A,A271)</f>
        <v>0</v>
      </c>
      <c r="E271" s="27"/>
      <c r="F271" s="27"/>
      <c r="G271" s="27"/>
      <c r="H271" s="27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26" t="n">
        <f aca="false">SUMIFS(harian_gas!$D:$D,harian_gas!$A:$A,A272)</f>
        <v>0</v>
      </c>
      <c r="D272" s="26" t="n">
        <f aca="false">SUMIFS(harian_gas!$E:$E,harian_gas!$A:$A,A272)</f>
        <v>0</v>
      </c>
      <c r="E272" s="27"/>
      <c r="F272" s="27"/>
      <c r="G272" s="27"/>
      <c r="H272" s="27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26" t="n">
        <f aca="false">SUMIFS(harian_gas!$D:$D,harian_gas!$A:$A,A273)</f>
        <v>0</v>
      </c>
      <c r="D273" s="26" t="n">
        <f aca="false">SUMIFS(harian_gas!$E:$E,harian_gas!$A:$A,A273)</f>
        <v>0</v>
      </c>
      <c r="E273" s="27"/>
      <c r="F273" s="27"/>
      <c r="G273" s="27"/>
      <c r="H273" s="27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26" t="n">
        <f aca="false">SUMIFS(harian_gas!$D:$D,harian_gas!$A:$A,A274)</f>
        <v>0</v>
      </c>
      <c r="D274" s="26" t="n">
        <f aca="false">SUMIFS(harian_gas!$E:$E,harian_gas!$A:$A,A274)</f>
        <v>0</v>
      </c>
      <c r="E274" s="27"/>
      <c r="F274" s="27"/>
      <c r="G274" s="27"/>
      <c r="H274" s="27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26" t="n">
        <f aca="false">SUMIFS(harian_gas!$D:$D,harian_gas!$A:$A,A275)</f>
        <v>0</v>
      </c>
      <c r="D275" s="26" t="n">
        <f aca="false">SUMIFS(harian_gas!$E:$E,harian_gas!$A:$A,A275)</f>
        <v>0</v>
      </c>
      <c r="E275" s="27"/>
      <c r="F275" s="27"/>
      <c r="G275" s="27"/>
      <c r="H275" s="27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26" t="n">
        <f aca="false">SUMIFS(harian_gas!$D:$D,harian_gas!$A:$A,A276)</f>
        <v>0</v>
      </c>
      <c r="D276" s="26" t="n">
        <f aca="false">SUMIFS(harian_gas!$E:$E,harian_gas!$A:$A,A276)</f>
        <v>0</v>
      </c>
      <c r="E276" s="27"/>
      <c r="F276" s="27"/>
      <c r="G276" s="27"/>
      <c r="H276" s="27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26" t="n">
        <f aca="false">SUMIFS(harian_gas!$D:$D,harian_gas!$A:$A,A277)</f>
        <v>0</v>
      </c>
      <c r="D277" s="26" t="n">
        <f aca="false">SUMIFS(harian_gas!$E:$E,harian_gas!$A:$A,A277)</f>
        <v>0</v>
      </c>
      <c r="E277" s="27"/>
      <c r="F277" s="27"/>
      <c r="G277" s="27"/>
      <c r="H277" s="27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26" t="n">
        <f aca="false">SUMIFS(harian_gas!$D:$D,harian_gas!$A:$A,A278)</f>
        <v>0</v>
      </c>
      <c r="D278" s="26" t="n">
        <f aca="false">SUMIFS(harian_gas!$E:$E,harian_gas!$A:$A,A278)</f>
        <v>0</v>
      </c>
      <c r="E278" s="27"/>
      <c r="F278" s="27"/>
      <c r="G278" s="27"/>
      <c r="H278" s="27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26" t="n">
        <f aca="false">SUMIFS(harian_gas!$D:$D,harian_gas!$A:$A,A279)</f>
        <v>0</v>
      </c>
      <c r="D279" s="26" t="n">
        <f aca="false">SUMIFS(harian_gas!$E:$E,harian_gas!$A:$A,A279)</f>
        <v>0</v>
      </c>
      <c r="E279" s="27"/>
      <c r="F279" s="27"/>
      <c r="G279" s="27"/>
      <c r="H279" s="27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26" t="n">
        <f aca="false">SUMIFS(harian_gas!$D:$D,harian_gas!$A:$A,A280)</f>
        <v>0</v>
      </c>
      <c r="D280" s="26" t="n">
        <f aca="false">SUMIFS(harian_gas!$E:$E,harian_gas!$A:$A,A280)</f>
        <v>0</v>
      </c>
      <c r="E280" s="27"/>
      <c r="F280" s="27"/>
      <c r="G280" s="27"/>
      <c r="H280" s="27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26" t="n">
        <f aca="false">SUMIFS(harian_gas!$D:$D,harian_gas!$A:$A,A281)</f>
        <v>0</v>
      </c>
      <c r="D281" s="26" t="n">
        <f aca="false">SUMIFS(harian_gas!$E:$E,harian_gas!$A:$A,A281)</f>
        <v>0</v>
      </c>
      <c r="E281" s="27"/>
      <c r="F281" s="27"/>
      <c r="G281" s="27"/>
      <c r="H281" s="27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26" t="n">
        <f aca="false">SUMIFS(harian_gas!$D:$D,harian_gas!$A:$A,A282)</f>
        <v>0</v>
      </c>
      <c r="D282" s="26" t="n">
        <f aca="false">SUMIFS(harian_gas!$E:$E,harian_gas!$A:$A,A282)</f>
        <v>0</v>
      </c>
      <c r="E282" s="27"/>
      <c r="F282" s="27"/>
      <c r="G282" s="27"/>
      <c r="H282" s="27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26" t="n">
        <f aca="false">SUMIFS(harian_gas!$D:$D,harian_gas!$A:$A,A283)</f>
        <v>0</v>
      </c>
      <c r="D283" s="26" t="n">
        <f aca="false">SUMIFS(harian_gas!$E:$E,harian_gas!$A:$A,A283)</f>
        <v>0</v>
      </c>
      <c r="E283" s="27"/>
      <c r="F283" s="27"/>
      <c r="G283" s="27"/>
      <c r="H283" s="27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26" t="n">
        <f aca="false">SUMIFS(harian_gas!$D:$D,harian_gas!$A:$A,A284)</f>
        <v>0</v>
      </c>
      <c r="D284" s="26" t="n">
        <f aca="false">SUMIFS(harian_gas!$E:$E,harian_gas!$A:$A,A284)</f>
        <v>0</v>
      </c>
      <c r="E284" s="27"/>
      <c r="F284" s="27"/>
      <c r="G284" s="27"/>
      <c r="H284" s="27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26" t="n">
        <f aca="false">SUMIFS(harian_gas!$D:$D,harian_gas!$A:$A,A285)</f>
        <v>0</v>
      </c>
      <c r="D285" s="26" t="n">
        <f aca="false">SUMIFS(harian_gas!$E:$E,harian_gas!$A:$A,A285)</f>
        <v>0</v>
      </c>
      <c r="E285" s="27"/>
      <c r="F285" s="27"/>
      <c r="G285" s="27"/>
      <c r="H285" s="27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26" t="n">
        <f aca="false">SUMIFS(harian_gas!$D:$D,harian_gas!$A:$A,A286)</f>
        <v>0</v>
      </c>
      <c r="D286" s="26" t="n">
        <f aca="false">SUMIFS(harian_gas!$E:$E,harian_gas!$A:$A,A286)</f>
        <v>0</v>
      </c>
      <c r="E286" s="27"/>
      <c r="F286" s="27"/>
      <c r="G286" s="27"/>
      <c r="H286" s="27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26" t="n">
        <f aca="false">SUMIFS(harian_gas!$D:$D,harian_gas!$A:$A,A287)</f>
        <v>0</v>
      </c>
      <c r="D287" s="26" t="n">
        <f aca="false">SUMIFS(harian_gas!$E:$E,harian_gas!$A:$A,A287)</f>
        <v>0</v>
      </c>
      <c r="E287" s="27"/>
      <c r="F287" s="27"/>
      <c r="G287" s="27"/>
      <c r="H287" s="27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26" t="n">
        <f aca="false">SUMIFS(harian_gas!$D:$D,harian_gas!$A:$A,A288)</f>
        <v>0</v>
      </c>
      <c r="D288" s="26" t="n">
        <f aca="false">SUMIFS(harian_gas!$E:$E,harian_gas!$A:$A,A288)</f>
        <v>0</v>
      </c>
      <c r="E288" s="27"/>
      <c r="F288" s="27"/>
      <c r="G288" s="27"/>
      <c r="H288" s="27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26" t="n">
        <f aca="false">SUMIFS(harian_gas!$D:$D,harian_gas!$A:$A,A289)</f>
        <v>0</v>
      </c>
      <c r="D289" s="26" t="n">
        <f aca="false">SUMIFS(harian_gas!$E:$E,harian_gas!$A:$A,A289)</f>
        <v>0</v>
      </c>
      <c r="E289" s="27"/>
      <c r="F289" s="27"/>
      <c r="G289" s="27"/>
      <c r="H289" s="27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26" t="n">
        <f aca="false">SUMIFS(harian_gas!$D:$D,harian_gas!$A:$A,A290)</f>
        <v>0</v>
      </c>
      <c r="D290" s="26" t="n">
        <f aca="false">SUMIFS(harian_gas!$E:$E,harian_gas!$A:$A,A290)</f>
        <v>0</v>
      </c>
      <c r="E290" s="27"/>
      <c r="F290" s="27"/>
      <c r="G290" s="27"/>
      <c r="H290" s="27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26" t="n">
        <f aca="false">SUMIFS(harian_gas!$D:$D,harian_gas!$A:$A,A291)</f>
        <v>0</v>
      </c>
      <c r="D291" s="26" t="n">
        <f aca="false">SUMIFS(harian_gas!$E:$E,harian_gas!$A:$A,A291)</f>
        <v>0</v>
      </c>
      <c r="E291" s="27"/>
      <c r="F291" s="27"/>
      <c r="G291" s="27"/>
      <c r="H291" s="27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26" t="n">
        <f aca="false">SUMIFS(harian_gas!$D:$D,harian_gas!$A:$A,A292)</f>
        <v>0</v>
      </c>
      <c r="D292" s="26" t="n">
        <f aca="false">SUMIFS(harian_gas!$E:$E,harian_gas!$A:$A,A292)</f>
        <v>0</v>
      </c>
      <c r="E292" s="27"/>
      <c r="F292" s="27"/>
      <c r="G292" s="27"/>
      <c r="H292" s="27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26" t="n">
        <f aca="false">SUMIFS(harian_gas!$D:$D,harian_gas!$A:$A,A293)</f>
        <v>0</v>
      </c>
      <c r="D293" s="26" t="n">
        <f aca="false">SUMIFS(harian_gas!$E:$E,harian_gas!$A:$A,A293)</f>
        <v>0</v>
      </c>
      <c r="E293" s="27"/>
      <c r="F293" s="27"/>
      <c r="G293" s="27"/>
      <c r="H293" s="27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26" t="n">
        <f aca="false">SUMIFS(harian_gas!$D:$D,harian_gas!$A:$A,A294)</f>
        <v>0</v>
      </c>
      <c r="D294" s="26" t="n">
        <f aca="false">SUMIFS(harian_gas!$E:$E,harian_gas!$A:$A,A294)</f>
        <v>0</v>
      </c>
      <c r="E294" s="27"/>
      <c r="F294" s="27"/>
      <c r="G294" s="27"/>
      <c r="H294" s="27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26" t="n">
        <f aca="false">SUMIFS(harian_gas!$D:$D,harian_gas!$A:$A,A295)</f>
        <v>0</v>
      </c>
      <c r="D295" s="26" t="n">
        <f aca="false">SUMIFS(harian_gas!$E:$E,harian_gas!$A:$A,A295)</f>
        <v>0</v>
      </c>
      <c r="E295" s="27"/>
      <c r="F295" s="27"/>
      <c r="G295" s="27"/>
      <c r="H295" s="27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26" t="n">
        <f aca="false">SUMIFS(harian_gas!$D:$D,harian_gas!$A:$A,A296)</f>
        <v>0</v>
      </c>
      <c r="D296" s="26" t="n">
        <f aca="false">SUMIFS(harian_gas!$E:$E,harian_gas!$A:$A,A296)</f>
        <v>0</v>
      </c>
      <c r="E296" s="27"/>
      <c r="F296" s="27"/>
      <c r="G296" s="27"/>
      <c r="H296" s="27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26" t="n">
        <f aca="false">SUMIFS(harian_gas!$D:$D,harian_gas!$A:$A,A297)</f>
        <v>0</v>
      </c>
      <c r="D297" s="26" t="n">
        <f aca="false">SUMIFS(harian_gas!$E:$E,harian_gas!$A:$A,A297)</f>
        <v>0</v>
      </c>
      <c r="E297" s="27"/>
      <c r="F297" s="27"/>
      <c r="G297" s="27"/>
      <c r="H297" s="27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26" t="n">
        <f aca="false">SUMIFS(harian_gas!$D:$D,harian_gas!$A:$A,A298)</f>
        <v>0</v>
      </c>
      <c r="D298" s="26" t="n">
        <f aca="false">SUMIFS(harian_gas!$E:$E,harian_gas!$A:$A,A298)</f>
        <v>0</v>
      </c>
      <c r="E298" s="27"/>
      <c r="F298" s="27"/>
      <c r="G298" s="27"/>
      <c r="H298" s="27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26" t="n">
        <f aca="false">SUMIFS(harian_gas!$D:$D,harian_gas!$A:$A,A299)</f>
        <v>0</v>
      </c>
      <c r="D299" s="26" t="n">
        <f aca="false">SUMIFS(harian_gas!$E:$E,harian_gas!$A:$A,A299)</f>
        <v>0</v>
      </c>
      <c r="E299" s="27"/>
      <c r="F299" s="27"/>
      <c r="G299" s="27"/>
      <c r="H299" s="27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26" t="n">
        <f aca="false">SUMIFS(harian_gas!$D:$D,harian_gas!$A:$A,A300)</f>
        <v>0</v>
      </c>
      <c r="D300" s="26" t="n">
        <f aca="false">SUMIFS(harian_gas!$E:$E,harian_gas!$A:$A,A300)</f>
        <v>0</v>
      </c>
      <c r="E300" s="27"/>
      <c r="F300" s="27"/>
      <c r="G300" s="27"/>
      <c r="H300" s="27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26" t="n">
        <f aca="false">SUMIFS(harian_gas!$D:$D,harian_gas!$A:$A,A301)</f>
        <v>0</v>
      </c>
      <c r="D301" s="26" t="n">
        <f aca="false">SUMIFS(harian_gas!$E:$E,harian_gas!$A:$A,A301)</f>
        <v>0</v>
      </c>
      <c r="E301" s="27"/>
      <c r="F301" s="27"/>
      <c r="G301" s="27"/>
      <c r="H301" s="27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26" t="n">
        <f aca="false">SUMIFS(harian_gas!$D:$D,harian_gas!$A:$A,A302)</f>
        <v>0</v>
      </c>
      <c r="D302" s="26" t="n">
        <f aca="false">SUMIFS(harian_gas!$E:$E,harian_gas!$A:$A,A302)</f>
        <v>0</v>
      </c>
      <c r="E302" s="27"/>
      <c r="F302" s="27"/>
      <c r="G302" s="27"/>
      <c r="H302" s="27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26" t="n">
        <f aca="false">SUMIFS(harian_gas!$D:$D,harian_gas!$A:$A,A303)</f>
        <v>0</v>
      </c>
      <c r="D303" s="26" t="n">
        <f aca="false">SUMIFS(harian_gas!$E:$E,harian_gas!$A:$A,A303)</f>
        <v>0</v>
      </c>
      <c r="E303" s="27"/>
      <c r="F303" s="27"/>
      <c r="G303" s="27"/>
      <c r="H303" s="27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26" t="n">
        <f aca="false">SUMIFS(harian_gas!$D:$D,harian_gas!$A:$A,A304)</f>
        <v>0</v>
      </c>
      <c r="D304" s="26" t="n">
        <f aca="false">SUMIFS(harian_gas!$E:$E,harian_gas!$A:$A,A304)</f>
        <v>0</v>
      </c>
      <c r="E304" s="27"/>
      <c r="F304" s="27"/>
      <c r="G304" s="27"/>
      <c r="H304" s="27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26" t="n">
        <f aca="false">SUMIFS(harian_gas!$D:$D,harian_gas!$A:$A,A305)</f>
        <v>0</v>
      </c>
      <c r="D305" s="26" t="n">
        <f aca="false">SUMIFS(harian_gas!$E:$E,harian_gas!$A:$A,A305)</f>
        <v>0</v>
      </c>
      <c r="E305" s="27"/>
      <c r="F305" s="27"/>
      <c r="G305" s="27"/>
      <c r="H305" s="27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26" t="n">
        <f aca="false">SUMIFS(harian_gas!$D:$D,harian_gas!$A:$A,A306)</f>
        <v>0</v>
      </c>
      <c r="D306" s="26" t="n">
        <f aca="false">SUMIFS(harian_gas!$E:$E,harian_gas!$A:$A,A306)</f>
        <v>0</v>
      </c>
      <c r="E306" s="27"/>
      <c r="F306" s="27"/>
      <c r="G306" s="27"/>
      <c r="H306" s="27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26" t="n">
        <f aca="false">SUMIFS(harian_gas!$D:$D,harian_gas!$A:$A,A307)</f>
        <v>0</v>
      </c>
      <c r="D307" s="26" t="n">
        <f aca="false">SUMIFS(harian_gas!$E:$E,harian_gas!$A:$A,A307)</f>
        <v>0</v>
      </c>
      <c r="E307" s="27"/>
      <c r="F307" s="27"/>
      <c r="G307" s="27"/>
      <c r="H307" s="27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26" t="n">
        <f aca="false">SUMIFS(harian_gas!$D:$D,harian_gas!$A:$A,A308)</f>
        <v>0</v>
      </c>
      <c r="D308" s="26" t="n">
        <f aca="false">SUMIFS(harian_gas!$E:$E,harian_gas!$A:$A,A308)</f>
        <v>0</v>
      </c>
      <c r="E308" s="27"/>
      <c r="F308" s="27"/>
      <c r="G308" s="27"/>
      <c r="H308" s="27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26" t="n">
        <f aca="false">SUMIFS(harian_gas!$D:$D,harian_gas!$A:$A,A309)</f>
        <v>0</v>
      </c>
      <c r="D309" s="26" t="n">
        <f aca="false">SUMIFS(harian_gas!$E:$E,harian_gas!$A:$A,A309)</f>
        <v>0</v>
      </c>
      <c r="E309" s="27"/>
      <c r="F309" s="27"/>
      <c r="G309" s="27"/>
      <c r="H309" s="27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26" t="n">
        <f aca="false">SUMIFS(harian_gas!$D:$D,harian_gas!$A:$A,A310)</f>
        <v>0</v>
      </c>
      <c r="D310" s="26" t="n">
        <f aca="false">SUMIFS(harian_gas!$E:$E,harian_gas!$A:$A,A310)</f>
        <v>0</v>
      </c>
      <c r="E310" s="27"/>
      <c r="F310" s="27"/>
      <c r="G310" s="27"/>
      <c r="H310" s="27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26" t="n">
        <f aca="false">SUMIFS(harian_gas!$D:$D,harian_gas!$A:$A,A311)</f>
        <v>0</v>
      </c>
      <c r="D311" s="26" t="n">
        <f aca="false">SUMIFS(harian_gas!$E:$E,harian_gas!$A:$A,A311)</f>
        <v>0</v>
      </c>
      <c r="E311" s="27"/>
      <c r="F311" s="27"/>
      <c r="G311" s="27"/>
      <c r="H311" s="27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26" t="n">
        <f aca="false">SUMIFS(harian_gas!$D:$D,harian_gas!$A:$A,A312)</f>
        <v>0</v>
      </c>
      <c r="D312" s="26" t="n">
        <f aca="false">SUMIFS(harian_gas!$E:$E,harian_gas!$A:$A,A312)</f>
        <v>0</v>
      </c>
      <c r="E312" s="27"/>
      <c r="F312" s="27"/>
      <c r="G312" s="27"/>
      <c r="H312" s="27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26" t="n">
        <f aca="false">SUMIFS(harian_gas!$D:$D,harian_gas!$A:$A,A313)</f>
        <v>0</v>
      </c>
      <c r="D313" s="26" t="n">
        <f aca="false">SUMIFS(harian_gas!$E:$E,harian_gas!$A:$A,A313)</f>
        <v>0</v>
      </c>
      <c r="E313" s="27"/>
      <c r="F313" s="27"/>
      <c r="G313" s="27"/>
      <c r="H313" s="27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26" t="n">
        <f aca="false">SUMIFS(harian_gas!$D:$D,harian_gas!$A:$A,A314)</f>
        <v>0</v>
      </c>
      <c r="D314" s="26" t="n">
        <f aca="false">SUMIFS(harian_gas!$E:$E,harian_gas!$A:$A,A314)</f>
        <v>0</v>
      </c>
      <c r="E314" s="27"/>
      <c r="F314" s="27"/>
      <c r="G314" s="27"/>
      <c r="H314" s="27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26" t="n">
        <f aca="false">SUMIFS(harian_gas!$D:$D,harian_gas!$A:$A,A315)</f>
        <v>0</v>
      </c>
      <c r="D315" s="26" t="n">
        <f aca="false">SUMIFS(harian_gas!$E:$E,harian_gas!$A:$A,A315)</f>
        <v>0</v>
      </c>
      <c r="E315" s="27"/>
      <c r="F315" s="27"/>
      <c r="G315" s="27"/>
      <c r="H315" s="27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26" t="n">
        <f aca="false">SUMIFS(harian_gas!$D:$D,harian_gas!$A:$A,A316)</f>
        <v>0</v>
      </c>
      <c r="D316" s="26" t="n">
        <f aca="false">SUMIFS(harian_gas!$E:$E,harian_gas!$A:$A,A316)</f>
        <v>0</v>
      </c>
      <c r="E316" s="27"/>
      <c r="F316" s="27"/>
      <c r="G316" s="27"/>
      <c r="H316" s="27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26" t="n">
        <f aca="false">SUMIFS(harian_gas!$D:$D,harian_gas!$A:$A,A317)</f>
        <v>0</v>
      </c>
      <c r="D317" s="26" t="n">
        <f aca="false">SUMIFS(harian_gas!$E:$E,harian_gas!$A:$A,A317)</f>
        <v>0</v>
      </c>
      <c r="E317" s="27"/>
      <c r="F317" s="27"/>
      <c r="G317" s="27"/>
      <c r="H317" s="27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26" t="n">
        <f aca="false">SUMIFS(harian_gas!$D:$D,harian_gas!$A:$A,A318)</f>
        <v>0</v>
      </c>
      <c r="D318" s="26" t="n">
        <f aca="false">SUMIFS(harian_gas!$E:$E,harian_gas!$A:$A,A318)</f>
        <v>0</v>
      </c>
      <c r="E318" s="27"/>
      <c r="F318" s="27"/>
      <c r="G318" s="27"/>
      <c r="H318" s="27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26" t="n">
        <f aca="false">SUMIFS(harian_gas!$D:$D,harian_gas!$A:$A,A319)</f>
        <v>0</v>
      </c>
      <c r="D319" s="26" t="n">
        <f aca="false">SUMIFS(harian_gas!$E:$E,harian_gas!$A:$A,A319)</f>
        <v>0</v>
      </c>
      <c r="E319" s="27"/>
      <c r="F319" s="27"/>
      <c r="G319" s="27"/>
      <c r="H319" s="27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26" t="n">
        <f aca="false">SUMIFS(harian_gas!$D:$D,harian_gas!$A:$A,A320)</f>
        <v>0</v>
      </c>
      <c r="D320" s="26" t="n">
        <f aca="false">SUMIFS(harian_gas!$E:$E,harian_gas!$A:$A,A320)</f>
        <v>0</v>
      </c>
      <c r="E320" s="27"/>
      <c r="F320" s="27"/>
      <c r="G320" s="27"/>
      <c r="H320" s="27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26" t="n">
        <f aca="false">SUMIFS(harian_gas!$D:$D,harian_gas!$A:$A,A321)</f>
        <v>0</v>
      </c>
      <c r="D321" s="26" t="n">
        <f aca="false">SUMIFS(harian_gas!$E:$E,harian_gas!$A:$A,A321)</f>
        <v>0</v>
      </c>
      <c r="E321" s="27"/>
      <c r="F321" s="27"/>
      <c r="G321" s="27"/>
      <c r="H321" s="27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26" t="n">
        <f aca="false">SUMIFS(harian_gas!$D:$D,harian_gas!$A:$A,A322)</f>
        <v>0</v>
      </c>
      <c r="D322" s="26" t="n">
        <f aca="false">SUMIFS(harian_gas!$E:$E,harian_gas!$A:$A,A322)</f>
        <v>0</v>
      </c>
      <c r="E322" s="27"/>
      <c r="F322" s="27"/>
      <c r="G322" s="27"/>
      <c r="H322" s="27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26" t="n">
        <f aca="false">SUMIFS(harian_gas!$D:$D,harian_gas!$A:$A,A323)</f>
        <v>0</v>
      </c>
      <c r="D323" s="26" t="n">
        <f aca="false">SUMIFS(harian_gas!$E:$E,harian_gas!$A:$A,A323)</f>
        <v>0</v>
      </c>
      <c r="E323" s="27"/>
      <c r="F323" s="27"/>
      <c r="G323" s="27"/>
      <c r="H323" s="27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26" t="n">
        <f aca="false">SUMIFS(harian_gas!$D:$D,harian_gas!$A:$A,A324)</f>
        <v>0</v>
      </c>
      <c r="D324" s="26" t="n">
        <f aca="false">SUMIFS(harian_gas!$E:$E,harian_gas!$A:$A,A324)</f>
        <v>0</v>
      </c>
      <c r="E324" s="27"/>
      <c r="F324" s="27"/>
      <c r="G324" s="27"/>
      <c r="H324" s="27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26" t="n">
        <f aca="false">SUMIFS(harian_gas!$D:$D,harian_gas!$A:$A,A325)</f>
        <v>0</v>
      </c>
      <c r="D325" s="26" t="n">
        <f aca="false">SUMIFS(harian_gas!$E:$E,harian_gas!$A:$A,A325)</f>
        <v>0</v>
      </c>
      <c r="E325" s="27"/>
      <c r="F325" s="27"/>
      <c r="G325" s="27"/>
      <c r="H325" s="27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26" t="n">
        <f aca="false">SUMIFS(harian_gas!$D:$D,harian_gas!$A:$A,A326)</f>
        <v>0</v>
      </c>
      <c r="D326" s="26" t="n">
        <f aca="false">SUMIFS(harian_gas!$E:$E,harian_gas!$A:$A,A326)</f>
        <v>0</v>
      </c>
      <c r="E326" s="27"/>
      <c r="F326" s="27"/>
      <c r="G326" s="27"/>
      <c r="H326" s="27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26" t="n">
        <f aca="false">SUMIFS(harian_gas!$D:$D,harian_gas!$A:$A,A327)</f>
        <v>0</v>
      </c>
      <c r="D327" s="26" t="n">
        <f aca="false">SUMIFS(harian_gas!$E:$E,harian_gas!$A:$A,A327)</f>
        <v>0</v>
      </c>
      <c r="E327" s="27"/>
      <c r="F327" s="27"/>
      <c r="G327" s="27"/>
      <c r="H327" s="27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26" t="n">
        <f aca="false">SUMIFS(harian_gas!$D:$D,harian_gas!$A:$A,A328)</f>
        <v>0</v>
      </c>
      <c r="D328" s="26" t="n">
        <f aca="false">SUMIFS(harian_gas!$E:$E,harian_gas!$A:$A,A328)</f>
        <v>0</v>
      </c>
      <c r="E328" s="27"/>
      <c r="F328" s="27"/>
      <c r="G328" s="27"/>
      <c r="H328" s="27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26" t="n">
        <f aca="false">SUMIFS(harian_gas!$D:$D,harian_gas!$A:$A,A329)</f>
        <v>0</v>
      </c>
      <c r="D329" s="26" t="n">
        <f aca="false">SUMIFS(harian_gas!$E:$E,harian_gas!$A:$A,A329)</f>
        <v>0</v>
      </c>
      <c r="E329" s="27"/>
      <c r="F329" s="27"/>
      <c r="G329" s="27"/>
      <c r="H329" s="27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26" t="n">
        <f aca="false">SUMIFS(harian_gas!$D:$D,harian_gas!$A:$A,A330)</f>
        <v>0</v>
      </c>
      <c r="D330" s="26" t="n">
        <f aca="false">SUMIFS(harian_gas!$E:$E,harian_gas!$A:$A,A330)</f>
        <v>0</v>
      </c>
      <c r="E330" s="27"/>
      <c r="F330" s="27"/>
      <c r="G330" s="27"/>
      <c r="H330" s="27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26" t="n">
        <f aca="false">SUMIFS(harian_gas!$D:$D,harian_gas!$A:$A,A331)</f>
        <v>0</v>
      </c>
      <c r="D331" s="26" t="n">
        <f aca="false">SUMIFS(harian_gas!$E:$E,harian_gas!$A:$A,A331)</f>
        <v>0</v>
      </c>
      <c r="E331" s="27"/>
      <c r="F331" s="27"/>
      <c r="G331" s="27"/>
      <c r="H331" s="27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26" t="n">
        <f aca="false">SUMIFS(harian_gas!$D:$D,harian_gas!$A:$A,A332)</f>
        <v>0</v>
      </c>
      <c r="D332" s="26" t="n">
        <f aca="false">SUMIFS(harian_gas!$E:$E,harian_gas!$A:$A,A332)</f>
        <v>0</v>
      </c>
      <c r="E332" s="27"/>
      <c r="F332" s="27"/>
      <c r="G332" s="27"/>
      <c r="H332" s="27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26" t="n">
        <f aca="false">SUMIFS(harian_gas!$D:$D,harian_gas!$A:$A,A333)</f>
        <v>0</v>
      </c>
      <c r="D333" s="26" t="n">
        <f aca="false">SUMIFS(harian_gas!$E:$E,harian_gas!$A:$A,A333)</f>
        <v>0</v>
      </c>
      <c r="E333" s="27"/>
      <c r="F333" s="27"/>
      <c r="G333" s="27"/>
      <c r="H333" s="27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26" t="n">
        <f aca="false">SUMIFS(harian_gas!$D:$D,harian_gas!$A:$A,A334)</f>
        <v>0</v>
      </c>
      <c r="D334" s="26" t="n">
        <f aca="false">SUMIFS(harian_gas!$E:$E,harian_gas!$A:$A,A334)</f>
        <v>0</v>
      </c>
      <c r="E334" s="27"/>
      <c r="F334" s="27"/>
      <c r="G334" s="27"/>
      <c r="H334" s="27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26" t="n">
        <f aca="false">SUMIFS(harian_gas!$D:$D,harian_gas!$A:$A,A335)</f>
        <v>0</v>
      </c>
      <c r="D335" s="26" t="n">
        <f aca="false">SUMIFS(harian_gas!$E:$E,harian_gas!$A:$A,A335)</f>
        <v>0</v>
      </c>
      <c r="E335" s="27"/>
      <c r="F335" s="27"/>
      <c r="G335" s="27"/>
      <c r="H335" s="27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26" t="n">
        <f aca="false">SUMIFS(harian_gas!$D:$D,harian_gas!$A:$A,A336)</f>
        <v>0</v>
      </c>
      <c r="D336" s="26" t="n">
        <f aca="false">SUMIFS(harian_gas!$E:$E,harian_gas!$A:$A,A336)</f>
        <v>0</v>
      </c>
      <c r="E336" s="27"/>
      <c r="F336" s="27"/>
      <c r="G336" s="27"/>
      <c r="H336" s="27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26" t="n">
        <f aca="false">SUMIFS(harian_gas!$D:$D,harian_gas!$A:$A,A337)</f>
        <v>0</v>
      </c>
      <c r="D337" s="26" t="n">
        <f aca="false">SUMIFS(harian_gas!$E:$E,harian_gas!$A:$A,A337)</f>
        <v>0</v>
      </c>
      <c r="E337" s="27"/>
      <c r="F337" s="27"/>
      <c r="G337" s="27"/>
      <c r="H337" s="27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26" t="n">
        <f aca="false">SUMIFS(harian_gas!$D:$D,harian_gas!$A:$A,A338)</f>
        <v>0</v>
      </c>
      <c r="D338" s="26" t="n">
        <f aca="false">SUMIFS(harian_gas!$E:$E,harian_gas!$A:$A,A338)</f>
        <v>0</v>
      </c>
      <c r="E338" s="27"/>
      <c r="F338" s="27"/>
      <c r="G338" s="27"/>
      <c r="H338" s="27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26" t="n">
        <f aca="false">SUMIFS(harian_gas!$D:$D,harian_gas!$A:$A,A339)</f>
        <v>0</v>
      </c>
      <c r="D339" s="26" t="n">
        <f aca="false">SUMIFS(harian_gas!$E:$E,harian_gas!$A:$A,A339)</f>
        <v>0</v>
      </c>
      <c r="E339" s="27"/>
      <c r="F339" s="27"/>
      <c r="G339" s="27"/>
      <c r="H339" s="27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26" t="n">
        <f aca="false">SUMIFS(harian_gas!$D:$D,harian_gas!$A:$A,A340)</f>
        <v>0</v>
      </c>
      <c r="D340" s="26" t="n">
        <f aca="false">SUMIFS(harian_gas!$E:$E,harian_gas!$A:$A,A340)</f>
        <v>0</v>
      </c>
      <c r="E340" s="27"/>
      <c r="F340" s="27"/>
      <c r="G340" s="27"/>
      <c r="H340" s="27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26" t="n">
        <f aca="false">SUMIFS(harian_gas!$D:$D,harian_gas!$A:$A,A341)</f>
        <v>0</v>
      </c>
      <c r="D341" s="26" t="n">
        <f aca="false">SUMIFS(harian_gas!$E:$E,harian_gas!$A:$A,A341)</f>
        <v>0</v>
      </c>
      <c r="E341" s="27"/>
      <c r="F341" s="27"/>
      <c r="G341" s="27"/>
      <c r="H341" s="27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26" t="n">
        <f aca="false">SUMIFS(harian_gas!$D:$D,harian_gas!$A:$A,A342)</f>
        <v>0</v>
      </c>
      <c r="D342" s="26" t="n">
        <f aca="false">SUMIFS(harian_gas!$E:$E,harian_gas!$A:$A,A342)</f>
        <v>0</v>
      </c>
      <c r="E342" s="27"/>
      <c r="F342" s="27"/>
      <c r="G342" s="27"/>
      <c r="H342" s="27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26" t="n">
        <f aca="false">SUMIFS(harian_gas!$D:$D,harian_gas!$A:$A,A343)</f>
        <v>0</v>
      </c>
      <c r="D343" s="26" t="n">
        <f aca="false">SUMIFS(harian_gas!$E:$E,harian_gas!$A:$A,A343)</f>
        <v>0</v>
      </c>
      <c r="E343" s="27"/>
      <c r="F343" s="27"/>
      <c r="G343" s="27"/>
      <c r="H343" s="27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26" t="n">
        <f aca="false">SUMIFS(harian_gas!$D:$D,harian_gas!$A:$A,A344)</f>
        <v>0</v>
      </c>
      <c r="D344" s="26" t="n">
        <f aca="false">SUMIFS(harian_gas!$E:$E,harian_gas!$A:$A,A344)</f>
        <v>0</v>
      </c>
      <c r="E344" s="27"/>
      <c r="F344" s="27"/>
      <c r="G344" s="27"/>
      <c r="H344" s="27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26" t="n">
        <f aca="false">SUMIFS(harian_gas!$D:$D,harian_gas!$A:$A,A345)</f>
        <v>0</v>
      </c>
      <c r="D345" s="26" t="n">
        <f aca="false">SUMIFS(harian_gas!$E:$E,harian_gas!$A:$A,A345)</f>
        <v>0</v>
      </c>
      <c r="E345" s="27"/>
      <c r="F345" s="27"/>
      <c r="G345" s="27"/>
      <c r="H345" s="27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26" t="n">
        <f aca="false">SUMIFS(harian_gas!$D:$D,harian_gas!$A:$A,A346)</f>
        <v>0</v>
      </c>
      <c r="D346" s="26" t="n">
        <f aca="false">SUMIFS(harian_gas!$E:$E,harian_gas!$A:$A,A346)</f>
        <v>0</v>
      </c>
      <c r="E346" s="27"/>
      <c r="F346" s="27"/>
      <c r="G346" s="27"/>
      <c r="H346" s="27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26" t="n">
        <f aca="false">SUMIFS(harian_gas!$D:$D,harian_gas!$A:$A,A347)</f>
        <v>0</v>
      </c>
      <c r="D347" s="26" t="n">
        <f aca="false">SUMIFS(harian_gas!$E:$E,harian_gas!$A:$A,A347)</f>
        <v>0</v>
      </c>
      <c r="E347" s="27"/>
      <c r="F347" s="27"/>
      <c r="G347" s="27"/>
      <c r="H347" s="27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26" t="n">
        <f aca="false">SUMIFS(harian_gas!$D:$D,harian_gas!$A:$A,A348)</f>
        <v>0</v>
      </c>
      <c r="D348" s="26" t="n">
        <f aca="false">SUMIFS(harian_gas!$E:$E,harian_gas!$A:$A,A348)</f>
        <v>0</v>
      </c>
      <c r="E348" s="27"/>
      <c r="F348" s="27"/>
      <c r="G348" s="27"/>
      <c r="H348" s="27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26" t="n">
        <f aca="false">SUMIFS(harian_gas!$D:$D,harian_gas!$A:$A,A349)</f>
        <v>0</v>
      </c>
      <c r="D349" s="26" t="n">
        <f aca="false">SUMIFS(harian_gas!$E:$E,harian_gas!$A:$A,A349)</f>
        <v>0</v>
      </c>
      <c r="E349" s="27"/>
      <c r="F349" s="27"/>
      <c r="G349" s="27"/>
      <c r="H349" s="27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26" t="n">
        <f aca="false">SUMIFS(harian_gas!$D:$D,harian_gas!$A:$A,A350)</f>
        <v>0</v>
      </c>
      <c r="D350" s="26" t="n">
        <f aca="false">SUMIFS(harian_gas!$E:$E,harian_gas!$A:$A,A350)</f>
        <v>0</v>
      </c>
      <c r="E350" s="27"/>
      <c r="F350" s="27"/>
      <c r="G350" s="27"/>
      <c r="H350" s="27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26" t="n">
        <f aca="false">SUMIFS(harian_gas!$D:$D,harian_gas!$A:$A,A351)</f>
        <v>0</v>
      </c>
      <c r="D351" s="26" t="n">
        <f aca="false">SUMIFS(harian_gas!$E:$E,harian_gas!$A:$A,A351)</f>
        <v>0</v>
      </c>
      <c r="E351" s="27"/>
      <c r="F351" s="27"/>
      <c r="G351" s="27"/>
      <c r="H351" s="27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26" t="n">
        <f aca="false">SUMIFS(harian_gas!$D:$D,harian_gas!$A:$A,A352)</f>
        <v>0</v>
      </c>
      <c r="D352" s="26" t="n">
        <f aca="false">SUMIFS(harian_gas!$E:$E,harian_gas!$A:$A,A352)</f>
        <v>0</v>
      </c>
      <c r="E352" s="27"/>
      <c r="F352" s="27"/>
      <c r="G352" s="27"/>
      <c r="H352" s="27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26" t="n">
        <f aca="false">SUMIFS(harian_gas!$D:$D,harian_gas!$A:$A,A353)</f>
        <v>0</v>
      </c>
      <c r="D353" s="26" t="n">
        <f aca="false">SUMIFS(harian_gas!$E:$E,harian_gas!$A:$A,A353)</f>
        <v>0</v>
      </c>
      <c r="E353" s="27"/>
      <c r="F353" s="27"/>
      <c r="G353" s="27"/>
      <c r="H353" s="27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26" t="n">
        <f aca="false">SUMIFS(harian_gas!$D:$D,harian_gas!$A:$A,A354)</f>
        <v>0</v>
      </c>
      <c r="D354" s="26" t="n">
        <f aca="false">SUMIFS(harian_gas!$E:$E,harian_gas!$A:$A,A354)</f>
        <v>0</v>
      </c>
      <c r="E354" s="27"/>
      <c r="F354" s="27"/>
      <c r="G354" s="27"/>
      <c r="H354" s="27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26" t="n">
        <f aca="false">SUMIFS(harian_gas!$D:$D,harian_gas!$A:$A,A355)</f>
        <v>0</v>
      </c>
      <c r="D355" s="26" t="n">
        <f aca="false">SUMIFS(harian_gas!$E:$E,harian_gas!$A:$A,A355)</f>
        <v>0</v>
      </c>
      <c r="E355" s="27"/>
      <c r="F355" s="27"/>
      <c r="G355" s="27"/>
      <c r="H355" s="27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26" t="n">
        <f aca="false">SUMIFS(harian_gas!$D:$D,harian_gas!$A:$A,A356)</f>
        <v>0</v>
      </c>
      <c r="D356" s="26" t="n">
        <f aca="false">SUMIFS(harian_gas!$E:$E,harian_gas!$A:$A,A356)</f>
        <v>0</v>
      </c>
      <c r="E356" s="27"/>
      <c r="F356" s="27"/>
      <c r="G356" s="27"/>
      <c r="H356" s="27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26" t="n">
        <f aca="false">SUMIFS(harian_gas!$D:$D,harian_gas!$A:$A,A357)</f>
        <v>0</v>
      </c>
      <c r="D357" s="26" t="n">
        <f aca="false">SUMIFS(harian_gas!$E:$E,harian_gas!$A:$A,A357)</f>
        <v>0</v>
      </c>
      <c r="E357" s="27"/>
      <c r="F357" s="27"/>
      <c r="G357" s="27"/>
      <c r="H357" s="27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26" t="n">
        <f aca="false">SUMIFS(harian_gas!$D:$D,harian_gas!$A:$A,A358)</f>
        <v>0</v>
      </c>
      <c r="D358" s="26" t="n">
        <f aca="false">SUMIFS(harian_gas!$E:$E,harian_gas!$A:$A,A358)</f>
        <v>0</v>
      </c>
      <c r="E358" s="27"/>
      <c r="F358" s="27"/>
      <c r="G358" s="27"/>
      <c r="H358" s="27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26" t="n">
        <f aca="false">SUMIFS(harian_gas!$D:$D,harian_gas!$A:$A,A359)</f>
        <v>0</v>
      </c>
      <c r="D359" s="26" t="n">
        <f aca="false">SUMIFS(harian_gas!$E:$E,harian_gas!$A:$A,A359)</f>
        <v>0</v>
      </c>
      <c r="E359" s="27"/>
      <c r="F359" s="27"/>
      <c r="G359" s="27"/>
      <c r="H359" s="27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26" t="n">
        <f aca="false">SUMIFS(harian_gas!$D:$D,harian_gas!$A:$A,A360)</f>
        <v>0</v>
      </c>
      <c r="D360" s="26" t="n">
        <f aca="false">SUMIFS(harian_gas!$E:$E,harian_gas!$A:$A,A360)</f>
        <v>0</v>
      </c>
      <c r="E360" s="27"/>
      <c r="F360" s="27"/>
      <c r="G360" s="27"/>
      <c r="H360" s="27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26" t="n">
        <f aca="false">SUMIFS(harian_gas!$D:$D,harian_gas!$A:$A,A361)</f>
        <v>0</v>
      </c>
      <c r="D361" s="26" t="n">
        <f aca="false">SUMIFS(harian_gas!$E:$E,harian_gas!$A:$A,A361)</f>
        <v>0</v>
      </c>
      <c r="E361" s="27"/>
      <c r="F361" s="27"/>
      <c r="G361" s="27"/>
      <c r="H361" s="27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26" t="n">
        <f aca="false">SUMIFS(harian_gas!$D:$D,harian_gas!$A:$A,A362)</f>
        <v>0</v>
      </c>
      <c r="D362" s="26" t="n">
        <f aca="false">SUMIFS(harian_gas!$E:$E,harian_gas!$A:$A,A362)</f>
        <v>0</v>
      </c>
      <c r="E362" s="27"/>
      <c r="F362" s="27"/>
      <c r="G362" s="27"/>
      <c r="H362" s="27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26" t="n">
        <f aca="false">SUMIFS(harian_gas!$D:$D,harian_gas!$A:$A,A363)</f>
        <v>0</v>
      </c>
      <c r="D363" s="26" t="n">
        <f aca="false">SUMIFS(harian_gas!$E:$E,harian_gas!$A:$A,A363)</f>
        <v>0</v>
      </c>
      <c r="E363" s="27"/>
      <c r="F363" s="27"/>
      <c r="G363" s="27"/>
      <c r="H363" s="27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26" t="n">
        <f aca="false">SUMIFS(harian_gas!$D:$D,harian_gas!$A:$A,A364)</f>
        <v>0</v>
      </c>
      <c r="D364" s="26" t="n">
        <f aca="false">SUMIFS(harian_gas!$E:$E,harian_gas!$A:$A,A364)</f>
        <v>0</v>
      </c>
      <c r="E364" s="27"/>
      <c r="F364" s="27"/>
      <c r="G364" s="27"/>
      <c r="H364" s="27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26" t="n">
        <f aca="false">SUMIFS(harian_gas!$D:$D,harian_gas!$A:$A,A365)</f>
        <v>0</v>
      </c>
      <c r="D365" s="26" t="n">
        <f aca="false">SUMIFS(harian_gas!$E:$E,harian_gas!$A:$A,A365)</f>
        <v>0</v>
      </c>
      <c r="E365" s="27"/>
      <c r="F365" s="27"/>
      <c r="G365" s="27"/>
      <c r="H365" s="27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26" t="n">
        <f aca="false">SUMIFS(harian_gas!$D:$D,harian_gas!$A:$A,A366)</f>
        <v>0</v>
      </c>
      <c r="D366" s="26" t="n">
        <f aca="false">SUMIFS(harian_gas!$E:$E,harian_gas!$A:$A,A366)</f>
        <v>0</v>
      </c>
      <c r="E366" s="27"/>
      <c r="F366" s="27"/>
      <c r="G366" s="27"/>
      <c r="H3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  <c r="J1" s="9" t="s">
        <v>75</v>
      </c>
      <c r="K1" s="9" t="s">
        <v>157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158</v>
      </c>
      <c r="D2" s="18" t="s">
        <v>159</v>
      </c>
      <c r="E2" s="28"/>
      <c r="F2" s="28"/>
      <c r="G2" s="28"/>
      <c r="H2" s="28"/>
      <c r="I2" s="28"/>
      <c r="J2" s="29" t="n">
        <f aca="false">E2+F2+G2-H2-I2</f>
        <v>0</v>
      </c>
      <c r="K2" s="29" t="n">
        <f aca="false">ROUND(E2+F2+G2-H2-I2-J2,1)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158</v>
      </c>
      <c r="D3" s="18" t="s">
        <v>159</v>
      </c>
      <c r="E3" s="29" t="n">
        <f aca="false">J2</f>
        <v>0</v>
      </c>
      <c r="F3" s="28"/>
      <c r="G3" s="28"/>
      <c r="H3" s="28"/>
      <c r="I3" s="28"/>
      <c r="J3" s="29" t="n">
        <f aca="false">E3+F3+G3-H3-I3</f>
        <v>0</v>
      </c>
      <c r="K3" s="29" t="n">
        <f aca="false">ROUND(E3+F3+G3-H3-I3-J3,1)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158</v>
      </c>
      <c r="D4" s="18" t="s">
        <v>159</v>
      </c>
      <c r="E4" s="29" t="n">
        <f aca="false">J3</f>
        <v>0</v>
      </c>
      <c r="F4" s="28"/>
      <c r="G4" s="28"/>
      <c r="H4" s="28"/>
      <c r="I4" s="28"/>
      <c r="J4" s="29" t="n">
        <f aca="false">E4+F4+G4-H4-I4</f>
        <v>0</v>
      </c>
      <c r="K4" s="29" t="n">
        <f aca="false">ROUND(E4+F4+G4-H4-I4-J4,1)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158</v>
      </c>
      <c r="D5" s="18" t="s">
        <v>159</v>
      </c>
      <c r="E5" s="29" t="n">
        <f aca="false">J4</f>
        <v>0</v>
      </c>
      <c r="F5" s="28"/>
      <c r="G5" s="28"/>
      <c r="H5" s="28"/>
      <c r="I5" s="28"/>
      <c r="J5" s="29" t="n">
        <f aca="false">E5+F5+G5-H5-I5</f>
        <v>0</v>
      </c>
      <c r="K5" s="29" t="n">
        <f aca="false">ROUND(E5+F5+G5-H5-I5-J5,1)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158</v>
      </c>
      <c r="D6" s="18" t="s">
        <v>159</v>
      </c>
      <c r="E6" s="29" t="n">
        <f aca="false">J5</f>
        <v>0</v>
      </c>
      <c r="F6" s="28"/>
      <c r="G6" s="28"/>
      <c r="H6" s="28"/>
      <c r="I6" s="28"/>
      <c r="J6" s="29" t="n">
        <f aca="false">E6+F6+G6-H6-I6</f>
        <v>0</v>
      </c>
      <c r="K6" s="29" t="n">
        <f aca="false">ROUND(E6+F6+G6-H6-I6-J6,1)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158</v>
      </c>
      <c r="D7" s="18" t="s">
        <v>159</v>
      </c>
      <c r="E7" s="29" t="n">
        <f aca="false">J6</f>
        <v>0</v>
      </c>
      <c r="F7" s="28"/>
      <c r="G7" s="28"/>
      <c r="H7" s="28"/>
      <c r="I7" s="28"/>
      <c r="J7" s="29" t="n">
        <f aca="false">E7+F7+G7-H7-I7</f>
        <v>0</v>
      </c>
      <c r="K7" s="29" t="n">
        <f aca="false">ROUND(E7+F7+G7-H7-I7-J7,1)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158</v>
      </c>
      <c r="D8" s="18" t="s">
        <v>159</v>
      </c>
      <c r="E8" s="29" t="n">
        <f aca="false">J7</f>
        <v>0</v>
      </c>
      <c r="F8" s="28"/>
      <c r="G8" s="28"/>
      <c r="H8" s="28"/>
      <c r="I8" s="28"/>
      <c r="J8" s="29" t="n">
        <f aca="false">E8+F8+G8-H8-I8</f>
        <v>0</v>
      </c>
      <c r="K8" s="29" t="n">
        <f aca="false">ROUND(E8+F8+G8-H8-I8-J8,1)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158</v>
      </c>
      <c r="D9" s="18" t="s">
        <v>159</v>
      </c>
      <c r="E9" s="29" t="n">
        <f aca="false">J8</f>
        <v>0</v>
      </c>
      <c r="F9" s="28"/>
      <c r="G9" s="28"/>
      <c r="H9" s="28"/>
      <c r="I9" s="28"/>
      <c r="J9" s="29" t="n">
        <f aca="false">E9+F9+G9-H9-I9</f>
        <v>0</v>
      </c>
      <c r="K9" s="29" t="n">
        <f aca="false">ROUND(E9+F9+G9-H9-I9-J9,1)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158</v>
      </c>
      <c r="D10" s="18" t="s">
        <v>159</v>
      </c>
      <c r="E10" s="29" t="n">
        <f aca="false">J9</f>
        <v>0</v>
      </c>
      <c r="F10" s="28"/>
      <c r="G10" s="28"/>
      <c r="H10" s="28"/>
      <c r="I10" s="28"/>
      <c r="J10" s="29" t="n">
        <f aca="false">E10+F10+G10-H10-I10</f>
        <v>0</v>
      </c>
      <c r="K10" s="29" t="n">
        <f aca="false">ROUND(E10+F10+G10-H10-I10-J10,1)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158</v>
      </c>
      <c r="D11" s="18" t="s">
        <v>159</v>
      </c>
      <c r="E11" s="29" t="n">
        <f aca="false">J10</f>
        <v>0</v>
      </c>
      <c r="F11" s="28"/>
      <c r="G11" s="28"/>
      <c r="H11" s="28"/>
      <c r="I11" s="28"/>
      <c r="J11" s="29" t="n">
        <f aca="false">E11+F11+G11-H11-I11</f>
        <v>0</v>
      </c>
      <c r="K11" s="29" t="n">
        <f aca="false">ROUND(E11+F11+G11-H11-I11-J11,1)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158</v>
      </c>
      <c r="D12" s="18" t="s">
        <v>159</v>
      </c>
      <c r="E12" s="29" t="n">
        <f aca="false">J11</f>
        <v>0</v>
      </c>
      <c r="F12" s="28"/>
      <c r="G12" s="28"/>
      <c r="H12" s="28"/>
      <c r="I12" s="28"/>
      <c r="J12" s="29" t="n">
        <f aca="false">E12+F12+G12-H12-I12</f>
        <v>0</v>
      </c>
      <c r="K12" s="29" t="n">
        <f aca="false">ROUND(E12+F12+G12-H12-I12-J12,1)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158</v>
      </c>
      <c r="D13" s="18" t="s">
        <v>159</v>
      </c>
      <c r="E13" s="29" t="n">
        <f aca="false">J12</f>
        <v>0</v>
      </c>
      <c r="F13" s="28"/>
      <c r="G13" s="28"/>
      <c r="H13" s="28"/>
      <c r="I13" s="28"/>
      <c r="J13" s="29" t="n">
        <f aca="false">E13+F13+G13-H13-I13</f>
        <v>0</v>
      </c>
      <c r="K13" s="29" t="n">
        <f aca="false">ROUND(E13+F13+G13-H13-I13-J13,1)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158</v>
      </c>
      <c r="D14" s="18" t="s">
        <v>159</v>
      </c>
      <c r="E14" s="29" t="n">
        <f aca="false">J13</f>
        <v>0</v>
      </c>
      <c r="F14" s="28"/>
      <c r="G14" s="28"/>
      <c r="H14" s="28"/>
      <c r="I14" s="28"/>
      <c r="J14" s="29" t="n">
        <f aca="false">E14+F14+G14-H14-I14</f>
        <v>0</v>
      </c>
      <c r="K14" s="29" t="n">
        <f aca="false">ROUND(E14+F14+G14-H14-I14-J14,1)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158</v>
      </c>
      <c r="D15" s="18" t="s">
        <v>159</v>
      </c>
      <c r="E15" s="29" t="n">
        <f aca="false">J14</f>
        <v>0</v>
      </c>
      <c r="F15" s="28"/>
      <c r="G15" s="28"/>
      <c r="H15" s="28"/>
      <c r="I15" s="28"/>
      <c r="J15" s="29" t="n">
        <f aca="false">E15+F15+G15-H15-I15</f>
        <v>0</v>
      </c>
      <c r="K15" s="29" t="n">
        <f aca="false">ROUND(E15+F15+G15-H15-I15-J15,1)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158</v>
      </c>
      <c r="D16" s="18" t="s">
        <v>159</v>
      </c>
      <c r="E16" s="29" t="n">
        <f aca="false">J15</f>
        <v>0</v>
      </c>
      <c r="F16" s="28"/>
      <c r="G16" s="28"/>
      <c r="H16" s="28"/>
      <c r="I16" s="28"/>
      <c r="J16" s="29" t="n">
        <f aca="false">E16+F16+G16-H16-I16</f>
        <v>0</v>
      </c>
      <c r="K16" s="29" t="n">
        <f aca="false">ROUND(E16+F16+G16-H16-I16-J16,1)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158</v>
      </c>
      <c r="D17" s="18" t="s">
        <v>159</v>
      </c>
      <c r="E17" s="29" t="n">
        <f aca="false">J16</f>
        <v>0</v>
      </c>
      <c r="F17" s="28"/>
      <c r="G17" s="28"/>
      <c r="H17" s="28"/>
      <c r="I17" s="28"/>
      <c r="J17" s="29" t="n">
        <f aca="false">E17+F17+G17-H17-I17</f>
        <v>0</v>
      </c>
      <c r="K17" s="29" t="n">
        <f aca="false">ROUND(E17+F17+G17-H17-I17-J17,1)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158</v>
      </c>
      <c r="D18" s="18" t="s">
        <v>159</v>
      </c>
      <c r="E18" s="29" t="n">
        <f aca="false">J17</f>
        <v>0</v>
      </c>
      <c r="F18" s="28"/>
      <c r="G18" s="28"/>
      <c r="H18" s="28"/>
      <c r="I18" s="28"/>
      <c r="J18" s="29" t="n">
        <f aca="false">E18+F18+G18-H18-I18</f>
        <v>0</v>
      </c>
      <c r="K18" s="29" t="n">
        <f aca="false">ROUND(E18+F18+G18-H18-I18-J18,1)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158</v>
      </c>
      <c r="D19" s="18" t="s">
        <v>159</v>
      </c>
      <c r="E19" s="29" t="n">
        <f aca="false">J18</f>
        <v>0</v>
      </c>
      <c r="F19" s="28"/>
      <c r="G19" s="28"/>
      <c r="H19" s="28"/>
      <c r="I19" s="28"/>
      <c r="J19" s="29" t="n">
        <f aca="false">E19+F19+G19-H19-I19</f>
        <v>0</v>
      </c>
      <c r="K19" s="29" t="n">
        <f aca="false">ROUND(E19+F19+G19-H19-I19-J19,1)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158</v>
      </c>
      <c r="D20" s="18" t="s">
        <v>159</v>
      </c>
      <c r="E20" s="29" t="n">
        <f aca="false">J19</f>
        <v>0</v>
      </c>
      <c r="F20" s="28"/>
      <c r="G20" s="28"/>
      <c r="H20" s="28"/>
      <c r="I20" s="28"/>
      <c r="J20" s="29" t="n">
        <f aca="false">E20+F20+G20-H20-I20</f>
        <v>0</v>
      </c>
      <c r="K20" s="29" t="n">
        <f aca="false">ROUND(E20+F20+G20-H20-I20-J20,1)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158</v>
      </c>
      <c r="D21" s="18" t="s">
        <v>159</v>
      </c>
      <c r="E21" s="29" t="n">
        <f aca="false">J20</f>
        <v>0</v>
      </c>
      <c r="F21" s="28"/>
      <c r="G21" s="28"/>
      <c r="H21" s="28"/>
      <c r="I21" s="28"/>
      <c r="J21" s="29" t="n">
        <f aca="false">E21+F21+G21-H21-I21</f>
        <v>0</v>
      </c>
      <c r="K21" s="29" t="n">
        <f aca="false">ROUND(E21+F21+G21-H21-I21-J21,1)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158</v>
      </c>
      <c r="D22" s="18" t="s">
        <v>159</v>
      </c>
      <c r="E22" s="29" t="n">
        <f aca="false">J21</f>
        <v>0</v>
      </c>
      <c r="F22" s="28"/>
      <c r="G22" s="28"/>
      <c r="H22" s="28"/>
      <c r="I22" s="28"/>
      <c r="J22" s="29" t="n">
        <f aca="false">E22+F22+G22-H22-I22</f>
        <v>0</v>
      </c>
      <c r="K22" s="29" t="n">
        <f aca="false">ROUND(E22+F22+G22-H22-I22-J22,1)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158</v>
      </c>
      <c r="D23" s="18" t="s">
        <v>159</v>
      </c>
      <c r="E23" s="29" t="n">
        <f aca="false">J22</f>
        <v>0</v>
      </c>
      <c r="F23" s="28"/>
      <c r="G23" s="28"/>
      <c r="H23" s="28"/>
      <c r="I23" s="28"/>
      <c r="J23" s="29" t="n">
        <f aca="false">E23+F23+G23-H23-I23</f>
        <v>0</v>
      </c>
      <c r="K23" s="29" t="n">
        <f aca="false">ROUND(E23+F23+G23-H23-I23-J23,1)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158</v>
      </c>
      <c r="D24" s="18" t="s">
        <v>159</v>
      </c>
      <c r="E24" s="29" t="n">
        <f aca="false">J23</f>
        <v>0</v>
      </c>
      <c r="F24" s="28"/>
      <c r="G24" s="28"/>
      <c r="H24" s="28"/>
      <c r="I24" s="28"/>
      <c r="J24" s="29" t="n">
        <f aca="false">E24+F24+G24-H24-I24</f>
        <v>0</v>
      </c>
      <c r="K24" s="29" t="n">
        <f aca="false">ROUND(E24+F24+G24-H24-I24-J24,1)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158</v>
      </c>
      <c r="D25" s="18" t="s">
        <v>159</v>
      </c>
      <c r="E25" s="29" t="n">
        <f aca="false">J24</f>
        <v>0</v>
      </c>
      <c r="F25" s="28"/>
      <c r="G25" s="28"/>
      <c r="H25" s="28"/>
      <c r="I25" s="28"/>
      <c r="J25" s="29" t="n">
        <f aca="false">E25+F25+G25-H25-I25</f>
        <v>0</v>
      </c>
      <c r="K25" s="29" t="n">
        <f aca="false">ROUND(E25+F25+G25-H25-I25-J25,1)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158</v>
      </c>
      <c r="D26" s="18" t="s">
        <v>159</v>
      </c>
      <c r="E26" s="29" t="n">
        <f aca="false">J25</f>
        <v>0</v>
      </c>
      <c r="F26" s="28"/>
      <c r="G26" s="28"/>
      <c r="H26" s="28"/>
      <c r="I26" s="28"/>
      <c r="J26" s="29" t="n">
        <f aca="false">E26+F26+G26-H26-I26</f>
        <v>0</v>
      </c>
      <c r="K26" s="29" t="n">
        <f aca="false">ROUND(E26+F26+G26-H26-I26-J26,1)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158</v>
      </c>
      <c r="D27" s="18" t="s">
        <v>159</v>
      </c>
      <c r="E27" s="29" t="n">
        <f aca="false">J26</f>
        <v>0</v>
      </c>
      <c r="F27" s="28"/>
      <c r="G27" s="28"/>
      <c r="H27" s="28"/>
      <c r="I27" s="28"/>
      <c r="J27" s="29" t="n">
        <f aca="false">E27+F27+G27-H27-I27</f>
        <v>0</v>
      </c>
      <c r="K27" s="29" t="n">
        <f aca="false">ROUND(E27+F27+G27-H27-I27-J27,1)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158</v>
      </c>
      <c r="D28" s="18" t="s">
        <v>159</v>
      </c>
      <c r="E28" s="29" t="n">
        <f aca="false">J27</f>
        <v>0</v>
      </c>
      <c r="F28" s="28"/>
      <c r="G28" s="28"/>
      <c r="H28" s="28"/>
      <c r="I28" s="28"/>
      <c r="J28" s="29" t="n">
        <f aca="false">E28+F28+G28-H28-I28</f>
        <v>0</v>
      </c>
      <c r="K28" s="29" t="n">
        <f aca="false">ROUND(E28+F28+G28-H28-I28-J28,1)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158</v>
      </c>
      <c r="D29" s="18" t="s">
        <v>159</v>
      </c>
      <c r="E29" s="29" t="n">
        <f aca="false">J28</f>
        <v>0</v>
      </c>
      <c r="F29" s="28"/>
      <c r="G29" s="28"/>
      <c r="H29" s="28"/>
      <c r="I29" s="28"/>
      <c r="J29" s="29" t="n">
        <f aca="false">E29+F29+G29-H29-I29</f>
        <v>0</v>
      </c>
      <c r="K29" s="29" t="n">
        <f aca="false">ROUND(E29+F29+G29-H29-I29-J29,1)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158</v>
      </c>
      <c r="D30" s="18" t="s">
        <v>159</v>
      </c>
      <c r="E30" s="29" t="n">
        <f aca="false">J29</f>
        <v>0</v>
      </c>
      <c r="F30" s="28"/>
      <c r="G30" s="28"/>
      <c r="H30" s="28"/>
      <c r="I30" s="28"/>
      <c r="J30" s="29" t="n">
        <f aca="false">E30+F30+G30-H30-I30</f>
        <v>0</v>
      </c>
      <c r="K30" s="29" t="n">
        <f aca="false">ROUND(E30+F30+G30-H30-I30-J30,1)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158</v>
      </c>
      <c r="D31" s="18" t="s">
        <v>159</v>
      </c>
      <c r="E31" s="29" t="n">
        <f aca="false">J30</f>
        <v>0</v>
      </c>
      <c r="F31" s="28"/>
      <c r="G31" s="28"/>
      <c r="H31" s="28"/>
      <c r="I31" s="28"/>
      <c r="J31" s="29" t="n">
        <f aca="false">E31+F31+G31-H31-I31</f>
        <v>0</v>
      </c>
      <c r="K31" s="29" t="n">
        <f aca="false">ROUND(E31+F31+G31-H31-I31-J31,1)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158</v>
      </c>
      <c r="D32" s="18" t="s">
        <v>159</v>
      </c>
      <c r="E32" s="29" t="n">
        <f aca="false">J31</f>
        <v>0</v>
      </c>
      <c r="F32" s="28"/>
      <c r="G32" s="28"/>
      <c r="H32" s="28"/>
      <c r="I32" s="28"/>
      <c r="J32" s="29" t="n">
        <f aca="false">E32+F32+G32-H32-I32</f>
        <v>0</v>
      </c>
      <c r="K32" s="29" t="n">
        <f aca="false">ROUND(E32+F32+G32-H32-I32-J32,1)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158</v>
      </c>
      <c r="D33" s="18" t="s">
        <v>159</v>
      </c>
      <c r="E33" s="29" t="n">
        <f aca="false">J32</f>
        <v>0</v>
      </c>
      <c r="F33" s="28"/>
      <c r="G33" s="28"/>
      <c r="H33" s="28"/>
      <c r="I33" s="28"/>
      <c r="J33" s="29" t="n">
        <f aca="false">E33+F33+G33-H33-I33</f>
        <v>0</v>
      </c>
      <c r="K33" s="29" t="n">
        <f aca="false">ROUND(E33+F33+G33-H33-I33-J33,1)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158</v>
      </c>
      <c r="D34" s="18" t="s">
        <v>159</v>
      </c>
      <c r="E34" s="29" t="n">
        <f aca="false">J33</f>
        <v>0</v>
      </c>
      <c r="F34" s="28"/>
      <c r="G34" s="28"/>
      <c r="H34" s="28"/>
      <c r="I34" s="28"/>
      <c r="J34" s="29" t="n">
        <f aca="false">E34+F34+G34-H34-I34</f>
        <v>0</v>
      </c>
      <c r="K34" s="29" t="n">
        <f aca="false">ROUND(E34+F34+G34-H34-I34-J34,1)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158</v>
      </c>
      <c r="D35" s="18" t="s">
        <v>159</v>
      </c>
      <c r="E35" s="29" t="n">
        <f aca="false">J34</f>
        <v>0</v>
      </c>
      <c r="F35" s="28"/>
      <c r="G35" s="28"/>
      <c r="H35" s="28"/>
      <c r="I35" s="28"/>
      <c r="J35" s="29" t="n">
        <f aca="false">E35+F35+G35-H35-I35</f>
        <v>0</v>
      </c>
      <c r="K35" s="29" t="n">
        <f aca="false">ROUND(E35+F35+G35-H35-I35-J35,1)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158</v>
      </c>
      <c r="D36" s="18" t="s">
        <v>159</v>
      </c>
      <c r="E36" s="29" t="n">
        <f aca="false">J35</f>
        <v>0</v>
      </c>
      <c r="F36" s="28"/>
      <c r="G36" s="28"/>
      <c r="H36" s="28"/>
      <c r="I36" s="28"/>
      <c r="J36" s="29" t="n">
        <f aca="false">E36+F36+G36-H36-I36</f>
        <v>0</v>
      </c>
      <c r="K36" s="29" t="n">
        <f aca="false">ROUND(E36+F36+G36-H36-I36-J36,1)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158</v>
      </c>
      <c r="D37" s="18" t="s">
        <v>159</v>
      </c>
      <c r="E37" s="29" t="n">
        <f aca="false">J36</f>
        <v>0</v>
      </c>
      <c r="F37" s="28"/>
      <c r="G37" s="28"/>
      <c r="H37" s="28"/>
      <c r="I37" s="28"/>
      <c r="J37" s="29" t="n">
        <f aca="false">E37+F37+G37-H37-I37</f>
        <v>0</v>
      </c>
      <c r="K37" s="29" t="n">
        <f aca="false">ROUND(E37+F37+G37-H37-I37-J37,1)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158</v>
      </c>
      <c r="D38" s="18" t="s">
        <v>159</v>
      </c>
      <c r="E38" s="29" t="n">
        <f aca="false">J37</f>
        <v>0</v>
      </c>
      <c r="F38" s="28"/>
      <c r="G38" s="28"/>
      <c r="H38" s="28"/>
      <c r="I38" s="28"/>
      <c r="J38" s="29" t="n">
        <f aca="false">E38+F38+G38-H38-I38</f>
        <v>0</v>
      </c>
      <c r="K38" s="29" t="n">
        <f aca="false">ROUND(E38+F38+G38-H38-I38-J38,1)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158</v>
      </c>
      <c r="D39" s="18" t="s">
        <v>159</v>
      </c>
      <c r="E39" s="29" t="n">
        <f aca="false">J38</f>
        <v>0</v>
      </c>
      <c r="F39" s="28"/>
      <c r="G39" s="28"/>
      <c r="H39" s="28"/>
      <c r="I39" s="28"/>
      <c r="J39" s="29" t="n">
        <f aca="false">E39+F39+G39-H39-I39</f>
        <v>0</v>
      </c>
      <c r="K39" s="29" t="n">
        <f aca="false">ROUND(E39+F39+G39-H39-I39-J39,1)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158</v>
      </c>
      <c r="D40" s="18" t="s">
        <v>159</v>
      </c>
      <c r="E40" s="29" t="n">
        <f aca="false">J39</f>
        <v>0</v>
      </c>
      <c r="F40" s="28"/>
      <c r="G40" s="28"/>
      <c r="H40" s="28"/>
      <c r="I40" s="28"/>
      <c r="J40" s="29" t="n">
        <f aca="false">E40+F40+G40-H40-I40</f>
        <v>0</v>
      </c>
      <c r="K40" s="29" t="n">
        <f aca="false">ROUND(E40+F40+G40-H40-I40-J40,1)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158</v>
      </c>
      <c r="D41" s="18" t="s">
        <v>159</v>
      </c>
      <c r="E41" s="29" t="n">
        <f aca="false">J40</f>
        <v>0</v>
      </c>
      <c r="F41" s="28"/>
      <c r="G41" s="28"/>
      <c r="H41" s="28"/>
      <c r="I41" s="28"/>
      <c r="J41" s="29" t="n">
        <f aca="false">E41+F41+G41-H41-I41</f>
        <v>0</v>
      </c>
      <c r="K41" s="29" t="n">
        <f aca="false">ROUND(E41+F41+G41-H41-I41-J41,1)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158</v>
      </c>
      <c r="D42" s="18" t="s">
        <v>159</v>
      </c>
      <c r="E42" s="29" t="n">
        <f aca="false">J41</f>
        <v>0</v>
      </c>
      <c r="F42" s="28"/>
      <c r="G42" s="28"/>
      <c r="H42" s="28"/>
      <c r="I42" s="28"/>
      <c r="J42" s="29" t="n">
        <f aca="false">E42+F42+G42-H42-I42</f>
        <v>0</v>
      </c>
      <c r="K42" s="29" t="n">
        <f aca="false">ROUND(E42+F42+G42-H42-I42-J42,1)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158</v>
      </c>
      <c r="D43" s="18" t="s">
        <v>159</v>
      </c>
      <c r="E43" s="29" t="n">
        <f aca="false">J42</f>
        <v>0</v>
      </c>
      <c r="F43" s="28"/>
      <c r="G43" s="28"/>
      <c r="H43" s="28"/>
      <c r="I43" s="28"/>
      <c r="J43" s="29" t="n">
        <f aca="false">E43+F43+G43-H43-I43</f>
        <v>0</v>
      </c>
      <c r="K43" s="29" t="n">
        <f aca="false">ROUND(E43+F43+G43-H43-I43-J43,1)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158</v>
      </c>
      <c r="D44" s="18" t="s">
        <v>159</v>
      </c>
      <c r="E44" s="29" t="n">
        <f aca="false">J43</f>
        <v>0</v>
      </c>
      <c r="F44" s="28"/>
      <c r="G44" s="28"/>
      <c r="H44" s="28"/>
      <c r="I44" s="28"/>
      <c r="J44" s="29" t="n">
        <f aca="false">E44+F44+G44-H44-I44</f>
        <v>0</v>
      </c>
      <c r="K44" s="29" t="n">
        <f aca="false">ROUND(E44+F44+G44-H44-I44-J44,1)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158</v>
      </c>
      <c r="D45" s="18" t="s">
        <v>159</v>
      </c>
      <c r="E45" s="29" t="n">
        <f aca="false">J44</f>
        <v>0</v>
      </c>
      <c r="F45" s="28"/>
      <c r="G45" s="28"/>
      <c r="H45" s="28"/>
      <c r="I45" s="28"/>
      <c r="J45" s="29" t="n">
        <f aca="false">E45+F45+G45-H45-I45</f>
        <v>0</v>
      </c>
      <c r="K45" s="29" t="n">
        <f aca="false">ROUND(E45+F45+G45-H45-I45-J45,1)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158</v>
      </c>
      <c r="D46" s="18" t="s">
        <v>159</v>
      </c>
      <c r="E46" s="29" t="n">
        <f aca="false">J45</f>
        <v>0</v>
      </c>
      <c r="F46" s="28"/>
      <c r="G46" s="28"/>
      <c r="H46" s="28"/>
      <c r="I46" s="28"/>
      <c r="J46" s="29" t="n">
        <f aca="false">E46+F46+G46-H46-I46</f>
        <v>0</v>
      </c>
      <c r="K46" s="29" t="n">
        <f aca="false">ROUND(E46+F46+G46-H46-I46-J46,1)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158</v>
      </c>
      <c r="D47" s="18" t="s">
        <v>159</v>
      </c>
      <c r="E47" s="29" t="n">
        <f aca="false">J46</f>
        <v>0</v>
      </c>
      <c r="F47" s="28"/>
      <c r="G47" s="28"/>
      <c r="H47" s="28"/>
      <c r="I47" s="28"/>
      <c r="J47" s="29" t="n">
        <f aca="false">E47+F47+G47-H47-I47</f>
        <v>0</v>
      </c>
      <c r="K47" s="29" t="n">
        <f aca="false">ROUND(E47+F47+G47-H47-I47-J47,1)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158</v>
      </c>
      <c r="D48" s="18" t="s">
        <v>159</v>
      </c>
      <c r="E48" s="29" t="n">
        <f aca="false">J47</f>
        <v>0</v>
      </c>
      <c r="F48" s="28"/>
      <c r="G48" s="28"/>
      <c r="H48" s="28"/>
      <c r="I48" s="28"/>
      <c r="J48" s="29" t="n">
        <f aca="false">E48+F48+G48-H48-I48</f>
        <v>0</v>
      </c>
      <c r="K48" s="29" t="n">
        <f aca="false">ROUND(E48+F48+G48-H48-I48-J48,1)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158</v>
      </c>
      <c r="D49" s="18" t="s">
        <v>159</v>
      </c>
      <c r="E49" s="29" t="n">
        <f aca="false">J48</f>
        <v>0</v>
      </c>
      <c r="F49" s="28"/>
      <c r="G49" s="28"/>
      <c r="H49" s="28"/>
      <c r="I49" s="28"/>
      <c r="J49" s="29" t="n">
        <f aca="false">E49+F49+G49-H49-I49</f>
        <v>0</v>
      </c>
      <c r="K49" s="29" t="n">
        <f aca="false">ROUND(E49+F49+G49-H49-I49-J49,1)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158</v>
      </c>
      <c r="D50" s="18" t="s">
        <v>159</v>
      </c>
      <c r="E50" s="29" t="n">
        <f aca="false">J49</f>
        <v>0</v>
      </c>
      <c r="F50" s="28"/>
      <c r="G50" s="28"/>
      <c r="H50" s="28"/>
      <c r="I50" s="28"/>
      <c r="J50" s="29" t="n">
        <f aca="false">E50+F50+G50-H50-I50</f>
        <v>0</v>
      </c>
      <c r="K50" s="29" t="n">
        <f aca="false">ROUND(E50+F50+G50-H50-I50-J50,1)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158</v>
      </c>
      <c r="D51" s="18" t="s">
        <v>159</v>
      </c>
      <c r="E51" s="29" t="n">
        <f aca="false">J50</f>
        <v>0</v>
      </c>
      <c r="F51" s="28"/>
      <c r="G51" s="28"/>
      <c r="H51" s="28"/>
      <c r="I51" s="28"/>
      <c r="J51" s="29" t="n">
        <f aca="false">E51+F51+G51-H51-I51</f>
        <v>0</v>
      </c>
      <c r="K51" s="29" t="n">
        <f aca="false">ROUND(E51+F51+G51-H51-I51-J51,1)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158</v>
      </c>
      <c r="D52" s="18" t="s">
        <v>159</v>
      </c>
      <c r="E52" s="29" t="n">
        <f aca="false">J51</f>
        <v>0</v>
      </c>
      <c r="F52" s="28"/>
      <c r="G52" s="28"/>
      <c r="H52" s="28"/>
      <c r="I52" s="28"/>
      <c r="J52" s="29" t="n">
        <f aca="false">E52+F52+G52-H52-I52</f>
        <v>0</v>
      </c>
      <c r="K52" s="29" t="n">
        <f aca="false">ROUND(E52+F52+G52-H52-I52-J52,1)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158</v>
      </c>
      <c r="D53" s="18" t="s">
        <v>159</v>
      </c>
      <c r="E53" s="29" t="n">
        <f aca="false">J52</f>
        <v>0</v>
      </c>
      <c r="F53" s="28"/>
      <c r="G53" s="28"/>
      <c r="H53" s="28"/>
      <c r="I53" s="28"/>
      <c r="J53" s="29" t="n">
        <f aca="false">E53+F53+G53-H53-I53</f>
        <v>0</v>
      </c>
      <c r="K53" s="29" t="n">
        <f aca="false">ROUND(E53+F53+G53-H53-I53-J53,1)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158</v>
      </c>
      <c r="D54" s="18" t="s">
        <v>159</v>
      </c>
      <c r="E54" s="29" t="n">
        <f aca="false">J53</f>
        <v>0</v>
      </c>
      <c r="F54" s="28"/>
      <c r="G54" s="28"/>
      <c r="H54" s="28"/>
      <c r="I54" s="28"/>
      <c r="J54" s="29" t="n">
        <f aca="false">E54+F54+G54-H54-I54</f>
        <v>0</v>
      </c>
      <c r="K54" s="29" t="n">
        <f aca="false">ROUND(E54+F54+G54-H54-I54-J54,1)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158</v>
      </c>
      <c r="D55" s="18" t="s">
        <v>159</v>
      </c>
      <c r="E55" s="29" t="n">
        <f aca="false">J54</f>
        <v>0</v>
      </c>
      <c r="F55" s="28"/>
      <c r="G55" s="28"/>
      <c r="H55" s="28"/>
      <c r="I55" s="28"/>
      <c r="J55" s="29" t="n">
        <f aca="false">E55+F55+G55-H55-I55</f>
        <v>0</v>
      </c>
      <c r="K55" s="29" t="n">
        <f aca="false">ROUND(E55+F55+G55-H55-I55-J55,1)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158</v>
      </c>
      <c r="D56" s="18" t="s">
        <v>159</v>
      </c>
      <c r="E56" s="29" t="n">
        <f aca="false">J55</f>
        <v>0</v>
      </c>
      <c r="F56" s="28"/>
      <c r="G56" s="28"/>
      <c r="H56" s="28"/>
      <c r="I56" s="28"/>
      <c r="J56" s="29" t="n">
        <f aca="false">E56+F56+G56-H56-I56</f>
        <v>0</v>
      </c>
      <c r="K56" s="29" t="n">
        <f aca="false">ROUND(E56+F56+G56-H56-I56-J56,1)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158</v>
      </c>
      <c r="D57" s="18" t="s">
        <v>159</v>
      </c>
      <c r="E57" s="29" t="n">
        <f aca="false">J56</f>
        <v>0</v>
      </c>
      <c r="F57" s="28"/>
      <c r="G57" s="28"/>
      <c r="H57" s="28"/>
      <c r="I57" s="28"/>
      <c r="J57" s="29" t="n">
        <f aca="false">E57+F57+G57-H57-I57</f>
        <v>0</v>
      </c>
      <c r="K57" s="29" t="n">
        <f aca="false">ROUND(E57+F57+G57-H57-I57-J57,1)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158</v>
      </c>
      <c r="D58" s="18" t="s">
        <v>159</v>
      </c>
      <c r="E58" s="29" t="n">
        <f aca="false">J57</f>
        <v>0</v>
      </c>
      <c r="F58" s="28"/>
      <c r="G58" s="28"/>
      <c r="H58" s="28"/>
      <c r="I58" s="28"/>
      <c r="J58" s="29" t="n">
        <f aca="false">E58+F58+G58-H58-I58</f>
        <v>0</v>
      </c>
      <c r="K58" s="29" t="n">
        <f aca="false">ROUND(E58+F58+G58-H58-I58-J58,1)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158</v>
      </c>
      <c r="D59" s="18" t="s">
        <v>159</v>
      </c>
      <c r="E59" s="29" t="n">
        <f aca="false">J58</f>
        <v>0</v>
      </c>
      <c r="F59" s="28"/>
      <c r="G59" s="28"/>
      <c r="H59" s="28"/>
      <c r="I59" s="28"/>
      <c r="J59" s="29" t="n">
        <f aca="false">E59+F59+G59-H59-I59</f>
        <v>0</v>
      </c>
      <c r="K59" s="29" t="n">
        <f aca="false">ROUND(E59+F59+G59-H59-I59-J59,1)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158</v>
      </c>
      <c r="D60" s="18" t="s">
        <v>159</v>
      </c>
      <c r="E60" s="29" t="n">
        <f aca="false">J59</f>
        <v>0</v>
      </c>
      <c r="F60" s="28"/>
      <c r="G60" s="28"/>
      <c r="H60" s="28"/>
      <c r="I60" s="28"/>
      <c r="J60" s="29" t="n">
        <f aca="false">E60+F60+G60-H60-I60</f>
        <v>0</v>
      </c>
      <c r="K60" s="29" t="n">
        <f aca="false">ROUND(E60+F60+G60-H60-I60-J60,1)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158</v>
      </c>
      <c r="D61" s="18" t="s">
        <v>159</v>
      </c>
      <c r="E61" s="29" t="n">
        <f aca="false">J60</f>
        <v>0</v>
      </c>
      <c r="F61" s="28"/>
      <c r="G61" s="28"/>
      <c r="H61" s="28"/>
      <c r="I61" s="28"/>
      <c r="J61" s="29" t="n">
        <f aca="false">E61+F61+G61-H61-I61</f>
        <v>0</v>
      </c>
      <c r="K61" s="29" t="n">
        <f aca="false">ROUND(E61+F61+G61-H61-I61-J61,1)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158</v>
      </c>
      <c r="D62" s="18" t="s">
        <v>159</v>
      </c>
      <c r="E62" s="29" t="n">
        <f aca="false">J61</f>
        <v>0</v>
      </c>
      <c r="F62" s="28"/>
      <c r="G62" s="28"/>
      <c r="H62" s="28"/>
      <c r="I62" s="28"/>
      <c r="J62" s="29" t="n">
        <f aca="false">E62+F62+G62-H62-I62</f>
        <v>0</v>
      </c>
      <c r="K62" s="29" t="n">
        <f aca="false">ROUND(E62+F62+G62-H62-I62-J62,1)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158</v>
      </c>
      <c r="D63" s="18" t="s">
        <v>159</v>
      </c>
      <c r="E63" s="29" t="n">
        <f aca="false">J62</f>
        <v>0</v>
      </c>
      <c r="F63" s="28"/>
      <c r="G63" s="28"/>
      <c r="H63" s="28"/>
      <c r="I63" s="28"/>
      <c r="J63" s="29" t="n">
        <f aca="false">E63+F63+G63-H63-I63</f>
        <v>0</v>
      </c>
      <c r="K63" s="29" t="n">
        <f aca="false">ROUND(E63+F63+G63-H63-I63-J63,1)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158</v>
      </c>
      <c r="D64" s="18" t="s">
        <v>159</v>
      </c>
      <c r="E64" s="29" t="n">
        <f aca="false">J63</f>
        <v>0</v>
      </c>
      <c r="F64" s="28"/>
      <c r="G64" s="28"/>
      <c r="H64" s="28"/>
      <c r="I64" s="28"/>
      <c r="J64" s="29" t="n">
        <f aca="false">E64+F64+G64-H64-I64</f>
        <v>0</v>
      </c>
      <c r="K64" s="29" t="n">
        <f aca="false">ROUND(E64+F64+G64-H64-I64-J64,1)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158</v>
      </c>
      <c r="D65" s="18" t="s">
        <v>159</v>
      </c>
      <c r="E65" s="29" t="n">
        <f aca="false">J64</f>
        <v>0</v>
      </c>
      <c r="F65" s="28"/>
      <c r="G65" s="28"/>
      <c r="H65" s="28"/>
      <c r="I65" s="28"/>
      <c r="J65" s="29" t="n">
        <f aca="false">E65+F65+G65-H65-I65</f>
        <v>0</v>
      </c>
      <c r="K65" s="29" t="n">
        <f aca="false">ROUND(E65+F65+G65-H65-I65-J65,1)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158</v>
      </c>
      <c r="D66" s="18" t="s">
        <v>159</v>
      </c>
      <c r="E66" s="29" t="n">
        <f aca="false">J65</f>
        <v>0</v>
      </c>
      <c r="F66" s="28"/>
      <c r="G66" s="28"/>
      <c r="H66" s="28"/>
      <c r="I66" s="28"/>
      <c r="J66" s="29" t="n">
        <f aca="false">E66+F66+G66-H66-I66</f>
        <v>0</v>
      </c>
      <c r="K66" s="29" t="n">
        <f aca="false">ROUND(E66+F66+G66-H66-I66-J66,1)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158</v>
      </c>
      <c r="D67" s="18" t="s">
        <v>159</v>
      </c>
      <c r="E67" s="29" t="n">
        <f aca="false">J66</f>
        <v>0</v>
      </c>
      <c r="F67" s="28"/>
      <c r="G67" s="28"/>
      <c r="H67" s="28"/>
      <c r="I67" s="28"/>
      <c r="J67" s="29" t="n">
        <f aca="false">E67+F67+G67-H67-I67</f>
        <v>0</v>
      </c>
      <c r="K67" s="29" t="n">
        <f aca="false">ROUND(E67+F67+G67-H67-I67-J67,1)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158</v>
      </c>
      <c r="D68" s="18" t="s">
        <v>159</v>
      </c>
      <c r="E68" s="29" t="n">
        <f aca="false">J67</f>
        <v>0</v>
      </c>
      <c r="F68" s="28"/>
      <c r="G68" s="28"/>
      <c r="H68" s="28"/>
      <c r="I68" s="28"/>
      <c r="J68" s="29" t="n">
        <f aca="false">E68+F68+G68-H68-I68</f>
        <v>0</v>
      </c>
      <c r="K68" s="29" t="n">
        <f aca="false">ROUND(E68+F68+G68-H68-I68-J68,1)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158</v>
      </c>
      <c r="D69" s="18" t="s">
        <v>159</v>
      </c>
      <c r="E69" s="29" t="n">
        <f aca="false">J68</f>
        <v>0</v>
      </c>
      <c r="F69" s="28"/>
      <c r="G69" s="28"/>
      <c r="H69" s="28"/>
      <c r="I69" s="28"/>
      <c r="J69" s="29" t="n">
        <f aca="false">E69+F69+G69-H69-I69</f>
        <v>0</v>
      </c>
      <c r="K69" s="29" t="n">
        <f aca="false">ROUND(E69+F69+G69-H69-I69-J69,1)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158</v>
      </c>
      <c r="D70" s="18" t="s">
        <v>159</v>
      </c>
      <c r="E70" s="29" t="n">
        <f aca="false">J69</f>
        <v>0</v>
      </c>
      <c r="F70" s="28"/>
      <c r="G70" s="28"/>
      <c r="H70" s="28"/>
      <c r="I70" s="28"/>
      <c r="J70" s="29" t="n">
        <f aca="false">E70+F70+G70-H70-I70</f>
        <v>0</v>
      </c>
      <c r="K70" s="29" t="n">
        <f aca="false">ROUND(E70+F70+G70-H70-I70-J70,1)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158</v>
      </c>
      <c r="D71" s="18" t="s">
        <v>159</v>
      </c>
      <c r="E71" s="29" t="n">
        <f aca="false">J70</f>
        <v>0</v>
      </c>
      <c r="F71" s="28"/>
      <c r="G71" s="28"/>
      <c r="H71" s="28"/>
      <c r="I71" s="28"/>
      <c r="J71" s="29" t="n">
        <f aca="false">E71+F71+G71-H71-I71</f>
        <v>0</v>
      </c>
      <c r="K71" s="29" t="n">
        <f aca="false">ROUND(E71+F71+G71-H71-I71-J71,1)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158</v>
      </c>
      <c r="D72" s="18" t="s">
        <v>159</v>
      </c>
      <c r="E72" s="29" t="n">
        <f aca="false">J71</f>
        <v>0</v>
      </c>
      <c r="F72" s="28"/>
      <c r="G72" s="28"/>
      <c r="H72" s="28"/>
      <c r="I72" s="28"/>
      <c r="J72" s="29" t="n">
        <f aca="false">E72+F72+G72-H72-I72</f>
        <v>0</v>
      </c>
      <c r="K72" s="29" t="n">
        <f aca="false">ROUND(E72+F72+G72-H72-I72-J72,1)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158</v>
      </c>
      <c r="D73" s="18" t="s">
        <v>159</v>
      </c>
      <c r="E73" s="29" t="n">
        <f aca="false">J72</f>
        <v>0</v>
      </c>
      <c r="F73" s="28"/>
      <c r="G73" s="28"/>
      <c r="H73" s="28"/>
      <c r="I73" s="28"/>
      <c r="J73" s="29" t="n">
        <f aca="false">E73+F73+G73-H73-I73</f>
        <v>0</v>
      </c>
      <c r="K73" s="29" t="n">
        <f aca="false">ROUND(E73+F73+G73-H73-I73-J73,1)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158</v>
      </c>
      <c r="D74" s="18" t="s">
        <v>159</v>
      </c>
      <c r="E74" s="29" t="n">
        <f aca="false">J73</f>
        <v>0</v>
      </c>
      <c r="F74" s="28"/>
      <c r="G74" s="28"/>
      <c r="H74" s="28"/>
      <c r="I74" s="28"/>
      <c r="J74" s="29" t="n">
        <f aca="false">E74+F74+G74-H74-I74</f>
        <v>0</v>
      </c>
      <c r="K74" s="29" t="n">
        <f aca="false">ROUND(E74+F74+G74-H74-I74-J74,1)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158</v>
      </c>
      <c r="D75" s="18" t="s">
        <v>159</v>
      </c>
      <c r="E75" s="29" t="n">
        <f aca="false">J74</f>
        <v>0</v>
      </c>
      <c r="F75" s="28"/>
      <c r="G75" s="28"/>
      <c r="H75" s="28"/>
      <c r="I75" s="28"/>
      <c r="J75" s="29" t="n">
        <f aca="false">E75+F75+G75-H75-I75</f>
        <v>0</v>
      </c>
      <c r="K75" s="29" t="n">
        <f aca="false">ROUND(E75+F75+G75-H75-I75-J75,1)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158</v>
      </c>
      <c r="D76" s="18" t="s">
        <v>159</v>
      </c>
      <c r="E76" s="29" t="n">
        <f aca="false">J75</f>
        <v>0</v>
      </c>
      <c r="F76" s="28"/>
      <c r="G76" s="28"/>
      <c r="H76" s="28"/>
      <c r="I76" s="28"/>
      <c r="J76" s="29" t="n">
        <f aca="false">E76+F76+G76-H76-I76</f>
        <v>0</v>
      </c>
      <c r="K76" s="29" t="n">
        <f aca="false">ROUND(E76+F76+G76-H76-I76-J76,1)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158</v>
      </c>
      <c r="D77" s="18" t="s">
        <v>159</v>
      </c>
      <c r="E77" s="29" t="n">
        <f aca="false">J76</f>
        <v>0</v>
      </c>
      <c r="F77" s="28"/>
      <c r="G77" s="28"/>
      <c r="H77" s="28"/>
      <c r="I77" s="28"/>
      <c r="J77" s="29" t="n">
        <f aca="false">E77+F77+G77-H77-I77</f>
        <v>0</v>
      </c>
      <c r="K77" s="29" t="n">
        <f aca="false">ROUND(E77+F77+G77-H77-I77-J77,1)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158</v>
      </c>
      <c r="D78" s="18" t="s">
        <v>159</v>
      </c>
      <c r="E78" s="29" t="n">
        <f aca="false">J77</f>
        <v>0</v>
      </c>
      <c r="F78" s="28"/>
      <c r="G78" s="28"/>
      <c r="H78" s="28"/>
      <c r="I78" s="28"/>
      <c r="J78" s="29" t="n">
        <f aca="false">E78+F78+G78-H78-I78</f>
        <v>0</v>
      </c>
      <c r="K78" s="29" t="n">
        <f aca="false">ROUND(E78+F78+G78-H78-I78-J78,1)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158</v>
      </c>
      <c r="D79" s="18" t="s">
        <v>159</v>
      </c>
      <c r="E79" s="29" t="n">
        <f aca="false">J78</f>
        <v>0</v>
      </c>
      <c r="F79" s="28"/>
      <c r="G79" s="28"/>
      <c r="H79" s="28"/>
      <c r="I79" s="28"/>
      <c r="J79" s="29" t="n">
        <f aca="false">E79+F79+G79-H79-I79</f>
        <v>0</v>
      </c>
      <c r="K79" s="29" t="n">
        <f aca="false">ROUND(E79+F79+G79-H79-I79-J79,1)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158</v>
      </c>
      <c r="D80" s="18" t="s">
        <v>159</v>
      </c>
      <c r="E80" s="29" t="n">
        <f aca="false">J79</f>
        <v>0</v>
      </c>
      <c r="F80" s="28"/>
      <c r="G80" s="28"/>
      <c r="H80" s="28"/>
      <c r="I80" s="28"/>
      <c r="J80" s="29" t="n">
        <f aca="false">E80+F80+G80-H80-I80</f>
        <v>0</v>
      </c>
      <c r="K80" s="29" t="n">
        <f aca="false">ROUND(E80+F80+G80-H80-I80-J80,1)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158</v>
      </c>
      <c r="D81" s="18" t="s">
        <v>159</v>
      </c>
      <c r="E81" s="29" t="n">
        <f aca="false">J80</f>
        <v>0</v>
      </c>
      <c r="F81" s="28"/>
      <c r="G81" s="28"/>
      <c r="H81" s="28"/>
      <c r="I81" s="28"/>
      <c r="J81" s="29" t="n">
        <f aca="false">E81+F81+G81-H81-I81</f>
        <v>0</v>
      </c>
      <c r="K81" s="29" t="n">
        <f aca="false">ROUND(E81+F81+G81-H81-I81-J81,1)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158</v>
      </c>
      <c r="D82" s="18" t="s">
        <v>159</v>
      </c>
      <c r="E82" s="29" t="n">
        <f aca="false">J81</f>
        <v>0</v>
      </c>
      <c r="F82" s="28"/>
      <c r="G82" s="28"/>
      <c r="H82" s="28"/>
      <c r="I82" s="28"/>
      <c r="J82" s="29" t="n">
        <f aca="false">E82+F82+G82-H82-I82</f>
        <v>0</v>
      </c>
      <c r="K82" s="29" t="n">
        <f aca="false">ROUND(E82+F82+G82-H82-I82-J82,1)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158</v>
      </c>
      <c r="D83" s="18" t="s">
        <v>159</v>
      </c>
      <c r="E83" s="29" t="n">
        <f aca="false">J82</f>
        <v>0</v>
      </c>
      <c r="F83" s="28"/>
      <c r="G83" s="28"/>
      <c r="H83" s="28"/>
      <c r="I83" s="28"/>
      <c r="J83" s="29" t="n">
        <f aca="false">E83+F83+G83-H83-I83</f>
        <v>0</v>
      </c>
      <c r="K83" s="29" t="n">
        <f aca="false">ROUND(E83+F83+G83-H83-I83-J83,1)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158</v>
      </c>
      <c r="D84" s="18" t="s">
        <v>159</v>
      </c>
      <c r="E84" s="29" t="n">
        <f aca="false">J83</f>
        <v>0</v>
      </c>
      <c r="F84" s="28"/>
      <c r="G84" s="28"/>
      <c r="H84" s="28"/>
      <c r="I84" s="28"/>
      <c r="J84" s="29" t="n">
        <f aca="false">E84+F84+G84-H84-I84</f>
        <v>0</v>
      </c>
      <c r="K84" s="29" t="n">
        <f aca="false">ROUND(E84+F84+G84-H84-I84-J84,1)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158</v>
      </c>
      <c r="D85" s="18" t="s">
        <v>159</v>
      </c>
      <c r="E85" s="29" t="n">
        <f aca="false">J84</f>
        <v>0</v>
      </c>
      <c r="F85" s="28"/>
      <c r="G85" s="28"/>
      <c r="H85" s="28"/>
      <c r="I85" s="28"/>
      <c r="J85" s="29" t="n">
        <f aca="false">E85+F85+G85-H85-I85</f>
        <v>0</v>
      </c>
      <c r="K85" s="29" t="n">
        <f aca="false">ROUND(E85+F85+G85-H85-I85-J85,1)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158</v>
      </c>
      <c r="D86" s="18" t="s">
        <v>159</v>
      </c>
      <c r="E86" s="29" t="n">
        <f aca="false">J85</f>
        <v>0</v>
      </c>
      <c r="F86" s="28"/>
      <c r="G86" s="28"/>
      <c r="H86" s="28"/>
      <c r="I86" s="28"/>
      <c r="J86" s="29" t="n">
        <f aca="false">E86+F86+G86-H86-I86</f>
        <v>0</v>
      </c>
      <c r="K86" s="29" t="n">
        <f aca="false">ROUND(E86+F86+G86-H86-I86-J86,1)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158</v>
      </c>
      <c r="D87" s="18" t="s">
        <v>159</v>
      </c>
      <c r="E87" s="29" t="n">
        <f aca="false">J86</f>
        <v>0</v>
      </c>
      <c r="F87" s="28"/>
      <c r="G87" s="28"/>
      <c r="H87" s="28"/>
      <c r="I87" s="28"/>
      <c r="J87" s="29" t="n">
        <f aca="false">E87+F87+G87-H87-I87</f>
        <v>0</v>
      </c>
      <c r="K87" s="29" t="n">
        <f aca="false">ROUND(E87+F87+G87-H87-I87-J87,1)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158</v>
      </c>
      <c r="D88" s="18" t="s">
        <v>159</v>
      </c>
      <c r="E88" s="29" t="n">
        <f aca="false">J87</f>
        <v>0</v>
      </c>
      <c r="F88" s="28"/>
      <c r="G88" s="28"/>
      <c r="H88" s="28"/>
      <c r="I88" s="28"/>
      <c r="J88" s="29" t="n">
        <f aca="false">E88+F88+G88-H88-I88</f>
        <v>0</v>
      </c>
      <c r="K88" s="29" t="n">
        <f aca="false">ROUND(E88+F88+G88-H88-I88-J88,1)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158</v>
      </c>
      <c r="D89" s="18" t="s">
        <v>159</v>
      </c>
      <c r="E89" s="29" t="n">
        <f aca="false">J88</f>
        <v>0</v>
      </c>
      <c r="F89" s="28"/>
      <c r="G89" s="28"/>
      <c r="H89" s="28"/>
      <c r="I89" s="28"/>
      <c r="J89" s="29" t="n">
        <f aca="false">E89+F89+G89-H89-I89</f>
        <v>0</v>
      </c>
      <c r="K89" s="29" t="n">
        <f aca="false">ROUND(E89+F89+G89-H89-I89-J89,1)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158</v>
      </c>
      <c r="D90" s="18" t="s">
        <v>159</v>
      </c>
      <c r="E90" s="29" t="n">
        <f aca="false">J89</f>
        <v>0</v>
      </c>
      <c r="F90" s="28"/>
      <c r="G90" s="28"/>
      <c r="H90" s="28"/>
      <c r="I90" s="28"/>
      <c r="J90" s="29" t="n">
        <f aca="false">E90+F90+G90-H90-I90</f>
        <v>0</v>
      </c>
      <c r="K90" s="29" t="n">
        <f aca="false">ROUND(E90+F90+G90-H90-I90-J90,1)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158</v>
      </c>
      <c r="D91" s="18" t="s">
        <v>159</v>
      </c>
      <c r="E91" s="29" t="n">
        <f aca="false">J90</f>
        <v>0</v>
      </c>
      <c r="F91" s="28"/>
      <c r="G91" s="28"/>
      <c r="H91" s="28"/>
      <c r="I91" s="28"/>
      <c r="J91" s="29" t="n">
        <f aca="false">E91+F91+G91-H91-I91</f>
        <v>0</v>
      </c>
      <c r="K91" s="29" t="n">
        <f aca="false">ROUND(E91+F91+G91-H91-I91-J91,1)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158</v>
      </c>
      <c r="D92" s="18" t="s">
        <v>159</v>
      </c>
      <c r="E92" s="29" t="n">
        <f aca="false">J91</f>
        <v>0</v>
      </c>
      <c r="F92" s="28"/>
      <c r="G92" s="28"/>
      <c r="H92" s="28"/>
      <c r="I92" s="28"/>
      <c r="J92" s="29" t="n">
        <f aca="false">E92+F92+G92-H92-I92</f>
        <v>0</v>
      </c>
      <c r="K92" s="29" t="n">
        <f aca="false">ROUND(E92+F92+G92-H92-I92-J92,1)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158</v>
      </c>
      <c r="D93" s="18" t="s">
        <v>159</v>
      </c>
      <c r="E93" s="29" t="n">
        <f aca="false">J92</f>
        <v>0</v>
      </c>
      <c r="F93" s="28"/>
      <c r="G93" s="28"/>
      <c r="H93" s="28"/>
      <c r="I93" s="28"/>
      <c r="J93" s="29" t="n">
        <f aca="false">E93+F93+G93-H93-I93</f>
        <v>0</v>
      </c>
      <c r="K93" s="29" t="n">
        <f aca="false">ROUND(E93+F93+G93-H93-I93-J93,1)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158</v>
      </c>
      <c r="D94" s="18" t="s">
        <v>159</v>
      </c>
      <c r="E94" s="29" t="n">
        <f aca="false">J93</f>
        <v>0</v>
      </c>
      <c r="F94" s="28"/>
      <c r="G94" s="28"/>
      <c r="H94" s="28"/>
      <c r="I94" s="28"/>
      <c r="J94" s="29" t="n">
        <f aca="false">E94+F94+G94-H94-I94</f>
        <v>0</v>
      </c>
      <c r="K94" s="29" t="n">
        <f aca="false">ROUND(E94+F94+G94-H94-I94-J94,1)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158</v>
      </c>
      <c r="D95" s="18" t="s">
        <v>159</v>
      </c>
      <c r="E95" s="29" t="n">
        <f aca="false">J94</f>
        <v>0</v>
      </c>
      <c r="F95" s="28"/>
      <c r="G95" s="28"/>
      <c r="H95" s="28"/>
      <c r="I95" s="28"/>
      <c r="J95" s="29" t="n">
        <f aca="false">E95+F95+G95-H95-I95</f>
        <v>0</v>
      </c>
      <c r="K95" s="29" t="n">
        <f aca="false">ROUND(E95+F95+G95-H95-I95-J95,1)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158</v>
      </c>
      <c r="D96" s="18" t="s">
        <v>159</v>
      </c>
      <c r="E96" s="29" t="n">
        <f aca="false">J95</f>
        <v>0</v>
      </c>
      <c r="F96" s="28"/>
      <c r="G96" s="28"/>
      <c r="H96" s="28"/>
      <c r="I96" s="28"/>
      <c r="J96" s="29" t="n">
        <f aca="false">E96+F96+G96-H96-I96</f>
        <v>0</v>
      </c>
      <c r="K96" s="29" t="n">
        <f aca="false">ROUND(E96+F96+G96-H96-I96-J96,1)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158</v>
      </c>
      <c r="D97" s="18" t="s">
        <v>159</v>
      </c>
      <c r="E97" s="29" t="n">
        <f aca="false">J96</f>
        <v>0</v>
      </c>
      <c r="F97" s="28"/>
      <c r="G97" s="28"/>
      <c r="H97" s="28"/>
      <c r="I97" s="28"/>
      <c r="J97" s="29" t="n">
        <f aca="false">E97+F97+G97-H97-I97</f>
        <v>0</v>
      </c>
      <c r="K97" s="29" t="n">
        <f aca="false">ROUND(E97+F97+G97-H97-I97-J97,1)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158</v>
      </c>
      <c r="D98" s="18" t="s">
        <v>159</v>
      </c>
      <c r="E98" s="29" t="n">
        <f aca="false">J97</f>
        <v>0</v>
      </c>
      <c r="F98" s="28"/>
      <c r="G98" s="28"/>
      <c r="H98" s="28"/>
      <c r="I98" s="28"/>
      <c r="J98" s="29" t="n">
        <f aca="false">E98+F98+G98-H98-I98</f>
        <v>0</v>
      </c>
      <c r="K98" s="29" t="n">
        <f aca="false">ROUND(E98+F98+G98-H98-I98-J98,1)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158</v>
      </c>
      <c r="D99" s="18" t="s">
        <v>159</v>
      </c>
      <c r="E99" s="29" t="n">
        <f aca="false">J98</f>
        <v>0</v>
      </c>
      <c r="F99" s="28"/>
      <c r="G99" s="28"/>
      <c r="H99" s="28"/>
      <c r="I99" s="28"/>
      <c r="J99" s="29" t="n">
        <f aca="false">E99+F99+G99-H99-I99</f>
        <v>0</v>
      </c>
      <c r="K99" s="29" t="n">
        <f aca="false">ROUND(E99+F99+G99-H99-I99-J99,1)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158</v>
      </c>
      <c r="D100" s="18" t="s">
        <v>159</v>
      </c>
      <c r="E100" s="29" t="n">
        <f aca="false">J99</f>
        <v>0</v>
      </c>
      <c r="F100" s="28"/>
      <c r="G100" s="28"/>
      <c r="H100" s="28"/>
      <c r="I100" s="28"/>
      <c r="J100" s="29" t="n">
        <f aca="false">E100+F100+G100-H100-I100</f>
        <v>0</v>
      </c>
      <c r="K100" s="29" t="n">
        <f aca="false">ROUND(E100+F100+G100-H100-I100-J100,1)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158</v>
      </c>
      <c r="D101" s="18" t="s">
        <v>159</v>
      </c>
      <c r="E101" s="29" t="n">
        <f aca="false">J100</f>
        <v>0</v>
      </c>
      <c r="F101" s="28"/>
      <c r="G101" s="28"/>
      <c r="H101" s="28"/>
      <c r="I101" s="28"/>
      <c r="J101" s="29" t="n">
        <f aca="false">E101+F101+G101-H101-I101</f>
        <v>0</v>
      </c>
      <c r="K101" s="29" t="n">
        <f aca="false">ROUND(E101+F101+G101-H101-I101-J101,1)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158</v>
      </c>
      <c r="D102" s="18" t="s">
        <v>159</v>
      </c>
      <c r="E102" s="29" t="n">
        <f aca="false">J101</f>
        <v>0</v>
      </c>
      <c r="F102" s="28"/>
      <c r="G102" s="28"/>
      <c r="H102" s="28"/>
      <c r="I102" s="28"/>
      <c r="J102" s="29" t="n">
        <f aca="false">E102+F102+G102-H102-I102</f>
        <v>0</v>
      </c>
      <c r="K102" s="29" t="n">
        <f aca="false">ROUND(E102+F102+G102-H102-I102-J102,1)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158</v>
      </c>
      <c r="D103" s="18" t="s">
        <v>159</v>
      </c>
      <c r="E103" s="29" t="n">
        <f aca="false">J102</f>
        <v>0</v>
      </c>
      <c r="F103" s="28"/>
      <c r="G103" s="28"/>
      <c r="H103" s="28"/>
      <c r="I103" s="28"/>
      <c r="J103" s="29" t="n">
        <f aca="false">E103+F103+G103-H103-I103</f>
        <v>0</v>
      </c>
      <c r="K103" s="29" t="n">
        <f aca="false">ROUND(E103+F103+G103-H103-I103-J103,1)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158</v>
      </c>
      <c r="D104" s="18" t="s">
        <v>159</v>
      </c>
      <c r="E104" s="29" t="n">
        <f aca="false">J103</f>
        <v>0</v>
      </c>
      <c r="F104" s="28"/>
      <c r="G104" s="28"/>
      <c r="H104" s="28"/>
      <c r="I104" s="28"/>
      <c r="J104" s="29" t="n">
        <f aca="false">E104+F104+G104-H104-I104</f>
        <v>0</v>
      </c>
      <c r="K104" s="29" t="n">
        <f aca="false">ROUND(E104+F104+G104-H104-I104-J104,1)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158</v>
      </c>
      <c r="D105" s="18" t="s">
        <v>159</v>
      </c>
      <c r="E105" s="29" t="n">
        <f aca="false">J104</f>
        <v>0</v>
      </c>
      <c r="F105" s="28"/>
      <c r="G105" s="28"/>
      <c r="H105" s="28"/>
      <c r="I105" s="28"/>
      <c r="J105" s="29" t="n">
        <f aca="false">E105+F105+G105-H105-I105</f>
        <v>0</v>
      </c>
      <c r="K105" s="29" t="n">
        <f aca="false">ROUND(E105+F105+G105-H105-I105-J105,1)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158</v>
      </c>
      <c r="D106" s="18" t="s">
        <v>159</v>
      </c>
      <c r="E106" s="29" t="n">
        <f aca="false">J105</f>
        <v>0</v>
      </c>
      <c r="F106" s="28"/>
      <c r="G106" s="28"/>
      <c r="H106" s="28"/>
      <c r="I106" s="28"/>
      <c r="J106" s="29" t="n">
        <f aca="false">E106+F106+G106-H106-I106</f>
        <v>0</v>
      </c>
      <c r="K106" s="29" t="n">
        <f aca="false">ROUND(E106+F106+G106-H106-I106-J106,1)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158</v>
      </c>
      <c r="D107" s="18" t="s">
        <v>159</v>
      </c>
      <c r="E107" s="29" t="n">
        <f aca="false">J106</f>
        <v>0</v>
      </c>
      <c r="F107" s="28"/>
      <c r="G107" s="28"/>
      <c r="H107" s="28"/>
      <c r="I107" s="28"/>
      <c r="J107" s="29" t="n">
        <f aca="false">E107+F107+G107-H107-I107</f>
        <v>0</v>
      </c>
      <c r="K107" s="29" t="n">
        <f aca="false">ROUND(E107+F107+G107-H107-I107-J107,1)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158</v>
      </c>
      <c r="D108" s="18" t="s">
        <v>159</v>
      </c>
      <c r="E108" s="29" t="n">
        <f aca="false">J107</f>
        <v>0</v>
      </c>
      <c r="F108" s="28"/>
      <c r="G108" s="28"/>
      <c r="H108" s="28"/>
      <c r="I108" s="28"/>
      <c r="J108" s="29" t="n">
        <f aca="false">E108+F108+G108-H108-I108</f>
        <v>0</v>
      </c>
      <c r="K108" s="29" t="n">
        <f aca="false">ROUND(E108+F108+G108-H108-I108-J108,1)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158</v>
      </c>
      <c r="D109" s="18" t="s">
        <v>159</v>
      </c>
      <c r="E109" s="29" t="n">
        <f aca="false">J108</f>
        <v>0</v>
      </c>
      <c r="F109" s="28"/>
      <c r="G109" s="28"/>
      <c r="H109" s="28"/>
      <c r="I109" s="28"/>
      <c r="J109" s="29" t="n">
        <f aca="false">E109+F109+G109-H109-I109</f>
        <v>0</v>
      </c>
      <c r="K109" s="29" t="n">
        <f aca="false">ROUND(E109+F109+G109-H109-I109-J109,1)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158</v>
      </c>
      <c r="D110" s="18" t="s">
        <v>159</v>
      </c>
      <c r="E110" s="29" t="n">
        <f aca="false">J109</f>
        <v>0</v>
      </c>
      <c r="F110" s="28"/>
      <c r="G110" s="28"/>
      <c r="H110" s="28"/>
      <c r="I110" s="28"/>
      <c r="J110" s="29" t="n">
        <f aca="false">E110+F110+G110-H110-I110</f>
        <v>0</v>
      </c>
      <c r="K110" s="29" t="n">
        <f aca="false">ROUND(E110+F110+G110-H110-I110-J110,1)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158</v>
      </c>
      <c r="D111" s="18" t="s">
        <v>159</v>
      </c>
      <c r="E111" s="29" t="n">
        <f aca="false">J110</f>
        <v>0</v>
      </c>
      <c r="F111" s="28"/>
      <c r="G111" s="28"/>
      <c r="H111" s="28"/>
      <c r="I111" s="28"/>
      <c r="J111" s="29" t="n">
        <f aca="false">E111+F111+G111-H111-I111</f>
        <v>0</v>
      </c>
      <c r="K111" s="29" t="n">
        <f aca="false">ROUND(E111+F111+G111-H111-I111-J111,1)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158</v>
      </c>
      <c r="D112" s="18" t="s">
        <v>159</v>
      </c>
      <c r="E112" s="29" t="n">
        <f aca="false">J111</f>
        <v>0</v>
      </c>
      <c r="F112" s="28"/>
      <c r="G112" s="28"/>
      <c r="H112" s="28"/>
      <c r="I112" s="28"/>
      <c r="J112" s="29" t="n">
        <f aca="false">E112+F112+G112-H112-I112</f>
        <v>0</v>
      </c>
      <c r="K112" s="29" t="n">
        <f aca="false">ROUND(E112+F112+G112-H112-I112-J112,1)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158</v>
      </c>
      <c r="D113" s="18" t="s">
        <v>159</v>
      </c>
      <c r="E113" s="29" t="n">
        <f aca="false">J112</f>
        <v>0</v>
      </c>
      <c r="F113" s="28"/>
      <c r="G113" s="28"/>
      <c r="H113" s="28"/>
      <c r="I113" s="28"/>
      <c r="J113" s="29" t="n">
        <f aca="false">E113+F113+G113-H113-I113</f>
        <v>0</v>
      </c>
      <c r="K113" s="29" t="n">
        <f aca="false">ROUND(E113+F113+G113-H113-I113-J113,1)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158</v>
      </c>
      <c r="D114" s="18" t="s">
        <v>159</v>
      </c>
      <c r="E114" s="29" t="n">
        <f aca="false">J113</f>
        <v>0</v>
      </c>
      <c r="F114" s="28"/>
      <c r="G114" s="28"/>
      <c r="H114" s="28"/>
      <c r="I114" s="28"/>
      <c r="J114" s="29" t="n">
        <f aca="false">E114+F114+G114-H114-I114</f>
        <v>0</v>
      </c>
      <c r="K114" s="29" t="n">
        <f aca="false">ROUND(E114+F114+G114-H114-I114-J114,1)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158</v>
      </c>
      <c r="D115" s="18" t="s">
        <v>159</v>
      </c>
      <c r="E115" s="29" t="n">
        <f aca="false">J114</f>
        <v>0</v>
      </c>
      <c r="F115" s="28"/>
      <c r="G115" s="28"/>
      <c r="H115" s="28"/>
      <c r="I115" s="28"/>
      <c r="J115" s="29" t="n">
        <f aca="false">E115+F115+G115-H115-I115</f>
        <v>0</v>
      </c>
      <c r="K115" s="29" t="n">
        <f aca="false">ROUND(E115+F115+G115-H115-I115-J115,1)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158</v>
      </c>
      <c r="D116" s="18" t="s">
        <v>159</v>
      </c>
      <c r="E116" s="29" t="n">
        <f aca="false">J115</f>
        <v>0</v>
      </c>
      <c r="F116" s="28"/>
      <c r="G116" s="28"/>
      <c r="H116" s="28"/>
      <c r="I116" s="28"/>
      <c r="J116" s="29" t="n">
        <f aca="false">E116+F116+G116-H116-I116</f>
        <v>0</v>
      </c>
      <c r="K116" s="29" t="n">
        <f aca="false">ROUND(E116+F116+G116-H116-I116-J116,1)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158</v>
      </c>
      <c r="D117" s="18" t="s">
        <v>159</v>
      </c>
      <c r="E117" s="29" t="n">
        <f aca="false">J116</f>
        <v>0</v>
      </c>
      <c r="F117" s="28"/>
      <c r="G117" s="28"/>
      <c r="H117" s="28"/>
      <c r="I117" s="28"/>
      <c r="J117" s="29" t="n">
        <f aca="false">E117+F117+G117-H117-I117</f>
        <v>0</v>
      </c>
      <c r="K117" s="29" t="n">
        <f aca="false">ROUND(E117+F117+G117-H117-I117-J117,1)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158</v>
      </c>
      <c r="D118" s="18" t="s">
        <v>159</v>
      </c>
      <c r="E118" s="29" t="n">
        <f aca="false">J117</f>
        <v>0</v>
      </c>
      <c r="F118" s="28"/>
      <c r="G118" s="28"/>
      <c r="H118" s="28"/>
      <c r="I118" s="28"/>
      <c r="J118" s="29" t="n">
        <f aca="false">E118+F118+G118-H118-I118</f>
        <v>0</v>
      </c>
      <c r="K118" s="29" t="n">
        <f aca="false">ROUND(E118+F118+G118-H118-I118-J118,1)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158</v>
      </c>
      <c r="D119" s="18" t="s">
        <v>159</v>
      </c>
      <c r="E119" s="29" t="n">
        <f aca="false">J118</f>
        <v>0</v>
      </c>
      <c r="F119" s="28"/>
      <c r="G119" s="28"/>
      <c r="H119" s="28"/>
      <c r="I119" s="28"/>
      <c r="J119" s="29" t="n">
        <f aca="false">E119+F119+G119-H119-I119</f>
        <v>0</v>
      </c>
      <c r="K119" s="29" t="n">
        <f aca="false">ROUND(E119+F119+G119-H119-I119-J119,1)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158</v>
      </c>
      <c r="D120" s="18" t="s">
        <v>159</v>
      </c>
      <c r="E120" s="29" t="n">
        <f aca="false">J119</f>
        <v>0</v>
      </c>
      <c r="F120" s="28"/>
      <c r="G120" s="28"/>
      <c r="H120" s="28"/>
      <c r="I120" s="28"/>
      <c r="J120" s="29" t="n">
        <f aca="false">E120+F120+G120-H120-I120</f>
        <v>0</v>
      </c>
      <c r="K120" s="29" t="n">
        <f aca="false">ROUND(E120+F120+G120-H120-I120-J120,1)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158</v>
      </c>
      <c r="D121" s="18" t="s">
        <v>159</v>
      </c>
      <c r="E121" s="29" t="n">
        <f aca="false">J120</f>
        <v>0</v>
      </c>
      <c r="F121" s="28"/>
      <c r="G121" s="28"/>
      <c r="H121" s="28"/>
      <c r="I121" s="28"/>
      <c r="J121" s="29" t="n">
        <f aca="false">E121+F121+G121-H121-I121</f>
        <v>0</v>
      </c>
      <c r="K121" s="29" t="n">
        <f aca="false">ROUND(E121+F121+G121-H121-I121-J121,1)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158</v>
      </c>
      <c r="D122" s="18" t="s">
        <v>159</v>
      </c>
      <c r="E122" s="29" t="n">
        <f aca="false">J121</f>
        <v>0</v>
      </c>
      <c r="F122" s="28"/>
      <c r="G122" s="28"/>
      <c r="H122" s="28"/>
      <c r="I122" s="28"/>
      <c r="J122" s="29" t="n">
        <f aca="false">E122+F122+G122-H122-I122</f>
        <v>0</v>
      </c>
      <c r="K122" s="29" t="n">
        <f aca="false">ROUND(E122+F122+G122-H122-I122-J122,1)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158</v>
      </c>
      <c r="D123" s="18" t="s">
        <v>159</v>
      </c>
      <c r="E123" s="29" t="n">
        <f aca="false">J122</f>
        <v>0</v>
      </c>
      <c r="F123" s="28"/>
      <c r="G123" s="28"/>
      <c r="H123" s="28"/>
      <c r="I123" s="28"/>
      <c r="J123" s="29" t="n">
        <f aca="false">E123+F123+G123-H123-I123</f>
        <v>0</v>
      </c>
      <c r="K123" s="29" t="n">
        <f aca="false">ROUND(E123+F123+G123-H123-I123-J123,1)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158</v>
      </c>
      <c r="D124" s="18" t="s">
        <v>159</v>
      </c>
      <c r="E124" s="29" t="n">
        <f aca="false">J123</f>
        <v>0</v>
      </c>
      <c r="F124" s="28"/>
      <c r="G124" s="28"/>
      <c r="H124" s="28"/>
      <c r="I124" s="28"/>
      <c r="J124" s="29" t="n">
        <f aca="false">E124+F124+G124-H124-I124</f>
        <v>0</v>
      </c>
      <c r="K124" s="29" t="n">
        <f aca="false">ROUND(E124+F124+G124-H124-I124-J124,1)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158</v>
      </c>
      <c r="D125" s="18" t="s">
        <v>159</v>
      </c>
      <c r="E125" s="29" t="n">
        <f aca="false">J124</f>
        <v>0</v>
      </c>
      <c r="F125" s="28"/>
      <c r="G125" s="28"/>
      <c r="H125" s="28"/>
      <c r="I125" s="28"/>
      <c r="J125" s="29" t="n">
        <f aca="false">E125+F125+G125-H125-I125</f>
        <v>0</v>
      </c>
      <c r="K125" s="29" t="n">
        <f aca="false">ROUND(E125+F125+G125-H125-I125-J125,1)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158</v>
      </c>
      <c r="D126" s="18" t="s">
        <v>159</v>
      </c>
      <c r="E126" s="29" t="n">
        <f aca="false">J125</f>
        <v>0</v>
      </c>
      <c r="F126" s="28"/>
      <c r="G126" s="28"/>
      <c r="H126" s="28"/>
      <c r="I126" s="28"/>
      <c r="J126" s="29" t="n">
        <f aca="false">E126+F126+G126-H126-I126</f>
        <v>0</v>
      </c>
      <c r="K126" s="29" t="n">
        <f aca="false">ROUND(E126+F126+G126-H126-I126-J126,1)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158</v>
      </c>
      <c r="D127" s="18" t="s">
        <v>159</v>
      </c>
      <c r="E127" s="29" t="n">
        <f aca="false">J126</f>
        <v>0</v>
      </c>
      <c r="F127" s="28"/>
      <c r="G127" s="28"/>
      <c r="H127" s="28"/>
      <c r="I127" s="28"/>
      <c r="J127" s="29" t="n">
        <f aca="false">E127+F127+G127-H127-I127</f>
        <v>0</v>
      </c>
      <c r="K127" s="29" t="n">
        <f aca="false">ROUND(E127+F127+G127-H127-I127-J127,1)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158</v>
      </c>
      <c r="D128" s="18" t="s">
        <v>159</v>
      </c>
      <c r="E128" s="29" t="n">
        <f aca="false">J127</f>
        <v>0</v>
      </c>
      <c r="F128" s="28"/>
      <c r="G128" s="28"/>
      <c r="H128" s="28"/>
      <c r="I128" s="28"/>
      <c r="J128" s="29" t="n">
        <f aca="false">E128+F128+G128-H128-I128</f>
        <v>0</v>
      </c>
      <c r="K128" s="29" t="n">
        <f aca="false">ROUND(E128+F128+G128-H128-I128-J128,1)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158</v>
      </c>
      <c r="D129" s="18" t="s">
        <v>159</v>
      </c>
      <c r="E129" s="29" t="n">
        <f aca="false">J128</f>
        <v>0</v>
      </c>
      <c r="F129" s="28"/>
      <c r="G129" s="28"/>
      <c r="H129" s="28"/>
      <c r="I129" s="28"/>
      <c r="J129" s="29" t="n">
        <f aca="false">E129+F129+G129-H129-I129</f>
        <v>0</v>
      </c>
      <c r="K129" s="29" t="n">
        <f aca="false">ROUND(E129+F129+G129-H129-I129-J129,1)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158</v>
      </c>
      <c r="D130" s="18" t="s">
        <v>159</v>
      </c>
      <c r="E130" s="29" t="n">
        <f aca="false">J129</f>
        <v>0</v>
      </c>
      <c r="F130" s="28"/>
      <c r="G130" s="28"/>
      <c r="H130" s="28"/>
      <c r="I130" s="28"/>
      <c r="J130" s="29" t="n">
        <f aca="false">E130+F130+G130-H130-I130</f>
        <v>0</v>
      </c>
      <c r="K130" s="29" t="n">
        <f aca="false">ROUND(E130+F130+G130-H130-I130-J130,1)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158</v>
      </c>
      <c r="D131" s="18" t="s">
        <v>159</v>
      </c>
      <c r="E131" s="29" t="n">
        <f aca="false">J130</f>
        <v>0</v>
      </c>
      <c r="F131" s="28"/>
      <c r="G131" s="28"/>
      <c r="H131" s="28"/>
      <c r="I131" s="28"/>
      <c r="J131" s="29" t="n">
        <f aca="false">E131+F131+G131-H131-I131</f>
        <v>0</v>
      </c>
      <c r="K131" s="29" t="n">
        <f aca="false">ROUND(E131+F131+G131-H131-I131-J131,1)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158</v>
      </c>
      <c r="D132" s="18" t="s">
        <v>159</v>
      </c>
      <c r="E132" s="29" t="n">
        <f aca="false">J131</f>
        <v>0</v>
      </c>
      <c r="F132" s="28"/>
      <c r="G132" s="28"/>
      <c r="H132" s="28"/>
      <c r="I132" s="28"/>
      <c r="J132" s="29" t="n">
        <f aca="false">E132+F132+G132-H132-I132</f>
        <v>0</v>
      </c>
      <c r="K132" s="29" t="n">
        <f aca="false">ROUND(E132+F132+G132-H132-I132-J132,1)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158</v>
      </c>
      <c r="D133" s="18" t="s">
        <v>159</v>
      </c>
      <c r="E133" s="29" t="n">
        <f aca="false">J132</f>
        <v>0</v>
      </c>
      <c r="F133" s="28"/>
      <c r="G133" s="28"/>
      <c r="H133" s="28"/>
      <c r="I133" s="28"/>
      <c r="J133" s="29" t="n">
        <f aca="false">E133+F133+G133-H133-I133</f>
        <v>0</v>
      </c>
      <c r="K133" s="29" t="n">
        <f aca="false">ROUND(E133+F133+G133-H133-I133-J133,1)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158</v>
      </c>
      <c r="D134" s="18" t="s">
        <v>159</v>
      </c>
      <c r="E134" s="29" t="n">
        <f aca="false">J133</f>
        <v>0</v>
      </c>
      <c r="F134" s="28"/>
      <c r="G134" s="28"/>
      <c r="H134" s="28"/>
      <c r="I134" s="28"/>
      <c r="J134" s="29" t="n">
        <f aca="false">E134+F134+G134-H134-I134</f>
        <v>0</v>
      </c>
      <c r="K134" s="29" t="n">
        <f aca="false">ROUND(E134+F134+G134-H134-I134-J134,1)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158</v>
      </c>
      <c r="D135" s="18" t="s">
        <v>159</v>
      </c>
      <c r="E135" s="29" t="n">
        <f aca="false">J134</f>
        <v>0</v>
      </c>
      <c r="F135" s="28"/>
      <c r="G135" s="28"/>
      <c r="H135" s="28"/>
      <c r="I135" s="28"/>
      <c r="J135" s="29" t="n">
        <f aca="false">E135+F135+G135-H135-I135</f>
        <v>0</v>
      </c>
      <c r="K135" s="29" t="n">
        <f aca="false">ROUND(E135+F135+G135-H135-I135-J135,1)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158</v>
      </c>
      <c r="D136" s="18" t="s">
        <v>159</v>
      </c>
      <c r="E136" s="29" t="n">
        <f aca="false">J135</f>
        <v>0</v>
      </c>
      <c r="F136" s="28"/>
      <c r="G136" s="28"/>
      <c r="H136" s="28"/>
      <c r="I136" s="28"/>
      <c r="J136" s="29" t="n">
        <f aca="false">E136+F136+G136-H136-I136</f>
        <v>0</v>
      </c>
      <c r="K136" s="29" t="n">
        <f aca="false">ROUND(E136+F136+G136-H136-I136-J136,1)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158</v>
      </c>
      <c r="D137" s="18" t="s">
        <v>159</v>
      </c>
      <c r="E137" s="29" t="n">
        <f aca="false">J136</f>
        <v>0</v>
      </c>
      <c r="F137" s="28"/>
      <c r="G137" s="28"/>
      <c r="H137" s="28"/>
      <c r="I137" s="28"/>
      <c r="J137" s="29" t="n">
        <f aca="false">E137+F137+G137-H137-I137</f>
        <v>0</v>
      </c>
      <c r="K137" s="29" t="n">
        <f aca="false">ROUND(E137+F137+G137-H137-I137-J137,1)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158</v>
      </c>
      <c r="D138" s="18" t="s">
        <v>159</v>
      </c>
      <c r="E138" s="29" t="n">
        <f aca="false">J137</f>
        <v>0</v>
      </c>
      <c r="F138" s="28"/>
      <c r="G138" s="28"/>
      <c r="H138" s="28"/>
      <c r="I138" s="28"/>
      <c r="J138" s="29" t="n">
        <f aca="false">E138+F138+G138-H138-I138</f>
        <v>0</v>
      </c>
      <c r="K138" s="29" t="n">
        <f aca="false">ROUND(E138+F138+G138-H138-I138-J138,1)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158</v>
      </c>
      <c r="D139" s="18" t="s">
        <v>159</v>
      </c>
      <c r="E139" s="29" t="n">
        <f aca="false">J138</f>
        <v>0</v>
      </c>
      <c r="F139" s="28"/>
      <c r="G139" s="28"/>
      <c r="H139" s="28"/>
      <c r="I139" s="28"/>
      <c r="J139" s="29" t="n">
        <f aca="false">E139+F139+G139-H139-I139</f>
        <v>0</v>
      </c>
      <c r="K139" s="29" t="n">
        <f aca="false">ROUND(E139+F139+G139-H139-I139-J139,1)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158</v>
      </c>
      <c r="D140" s="18" t="s">
        <v>159</v>
      </c>
      <c r="E140" s="29" t="n">
        <f aca="false">J139</f>
        <v>0</v>
      </c>
      <c r="F140" s="28"/>
      <c r="G140" s="28"/>
      <c r="H140" s="28"/>
      <c r="I140" s="28"/>
      <c r="J140" s="29" t="n">
        <f aca="false">E140+F140+G140-H140-I140</f>
        <v>0</v>
      </c>
      <c r="K140" s="29" t="n">
        <f aca="false">ROUND(E140+F140+G140-H140-I140-J140,1)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158</v>
      </c>
      <c r="D141" s="18" t="s">
        <v>159</v>
      </c>
      <c r="E141" s="29" t="n">
        <f aca="false">J140</f>
        <v>0</v>
      </c>
      <c r="F141" s="28"/>
      <c r="G141" s="28"/>
      <c r="H141" s="28"/>
      <c r="I141" s="28"/>
      <c r="J141" s="29" t="n">
        <f aca="false">E141+F141+G141-H141-I141</f>
        <v>0</v>
      </c>
      <c r="K141" s="29" t="n">
        <f aca="false">ROUND(E141+F141+G141-H141-I141-J141,1)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158</v>
      </c>
      <c r="D142" s="18" t="s">
        <v>159</v>
      </c>
      <c r="E142" s="29" t="n">
        <f aca="false">J141</f>
        <v>0</v>
      </c>
      <c r="F142" s="28"/>
      <c r="G142" s="28"/>
      <c r="H142" s="28"/>
      <c r="I142" s="28"/>
      <c r="J142" s="29" t="n">
        <f aca="false">E142+F142+G142-H142-I142</f>
        <v>0</v>
      </c>
      <c r="K142" s="29" t="n">
        <f aca="false">ROUND(E142+F142+G142-H142-I142-J142,1)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158</v>
      </c>
      <c r="D143" s="18" t="s">
        <v>159</v>
      </c>
      <c r="E143" s="29" t="n">
        <f aca="false">J142</f>
        <v>0</v>
      </c>
      <c r="F143" s="28"/>
      <c r="G143" s="28"/>
      <c r="H143" s="28"/>
      <c r="I143" s="28"/>
      <c r="J143" s="29" t="n">
        <f aca="false">E143+F143+G143-H143-I143</f>
        <v>0</v>
      </c>
      <c r="K143" s="29" t="n">
        <f aca="false">ROUND(E143+F143+G143-H143-I143-J143,1)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158</v>
      </c>
      <c r="D144" s="18" t="s">
        <v>159</v>
      </c>
      <c r="E144" s="29" t="n">
        <f aca="false">J143</f>
        <v>0</v>
      </c>
      <c r="F144" s="28"/>
      <c r="G144" s="28"/>
      <c r="H144" s="28"/>
      <c r="I144" s="28"/>
      <c r="J144" s="29" t="n">
        <f aca="false">E144+F144+G144-H144-I144</f>
        <v>0</v>
      </c>
      <c r="K144" s="29" t="n">
        <f aca="false">ROUND(E144+F144+G144-H144-I144-J144,1)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158</v>
      </c>
      <c r="D145" s="18" t="s">
        <v>159</v>
      </c>
      <c r="E145" s="29" t="n">
        <f aca="false">J144</f>
        <v>0</v>
      </c>
      <c r="F145" s="28"/>
      <c r="G145" s="28"/>
      <c r="H145" s="28"/>
      <c r="I145" s="28"/>
      <c r="J145" s="29" t="n">
        <f aca="false">E145+F145+G145-H145-I145</f>
        <v>0</v>
      </c>
      <c r="K145" s="29" t="n">
        <f aca="false">ROUND(E145+F145+G145-H145-I145-J145,1)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158</v>
      </c>
      <c r="D146" s="18" t="s">
        <v>159</v>
      </c>
      <c r="E146" s="29" t="n">
        <f aca="false">J145</f>
        <v>0</v>
      </c>
      <c r="F146" s="28"/>
      <c r="G146" s="28"/>
      <c r="H146" s="28"/>
      <c r="I146" s="28"/>
      <c r="J146" s="29" t="n">
        <f aca="false">E146+F146+G146-H146-I146</f>
        <v>0</v>
      </c>
      <c r="K146" s="29" t="n">
        <f aca="false">ROUND(E146+F146+G146-H146-I146-J146,1)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158</v>
      </c>
      <c r="D147" s="18" t="s">
        <v>159</v>
      </c>
      <c r="E147" s="29" t="n">
        <f aca="false">J146</f>
        <v>0</v>
      </c>
      <c r="F147" s="28"/>
      <c r="G147" s="28"/>
      <c r="H147" s="28"/>
      <c r="I147" s="28"/>
      <c r="J147" s="29" t="n">
        <f aca="false">E147+F147+G147-H147-I147</f>
        <v>0</v>
      </c>
      <c r="K147" s="29" t="n">
        <f aca="false">ROUND(E147+F147+G147-H147-I147-J147,1)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158</v>
      </c>
      <c r="D148" s="18" t="s">
        <v>159</v>
      </c>
      <c r="E148" s="29" t="n">
        <f aca="false">J147</f>
        <v>0</v>
      </c>
      <c r="F148" s="28"/>
      <c r="G148" s="28"/>
      <c r="H148" s="28"/>
      <c r="I148" s="28"/>
      <c r="J148" s="29" t="n">
        <f aca="false">E148+F148+G148-H148-I148</f>
        <v>0</v>
      </c>
      <c r="K148" s="29" t="n">
        <f aca="false">ROUND(E148+F148+G148-H148-I148-J148,1)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158</v>
      </c>
      <c r="D149" s="18" t="s">
        <v>159</v>
      </c>
      <c r="E149" s="29" t="n">
        <f aca="false">J148</f>
        <v>0</v>
      </c>
      <c r="F149" s="28"/>
      <c r="G149" s="28"/>
      <c r="H149" s="28"/>
      <c r="I149" s="28"/>
      <c r="J149" s="29" t="n">
        <f aca="false">E149+F149+G149-H149-I149</f>
        <v>0</v>
      </c>
      <c r="K149" s="29" t="n">
        <f aca="false">ROUND(E149+F149+G149-H149-I149-J149,1)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158</v>
      </c>
      <c r="D150" s="18" t="s">
        <v>159</v>
      </c>
      <c r="E150" s="29" t="n">
        <f aca="false">J149</f>
        <v>0</v>
      </c>
      <c r="F150" s="28"/>
      <c r="G150" s="28"/>
      <c r="H150" s="28"/>
      <c r="I150" s="28"/>
      <c r="J150" s="29" t="n">
        <f aca="false">E150+F150+G150-H150-I150</f>
        <v>0</v>
      </c>
      <c r="K150" s="29" t="n">
        <f aca="false">ROUND(E150+F150+G150-H150-I150-J150,1)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158</v>
      </c>
      <c r="D151" s="18" t="s">
        <v>159</v>
      </c>
      <c r="E151" s="29" t="n">
        <f aca="false">J150</f>
        <v>0</v>
      </c>
      <c r="F151" s="28"/>
      <c r="G151" s="28"/>
      <c r="H151" s="28"/>
      <c r="I151" s="28"/>
      <c r="J151" s="29" t="n">
        <f aca="false">E151+F151+G151-H151-I151</f>
        <v>0</v>
      </c>
      <c r="K151" s="29" t="n">
        <f aca="false">ROUND(E151+F151+G151-H151-I151-J151,1)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158</v>
      </c>
      <c r="D152" s="18" t="s">
        <v>159</v>
      </c>
      <c r="E152" s="29" t="n">
        <f aca="false">J151</f>
        <v>0</v>
      </c>
      <c r="F152" s="28"/>
      <c r="G152" s="28"/>
      <c r="H152" s="28"/>
      <c r="I152" s="28"/>
      <c r="J152" s="29" t="n">
        <f aca="false">E152+F152+G152-H152-I152</f>
        <v>0</v>
      </c>
      <c r="K152" s="29" t="n">
        <f aca="false">ROUND(E152+F152+G152-H152-I152-J152,1)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158</v>
      </c>
      <c r="D153" s="18" t="s">
        <v>159</v>
      </c>
      <c r="E153" s="29" t="n">
        <f aca="false">J152</f>
        <v>0</v>
      </c>
      <c r="F153" s="28"/>
      <c r="G153" s="28"/>
      <c r="H153" s="28"/>
      <c r="I153" s="28"/>
      <c r="J153" s="29" t="n">
        <f aca="false">E153+F153+G153-H153-I153</f>
        <v>0</v>
      </c>
      <c r="K153" s="29" t="n">
        <f aca="false">ROUND(E153+F153+G153-H153-I153-J153,1)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158</v>
      </c>
      <c r="D154" s="18" t="s">
        <v>159</v>
      </c>
      <c r="E154" s="29" t="n">
        <f aca="false">J153</f>
        <v>0</v>
      </c>
      <c r="F154" s="28"/>
      <c r="G154" s="28"/>
      <c r="H154" s="28"/>
      <c r="I154" s="28"/>
      <c r="J154" s="29" t="n">
        <f aca="false">E154+F154+G154-H154-I154</f>
        <v>0</v>
      </c>
      <c r="K154" s="29" t="n">
        <f aca="false">ROUND(E154+F154+G154-H154-I154-J154,1)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158</v>
      </c>
      <c r="D155" s="18" t="s">
        <v>159</v>
      </c>
      <c r="E155" s="29" t="n">
        <f aca="false">J154</f>
        <v>0</v>
      </c>
      <c r="F155" s="28"/>
      <c r="G155" s="28"/>
      <c r="H155" s="28"/>
      <c r="I155" s="28"/>
      <c r="J155" s="29" t="n">
        <f aca="false">E155+F155+G155-H155-I155</f>
        <v>0</v>
      </c>
      <c r="K155" s="29" t="n">
        <f aca="false">ROUND(E155+F155+G155-H155-I155-J155,1)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158</v>
      </c>
      <c r="D156" s="18" t="s">
        <v>159</v>
      </c>
      <c r="E156" s="29" t="n">
        <f aca="false">J155</f>
        <v>0</v>
      </c>
      <c r="F156" s="28"/>
      <c r="G156" s="28"/>
      <c r="H156" s="28"/>
      <c r="I156" s="28"/>
      <c r="J156" s="29" t="n">
        <f aca="false">E156+F156+G156-H156-I156</f>
        <v>0</v>
      </c>
      <c r="K156" s="29" t="n">
        <f aca="false">ROUND(E156+F156+G156-H156-I156-J156,1)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158</v>
      </c>
      <c r="D157" s="18" t="s">
        <v>159</v>
      </c>
      <c r="E157" s="29" t="n">
        <f aca="false">J156</f>
        <v>0</v>
      </c>
      <c r="F157" s="28"/>
      <c r="G157" s="28"/>
      <c r="H157" s="28"/>
      <c r="I157" s="28"/>
      <c r="J157" s="29" t="n">
        <f aca="false">E157+F157+G157-H157-I157</f>
        <v>0</v>
      </c>
      <c r="K157" s="29" t="n">
        <f aca="false">ROUND(E157+F157+G157-H157-I157-J157,1)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158</v>
      </c>
      <c r="D158" s="18" t="s">
        <v>159</v>
      </c>
      <c r="E158" s="29" t="n">
        <f aca="false">J157</f>
        <v>0</v>
      </c>
      <c r="F158" s="28"/>
      <c r="G158" s="28"/>
      <c r="H158" s="28"/>
      <c r="I158" s="28"/>
      <c r="J158" s="29" t="n">
        <f aca="false">E158+F158+G158-H158-I158</f>
        <v>0</v>
      </c>
      <c r="K158" s="29" t="n">
        <f aca="false">ROUND(E158+F158+G158-H158-I158-J158,1)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158</v>
      </c>
      <c r="D159" s="18" t="s">
        <v>159</v>
      </c>
      <c r="E159" s="29" t="n">
        <f aca="false">J158</f>
        <v>0</v>
      </c>
      <c r="F159" s="28"/>
      <c r="G159" s="28"/>
      <c r="H159" s="28"/>
      <c r="I159" s="28"/>
      <c r="J159" s="29" t="n">
        <f aca="false">E159+F159+G159-H159-I159</f>
        <v>0</v>
      </c>
      <c r="K159" s="29" t="n">
        <f aca="false">ROUND(E159+F159+G159-H159-I159-J159,1)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158</v>
      </c>
      <c r="D160" s="18" t="s">
        <v>159</v>
      </c>
      <c r="E160" s="29" t="n">
        <f aca="false">J159</f>
        <v>0</v>
      </c>
      <c r="F160" s="28"/>
      <c r="G160" s="28"/>
      <c r="H160" s="28"/>
      <c r="I160" s="28"/>
      <c r="J160" s="29" t="n">
        <f aca="false">E160+F160+G160-H160-I160</f>
        <v>0</v>
      </c>
      <c r="K160" s="29" t="n">
        <f aca="false">ROUND(E160+F160+G160-H160-I160-J160,1)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158</v>
      </c>
      <c r="D161" s="18" t="s">
        <v>159</v>
      </c>
      <c r="E161" s="29" t="n">
        <f aca="false">J160</f>
        <v>0</v>
      </c>
      <c r="F161" s="28"/>
      <c r="G161" s="28"/>
      <c r="H161" s="28"/>
      <c r="I161" s="28"/>
      <c r="J161" s="29" t="n">
        <f aca="false">E161+F161+G161-H161-I161</f>
        <v>0</v>
      </c>
      <c r="K161" s="29" t="n">
        <f aca="false">ROUND(E161+F161+G161-H161-I161-J161,1)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158</v>
      </c>
      <c r="D162" s="18" t="s">
        <v>159</v>
      </c>
      <c r="E162" s="29" t="n">
        <f aca="false">J161</f>
        <v>0</v>
      </c>
      <c r="F162" s="28"/>
      <c r="G162" s="28"/>
      <c r="H162" s="28"/>
      <c r="I162" s="28"/>
      <c r="J162" s="29" t="n">
        <f aca="false">E162+F162+G162-H162-I162</f>
        <v>0</v>
      </c>
      <c r="K162" s="29" t="n">
        <f aca="false">ROUND(E162+F162+G162-H162-I162-J162,1)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158</v>
      </c>
      <c r="D163" s="18" t="s">
        <v>159</v>
      </c>
      <c r="E163" s="29" t="n">
        <f aca="false">J162</f>
        <v>0</v>
      </c>
      <c r="F163" s="28"/>
      <c r="G163" s="28"/>
      <c r="H163" s="28"/>
      <c r="I163" s="28"/>
      <c r="J163" s="29" t="n">
        <f aca="false">E163+F163+G163-H163-I163</f>
        <v>0</v>
      </c>
      <c r="K163" s="29" t="n">
        <f aca="false">ROUND(E163+F163+G163-H163-I163-J163,1)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158</v>
      </c>
      <c r="D164" s="18" t="s">
        <v>159</v>
      </c>
      <c r="E164" s="29" t="n">
        <f aca="false">J163</f>
        <v>0</v>
      </c>
      <c r="F164" s="28"/>
      <c r="G164" s="28"/>
      <c r="H164" s="28"/>
      <c r="I164" s="28"/>
      <c r="J164" s="29" t="n">
        <f aca="false">E164+F164+G164-H164-I164</f>
        <v>0</v>
      </c>
      <c r="K164" s="29" t="n">
        <f aca="false">ROUND(E164+F164+G164-H164-I164-J164,1)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158</v>
      </c>
      <c r="D165" s="18" t="s">
        <v>159</v>
      </c>
      <c r="E165" s="29" t="n">
        <f aca="false">J164</f>
        <v>0</v>
      </c>
      <c r="F165" s="28"/>
      <c r="G165" s="28"/>
      <c r="H165" s="28"/>
      <c r="I165" s="28"/>
      <c r="J165" s="29" t="n">
        <f aca="false">E165+F165+G165-H165-I165</f>
        <v>0</v>
      </c>
      <c r="K165" s="29" t="n">
        <f aca="false">ROUND(E165+F165+G165-H165-I165-J165,1)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158</v>
      </c>
      <c r="D166" s="18" t="s">
        <v>159</v>
      </c>
      <c r="E166" s="29" t="n">
        <f aca="false">J165</f>
        <v>0</v>
      </c>
      <c r="F166" s="28"/>
      <c r="G166" s="28"/>
      <c r="H166" s="28"/>
      <c r="I166" s="28"/>
      <c r="J166" s="29" t="n">
        <f aca="false">E166+F166+G166-H166-I166</f>
        <v>0</v>
      </c>
      <c r="K166" s="29" t="n">
        <f aca="false">ROUND(E166+F166+G166-H166-I166-J166,1)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158</v>
      </c>
      <c r="D167" s="18" t="s">
        <v>159</v>
      </c>
      <c r="E167" s="29" t="n">
        <f aca="false">J166</f>
        <v>0</v>
      </c>
      <c r="F167" s="28"/>
      <c r="G167" s="28"/>
      <c r="H167" s="28"/>
      <c r="I167" s="28"/>
      <c r="J167" s="29" t="n">
        <f aca="false">E167+F167+G167-H167-I167</f>
        <v>0</v>
      </c>
      <c r="K167" s="29" t="n">
        <f aca="false">ROUND(E167+F167+G167-H167-I167-J167,1)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158</v>
      </c>
      <c r="D168" s="18" t="s">
        <v>159</v>
      </c>
      <c r="E168" s="29" t="n">
        <f aca="false">J167</f>
        <v>0</v>
      </c>
      <c r="F168" s="28"/>
      <c r="G168" s="28"/>
      <c r="H168" s="28"/>
      <c r="I168" s="28"/>
      <c r="J168" s="29" t="n">
        <f aca="false">E168+F168+G168-H168-I168</f>
        <v>0</v>
      </c>
      <c r="K168" s="29" t="n">
        <f aca="false">ROUND(E168+F168+G168-H168-I168-J168,1)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158</v>
      </c>
      <c r="D169" s="18" t="s">
        <v>159</v>
      </c>
      <c r="E169" s="29" t="n">
        <f aca="false">J168</f>
        <v>0</v>
      </c>
      <c r="F169" s="28"/>
      <c r="G169" s="28"/>
      <c r="H169" s="28"/>
      <c r="I169" s="28"/>
      <c r="J169" s="29" t="n">
        <f aca="false">E169+F169+G169-H169-I169</f>
        <v>0</v>
      </c>
      <c r="K169" s="29" t="n">
        <f aca="false">ROUND(E169+F169+G169-H169-I169-J169,1)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158</v>
      </c>
      <c r="D170" s="18" t="s">
        <v>159</v>
      </c>
      <c r="E170" s="29" t="n">
        <f aca="false">J169</f>
        <v>0</v>
      </c>
      <c r="F170" s="28"/>
      <c r="G170" s="28"/>
      <c r="H170" s="28"/>
      <c r="I170" s="28"/>
      <c r="J170" s="29" t="n">
        <f aca="false">E170+F170+G170-H170-I170</f>
        <v>0</v>
      </c>
      <c r="K170" s="29" t="n">
        <f aca="false">ROUND(E170+F170+G170-H170-I170-J170,1)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158</v>
      </c>
      <c r="D171" s="18" t="s">
        <v>159</v>
      </c>
      <c r="E171" s="29" t="n">
        <f aca="false">J170</f>
        <v>0</v>
      </c>
      <c r="F171" s="28"/>
      <c r="G171" s="28"/>
      <c r="H171" s="28"/>
      <c r="I171" s="28"/>
      <c r="J171" s="29" t="n">
        <f aca="false">E171+F171+G171-H171-I171</f>
        <v>0</v>
      </c>
      <c r="K171" s="29" t="n">
        <f aca="false">ROUND(E171+F171+G171-H171-I171-J171,1)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158</v>
      </c>
      <c r="D172" s="18" t="s">
        <v>159</v>
      </c>
      <c r="E172" s="29" t="n">
        <f aca="false">J171</f>
        <v>0</v>
      </c>
      <c r="F172" s="28"/>
      <c r="G172" s="28"/>
      <c r="H172" s="28"/>
      <c r="I172" s="28"/>
      <c r="J172" s="29" t="n">
        <f aca="false">E172+F172+G172-H172-I172</f>
        <v>0</v>
      </c>
      <c r="K172" s="29" t="n">
        <f aca="false">ROUND(E172+F172+G172-H172-I172-J172,1)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158</v>
      </c>
      <c r="D173" s="18" t="s">
        <v>159</v>
      </c>
      <c r="E173" s="29" t="n">
        <f aca="false">J172</f>
        <v>0</v>
      </c>
      <c r="F173" s="28"/>
      <c r="G173" s="28"/>
      <c r="H173" s="28"/>
      <c r="I173" s="28"/>
      <c r="J173" s="29" t="n">
        <f aca="false">E173+F173+G173-H173-I173</f>
        <v>0</v>
      </c>
      <c r="K173" s="29" t="n">
        <f aca="false">ROUND(E173+F173+G173-H173-I173-J173,1)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158</v>
      </c>
      <c r="D174" s="18" t="s">
        <v>159</v>
      </c>
      <c r="E174" s="29" t="n">
        <f aca="false">J173</f>
        <v>0</v>
      </c>
      <c r="F174" s="28"/>
      <c r="G174" s="28"/>
      <c r="H174" s="28"/>
      <c r="I174" s="28"/>
      <c r="J174" s="29" t="n">
        <f aca="false">E174+F174+G174-H174-I174</f>
        <v>0</v>
      </c>
      <c r="K174" s="29" t="n">
        <f aca="false">ROUND(E174+F174+G174-H174-I174-J174,1)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158</v>
      </c>
      <c r="D175" s="18" t="s">
        <v>159</v>
      </c>
      <c r="E175" s="29" t="n">
        <f aca="false">J174</f>
        <v>0</v>
      </c>
      <c r="F175" s="28"/>
      <c r="G175" s="28"/>
      <c r="H175" s="28"/>
      <c r="I175" s="28"/>
      <c r="J175" s="29" t="n">
        <f aca="false">E175+F175+G175-H175-I175</f>
        <v>0</v>
      </c>
      <c r="K175" s="29" t="n">
        <f aca="false">ROUND(E175+F175+G175-H175-I175-J175,1)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158</v>
      </c>
      <c r="D176" s="18" t="s">
        <v>159</v>
      </c>
      <c r="E176" s="29" t="n">
        <f aca="false">J175</f>
        <v>0</v>
      </c>
      <c r="F176" s="28"/>
      <c r="G176" s="28"/>
      <c r="H176" s="28"/>
      <c r="I176" s="28"/>
      <c r="J176" s="29" t="n">
        <f aca="false">E176+F176+G176-H176-I176</f>
        <v>0</v>
      </c>
      <c r="K176" s="29" t="n">
        <f aca="false">ROUND(E176+F176+G176-H176-I176-J176,1)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158</v>
      </c>
      <c r="D177" s="18" t="s">
        <v>159</v>
      </c>
      <c r="E177" s="29" t="n">
        <f aca="false">J176</f>
        <v>0</v>
      </c>
      <c r="F177" s="28"/>
      <c r="G177" s="28"/>
      <c r="H177" s="28"/>
      <c r="I177" s="28"/>
      <c r="J177" s="29" t="n">
        <f aca="false">E177+F177+G177-H177-I177</f>
        <v>0</v>
      </c>
      <c r="K177" s="29" t="n">
        <f aca="false">ROUND(E177+F177+G177-H177-I177-J177,1)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158</v>
      </c>
      <c r="D178" s="18" t="s">
        <v>159</v>
      </c>
      <c r="E178" s="29" t="n">
        <f aca="false">J177</f>
        <v>0</v>
      </c>
      <c r="F178" s="28"/>
      <c r="G178" s="28"/>
      <c r="H178" s="28"/>
      <c r="I178" s="28"/>
      <c r="J178" s="29" t="n">
        <f aca="false">E178+F178+G178-H178-I178</f>
        <v>0</v>
      </c>
      <c r="K178" s="29" t="n">
        <f aca="false">ROUND(E178+F178+G178-H178-I178-J178,1)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158</v>
      </c>
      <c r="D179" s="18" t="s">
        <v>159</v>
      </c>
      <c r="E179" s="29" t="n">
        <f aca="false">J178</f>
        <v>0</v>
      </c>
      <c r="F179" s="28"/>
      <c r="G179" s="28"/>
      <c r="H179" s="28"/>
      <c r="I179" s="28"/>
      <c r="J179" s="29" t="n">
        <f aca="false">E179+F179+G179-H179-I179</f>
        <v>0</v>
      </c>
      <c r="K179" s="29" t="n">
        <f aca="false">ROUND(E179+F179+G179-H179-I179-J179,1)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158</v>
      </c>
      <c r="D180" s="18" t="s">
        <v>159</v>
      </c>
      <c r="E180" s="29" t="n">
        <f aca="false">J179</f>
        <v>0</v>
      </c>
      <c r="F180" s="28"/>
      <c r="G180" s="28"/>
      <c r="H180" s="28"/>
      <c r="I180" s="28"/>
      <c r="J180" s="29" t="n">
        <f aca="false">E180+F180+G180-H180-I180</f>
        <v>0</v>
      </c>
      <c r="K180" s="29" t="n">
        <f aca="false">ROUND(E180+F180+G180-H180-I180-J180,1)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158</v>
      </c>
      <c r="D181" s="18" t="s">
        <v>159</v>
      </c>
      <c r="E181" s="29" t="n">
        <f aca="false">J180</f>
        <v>0</v>
      </c>
      <c r="F181" s="28"/>
      <c r="G181" s="28"/>
      <c r="H181" s="28"/>
      <c r="I181" s="28"/>
      <c r="J181" s="29" t="n">
        <f aca="false">E181+F181+G181-H181-I181</f>
        <v>0</v>
      </c>
      <c r="K181" s="29" t="n">
        <f aca="false">ROUND(E181+F181+G181-H181-I181-J181,1)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158</v>
      </c>
      <c r="D182" s="18" t="s">
        <v>159</v>
      </c>
      <c r="E182" s="29" t="n">
        <f aca="false">J181</f>
        <v>0</v>
      </c>
      <c r="F182" s="28"/>
      <c r="G182" s="28"/>
      <c r="H182" s="28"/>
      <c r="I182" s="28"/>
      <c r="J182" s="29" t="n">
        <f aca="false">E182+F182+G182-H182-I182</f>
        <v>0</v>
      </c>
      <c r="K182" s="29" t="n">
        <f aca="false">ROUND(E182+F182+G182-H182-I182-J182,1)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158</v>
      </c>
      <c r="D183" s="18" t="s">
        <v>159</v>
      </c>
      <c r="E183" s="29" t="n">
        <f aca="false">J182</f>
        <v>0</v>
      </c>
      <c r="F183" s="28"/>
      <c r="G183" s="28"/>
      <c r="H183" s="28"/>
      <c r="I183" s="28"/>
      <c r="J183" s="29" t="n">
        <f aca="false">E183+F183+G183-H183-I183</f>
        <v>0</v>
      </c>
      <c r="K183" s="29" t="n">
        <f aca="false">ROUND(E183+F183+G183-H183-I183-J183,1)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158</v>
      </c>
      <c r="D184" s="18" t="s">
        <v>159</v>
      </c>
      <c r="E184" s="29" t="n">
        <f aca="false">J183</f>
        <v>0</v>
      </c>
      <c r="F184" s="28"/>
      <c r="G184" s="28"/>
      <c r="H184" s="28"/>
      <c r="I184" s="28"/>
      <c r="J184" s="29" t="n">
        <f aca="false">E184+F184+G184-H184-I184</f>
        <v>0</v>
      </c>
      <c r="K184" s="29" t="n">
        <f aca="false">ROUND(E184+F184+G184-H184-I184-J184,1)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158</v>
      </c>
      <c r="D185" s="18" t="s">
        <v>159</v>
      </c>
      <c r="E185" s="29" t="n">
        <f aca="false">J184</f>
        <v>0</v>
      </c>
      <c r="F185" s="28"/>
      <c r="G185" s="28"/>
      <c r="H185" s="28"/>
      <c r="I185" s="28"/>
      <c r="J185" s="29" t="n">
        <f aca="false">E185+F185+G185-H185-I185</f>
        <v>0</v>
      </c>
      <c r="K185" s="29" t="n">
        <f aca="false">ROUND(E185+F185+G185-H185-I185-J185,1)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158</v>
      </c>
      <c r="D186" s="18" t="s">
        <v>159</v>
      </c>
      <c r="E186" s="29" t="n">
        <f aca="false">J185</f>
        <v>0</v>
      </c>
      <c r="F186" s="28"/>
      <c r="G186" s="28"/>
      <c r="H186" s="28"/>
      <c r="I186" s="28"/>
      <c r="J186" s="29" t="n">
        <f aca="false">E186+F186+G186-H186-I186</f>
        <v>0</v>
      </c>
      <c r="K186" s="29" t="n">
        <f aca="false">ROUND(E186+F186+G186-H186-I186-J186,1)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158</v>
      </c>
      <c r="D187" s="18" t="s">
        <v>159</v>
      </c>
      <c r="E187" s="29" t="n">
        <f aca="false">J186</f>
        <v>0</v>
      </c>
      <c r="F187" s="28"/>
      <c r="G187" s="28"/>
      <c r="H187" s="28"/>
      <c r="I187" s="28"/>
      <c r="J187" s="29" t="n">
        <f aca="false">E187+F187+G187-H187-I187</f>
        <v>0</v>
      </c>
      <c r="K187" s="29" t="n">
        <f aca="false">ROUND(E187+F187+G187-H187-I187-J187,1)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158</v>
      </c>
      <c r="D188" s="18" t="s">
        <v>159</v>
      </c>
      <c r="E188" s="29" t="n">
        <f aca="false">J187</f>
        <v>0</v>
      </c>
      <c r="F188" s="28"/>
      <c r="G188" s="28"/>
      <c r="H188" s="28"/>
      <c r="I188" s="28"/>
      <c r="J188" s="29" t="n">
        <f aca="false">E188+F188+G188-H188-I188</f>
        <v>0</v>
      </c>
      <c r="K188" s="29" t="n">
        <f aca="false">ROUND(E188+F188+G188-H188-I188-J188,1)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158</v>
      </c>
      <c r="D189" s="18" t="s">
        <v>159</v>
      </c>
      <c r="E189" s="29" t="n">
        <f aca="false">J188</f>
        <v>0</v>
      </c>
      <c r="F189" s="28"/>
      <c r="G189" s="28"/>
      <c r="H189" s="28"/>
      <c r="I189" s="28"/>
      <c r="J189" s="29" t="n">
        <f aca="false">E189+F189+G189-H189-I189</f>
        <v>0</v>
      </c>
      <c r="K189" s="29" t="n">
        <f aca="false">ROUND(E189+F189+G189-H189-I189-J189,1)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158</v>
      </c>
      <c r="D190" s="18" t="s">
        <v>159</v>
      </c>
      <c r="E190" s="29" t="n">
        <f aca="false">J189</f>
        <v>0</v>
      </c>
      <c r="F190" s="28"/>
      <c r="G190" s="28"/>
      <c r="H190" s="28"/>
      <c r="I190" s="28"/>
      <c r="J190" s="29" t="n">
        <f aca="false">E190+F190+G190-H190-I190</f>
        <v>0</v>
      </c>
      <c r="K190" s="29" t="n">
        <f aca="false">ROUND(E190+F190+G190-H190-I190-J190,1)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158</v>
      </c>
      <c r="D191" s="18" t="s">
        <v>159</v>
      </c>
      <c r="E191" s="29" t="n">
        <f aca="false">J190</f>
        <v>0</v>
      </c>
      <c r="F191" s="28"/>
      <c r="G191" s="28"/>
      <c r="H191" s="28"/>
      <c r="I191" s="28"/>
      <c r="J191" s="29" t="n">
        <f aca="false">E191+F191+G191-H191-I191</f>
        <v>0</v>
      </c>
      <c r="K191" s="29" t="n">
        <f aca="false">ROUND(E191+F191+G191-H191-I191-J191,1)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158</v>
      </c>
      <c r="D192" s="18" t="s">
        <v>159</v>
      </c>
      <c r="E192" s="29" t="n">
        <f aca="false">J191</f>
        <v>0</v>
      </c>
      <c r="F192" s="28"/>
      <c r="G192" s="28"/>
      <c r="H192" s="28"/>
      <c r="I192" s="28"/>
      <c r="J192" s="29" t="n">
        <f aca="false">E192+F192+G192-H192-I192</f>
        <v>0</v>
      </c>
      <c r="K192" s="29" t="n">
        <f aca="false">ROUND(E192+F192+G192-H192-I192-J192,1)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158</v>
      </c>
      <c r="D193" s="18" t="s">
        <v>159</v>
      </c>
      <c r="E193" s="29" t="n">
        <f aca="false">J192</f>
        <v>0</v>
      </c>
      <c r="F193" s="28"/>
      <c r="G193" s="28"/>
      <c r="H193" s="28"/>
      <c r="I193" s="28"/>
      <c r="J193" s="29" t="n">
        <f aca="false">E193+F193+G193-H193-I193</f>
        <v>0</v>
      </c>
      <c r="K193" s="29" t="n">
        <f aca="false">ROUND(E193+F193+G193-H193-I193-J193,1)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158</v>
      </c>
      <c r="D194" s="18" t="s">
        <v>159</v>
      </c>
      <c r="E194" s="29" t="n">
        <f aca="false">J193</f>
        <v>0</v>
      </c>
      <c r="F194" s="28"/>
      <c r="G194" s="28"/>
      <c r="H194" s="28"/>
      <c r="I194" s="28"/>
      <c r="J194" s="29" t="n">
        <f aca="false">E194+F194+G194-H194-I194</f>
        <v>0</v>
      </c>
      <c r="K194" s="29" t="n">
        <f aca="false">ROUND(E194+F194+G194-H194-I194-J194,1)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158</v>
      </c>
      <c r="D195" s="18" t="s">
        <v>159</v>
      </c>
      <c r="E195" s="29" t="n">
        <f aca="false">J194</f>
        <v>0</v>
      </c>
      <c r="F195" s="28"/>
      <c r="G195" s="28"/>
      <c r="H195" s="28"/>
      <c r="I195" s="28"/>
      <c r="J195" s="29" t="n">
        <f aca="false">E195+F195+G195-H195-I195</f>
        <v>0</v>
      </c>
      <c r="K195" s="29" t="n">
        <f aca="false">ROUND(E195+F195+G195-H195-I195-J195,1)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158</v>
      </c>
      <c r="D196" s="18" t="s">
        <v>159</v>
      </c>
      <c r="E196" s="29" t="n">
        <f aca="false">J195</f>
        <v>0</v>
      </c>
      <c r="F196" s="28"/>
      <c r="G196" s="28"/>
      <c r="H196" s="28"/>
      <c r="I196" s="28"/>
      <c r="J196" s="29" t="n">
        <f aca="false">E196+F196+G196-H196-I196</f>
        <v>0</v>
      </c>
      <c r="K196" s="29" t="n">
        <f aca="false">ROUND(E196+F196+G196-H196-I196-J196,1)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158</v>
      </c>
      <c r="D197" s="18" t="s">
        <v>159</v>
      </c>
      <c r="E197" s="29" t="n">
        <f aca="false">J196</f>
        <v>0</v>
      </c>
      <c r="F197" s="28"/>
      <c r="G197" s="28"/>
      <c r="H197" s="28"/>
      <c r="I197" s="28"/>
      <c r="J197" s="29" t="n">
        <f aca="false">E197+F197+G197-H197-I197</f>
        <v>0</v>
      </c>
      <c r="K197" s="29" t="n">
        <f aca="false">ROUND(E197+F197+G197-H197-I197-J197,1)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158</v>
      </c>
      <c r="D198" s="18" t="s">
        <v>159</v>
      </c>
      <c r="E198" s="29" t="n">
        <f aca="false">J197</f>
        <v>0</v>
      </c>
      <c r="F198" s="28"/>
      <c r="G198" s="28"/>
      <c r="H198" s="28"/>
      <c r="I198" s="28"/>
      <c r="J198" s="29" t="n">
        <f aca="false">E198+F198+G198-H198-I198</f>
        <v>0</v>
      </c>
      <c r="K198" s="29" t="n">
        <f aca="false">ROUND(E198+F198+G198-H198-I198-J198,1)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158</v>
      </c>
      <c r="D199" s="18" t="s">
        <v>159</v>
      </c>
      <c r="E199" s="29" t="n">
        <f aca="false">J198</f>
        <v>0</v>
      </c>
      <c r="F199" s="28"/>
      <c r="G199" s="28"/>
      <c r="H199" s="28"/>
      <c r="I199" s="28"/>
      <c r="J199" s="29" t="n">
        <f aca="false">E199+F199+G199-H199-I199</f>
        <v>0</v>
      </c>
      <c r="K199" s="29" t="n">
        <f aca="false">ROUND(E199+F199+G199-H199-I199-J199,1)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158</v>
      </c>
      <c r="D200" s="18" t="s">
        <v>159</v>
      </c>
      <c r="E200" s="29" t="n">
        <f aca="false">J199</f>
        <v>0</v>
      </c>
      <c r="F200" s="28"/>
      <c r="G200" s="28"/>
      <c r="H200" s="28"/>
      <c r="I200" s="28"/>
      <c r="J200" s="29" t="n">
        <f aca="false">E200+F200+G200-H200-I200</f>
        <v>0</v>
      </c>
      <c r="K200" s="29" t="n">
        <f aca="false">ROUND(E200+F200+G200-H200-I200-J200,1)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158</v>
      </c>
      <c r="D201" s="18" t="s">
        <v>159</v>
      </c>
      <c r="E201" s="29" t="n">
        <f aca="false">J200</f>
        <v>0</v>
      </c>
      <c r="F201" s="28"/>
      <c r="G201" s="28"/>
      <c r="H201" s="28"/>
      <c r="I201" s="28"/>
      <c r="J201" s="29" t="n">
        <f aca="false">E201+F201+G201-H201-I201</f>
        <v>0</v>
      </c>
      <c r="K201" s="29" t="n">
        <f aca="false">ROUND(E201+F201+G201-H201-I201-J201,1)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158</v>
      </c>
      <c r="D202" s="18" t="s">
        <v>159</v>
      </c>
      <c r="E202" s="29" t="n">
        <f aca="false">J201</f>
        <v>0</v>
      </c>
      <c r="F202" s="28"/>
      <c r="G202" s="28"/>
      <c r="H202" s="28"/>
      <c r="I202" s="28"/>
      <c r="J202" s="29" t="n">
        <f aca="false">E202+F202+G202-H202-I202</f>
        <v>0</v>
      </c>
      <c r="K202" s="29" t="n">
        <f aca="false">ROUND(E202+F202+G202-H202-I202-J202,1)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158</v>
      </c>
      <c r="D203" s="18" t="s">
        <v>159</v>
      </c>
      <c r="E203" s="29" t="n">
        <f aca="false">J202</f>
        <v>0</v>
      </c>
      <c r="F203" s="28"/>
      <c r="G203" s="28"/>
      <c r="H203" s="28"/>
      <c r="I203" s="28"/>
      <c r="J203" s="29" t="n">
        <f aca="false">E203+F203+G203-H203-I203</f>
        <v>0</v>
      </c>
      <c r="K203" s="29" t="n">
        <f aca="false">ROUND(E203+F203+G203-H203-I203-J203,1)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158</v>
      </c>
      <c r="D204" s="18" t="s">
        <v>159</v>
      </c>
      <c r="E204" s="29" t="n">
        <f aca="false">J203</f>
        <v>0</v>
      </c>
      <c r="F204" s="28"/>
      <c r="G204" s="28"/>
      <c r="H204" s="28"/>
      <c r="I204" s="28"/>
      <c r="J204" s="29" t="n">
        <f aca="false">E204+F204+G204-H204-I204</f>
        <v>0</v>
      </c>
      <c r="K204" s="29" t="n">
        <f aca="false">ROUND(E204+F204+G204-H204-I204-J204,1)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158</v>
      </c>
      <c r="D205" s="18" t="s">
        <v>159</v>
      </c>
      <c r="E205" s="29" t="n">
        <f aca="false">J204</f>
        <v>0</v>
      </c>
      <c r="F205" s="28"/>
      <c r="G205" s="28"/>
      <c r="H205" s="28"/>
      <c r="I205" s="28"/>
      <c r="J205" s="29" t="n">
        <f aca="false">E205+F205+G205-H205-I205</f>
        <v>0</v>
      </c>
      <c r="K205" s="29" t="n">
        <f aca="false">ROUND(E205+F205+G205-H205-I205-J205,1)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158</v>
      </c>
      <c r="D206" s="18" t="s">
        <v>159</v>
      </c>
      <c r="E206" s="29" t="n">
        <f aca="false">J205</f>
        <v>0</v>
      </c>
      <c r="F206" s="28"/>
      <c r="G206" s="28"/>
      <c r="H206" s="28"/>
      <c r="I206" s="28"/>
      <c r="J206" s="29" t="n">
        <f aca="false">E206+F206+G206-H206-I206</f>
        <v>0</v>
      </c>
      <c r="K206" s="29" t="n">
        <f aca="false">ROUND(E206+F206+G206-H206-I206-J206,1)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158</v>
      </c>
      <c r="D207" s="18" t="s">
        <v>159</v>
      </c>
      <c r="E207" s="29" t="n">
        <f aca="false">J206</f>
        <v>0</v>
      </c>
      <c r="F207" s="28"/>
      <c r="G207" s="28"/>
      <c r="H207" s="28"/>
      <c r="I207" s="28"/>
      <c r="J207" s="29" t="n">
        <f aca="false">E207+F207+G207-H207-I207</f>
        <v>0</v>
      </c>
      <c r="K207" s="29" t="n">
        <f aca="false">ROUND(E207+F207+G207-H207-I207-J207,1)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158</v>
      </c>
      <c r="D208" s="18" t="s">
        <v>159</v>
      </c>
      <c r="E208" s="29" t="n">
        <f aca="false">J207</f>
        <v>0</v>
      </c>
      <c r="F208" s="28"/>
      <c r="G208" s="28"/>
      <c r="H208" s="28"/>
      <c r="I208" s="28"/>
      <c r="J208" s="29" t="n">
        <f aca="false">E208+F208+G208-H208-I208</f>
        <v>0</v>
      </c>
      <c r="K208" s="29" t="n">
        <f aca="false">ROUND(E208+F208+G208-H208-I208-J208,1)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158</v>
      </c>
      <c r="D209" s="18" t="s">
        <v>159</v>
      </c>
      <c r="E209" s="29" t="n">
        <f aca="false">J208</f>
        <v>0</v>
      </c>
      <c r="F209" s="28"/>
      <c r="G209" s="28"/>
      <c r="H209" s="28"/>
      <c r="I209" s="28"/>
      <c r="J209" s="29" t="n">
        <f aca="false">E209+F209+G209-H209-I209</f>
        <v>0</v>
      </c>
      <c r="K209" s="29" t="n">
        <f aca="false">ROUND(E209+F209+G209-H209-I209-J209,1)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158</v>
      </c>
      <c r="D210" s="18" t="s">
        <v>159</v>
      </c>
      <c r="E210" s="29" t="n">
        <f aca="false">J209</f>
        <v>0</v>
      </c>
      <c r="F210" s="28"/>
      <c r="G210" s="28"/>
      <c r="H210" s="28"/>
      <c r="I210" s="28"/>
      <c r="J210" s="29" t="n">
        <f aca="false">E210+F210+G210-H210-I210</f>
        <v>0</v>
      </c>
      <c r="K210" s="29" t="n">
        <f aca="false">ROUND(E210+F210+G210-H210-I210-J210,1)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158</v>
      </c>
      <c r="D211" s="18" t="s">
        <v>159</v>
      </c>
      <c r="E211" s="29" t="n">
        <f aca="false">J210</f>
        <v>0</v>
      </c>
      <c r="F211" s="28"/>
      <c r="G211" s="28"/>
      <c r="H211" s="28"/>
      <c r="I211" s="28"/>
      <c r="J211" s="29" t="n">
        <f aca="false">E211+F211+G211-H211-I211</f>
        <v>0</v>
      </c>
      <c r="K211" s="29" t="n">
        <f aca="false">ROUND(E211+F211+G211-H211-I211-J211,1)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158</v>
      </c>
      <c r="D212" s="18" t="s">
        <v>159</v>
      </c>
      <c r="E212" s="29" t="n">
        <f aca="false">J211</f>
        <v>0</v>
      </c>
      <c r="F212" s="28"/>
      <c r="G212" s="28"/>
      <c r="H212" s="28"/>
      <c r="I212" s="28"/>
      <c r="J212" s="29" t="n">
        <f aca="false">E212+F212+G212-H212-I212</f>
        <v>0</v>
      </c>
      <c r="K212" s="29" t="n">
        <f aca="false">ROUND(E212+F212+G212-H212-I212-J212,1)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158</v>
      </c>
      <c r="D213" s="18" t="s">
        <v>159</v>
      </c>
      <c r="E213" s="29" t="n">
        <f aca="false">J212</f>
        <v>0</v>
      </c>
      <c r="F213" s="28"/>
      <c r="G213" s="28"/>
      <c r="H213" s="28"/>
      <c r="I213" s="28"/>
      <c r="J213" s="29" t="n">
        <f aca="false">E213+F213+G213-H213-I213</f>
        <v>0</v>
      </c>
      <c r="K213" s="29" t="n">
        <f aca="false">ROUND(E213+F213+G213-H213-I213-J213,1)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158</v>
      </c>
      <c r="D214" s="18" t="s">
        <v>159</v>
      </c>
      <c r="E214" s="29" t="n">
        <f aca="false">J213</f>
        <v>0</v>
      </c>
      <c r="F214" s="28"/>
      <c r="G214" s="28"/>
      <c r="H214" s="28"/>
      <c r="I214" s="28"/>
      <c r="J214" s="29" t="n">
        <f aca="false">E214+F214+G214-H214-I214</f>
        <v>0</v>
      </c>
      <c r="K214" s="29" t="n">
        <f aca="false">ROUND(E214+F214+G214-H214-I214-J214,1)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158</v>
      </c>
      <c r="D215" s="18" t="s">
        <v>159</v>
      </c>
      <c r="E215" s="29" t="n">
        <f aca="false">J214</f>
        <v>0</v>
      </c>
      <c r="F215" s="28"/>
      <c r="G215" s="28"/>
      <c r="H215" s="28"/>
      <c r="I215" s="28"/>
      <c r="J215" s="29" t="n">
        <f aca="false">E215+F215+G215-H215-I215</f>
        <v>0</v>
      </c>
      <c r="K215" s="29" t="n">
        <f aca="false">ROUND(E215+F215+G215-H215-I215-J215,1)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158</v>
      </c>
      <c r="D216" s="18" t="s">
        <v>159</v>
      </c>
      <c r="E216" s="29" t="n">
        <f aca="false">J215</f>
        <v>0</v>
      </c>
      <c r="F216" s="28"/>
      <c r="G216" s="28"/>
      <c r="H216" s="28"/>
      <c r="I216" s="28"/>
      <c r="J216" s="29" t="n">
        <f aca="false">E216+F216+G216-H216-I216</f>
        <v>0</v>
      </c>
      <c r="K216" s="29" t="n">
        <f aca="false">ROUND(E216+F216+G216-H216-I216-J216,1)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158</v>
      </c>
      <c r="D217" s="18" t="s">
        <v>159</v>
      </c>
      <c r="E217" s="29" t="n">
        <f aca="false">J216</f>
        <v>0</v>
      </c>
      <c r="F217" s="28"/>
      <c r="G217" s="28"/>
      <c r="H217" s="28"/>
      <c r="I217" s="28"/>
      <c r="J217" s="29" t="n">
        <f aca="false">E217+F217+G217-H217-I217</f>
        <v>0</v>
      </c>
      <c r="K217" s="29" t="n">
        <f aca="false">ROUND(E217+F217+G217-H217-I217-J217,1)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158</v>
      </c>
      <c r="D218" s="18" t="s">
        <v>159</v>
      </c>
      <c r="E218" s="29" t="n">
        <f aca="false">J217</f>
        <v>0</v>
      </c>
      <c r="F218" s="28"/>
      <c r="G218" s="28"/>
      <c r="H218" s="28"/>
      <c r="I218" s="28"/>
      <c r="J218" s="29" t="n">
        <f aca="false">E218+F218+G218-H218-I218</f>
        <v>0</v>
      </c>
      <c r="K218" s="29" t="n">
        <f aca="false">ROUND(E218+F218+G218-H218-I218-J218,1)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158</v>
      </c>
      <c r="D219" s="18" t="s">
        <v>159</v>
      </c>
      <c r="E219" s="29" t="n">
        <f aca="false">J218</f>
        <v>0</v>
      </c>
      <c r="F219" s="28"/>
      <c r="G219" s="28"/>
      <c r="H219" s="28"/>
      <c r="I219" s="28"/>
      <c r="J219" s="29" t="n">
        <f aca="false">E219+F219+G219-H219-I219</f>
        <v>0</v>
      </c>
      <c r="K219" s="29" t="n">
        <f aca="false">ROUND(E219+F219+G219-H219-I219-J219,1)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158</v>
      </c>
      <c r="D220" s="18" t="s">
        <v>159</v>
      </c>
      <c r="E220" s="29" t="n">
        <f aca="false">J219</f>
        <v>0</v>
      </c>
      <c r="F220" s="28"/>
      <c r="G220" s="28"/>
      <c r="H220" s="28"/>
      <c r="I220" s="28"/>
      <c r="J220" s="29" t="n">
        <f aca="false">E220+F220+G220-H220-I220</f>
        <v>0</v>
      </c>
      <c r="K220" s="29" t="n">
        <f aca="false">ROUND(E220+F220+G220-H220-I220-J220,1)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158</v>
      </c>
      <c r="D221" s="18" t="s">
        <v>159</v>
      </c>
      <c r="E221" s="29" t="n">
        <f aca="false">J220</f>
        <v>0</v>
      </c>
      <c r="F221" s="28"/>
      <c r="G221" s="28"/>
      <c r="H221" s="28"/>
      <c r="I221" s="28"/>
      <c r="J221" s="29" t="n">
        <f aca="false">E221+F221+G221-H221-I221</f>
        <v>0</v>
      </c>
      <c r="K221" s="29" t="n">
        <f aca="false">ROUND(E221+F221+G221-H221-I221-J221,1)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158</v>
      </c>
      <c r="D222" s="18" t="s">
        <v>159</v>
      </c>
      <c r="E222" s="29" t="n">
        <f aca="false">J221</f>
        <v>0</v>
      </c>
      <c r="F222" s="28"/>
      <c r="G222" s="28"/>
      <c r="H222" s="28"/>
      <c r="I222" s="28"/>
      <c r="J222" s="29" t="n">
        <f aca="false">E222+F222+G222-H222-I222</f>
        <v>0</v>
      </c>
      <c r="K222" s="29" t="n">
        <f aca="false">ROUND(E222+F222+G222-H222-I222-J222,1)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158</v>
      </c>
      <c r="D223" s="18" t="s">
        <v>159</v>
      </c>
      <c r="E223" s="29" t="n">
        <f aca="false">J222</f>
        <v>0</v>
      </c>
      <c r="F223" s="28"/>
      <c r="G223" s="28"/>
      <c r="H223" s="28"/>
      <c r="I223" s="28"/>
      <c r="J223" s="29" t="n">
        <f aca="false">E223+F223+G223-H223-I223</f>
        <v>0</v>
      </c>
      <c r="K223" s="29" t="n">
        <f aca="false">ROUND(E223+F223+G223-H223-I223-J223,1)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158</v>
      </c>
      <c r="D224" s="18" t="s">
        <v>159</v>
      </c>
      <c r="E224" s="29" t="n">
        <f aca="false">J223</f>
        <v>0</v>
      </c>
      <c r="F224" s="28"/>
      <c r="G224" s="28"/>
      <c r="H224" s="28"/>
      <c r="I224" s="28"/>
      <c r="J224" s="29" t="n">
        <f aca="false">E224+F224+G224-H224-I224</f>
        <v>0</v>
      </c>
      <c r="K224" s="29" t="n">
        <f aca="false">ROUND(E224+F224+G224-H224-I224-J224,1)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158</v>
      </c>
      <c r="D225" s="18" t="s">
        <v>159</v>
      </c>
      <c r="E225" s="29" t="n">
        <f aca="false">J224</f>
        <v>0</v>
      </c>
      <c r="F225" s="28"/>
      <c r="G225" s="28"/>
      <c r="H225" s="28"/>
      <c r="I225" s="28"/>
      <c r="J225" s="29" t="n">
        <f aca="false">E225+F225+G225-H225-I225</f>
        <v>0</v>
      </c>
      <c r="K225" s="29" t="n">
        <f aca="false">ROUND(E225+F225+G225-H225-I225-J225,1)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158</v>
      </c>
      <c r="D226" s="18" t="s">
        <v>159</v>
      </c>
      <c r="E226" s="29" t="n">
        <f aca="false">J225</f>
        <v>0</v>
      </c>
      <c r="F226" s="28"/>
      <c r="G226" s="28"/>
      <c r="H226" s="28"/>
      <c r="I226" s="28"/>
      <c r="J226" s="29" t="n">
        <f aca="false">E226+F226+G226-H226-I226</f>
        <v>0</v>
      </c>
      <c r="K226" s="29" t="n">
        <f aca="false">ROUND(E226+F226+G226-H226-I226-J226,1)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158</v>
      </c>
      <c r="D227" s="18" t="s">
        <v>159</v>
      </c>
      <c r="E227" s="29" t="n">
        <f aca="false">J226</f>
        <v>0</v>
      </c>
      <c r="F227" s="28"/>
      <c r="G227" s="28"/>
      <c r="H227" s="28"/>
      <c r="I227" s="28"/>
      <c r="J227" s="29" t="n">
        <f aca="false">E227+F227+G227-H227-I227</f>
        <v>0</v>
      </c>
      <c r="K227" s="29" t="n">
        <f aca="false">ROUND(E227+F227+G227-H227-I227-J227,1)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158</v>
      </c>
      <c r="D228" s="18" t="s">
        <v>159</v>
      </c>
      <c r="E228" s="29" t="n">
        <f aca="false">J227</f>
        <v>0</v>
      </c>
      <c r="F228" s="28"/>
      <c r="G228" s="28"/>
      <c r="H228" s="28"/>
      <c r="I228" s="28"/>
      <c r="J228" s="29" t="n">
        <f aca="false">E228+F228+G228-H228-I228</f>
        <v>0</v>
      </c>
      <c r="K228" s="29" t="n">
        <f aca="false">ROUND(E228+F228+G228-H228-I228-J228,1)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158</v>
      </c>
      <c r="D229" s="18" t="s">
        <v>159</v>
      </c>
      <c r="E229" s="29" t="n">
        <f aca="false">J228</f>
        <v>0</v>
      </c>
      <c r="F229" s="28"/>
      <c r="G229" s="28"/>
      <c r="H229" s="28"/>
      <c r="I229" s="28"/>
      <c r="J229" s="29" t="n">
        <f aca="false">E229+F229+G229-H229-I229</f>
        <v>0</v>
      </c>
      <c r="K229" s="29" t="n">
        <f aca="false">ROUND(E229+F229+G229-H229-I229-J229,1)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158</v>
      </c>
      <c r="D230" s="18" t="s">
        <v>159</v>
      </c>
      <c r="E230" s="29" t="n">
        <f aca="false">J229</f>
        <v>0</v>
      </c>
      <c r="F230" s="28"/>
      <c r="G230" s="28"/>
      <c r="H230" s="28"/>
      <c r="I230" s="28"/>
      <c r="J230" s="29" t="n">
        <f aca="false">E230+F230+G230-H230-I230</f>
        <v>0</v>
      </c>
      <c r="K230" s="29" t="n">
        <f aca="false">ROUND(E230+F230+G230-H230-I230-J230,1)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158</v>
      </c>
      <c r="D231" s="18" t="s">
        <v>159</v>
      </c>
      <c r="E231" s="29" t="n">
        <f aca="false">J230</f>
        <v>0</v>
      </c>
      <c r="F231" s="28"/>
      <c r="G231" s="28"/>
      <c r="H231" s="28"/>
      <c r="I231" s="28"/>
      <c r="J231" s="29" t="n">
        <f aca="false">E231+F231+G231-H231-I231</f>
        <v>0</v>
      </c>
      <c r="K231" s="29" t="n">
        <f aca="false">ROUND(E231+F231+G231-H231-I231-J231,1)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158</v>
      </c>
      <c r="D232" s="18" t="s">
        <v>159</v>
      </c>
      <c r="E232" s="29" t="n">
        <f aca="false">J231</f>
        <v>0</v>
      </c>
      <c r="F232" s="28"/>
      <c r="G232" s="28"/>
      <c r="H232" s="28"/>
      <c r="I232" s="28"/>
      <c r="J232" s="29" t="n">
        <f aca="false">E232+F232+G232-H232-I232</f>
        <v>0</v>
      </c>
      <c r="K232" s="29" t="n">
        <f aca="false">ROUND(E232+F232+G232-H232-I232-J232,1)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158</v>
      </c>
      <c r="D233" s="18" t="s">
        <v>159</v>
      </c>
      <c r="E233" s="29" t="n">
        <f aca="false">J232</f>
        <v>0</v>
      </c>
      <c r="F233" s="28"/>
      <c r="G233" s="28"/>
      <c r="H233" s="28"/>
      <c r="I233" s="28"/>
      <c r="J233" s="29" t="n">
        <f aca="false">E233+F233+G233-H233-I233</f>
        <v>0</v>
      </c>
      <c r="K233" s="29" t="n">
        <f aca="false">ROUND(E233+F233+G233-H233-I233-J233,1)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158</v>
      </c>
      <c r="D234" s="18" t="s">
        <v>159</v>
      </c>
      <c r="E234" s="29" t="n">
        <f aca="false">J233</f>
        <v>0</v>
      </c>
      <c r="F234" s="28"/>
      <c r="G234" s="28"/>
      <c r="H234" s="28"/>
      <c r="I234" s="28"/>
      <c r="J234" s="29" t="n">
        <f aca="false">E234+F234+G234-H234-I234</f>
        <v>0</v>
      </c>
      <c r="K234" s="29" t="n">
        <f aca="false">ROUND(E234+F234+G234-H234-I234-J234,1)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158</v>
      </c>
      <c r="D235" s="18" t="s">
        <v>159</v>
      </c>
      <c r="E235" s="29" t="n">
        <f aca="false">J234</f>
        <v>0</v>
      </c>
      <c r="F235" s="28"/>
      <c r="G235" s="28"/>
      <c r="H235" s="28"/>
      <c r="I235" s="28"/>
      <c r="J235" s="29" t="n">
        <f aca="false">E235+F235+G235-H235-I235</f>
        <v>0</v>
      </c>
      <c r="K235" s="29" t="n">
        <f aca="false">ROUND(E235+F235+G235-H235-I235-J235,1)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158</v>
      </c>
      <c r="D236" s="18" t="s">
        <v>159</v>
      </c>
      <c r="E236" s="29" t="n">
        <f aca="false">J235</f>
        <v>0</v>
      </c>
      <c r="F236" s="28"/>
      <c r="G236" s="28"/>
      <c r="H236" s="28"/>
      <c r="I236" s="28"/>
      <c r="J236" s="29" t="n">
        <f aca="false">E236+F236+G236-H236-I236</f>
        <v>0</v>
      </c>
      <c r="K236" s="29" t="n">
        <f aca="false">ROUND(E236+F236+G236-H236-I236-J236,1)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158</v>
      </c>
      <c r="D237" s="18" t="s">
        <v>159</v>
      </c>
      <c r="E237" s="29" t="n">
        <f aca="false">J236</f>
        <v>0</v>
      </c>
      <c r="F237" s="28"/>
      <c r="G237" s="28"/>
      <c r="H237" s="28"/>
      <c r="I237" s="28"/>
      <c r="J237" s="29" t="n">
        <f aca="false">E237+F237+G237-H237-I237</f>
        <v>0</v>
      </c>
      <c r="K237" s="29" t="n">
        <f aca="false">ROUND(E237+F237+G237-H237-I237-J237,1)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158</v>
      </c>
      <c r="D238" s="18" t="s">
        <v>159</v>
      </c>
      <c r="E238" s="29" t="n">
        <f aca="false">J237</f>
        <v>0</v>
      </c>
      <c r="F238" s="28"/>
      <c r="G238" s="28"/>
      <c r="H238" s="28"/>
      <c r="I238" s="28"/>
      <c r="J238" s="29" t="n">
        <f aca="false">E238+F238+G238-H238-I238</f>
        <v>0</v>
      </c>
      <c r="K238" s="29" t="n">
        <f aca="false">ROUND(E238+F238+G238-H238-I238-J238,1)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158</v>
      </c>
      <c r="D239" s="18" t="s">
        <v>159</v>
      </c>
      <c r="E239" s="29" t="n">
        <f aca="false">J238</f>
        <v>0</v>
      </c>
      <c r="F239" s="28"/>
      <c r="G239" s="28"/>
      <c r="H239" s="28"/>
      <c r="I239" s="28"/>
      <c r="J239" s="29" t="n">
        <f aca="false">E239+F239+G239-H239-I239</f>
        <v>0</v>
      </c>
      <c r="K239" s="29" t="n">
        <f aca="false">ROUND(E239+F239+G239-H239-I239-J239,1)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158</v>
      </c>
      <c r="D240" s="18" t="s">
        <v>159</v>
      </c>
      <c r="E240" s="29" t="n">
        <f aca="false">J239</f>
        <v>0</v>
      </c>
      <c r="F240" s="28"/>
      <c r="G240" s="28"/>
      <c r="H240" s="28"/>
      <c r="I240" s="28"/>
      <c r="J240" s="29" t="n">
        <f aca="false">E240+F240+G240-H240-I240</f>
        <v>0</v>
      </c>
      <c r="K240" s="29" t="n">
        <f aca="false">ROUND(E240+F240+G240-H240-I240-J240,1)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158</v>
      </c>
      <c r="D241" s="18" t="s">
        <v>159</v>
      </c>
      <c r="E241" s="29" t="n">
        <f aca="false">J240</f>
        <v>0</v>
      </c>
      <c r="F241" s="28"/>
      <c r="G241" s="28"/>
      <c r="H241" s="28"/>
      <c r="I241" s="28"/>
      <c r="J241" s="29" t="n">
        <f aca="false">E241+F241+G241-H241-I241</f>
        <v>0</v>
      </c>
      <c r="K241" s="29" t="n">
        <f aca="false">ROUND(E241+F241+G241-H241-I241-J241,1)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158</v>
      </c>
      <c r="D242" s="18" t="s">
        <v>159</v>
      </c>
      <c r="E242" s="29" t="n">
        <f aca="false">J241</f>
        <v>0</v>
      </c>
      <c r="F242" s="28"/>
      <c r="G242" s="28"/>
      <c r="H242" s="28"/>
      <c r="I242" s="28"/>
      <c r="J242" s="29" t="n">
        <f aca="false">E242+F242+G242-H242-I242</f>
        <v>0</v>
      </c>
      <c r="K242" s="29" t="n">
        <f aca="false">ROUND(E242+F242+G242-H242-I242-J242,1)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158</v>
      </c>
      <c r="D243" s="18" t="s">
        <v>159</v>
      </c>
      <c r="E243" s="29" t="n">
        <f aca="false">J242</f>
        <v>0</v>
      </c>
      <c r="F243" s="28"/>
      <c r="G243" s="28"/>
      <c r="H243" s="28"/>
      <c r="I243" s="28"/>
      <c r="J243" s="29" t="n">
        <f aca="false">E243+F243+G243-H243-I243</f>
        <v>0</v>
      </c>
      <c r="K243" s="29" t="n">
        <f aca="false">ROUND(E243+F243+G243-H243-I243-J243,1)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158</v>
      </c>
      <c r="D244" s="18" t="s">
        <v>159</v>
      </c>
      <c r="E244" s="29" t="n">
        <f aca="false">J243</f>
        <v>0</v>
      </c>
      <c r="F244" s="28"/>
      <c r="G244" s="28"/>
      <c r="H244" s="28"/>
      <c r="I244" s="28"/>
      <c r="J244" s="29" t="n">
        <f aca="false">E244+F244+G244-H244-I244</f>
        <v>0</v>
      </c>
      <c r="K244" s="29" t="n">
        <f aca="false">ROUND(E244+F244+G244-H244-I244-J244,1)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158</v>
      </c>
      <c r="D245" s="18" t="s">
        <v>159</v>
      </c>
      <c r="E245" s="29" t="n">
        <f aca="false">J244</f>
        <v>0</v>
      </c>
      <c r="F245" s="28"/>
      <c r="G245" s="28"/>
      <c r="H245" s="28"/>
      <c r="I245" s="28"/>
      <c r="J245" s="29" t="n">
        <f aca="false">E245+F245+G245-H245-I245</f>
        <v>0</v>
      </c>
      <c r="K245" s="29" t="n">
        <f aca="false">ROUND(E245+F245+G245-H245-I245-J245,1)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158</v>
      </c>
      <c r="D246" s="18" t="s">
        <v>159</v>
      </c>
      <c r="E246" s="29" t="n">
        <f aca="false">J245</f>
        <v>0</v>
      </c>
      <c r="F246" s="28"/>
      <c r="G246" s="28"/>
      <c r="H246" s="28"/>
      <c r="I246" s="28"/>
      <c r="J246" s="29" t="n">
        <f aca="false">E246+F246+G246-H246-I246</f>
        <v>0</v>
      </c>
      <c r="K246" s="29" t="n">
        <f aca="false">ROUND(E246+F246+G246-H246-I246-J246,1)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158</v>
      </c>
      <c r="D247" s="18" t="s">
        <v>159</v>
      </c>
      <c r="E247" s="29" t="n">
        <f aca="false">J246</f>
        <v>0</v>
      </c>
      <c r="F247" s="28"/>
      <c r="G247" s="28"/>
      <c r="H247" s="28"/>
      <c r="I247" s="28"/>
      <c r="J247" s="29" t="n">
        <f aca="false">E247+F247+G247-H247-I247</f>
        <v>0</v>
      </c>
      <c r="K247" s="29" t="n">
        <f aca="false">ROUND(E247+F247+G247-H247-I247-J247,1)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158</v>
      </c>
      <c r="D248" s="18" t="s">
        <v>159</v>
      </c>
      <c r="E248" s="29" t="n">
        <f aca="false">J247</f>
        <v>0</v>
      </c>
      <c r="F248" s="28"/>
      <c r="G248" s="28"/>
      <c r="H248" s="28"/>
      <c r="I248" s="28"/>
      <c r="J248" s="29" t="n">
        <f aca="false">E248+F248+G248-H248-I248</f>
        <v>0</v>
      </c>
      <c r="K248" s="29" t="n">
        <f aca="false">ROUND(E248+F248+G248-H248-I248-J248,1)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158</v>
      </c>
      <c r="D249" s="18" t="s">
        <v>159</v>
      </c>
      <c r="E249" s="29" t="n">
        <f aca="false">J248</f>
        <v>0</v>
      </c>
      <c r="F249" s="28"/>
      <c r="G249" s="28"/>
      <c r="H249" s="28"/>
      <c r="I249" s="28"/>
      <c r="J249" s="29" t="n">
        <f aca="false">E249+F249+G249-H249-I249</f>
        <v>0</v>
      </c>
      <c r="K249" s="29" t="n">
        <f aca="false">ROUND(E249+F249+G249-H249-I249-J249,1)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158</v>
      </c>
      <c r="D250" s="18" t="s">
        <v>159</v>
      </c>
      <c r="E250" s="29" t="n">
        <f aca="false">J249</f>
        <v>0</v>
      </c>
      <c r="F250" s="28"/>
      <c r="G250" s="28"/>
      <c r="H250" s="28"/>
      <c r="I250" s="28"/>
      <c r="J250" s="29" t="n">
        <f aca="false">E250+F250+G250-H250-I250</f>
        <v>0</v>
      </c>
      <c r="K250" s="29" t="n">
        <f aca="false">ROUND(E250+F250+G250-H250-I250-J250,1)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158</v>
      </c>
      <c r="D251" s="18" t="s">
        <v>159</v>
      </c>
      <c r="E251" s="29" t="n">
        <f aca="false">J250</f>
        <v>0</v>
      </c>
      <c r="F251" s="28"/>
      <c r="G251" s="28"/>
      <c r="H251" s="28"/>
      <c r="I251" s="28"/>
      <c r="J251" s="29" t="n">
        <f aca="false">E251+F251+G251-H251-I251</f>
        <v>0</v>
      </c>
      <c r="K251" s="29" t="n">
        <f aca="false">ROUND(E251+F251+G251-H251-I251-J251,1)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158</v>
      </c>
      <c r="D252" s="18" t="s">
        <v>159</v>
      </c>
      <c r="E252" s="29" t="n">
        <f aca="false">J251</f>
        <v>0</v>
      </c>
      <c r="F252" s="28"/>
      <c r="G252" s="28"/>
      <c r="H252" s="28"/>
      <c r="I252" s="28"/>
      <c r="J252" s="29" t="n">
        <f aca="false">E252+F252+G252-H252-I252</f>
        <v>0</v>
      </c>
      <c r="K252" s="29" t="n">
        <f aca="false">ROUND(E252+F252+G252-H252-I252-J252,1)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158</v>
      </c>
      <c r="D253" s="18" t="s">
        <v>159</v>
      </c>
      <c r="E253" s="29" t="n">
        <f aca="false">J252</f>
        <v>0</v>
      </c>
      <c r="F253" s="28"/>
      <c r="G253" s="28"/>
      <c r="H253" s="28"/>
      <c r="I253" s="28"/>
      <c r="J253" s="29" t="n">
        <f aca="false">E253+F253+G253-H253-I253</f>
        <v>0</v>
      </c>
      <c r="K253" s="29" t="n">
        <f aca="false">ROUND(E253+F253+G253-H253-I253-J253,1)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158</v>
      </c>
      <c r="D254" s="18" t="s">
        <v>159</v>
      </c>
      <c r="E254" s="29" t="n">
        <f aca="false">J253</f>
        <v>0</v>
      </c>
      <c r="F254" s="28"/>
      <c r="G254" s="28"/>
      <c r="H254" s="28"/>
      <c r="I254" s="28"/>
      <c r="J254" s="29" t="n">
        <f aca="false">E254+F254+G254-H254-I254</f>
        <v>0</v>
      </c>
      <c r="K254" s="29" t="n">
        <f aca="false">ROUND(E254+F254+G254-H254-I254-J254,1)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158</v>
      </c>
      <c r="D255" s="18" t="s">
        <v>159</v>
      </c>
      <c r="E255" s="29" t="n">
        <f aca="false">J254</f>
        <v>0</v>
      </c>
      <c r="F255" s="28"/>
      <c r="G255" s="28"/>
      <c r="H255" s="28"/>
      <c r="I255" s="28"/>
      <c r="J255" s="29" t="n">
        <f aca="false">E255+F255+G255-H255-I255</f>
        <v>0</v>
      </c>
      <c r="K255" s="29" t="n">
        <f aca="false">ROUND(E255+F255+G255-H255-I255-J255,1)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158</v>
      </c>
      <c r="D256" s="18" t="s">
        <v>159</v>
      </c>
      <c r="E256" s="29" t="n">
        <f aca="false">J255</f>
        <v>0</v>
      </c>
      <c r="F256" s="28"/>
      <c r="G256" s="28"/>
      <c r="H256" s="28"/>
      <c r="I256" s="28"/>
      <c r="J256" s="29" t="n">
        <f aca="false">E256+F256+G256-H256-I256</f>
        <v>0</v>
      </c>
      <c r="K256" s="29" t="n">
        <f aca="false">ROUND(E256+F256+G256-H256-I256-J256,1)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158</v>
      </c>
      <c r="D257" s="18" t="s">
        <v>159</v>
      </c>
      <c r="E257" s="29" t="n">
        <f aca="false">J256</f>
        <v>0</v>
      </c>
      <c r="F257" s="28"/>
      <c r="G257" s="28"/>
      <c r="H257" s="28"/>
      <c r="I257" s="28"/>
      <c r="J257" s="29" t="n">
        <f aca="false">E257+F257+G257-H257-I257</f>
        <v>0</v>
      </c>
      <c r="K257" s="29" t="n">
        <f aca="false">ROUND(E257+F257+G257-H257-I257-J257,1)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158</v>
      </c>
      <c r="D258" s="18" t="s">
        <v>159</v>
      </c>
      <c r="E258" s="29" t="n">
        <f aca="false">J257</f>
        <v>0</v>
      </c>
      <c r="F258" s="28"/>
      <c r="G258" s="28"/>
      <c r="H258" s="28"/>
      <c r="I258" s="28"/>
      <c r="J258" s="29" t="n">
        <f aca="false">E258+F258+G258-H258-I258</f>
        <v>0</v>
      </c>
      <c r="K258" s="29" t="n">
        <f aca="false">ROUND(E258+F258+G258-H258-I258-J258,1)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158</v>
      </c>
      <c r="D259" s="18" t="s">
        <v>159</v>
      </c>
      <c r="E259" s="29" t="n">
        <f aca="false">J258</f>
        <v>0</v>
      </c>
      <c r="F259" s="28"/>
      <c r="G259" s="28"/>
      <c r="H259" s="28"/>
      <c r="I259" s="28"/>
      <c r="J259" s="29" t="n">
        <f aca="false">E259+F259+G259-H259-I259</f>
        <v>0</v>
      </c>
      <c r="K259" s="29" t="n">
        <f aca="false">ROUND(E259+F259+G259-H259-I259-J259,1)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158</v>
      </c>
      <c r="D260" s="18" t="s">
        <v>159</v>
      </c>
      <c r="E260" s="29" t="n">
        <f aca="false">J259</f>
        <v>0</v>
      </c>
      <c r="F260" s="28"/>
      <c r="G260" s="28"/>
      <c r="H260" s="28"/>
      <c r="I260" s="28"/>
      <c r="J260" s="29" t="n">
        <f aca="false">E260+F260+G260-H260-I260</f>
        <v>0</v>
      </c>
      <c r="K260" s="29" t="n">
        <f aca="false">ROUND(E260+F260+G260-H260-I260-J260,1)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158</v>
      </c>
      <c r="D261" s="18" t="s">
        <v>159</v>
      </c>
      <c r="E261" s="29" t="n">
        <f aca="false">J260</f>
        <v>0</v>
      </c>
      <c r="F261" s="28"/>
      <c r="G261" s="28"/>
      <c r="H261" s="28"/>
      <c r="I261" s="28"/>
      <c r="J261" s="29" t="n">
        <f aca="false">E261+F261+G261-H261-I261</f>
        <v>0</v>
      </c>
      <c r="K261" s="29" t="n">
        <f aca="false">ROUND(E261+F261+G261-H261-I261-J261,1)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158</v>
      </c>
      <c r="D262" s="18" t="s">
        <v>159</v>
      </c>
      <c r="E262" s="29" t="n">
        <f aca="false">J261</f>
        <v>0</v>
      </c>
      <c r="F262" s="28"/>
      <c r="G262" s="28"/>
      <c r="H262" s="28"/>
      <c r="I262" s="28"/>
      <c r="J262" s="29" t="n">
        <f aca="false">E262+F262+G262-H262-I262</f>
        <v>0</v>
      </c>
      <c r="K262" s="29" t="n">
        <f aca="false">ROUND(E262+F262+G262-H262-I262-J262,1)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158</v>
      </c>
      <c r="D263" s="18" t="s">
        <v>159</v>
      </c>
      <c r="E263" s="29" t="n">
        <f aca="false">J262</f>
        <v>0</v>
      </c>
      <c r="F263" s="28"/>
      <c r="G263" s="28"/>
      <c r="H263" s="28"/>
      <c r="I263" s="28"/>
      <c r="J263" s="29" t="n">
        <f aca="false">E263+F263+G263-H263-I263</f>
        <v>0</v>
      </c>
      <c r="K263" s="29" t="n">
        <f aca="false">ROUND(E263+F263+G263-H263-I263-J263,1)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158</v>
      </c>
      <c r="D264" s="18" t="s">
        <v>159</v>
      </c>
      <c r="E264" s="29" t="n">
        <f aca="false">J263</f>
        <v>0</v>
      </c>
      <c r="F264" s="28"/>
      <c r="G264" s="28"/>
      <c r="H264" s="28"/>
      <c r="I264" s="28"/>
      <c r="J264" s="29" t="n">
        <f aca="false">E264+F264+G264-H264-I264</f>
        <v>0</v>
      </c>
      <c r="K264" s="29" t="n">
        <f aca="false">ROUND(E264+F264+G264-H264-I264-J264,1)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158</v>
      </c>
      <c r="D265" s="18" t="s">
        <v>159</v>
      </c>
      <c r="E265" s="29" t="n">
        <f aca="false">J264</f>
        <v>0</v>
      </c>
      <c r="F265" s="28"/>
      <c r="G265" s="28"/>
      <c r="H265" s="28"/>
      <c r="I265" s="28"/>
      <c r="J265" s="29" t="n">
        <f aca="false">E265+F265+G265-H265-I265</f>
        <v>0</v>
      </c>
      <c r="K265" s="29" t="n">
        <f aca="false">ROUND(E265+F265+G265-H265-I265-J265,1)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158</v>
      </c>
      <c r="D266" s="18" t="s">
        <v>159</v>
      </c>
      <c r="E266" s="29" t="n">
        <f aca="false">J265</f>
        <v>0</v>
      </c>
      <c r="F266" s="28"/>
      <c r="G266" s="28"/>
      <c r="H266" s="28"/>
      <c r="I266" s="28"/>
      <c r="J266" s="29" t="n">
        <f aca="false">E266+F266+G266-H266-I266</f>
        <v>0</v>
      </c>
      <c r="K266" s="29" t="n">
        <f aca="false">ROUND(E266+F266+G266-H266-I266-J266,1)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158</v>
      </c>
      <c r="D267" s="18" t="s">
        <v>159</v>
      </c>
      <c r="E267" s="29" t="n">
        <f aca="false">J266</f>
        <v>0</v>
      </c>
      <c r="F267" s="28"/>
      <c r="G267" s="28"/>
      <c r="H267" s="28"/>
      <c r="I267" s="28"/>
      <c r="J267" s="29" t="n">
        <f aca="false">E267+F267+G267-H267-I267</f>
        <v>0</v>
      </c>
      <c r="K267" s="29" t="n">
        <f aca="false">ROUND(E267+F267+G267-H267-I267-J267,1)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158</v>
      </c>
      <c r="D268" s="18" t="s">
        <v>159</v>
      </c>
      <c r="E268" s="29" t="n">
        <f aca="false">J267</f>
        <v>0</v>
      </c>
      <c r="F268" s="28"/>
      <c r="G268" s="28"/>
      <c r="H268" s="28"/>
      <c r="I268" s="28"/>
      <c r="J268" s="29" t="n">
        <f aca="false">E268+F268+G268-H268-I268</f>
        <v>0</v>
      </c>
      <c r="K268" s="29" t="n">
        <f aca="false">ROUND(E268+F268+G268-H268-I268-J268,1)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158</v>
      </c>
      <c r="D269" s="18" t="s">
        <v>159</v>
      </c>
      <c r="E269" s="29" t="n">
        <f aca="false">J268</f>
        <v>0</v>
      </c>
      <c r="F269" s="28"/>
      <c r="G269" s="28"/>
      <c r="H269" s="28"/>
      <c r="I269" s="28"/>
      <c r="J269" s="29" t="n">
        <f aca="false">E269+F269+G269-H269-I269</f>
        <v>0</v>
      </c>
      <c r="K269" s="29" t="n">
        <f aca="false">ROUND(E269+F269+G269-H269-I269-J269,1)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158</v>
      </c>
      <c r="D270" s="18" t="s">
        <v>159</v>
      </c>
      <c r="E270" s="29" t="n">
        <f aca="false">J269</f>
        <v>0</v>
      </c>
      <c r="F270" s="28"/>
      <c r="G270" s="28"/>
      <c r="H270" s="28"/>
      <c r="I270" s="28"/>
      <c r="J270" s="29" t="n">
        <f aca="false">E270+F270+G270-H270-I270</f>
        <v>0</v>
      </c>
      <c r="K270" s="29" t="n">
        <f aca="false">ROUND(E270+F270+G270-H270-I270-J270,1)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158</v>
      </c>
      <c r="D271" s="18" t="s">
        <v>159</v>
      </c>
      <c r="E271" s="29" t="n">
        <f aca="false">J270</f>
        <v>0</v>
      </c>
      <c r="F271" s="28"/>
      <c r="G271" s="28"/>
      <c r="H271" s="28"/>
      <c r="I271" s="28"/>
      <c r="J271" s="29" t="n">
        <f aca="false">E271+F271+G271-H271-I271</f>
        <v>0</v>
      </c>
      <c r="K271" s="29" t="n">
        <f aca="false">ROUND(E271+F271+G271-H271-I271-J271,1)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158</v>
      </c>
      <c r="D272" s="18" t="s">
        <v>159</v>
      </c>
      <c r="E272" s="29" t="n">
        <f aca="false">J271</f>
        <v>0</v>
      </c>
      <c r="F272" s="28"/>
      <c r="G272" s="28"/>
      <c r="H272" s="28"/>
      <c r="I272" s="28"/>
      <c r="J272" s="29" t="n">
        <f aca="false">E272+F272+G272-H272-I272</f>
        <v>0</v>
      </c>
      <c r="K272" s="29" t="n">
        <f aca="false">ROUND(E272+F272+G272-H272-I272-J272,1)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158</v>
      </c>
      <c r="D273" s="18" t="s">
        <v>159</v>
      </c>
      <c r="E273" s="29" t="n">
        <f aca="false">J272</f>
        <v>0</v>
      </c>
      <c r="F273" s="28"/>
      <c r="G273" s="28"/>
      <c r="H273" s="28"/>
      <c r="I273" s="28"/>
      <c r="J273" s="29" t="n">
        <f aca="false">E273+F273+G273-H273-I273</f>
        <v>0</v>
      </c>
      <c r="K273" s="29" t="n">
        <f aca="false">ROUND(E273+F273+G273-H273-I273-J273,1)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158</v>
      </c>
      <c r="D274" s="18" t="s">
        <v>159</v>
      </c>
      <c r="E274" s="29" t="n">
        <f aca="false">J273</f>
        <v>0</v>
      </c>
      <c r="F274" s="28"/>
      <c r="G274" s="28"/>
      <c r="H274" s="28"/>
      <c r="I274" s="28"/>
      <c r="J274" s="29" t="n">
        <f aca="false">E274+F274+G274-H274-I274</f>
        <v>0</v>
      </c>
      <c r="K274" s="29" t="n">
        <f aca="false">ROUND(E274+F274+G274-H274-I274-J274,1)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158</v>
      </c>
      <c r="D275" s="18" t="s">
        <v>159</v>
      </c>
      <c r="E275" s="29" t="n">
        <f aca="false">J274</f>
        <v>0</v>
      </c>
      <c r="F275" s="28"/>
      <c r="G275" s="28"/>
      <c r="H275" s="28"/>
      <c r="I275" s="28"/>
      <c r="J275" s="29" t="n">
        <f aca="false">E275+F275+G275-H275-I275</f>
        <v>0</v>
      </c>
      <c r="K275" s="29" t="n">
        <f aca="false">ROUND(E275+F275+G275-H275-I275-J275,1)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158</v>
      </c>
      <c r="D276" s="18" t="s">
        <v>159</v>
      </c>
      <c r="E276" s="29" t="n">
        <f aca="false">J275</f>
        <v>0</v>
      </c>
      <c r="F276" s="28"/>
      <c r="G276" s="28"/>
      <c r="H276" s="28"/>
      <c r="I276" s="28"/>
      <c r="J276" s="29" t="n">
        <f aca="false">E276+F276+G276-H276-I276</f>
        <v>0</v>
      </c>
      <c r="K276" s="29" t="n">
        <f aca="false">ROUND(E276+F276+G276-H276-I276-J276,1)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158</v>
      </c>
      <c r="D277" s="18" t="s">
        <v>159</v>
      </c>
      <c r="E277" s="29" t="n">
        <f aca="false">J276</f>
        <v>0</v>
      </c>
      <c r="F277" s="28"/>
      <c r="G277" s="28"/>
      <c r="H277" s="28"/>
      <c r="I277" s="28"/>
      <c r="J277" s="29" t="n">
        <f aca="false">E277+F277+G277-H277-I277</f>
        <v>0</v>
      </c>
      <c r="K277" s="29" t="n">
        <f aca="false">ROUND(E277+F277+G277-H277-I277-J277,1)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158</v>
      </c>
      <c r="D278" s="18" t="s">
        <v>159</v>
      </c>
      <c r="E278" s="29" t="n">
        <f aca="false">J277</f>
        <v>0</v>
      </c>
      <c r="F278" s="28"/>
      <c r="G278" s="28"/>
      <c r="H278" s="28"/>
      <c r="I278" s="28"/>
      <c r="J278" s="29" t="n">
        <f aca="false">E278+F278+G278-H278-I278</f>
        <v>0</v>
      </c>
      <c r="K278" s="29" t="n">
        <f aca="false">ROUND(E278+F278+G278-H278-I278-J278,1)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158</v>
      </c>
      <c r="D279" s="18" t="s">
        <v>159</v>
      </c>
      <c r="E279" s="29" t="n">
        <f aca="false">J278</f>
        <v>0</v>
      </c>
      <c r="F279" s="28"/>
      <c r="G279" s="28"/>
      <c r="H279" s="28"/>
      <c r="I279" s="28"/>
      <c r="J279" s="29" t="n">
        <f aca="false">E279+F279+G279-H279-I279</f>
        <v>0</v>
      </c>
      <c r="K279" s="29" t="n">
        <f aca="false">ROUND(E279+F279+G279-H279-I279-J279,1)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158</v>
      </c>
      <c r="D280" s="18" t="s">
        <v>159</v>
      </c>
      <c r="E280" s="29" t="n">
        <f aca="false">J279</f>
        <v>0</v>
      </c>
      <c r="F280" s="28"/>
      <c r="G280" s="28"/>
      <c r="H280" s="28"/>
      <c r="I280" s="28"/>
      <c r="J280" s="29" t="n">
        <f aca="false">E280+F280+G280-H280-I280</f>
        <v>0</v>
      </c>
      <c r="K280" s="29" t="n">
        <f aca="false">ROUND(E280+F280+G280-H280-I280-J280,1)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158</v>
      </c>
      <c r="D281" s="18" t="s">
        <v>159</v>
      </c>
      <c r="E281" s="29" t="n">
        <f aca="false">J280</f>
        <v>0</v>
      </c>
      <c r="F281" s="28"/>
      <c r="G281" s="28"/>
      <c r="H281" s="28"/>
      <c r="I281" s="28"/>
      <c r="J281" s="29" t="n">
        <f aca="false">E281+F281+G281-H281-I281</f>
        <v>0</v>
      </c>
      <c r="K281" s="29" t="n">
        <f aca="false">ROUND(E281+F281+G281-H281-I281-J281,1)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158</v>
      </c>
      <c r="D282" s="18" t="s">
        <v>159</v>
      </c>
      <c r="E282" s="29" t="n">
        <f aca="false">J281</f>
        <v>0</v>
      </c>
      <c r="F282" s="28"/>
      <c r="G282" s="28"/>
      <c r="H282" s="28"/>
      <c r="I282" s="28"/>
      <c r="J282" s="29" t="n">
        <f aca="false">E282+F282+G282-H282-I282</f>
        <v>0</v>
      </c>
      <c r="K282" s="29" t="n">
        <f aca="false">ROUND(E282+F282+G282-H282-I282-J282,1)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158</v>
      </c>
      <c r="D283" s="18" t="s">
        <v>159</v>
      </c>
      <c r="E283" s="29" t="n">
        <f aca="false">J282</f>
        <v>0</v>
      </c>
      <c r="F283" s="28"/>
      <c r="G283" s="28"/>
      <c r="H283" s="28"/>
      <c r="I283" s="28"/>
      <c r="J283" s="29" t="n">
        <f aca="false">E283+F283+G283-H283-I283</f>
        <v>0</v>
      </c>
      <c r="K283" s="29" t="n">
        <f aca="false">ROUND(E283+F283+G283-H283-I283-J283,1)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158</v>
      </c>
      <c r="D284" s="18" t="s">
        <v>159</v>
      </c>
      <c r="E284" s="29" t="n">
        <f aca="false">J283</f>
        <v>0</v>
      </c>
      <c r="F284" s="28"/>
      <c r="G284" s="28"/>
      <c r="H284" s="28"/>
      <c r="I284" s="28"/>
      <c r="J284" s="29" t="n">
        <f aca="false">E284+F284+G284-H284-I284</f>
        <v>0</v>
      </c>
      <c r="K284" s="29" t="n">
        <f aca="false">ROUND(E284+F284+G284-H284-I284-J284,1)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158</v>
      </c>
      <c r="D285" s="18" t="s">
        <v>159</v>
      </c>
      <c r="E285" s="29" t="n">
        <f aca="false">J284</f>
        <v>0</v>
      </c>
      <c r="F285" s="28"/>
      <c r="G285" s="28"/>
      <c r="H285" s="28"/>
      <c r="I285" s="28"/>
      <c r="J285" s="29" t="n">
        <f aca="false">E285+F285+G285-H285-I285</f>
        <v>0</v>
      </c>
      <c r="K285" s="29" t="n">
        <f aca="false">ROUND(E285+F285+G285-H285-I285-J285,1)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158</v>
      </c>
      <c r="D286" s="18" t="s">
        <v>159</v>
      </c>
      <c r="E286" s="29" t="n">
        <f aca="false">J285</f>
        <v>0</v>
      </c>
      <c r="F286" s="28"/>
      <c r="G286" s="28"/>
      <c r="H286" s="28"/>
      <c r="I286" s="28"/>
      <c r="J286" s="29" t="n">
        <f aca="false">E286+F286+G286-H286-I286</f>
        <v>0</v>
      </c>
      <c r="K286" s="29" t="n">
        <f aca="false">ROUND(E286+F286+G286-H286-I286-J286,1)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158</v>
      </c>
      <c r="D287" s="18" t="s">
        <v>159</v>
      </c>
      <c r="E287" s="29" t="n">
        <f aca="false">J286</f>
        <v>0</v>
      </c>
      <c r="F287" s="28"/>
      <c r="G287" s="28"/>
      <c r="H287" s="28"/>
      <c r="I287" s="28"/>
      <c r="J287" s="29" t="n">
        <f aca="false">E287+F287+G287-H287-I287</f>
        <v>0</v>
      </c>
      <c r="K287" s="29" t="n">
        <f aca="false">ROUND(E287+F287+G287-H287-I287-J287,1)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158</v>
      </c>
      <c r="D288" s="18" t="s">
        <v>159</v>
      </c>
      <c r="E288" s="29" t="n">
        <f aca="false">J287</f>
        <v>0</v>
      </c>
      <c r="F288" s="28"/>
      <c r="G288" s="28"/>
      <c r="H288" s="28"/>
      <c r="I288" s="28"/>
      <c r="J288" s="29" t="n">
        <f aca="false">E288+F288+G288-H288-I288</f>
        <v>0</v>
      </c>
      <c r="K288" s="29" t="n">
        <f aca="false">ROUND(E288+F288+G288-H288-I288-J288,1)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158</v>
      </c>
      <c r="D289" s="18" t="s">
        <v>159</v>
      </c>
      <c r="E289" s="29" t="n">
        <f aca="false">J288</f>
        <v>0</v>
      </c>
      <c r="F289" s="28"/>
      <c r="G289" s="28"/>
      <c r="H289" s="28"/>
      <c r="I289" s="28"/>
      <c r="J289" s="29" t="n">
        <f aca="false">E289+F289+G289-H289-I289</f>
        <v>0</v>
      </c>
      <c r="K289" s="29" t="n">
        <f aca="false">ROUND(E289+F289+G289-H289-I289-J289,1)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158</v>
      </c>
      <c r="D290" s="18" t="s">
        <v>159</v>
      </c>
      <c r="E290" s="29" t="n">
        <f aca="false">J289</f>
        <v>0</v>
      </c>
      <c r="F290" s="28"/>
      <c r="G290" s="28"/>
      <c r="H290" s="28"/>
      <c r="I290" s="28"/>
      <c r="J290" s="29" t="n">
        <f aca="false">E290+F290+G290-H290-I290</f>
        <v>0</v>
      </c>
      <c r="K290" s="29" t="n">
        <f aca="false">ROUND(E290+F290+G290-H290-I290-J290,1)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158</v>
      </c>
      <c r="D291" s="18" t="s">
        <v>159</v>
      </c>
      <c r="E291" s="29" t="n">
        <f aca="false">J290</f>
        <v>0</v>
      </c>
      <c r="F291" s="28"/>
      <c r="G291" s="28"/>
      <c r="H291" s="28"/>
      <c r="I291" s="28"/>
      <c r="J291" s="29" t="n">
        <f aca="false">E291+F291+G291-H291-I291</f>
        <v>0</v>
      </c>
      <c r="K291" s="29" t="n">
        <f aca="false">ROUND(E291+F291+G291-H291-I291-J291,1)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158</v>
      </c>
      <c r="D292" s="18" t="s">
        <v>159</v>
      </c>
      <c r="E292" s="29" t="n">
        <f aca="false">J291</f>
        <v>0</v>
      </c>
      <c r="F292" s="28"/>
      <c r="G292" s="28"/>
      <c r="H292" s="28"/>
      <c r="I292" s="28"/>
      <c r="J292" s="29" t="n">
        <f aca="false">E292+F292+G292-H292-I292</f>
        <v>0</v>
      </c>
      <c r="K292" s="29" t="n">
        <f aca="false">ROUND(E292+F292+G292-H292-I292-J292,1)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158</v>
      </c>
      <c r="D293" s="18" t="s">
        <v>159</v>
      </c>
      <c r="E293" s="29" t="n">
        <f aca="false">J292</f>
        <v>0</v>
      </c>
      <c r="F293" s="28"/>
      <c r="G293" s="28"/>
      <c r="H293" s="28"/>
      <c r="I293" s="28"/>
      <c r="J293" s="29" t="n">
        <f aca="false">E293+F293+G293-H293-I293</f>
        <v>0</v>
      </c>
      <c r="K293" s="29" t="n">
        <f aca="false">ROUND(E293+F293+G293-H293-I293-J293,1)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158</v>
      </c>
      <c r="D294" s="18" t="s">
        <v>159</v>
      </c>
      <c r="E294" s="29" t="n">
        <f aca="false">J293</f>
        <v>0</v>
      </c>
      <c r="F294" s="28"/>
      <c r="G294" s="28"/>
      <c r="H294" s="28"/>
      <c r="I294" s="28"/>
      <c r="J294" s="29" t="n">
        <f aca="false">E294+F294+G294-H294-I294</f>
        <v>0</v>
      </c>
      <c r="K294" s="29" t="n">
        <f aca="false">ROUND(E294+F294+G294-H294-I294-J294,1)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158</v>
      </c>
      <c r="D295" s="18" t="s">
        <v>159</v>
      </c>
      <c r="E295" s="29" t="n">
        <f aca="false">J294</f>
        <v>0</v>
      </c>
      <c r="F295" s="28"/>
      <c r="G295" s="28"/>
      <c r="H295" s="28"/>
      <c r="I295" s="28"/>
      <c r="J295" s="29" t="n">
        <f aca="false">E295+F295+G295-H295-I295</f>
        <v>0</v>
      </c>
      <c r="K295" s="29" t="n">
        <f aca="false">ROUND(E295+F295+G295-H295-I295-J295,1)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158</v>
      </c>
      <c r="D296" s="18" t="s">
        <v>159</v>
      </c>
      <c r="E296" s="29" t="n">
        <f aca="false">J295</f>
        <v>0</v>
      </c>
      <c r="F296" s="28"/>
      <c r="G296" s="28"/>
      <c r="H296" s="28"/>
      <c r="I296" s="28"/>
      <c r="J296" s="29" t="n">
        <f aca="false">E296+F296+G296-H296-I296</f>
        <v>0</v>
      </c>
      <c r="K296" s="29" t="n">
        <f aca="false">ROUND(E296+F296+G296-H296-I296-J296,1)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158</v>
      </c>
      <c r="D297" s="18" t="s">
        <v>159</v>
      </c>
      <c r="E297" s="29" t="n">
        <f aca="false">J296</f>
        <v>0</v>
      </c>
      <c r="F297" s="28"/>
      <c r="G297" s="28"/>
      <c r="H297" s="28"/>
      <c r="I297" s="28"/>
      <c r="J297" s="29" t="n">
        <f aca="false">E297+F297+G297-H297-I297</f>
        <v>0</v>
      </c>
      <c r="K297" s="29" t="n">
        <f aca="false">ROUND(E297+F297+G297-H297-I297-J297,1)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158</v>
      </c>
      <c r="D298" s="18" t="s">
        <v>159</v>
      </c>
      <c r="E298" s="29" t="n">
        <f aca="false">J297</f>
        <v>0</v>
      </c>
      <c r="F298" s="28"/>
      <c r="G298" s="28"/>
      <c r="H298" s="28"/>
      <c r="I298" s="28"/>
      <c r="J298" s="29" t="n">
        <f aca="false">E298+F298+G298-H298-I298</f>
        <v>0</v>
      </c>
      <c r="K298" s="29" t="n">
        <f aca="false">ROUND(E298+F298+G298-H298-I298-J298,1)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158</v>
      </c>
      <c r="D299" s="18" t="s">
        <v>159</v>
      </c>
      <c r="E299" s="29" t="n">
        <f aca="false">J298</f>
        <v>0</v>
      </c>
      <c r="F299" s="28"/>
      <c r="G299" s="28"/>
      <c r="H299" s="28"/>
      <c r="I299" s="28"/>
      <c r="J299" s="29" t="n">
        <f aca="false">E299+F299+G299-H299-I299</f>
        <v>0</v>
      </c>
      <c r="K299" s="29" t="n">
        <f aca="false">ROUND(E299+F299+G299-H299-I299-J299,1)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158</v>
      </c>
      <c r="D300" s="18" t="s">
        <v>159</v>
      </c>
      <c r="E300" s="29" t="n">
        <f aca="false">J299</f>
        <v>0</v>
      </c>
      <c r="F300" s="28"/>
      <c r="G300" s="28"/>
      <c r="H300" s="28"/>
      <c r="I300" s="28"/>
      <c r="J300" s="29" t="n">
        <f aca="false">E300+F300+G300-H300-I300</f>
        <v>0</v>
      </c>
      <c r="K300" s="29" t="n">
        <f aca="false">ROUND(E300+F300+G300-H300-I300-J300,1)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158</v>
      </c>
      <c r="D301" s="18" t="s">
        <v>159</v>
      </c>
      <c r="E301" s="29" t="n">
        <f aca="false">J300</f>
        <v>0</v>
      </c>
      <c r="F301" s="28"/>
      <c r="G301" s="28"/>
      <c r="H301" s="28"/>
      <c r="I301" s="28"/>
      <c r="J301" s="29" t="n">
        <f aca="false">E301+F301+G301-H301-I301</f>
        <v>0</v>
      </c>
      <c r="K301" s="29" t="n">
        <f aca="false">ROUND(E301+F301+G301-H301-I301-J301,1)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158</v>
      </c>
      <c r="D302" s="18" t="s">
        <v>159</v>
      </c>
      <c r="E302" s="29" t="n">
        <f aca="false">J301</f>
        <v>0</v>
      </c>
      <c r="F302" s="28"/>
      <c r="G302" s="28"/>
      <c r="H302" s="28"/>
      <c r="I302" s="28"/>
      <c r="J302" s="29" t="n">
        <f aca="false">E302+F302+G302-H302-I302</f>
        <v>0</v>
      </c>
      <c r="K302" s="29" t="n">
        <f aca="false">ROUND(E302+F302+G302-H302-I302-J302,1)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158</v>
      </c>
      <c r="D303" s="18" t="s">
        <v>159</v>
      </c>
      <c r="E303" s="29" t="n">
        <f aca="false">J302</f>
        <v>0</v>
      </c>
      <c r="F303" s="28"/>
      <c r="G303" s="28"/>
      <c r="H303" s="28"/>
      <c r="I303" s="28"/>
      <c r="J303" s="29" t="n">
        <f aca="false">E303+F303+G303-H303-I303</f>
        <v>0</v>
      </c>
      <c r="K303" s="29" t="n">
        <f aca="false">ROUND(E303+F303+G303-H303-I303-J303,1)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158</v>
      </c>
      <c r="D304" s="18" t="s">
        <v>159</v>
      </c>
      <c r="E304" s="29" t="n">
        <f aca="false">J303</f>
        <v>0</v>
      </c>
      <c r="F304" s="28"/>
      <c r="G304" s="28"/>
      <c r="H304" s="28"/>
      <c r="I304" s="28"/>
      <c r="J304" s="29" t="n">
        <f aca="false">E304+F304+G304-H304-I304</f>
        <v>0</v>
      </c>
      <c r="K304" s="29" t="n">
        <f aca="false">ROUND(E304+F304+G304-H304-I304-J304,1)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158</v>
      </c>
      <c r="D305" s="18" t="s">
        <v>159</v>
      </c>
      <c r="E305" s="29" t="n">
        <f aca="false">J304</f>
        <v>0</v>
      </c>
      <c r="F305" s="28"/>
      <c r="G305" s="28"/>
      <c r="H305" s="28"/>
      <c r="I305" s="28"/>
      <c r="J305" s="29" t="n">
        <f aca="false">E305+F305+G305-H305-I305</f>
        <v>0</v>
      </c>
      <c r="K305" s="29" t="n">
        <f aca="false">ROUND(E305+F305+G305-H305-I305-J305,1)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158</v>
      </c>
      <c r="D306" s="18" t="s">
        <v>159</v>
      </c>
      <c r="E306" s="29" t="n">
        <f aca="false">J305</f>
        <v>0</v>
      </c>
      <c r="F306" s="28"/>
      <c r="G306" s="28"/>
      <c r="H306" s="28"/>
      <c r="I306" s="28"/>
      <c r="J306" s="29" t="n">
        <f aca="false">E306+F306+G306-H306-I306</f>
        <v>0</v>
      </c>
      <c r="K306" s="29" t="n">
        <f aca="false">ROUND(E306+F306+G306-H306-I306-J306,1)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158</v>
      </c>
      <c r="D307" s="18" t="s">
        <v>159</v>
      </c>
      <c r="E307" s="29" t="n">
        <f aca="false">J306</f>
        <v>0</v>
      </c>
      <c r="F307" s="28"/>
      <c r="G307" s="28"/>
      <c r="H307" s="28"/>
      <c r="I307" s="28"/>
      <c r="J307" s="29" t="n">
        <f aca="false">E307+F307+G307-H307-I307</f>
        <v>0</v>
      </c>
      <c r="K307" s="29" t="n">
        <f aca="false">ROUND(E307+F307+G307-H307-I307-J307,1)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158</v>
      </c>
      <c r="D308" s="18" t="s">
        <v>159</v>
      </c>
      <c r="E308" s="29" t="n">
        <f aca="false">J307</f>
        <v>0</v>
      </c>
      <c r="F308" s="28"/>
      <c r="G308" s="28"/>
      <c r="H308" s="28"/>
      <c r="I308" s="28"/>
      <c r="J308" s="29" t="n">
        <f aca="false">E308+F308+G308-H308-I308</f>
        <v>0</v>
      </c>
      <c r="K308" s="29" t="n">
        <f aca="false">ROUND(E308+F308+G308-H308-I308-J308,1)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158</v>
      </c>
      <c r="D309" s="18" t="s">
        <v>159</v>
      </c>
      <c r="E309" s="29" t="n">
        <f aca="false">J308</f>
        <v>0</v>
      </c>
      <c r="F309" s="28"/>
      <c r="G309" s="28"/>
      <c r="H309" s="28"/>
      <c r="I309" s="28"/>
      <c r="J309" s="29" t="n">
        <f aca="false">E309+F309+G309-H309-I309</f>
        <v>0</v>
      </c>
      <c r="K309" s="29" t="n">
        <f aca="false">ROUND(E309+F309+G309-H309-I309-J309,1)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158</v>
      </c>
      <c r="D310" s="18" t="s">
        <v>159</v>
      </c>
      <c r="E310" s="29" t="n">
        <f aca="false">J309</f>
        <v>0</v>
      </c>
      <c r="F310" s="28"/>
      <c r="G310" s="28"/>
      <c r="H310" s="28"/>
      <c r="I310" s="28"/>
      <c r="J310" s="29" t="n">
        <f aca="false">E310+F310+G310-H310-I310</f>
        <v>0</v>
      </c>
      <c r="K310" s="29" t="n">
        <f aca="false">ROUND(E310+F310+G310-H310-I310-J310,1)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158</v>
      </c>
      <c r="D311" s="18" t="s">
        <v>159</v>
      </c>
      <c r="E311" s="29" t="n">
        <f aca="false">J310</f>
        <v>0</v>
      </c>
      <c r="F311" s="28"/>
      <c r="G311" s="28"/>
      <c r="H311" s="28"/>
      <c r="I311" s="28"/>
      <c r="J311" s="29" t="n">
        <f aca="false">E311+F311+G311-H311-I311</f>
        <v>0</v>
      </c>
      <c r="K311" s="29" t="n">
        <f aca="false">ROUND(E311+F311+G311-H311-I311-J311,1)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158</v>
      </c>
      <c r="D312" s="18" t="s">
        <v>159</v>
      </c>
      <c r="E312" s="29" t="n">
        <f aca="false">J311</f>
        <v>0</v>
      </c>
      <c r="F312" s="28"/>
      <c r="G312" s="28"/>
      <c r="H312" s="28"/>
      <c r="I312" s="28"/>
      <c r="J312" s="29" t="n">
        <f aca="false">E312+F312+G312-H312-I312</f>
        <v>0</v>
      </c>
      <c r="K312" s="29" t="n">
        <f aca="false">ROUND(E312+F312+G312-H312-I312-J312,1)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158</v>
      </c>
      <c r="D313" s="18" t="s">
        <v>159</v>
      </c>
      <c r="E313" s="29" t="n">
        <f aca="false">J312</f>
        <v>0</v>
      </c>
      <c r="F313" s="28"/>
      <c r="G313" s="28"/>
      <c r="H313" s="28"/>
      <c r="I313" s="28"/>
      <c r="J313" s="29" t="n">
        <f aca="false">E313+F313+G313-H313-I313</f>
        <v>0</v>
      </c>
      <c r="K313" s="29" t="n">
        <f aca="false">ROUND(E313+F313+G313-H313-I313-J313,1)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158</v>
      </c>
      <c r="D314" s="18" t="s">
        <v>159</v>
      </c>
      <c r="E314" s="29" t="n">
        <f aca="false">J313</f>
        <v>0</v>
      </c>
      <c r="F314" s="28"/>
      <c r="G314" s="28"/>
      <c r="H314" s="28"/>
      <c r="I314" s="28"/>
      <c r="J314" s="29" t="n">
        <f aca="false">E314+F314+G314-H314-I314</f>
        <v>0</v>
      </c>
      <c r="K314" s="29" t="n">
        <f aca="false">ROUND(E314+F314+G314-H314-I314-J314,1)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158</v>
      </c>
      <c r="D315" s="18" t="s">
        <v>159</v>
      </c>
      <c r="E315" s="29" t="n">
        <f aca="false">J314</f>
        <v>0</v>
      </c>
      <c r="F315" s="28"/>
      <c r="G315" s="28"/>
      <c r="H315" s="28"/>
      <c r="I315" s="28"/>
      <c r="J315" s="29" t="n">
        <f aca="false">E315+F315+G315-H315-I315</f>
        <v>0</v>
      </c>
      <c r="K315" s="29" t="n">
        <f aca="false">ROUND(E315+F315+G315-H315-I315-J315,1)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158</v>
      </c>
      <c r="D316" s="18" t="s">
        <v>159</v>
      </c>
      <c r="E316" s="29" t="n">
        <f aca="false">J315</f>
        <v>0</v>
      </c>
      <c r="F316" s="28"/>
      <c r="G316" s="28"/>
      <c r="H316" s="28"/>
      <c r="I316" s="28"/>
      <c r="J316" s="29" t="n">
        <f aca="false">E316+F316+G316-H316-I316</f>
        <v>0</v>
      </c>
      <c r="K316" s="29" t="n">
        <f aca="false">ROUND(E316+F316+G316-H316-I316-J316,1)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158</v>
      </c>
      <c r="D317" s="18" t="s">
        <v>159</v>
      </c>
      <c r="E317" s="29" t="n">
        <f aca="false">J316</f>
        <v>0</v>
      </c>
      <c r="F317" s="28"/>
      <c r="G317" s="28"/>
      <c r="H317" s="28"/>
      <c r="I317" s="28"/>
      <c r="J317" s="29" t="n">
        <f aca="false">E317+F317+G317-H317-I317</f>
        <v>0</v>
      </c>
      <c r="K317" s="29" t="n">
        <f aca="false">ROUND(E317+F317+G317-H317-I317-J317,1)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158</v>
      </c>
      <c r="D318" s="18" t="s">
        <v>159</v>
      </c>
      <c r="E318" s="29" t="n">
        <f aca="false">J317</f>
        <v>0</v>
      </c>
      <c r="F318" s="28"/>
      <c r="G318" s="28"/>
      <c r="H318" s="28"/>
      <c r="I318" s="28"/>
      <c r="J318" s="29" t="n">
        <f aca="false">E318+F318+G318-H318-I318</f>
        <v>0</v>
      </c>
      <c r="K318" s="29" t="n">
        <f aca="false">ROUND(E318+F318+G318-H318-I318-J318,1)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158</v>
      </c>
      <c r="D319" s="18" t="s">
        <v>159</v>
      </c>
      <c r="E319" s="29" t="n">
        <f aca="false">J318</f>
        <v>0</v>
      </c>
      <c r="F319" s="28"/>
      <c r="G319" s="28"/>
      <c r="H319" s="28"/>
      <c r="I319" s="28"/>
      <c r="J319" s="29" t="n">
        <f aca="false">E319+F319+G319-H319-I319</f>
        <v>0</v>
      </c>
      <c r="K319" s="29" t="n">
        <f aca="false">ROUND(E319+F319+G319-H319-I319-J319,1)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158</v>
      </c>
      <c r="D320" s="18" t="s">
        <v>159</v>
      </c>
      <c r="E320" s="29" t="n">
        <f aca="false">J319</f>
        <v>0</v>
      </c>
      <c r="F320" s="28"/>
      <c r="G320" s="28"/>
      <c r="H320" s="28"/>
      <c r="I320" s="28"/>
      <c r="J320" s="29" t="n">
        <f aca="false">E320+F320+G320-H320-I320</f>
        <v>0</v>
      </c>
      <c r="K320" s="29" t="n">
        <f aca="false">ROUND(E320+F320+G320-H320-I320-J320,1)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158</v>
      </c>
      <c r="D321" s="18" t="s">
        <v>159</v>
      </c>
      <c r="E321" s="29" t="n">
        <f aca="false">J320</f>
        <v>0</v>
      </c>
      <c r="F321" s="28"/>
      <c r="G321" s="28"/>
      <c r="H321" s="28"/>
      <c r="I321" s="28"/>
      <c r="J321" s="29" t="n">
        <f aca="false">E321+F321+G321-H321-I321</f>
        <v>0</v>
      </c>
      <c r="K321" s="29" t="n">
        <f aca="false">ROUND(E321+F321+G321-H321-I321-J321,1)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158</v>
      </c>
      <c r="D322" s="18" t="s">
        <v>159</v>
      </c>
      <c r="E322" s="29" t="n">
        <f aca="false">J321</f>
        <v>0</v>
      </c>
      <c r="F322" s="28"/>
      <c r="G322" s="28"/>
      <c r="H322" s="28"/>
      <c r="I322" s="28"/>
      <c r="J322" s="29" t="n">
        <f aca="false">E322+F322+G322-H322-I322</f>
        <v>0</v>
      </c>
      <c r="K322" s="29" t="n">
        <f aca="false">ROUND(E322+F322+G322-H322-I322-J322,1)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158</v>
      </c>
      <c r="D323" s="18" t="s">
        <v>159</v>
      </c>
      <c r="E323" s="29" t="n">
        <f aca="false">J322</f>
        <v>0</v>
      </c>
      <c r="F323" s="28"/>
      <c r="G323" s="28"/>
      <c r="H323" s="28"/>
      <c r="I323" s="28"/>
      <c r="J323" s="29" t="n">
        <f aca="false">E323+F323+G323-H323-I323</f>
        <v>0</v>
      </c>
      <c r="K323" s="29" t="n">
        <f aca="false">ROUND(E323+F323+G323-H323-I323-J323,1)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158</v>
      </c>
      <c r="D324" s="18" t="s">
        <v>159</v>
      </c>
      <c r="E324" s="29" t="n">
        <f aca="false">J323</f>
        <v>0</v>
      </c>
      <c r="F324" s="28"/>
      <c r="G324" s="28"/>
      <c r="H324" s="28"/>
      <c r="I324" s="28"/>
      <c r="J324" s="29" t="n">
        <f aca="false">E324+F324+G324-H324-I324</f>
        <v>0</v>
      </c>
      <c r="K324" s="29" t="n">
        <f aca="false">ROUND(E324+F324+G324-H324-I324-J324,1)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158</v>
      </c>
      <c r="D325" s="18" t="s">
        <v>159</v>
      </c>
      <c r="E325" s="29" t="n">
        <f aca="false">J324</f>
        <v>0</v>
      </c>
      <c r="F325" s="28"/>
      <c r="G325" s="28"/>
      <c r="H325" s="28"/>
      <c r="I325" s="28"/>
      <c r="J325" s="29" t="n">
        <f aca="false">E325+F325+G325-H325-I325</f>
        <v>0</v>
      </c>
      <c r="K325" s="29" t="n">
        <f aca="false">ROUND(E325+F325+G325-H325-I325-J325,1)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158</v>
      </c>
      <c r="D326" s="18" t="s">
        <v>159</v>
      </c>
      <c r="E326" s="29" t="n">
        <f aca="false">J325</f>
        <v>0</v>
      </c>
      <c r="F326" s="28"/>
      <c r="G326" s="28"/>
      <c r="H326" s="28"/>
      <c r="I326" s="28"/>
      <c r="J326" s="29" t="n">
        <f aca="false">E326+F326+G326-H326-I326</f>
        <v>0</v>
      </c>
      <c r="K326" s="29" t="n">
        <f aca="false">ROUND(E326+F326+G326-H326-I326-J326,1)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158</v>
      </c>
      <c r="D327" s="18" t="s">
        <v>159</v>
      </c>
      <c r="E327" s="29" t="n">
        <f aca="false">J326</f>
        <v>0</v>
      </c>
      <c r="F327" s="28"/>
      <c r="G327" s="28"/>
      <c r="H327" s="28"/>
      <c r="I327" s="28"/>
      <c r="J327" s="29" t="n">
        <f aca="false">E327+F327+G327-H327-I327</f>
        <v>0</v>
      </c>
      <c r="K327" s="29" t="n">
        <f aca="false">ROUND(E327+F327+G327-H327-I327-J327,1)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158</v>
      </c>
      <c r="D328" s="18" t="s">
        <v>159</v>
      </c>
      <c r="E328" s="29" t="n">
        <f aca="false">J327</f>
        <v>0</v>
      </c>
      <c r="F328" s="28"/>
      <c r="G328" s="28"/>
      <c r="H328" s="28"/>
      <c r="I328" s="28"/>
      <c r="J328" s="29" t="n">
        <f aca="false">E328+F328+G328-H328-I328</f>
        <v>0</v>
      </c>
      <c r="K328" s="29" t="n">
        <f aca="false">ROUND(E328+F328+G328-H328-I328-J328,1)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158</v>
      </c>
      <c r="D329" s="18" t="s">
        <v>159</v>
      </c>
      <c r="E329" s="29" t="n">
        <f aca="false">J328</f>
        <v>0</v>
      </c>
      <c r="F329" s="28"/>
      <c r="G329" s="28"/>
      <c r="H329" s="28"/>
      <c r="I329" s="28"/>
      <c r="J329" s="29" t="n">
        <f aca="false">E329+F329+G329-H329-I329</f>
        <v>0</v>
      </c>
      <c r="K329" s="29" t="n">
        <f aca="false">ROUND(E329+F329+G329-H329-I329-J329,1)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158</v>
      </c>
      <c r="D330" s="18" t="s">
        <v>159</v>
      </c>
      <c r="E330" s="29" t="n">
        <f aca="false">J329</f>
        <v>0</v>
      </c>
      <c r="F330" s="28"/>
      <c r="G330" s="28"/>
      <c r="H330" s="28"/>
      <c r="I330" s="28"/>
      <c r="J330" s="29" t="n">
        <f aca="false">E330+F330+G330-H330-I330</f>
        <v>0</v>
      </c>
      <c r="K330" s="29" t="n">
        <f aca="false">ROUND(E330+F330+G330-H330-I330-J330,1)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158</v>
      </c>
      <c r="D331" s="18" t="s">
        <v>159</v>
      </c>
      <c r="E331" s="29" t="n">
        <f aca="false">J330</f>
        <v>0</v>
      </c>
      <c r="F331" s="28"/>
      <c r="G331" s="28"/>
      <c r="H331" s="28"/>
      <c r="I331" s="28"/>
      <c r="J331" s="29" t="n">
        <f aca="false">E331+F331+G331-H331-I331</f>
        <v>0</v>
      </c>
      <c r="K331" s="29" t="n">
        <f aca="false">ROUND(E331+F331+G331-H331-I331-J331,1)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158</v>
      </c>
      <c r="D332" s="18" t="s">
        <v>159</v>
      </c>
      <c r="E332" s="29" t="n">
        <f aca="false">J331</f>
        <v>0</v>
      </c>
      <c r="F332" s="28"/>
      <c r="G332" s="28"/>
      <c r="H332" s="28"/>
      <c r="I332" s="28"/>
      <c r="J332" s="29" t="n">
        <f aca="false">E332+F332+G332-H332-I332</f>
        <v>0</v>
      </c>
      <c r="K332" s="29" t="n">
        <f aca="false">ROUND(E332+F332+G332-H332-I332-J332,1)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158</v>
      </c>
      <c r="D333" s="18" t="s">
        <v>159</v>
      </c>
      <c r="E333" s="29" t="n">
        <f aca="false">J332</f>
        <v>0</v>
      </c>
      <c r="F333" s="28"/>
      <c r="G333" s="28"/>
      <c r="H333" s="28"/>
      <c r="I333" s="28"/>
      <c r="J333" s="29" t="n">
        <f aca="false">E333+F333+G333-H333-I333</f>
        <v>0</v>
      </c>
      <c r="K333" s="29" t="n">
        <f aca="false">ROUND(E333+F333+G333-H333-I333-J333,1)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158</v>
      </c>
      <c r="D334" s="18" t="s">
        <v>159</v>
      </c>
      <c r="E334" s="29" t="n">
        <f aca="false">J333</f>
        <v>0</v>
      </c>
      <c r="F334" s="28"/>
      <c r="G334" s="28"/>
      <c r="H334" s="28"/>
      <c r="I334" s="28"/>
      <c r="J334" s="29" t="n">
        <f aca="false">E334+F334+G334-H334-I334</f>
        <v>0</v>
      </c>
      <c r="K334" s="29" t="n">
        <f aca="false">ROUND(E334+F334+G334-H334-I334-J334,1)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158</v>
      </c>
      <c r="D335" s="18" t="s">
        <v>159</v>
      </c>
      <c r="E335" s="29" t="n">
        <f aca="false">J334</f>
        <v>0</v>
      </c>
      <c r="F335" s="28"/>
      <c r="G335" s="28"/>
      <c r="H335" s="28"/>
      <c r="I335" s="28"/>
      <c r="J335" s="29" t="n">
        <f aca="false">E335+F335+G335-H335-I335</f>
        <v>0</v>
      </c>
      <c r="K335" s="29" t="n">
        <f aca="false">ROUND(E335+F335+G335-H335-I335-J335,1)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158</v>
      </c>
      <c r="D336" s="18" t="s">
        <v>159</v>
      </c>
      <c r="E336" s="29" t="n">
        <f aca="false">J335</f>
        <v>0</v>
      </c>
      <c r="F336" s="28"/>
      <c r="G336" s="28"/>
      <c r="H336" s="28"/>
      <c r="I336" s="28"/>
      <c r="J336" s="29" t="n">
        <f aca="false">E336+F336+G336-H336-I336</f>
        <v>0</v>
      </c>
      <c r="K336" s="29" t="n">
        <f aca="false">ROUND(E336+F336+G336-H336-I336-J336,1)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158</v>
      </c>
      <c r="D337" s="18" t="s">
        <v>159</v>
      </c>
      <c r="E337" s="29" t="n">
        <f aca="false">J336</f>
        <v>0</v>
      </c>
      <c r="F337" s="28"/>
      <c r="G337" s="28"/>
      <c r="H337" s="28"/>
      <c r="I337" s="28"/>
      <c r="J337" s="29" t="n">
        <f aca="false">E337+F337+G337-H337-I337</f>
        <v>0</v>
      </c>
      <c r="K337" s="29" t="n">
        <f aca="false">ROUND(E337+F337+G337-H337-I337-J337,1)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158</v>
      </c>
      <c r="D338" s="18" t="s">
        <v>159</v>
      </c>
      <c r="E338" s="29" t="n">
        <f aca="false">J337</f>
        <v>0</v>
      </c>
      <c r="F338" s="28"/>
      <c r="G338" s="28"/>
      <c r="H338" s="28"/>
      <c r="I338" s="28"/>
      <c r="J338" s="29" t="n">
        <f aca="false">E338+F338+G338-H338-I338</f>
        <v>0</v>
      </c>
      <c r="K338" s="29" t="n">
        <f aca="false">ROUND(E338+F338+G338-H338-I338-J338,1)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158</v>
      </c>
      <c r="D339" s="18" t="s">
        <v>159</v>
      </c>
      <c r="E339" s="29" t="n">
        <f aca="false">J338</f>
        <v>0</v>
      </c>
      <c r="F339" s="28"/>
      <c r="G339" s="28"/>
      <c r="H339" s="28"/>
      <c r="I339" s="28"/>
      <c r="J339" s="29" t="n">
        <f aca="false">E339+F339+G339-H339-I339</f>
        <v>0</v>
      </c>
      <c r="K339" s="29" t="n">
        <f aca="false">ROUND(E339+F339+G339-H339-I339-J339,1)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158</v>
      </c>
      <c r="D340" s="18" t="s">
        <v>159</v>
      </c>
      <c r="E340" s="29" t="n">
        <f aca="false">J339</f>
        <v>0</v>
      </c>
      <c r="F340" s="28"/>
      <c r="G340" s="28"/>
      <c r="H340" s="28"/>
      <c r="I340" s="28"/>
      <c r="J340" s="29" t="n">
        <f aca="false">E340+F340+G340-H340-I340</f>
        <v>0</v>
      </c>
      <c r="K340" s="29" t="n">
        <f aca="false">ROUND(E340+F340+G340-H340-I340-J340,1)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158</v>
      </c>
      <c r="D341" s="18" t="s">
        <v>159</v>
      </c>
      <c r="E341" s="29" t="n">
        <f aca="false">J340</f>
        <v>0</v>
      </c>
      <c r="F341" s="28"/>
      <c r="G341" s="28"/>
      <c r="H341" s="28"/>
      <c r="I341" s="28"/>
      <c r="J341" s="29" t="n">
        <f aca="false">E341+F341+G341-H341-I341</f>
        <v>0</v>
      </c>
      <c r="K341" s="29" t="n">
        <f aca="false">ROUND(E341+F341+G341-H341-I341-J341,1)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158</v>
      </c>
      <c r="D342" s="18" t="s">
        <v>159</v>
      </c>
      <c r="E342" s="29" t="n">
        <f aca="false">J341</f>
        <v>0</v>
      </c>
      <c r="F342" s="28"/>
      <c r="G342" s="28"/>
      <c r="H342" s="28"/>
      <c r="I342" s="28"/>
      <c r="J342" s="29" t="n">
        <f aca="false">E342+F342+G342-H342-I342</f>
        <v>0</v>
      </c>
      <c r="K342" s="29" t="n">
        <f aca="false">ROUND(E342+F342+G342-H342-I342-J342,1)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158</v>
      </c>
      <c r="D343" s="18" t="s">
        <v>159</v>
      </c>
      <c r="E343" s="29" t="n">
        <f aca="false">J342</f>
        <v>0</v>
      </c>
      <c r="F343" s="28"/>
      <c r="G343" s="28"/>
      <c r="H343" s="28"/>
      <c r="I343" s="28"/>
      <c r="J343" s="29" t="n">
        <f aca="false">E343+F343+G343-H343-I343</f>
        <v>0</v>
      </c>
      <c r="K343" s="29" t="n">
        <f aca="false">ROUND(E343+F343+G343-H343-I343-J343,1)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158</v>
      </c>
      <c r="D344" s="18" t="s">
        <v>159</v>
      </c>
      <c r="E344" s="29" t="n">
        <f aca="false">J343</f>
        <v>0</v>
      </c>
      <c r="F344" s="28"/>
      <c r="G344" s="28"/>
      <c r="H344" s="28"/>
      <c r="I344" s="28"/>
      <c r="J344" s="29" t="n">
        <f aca="false">E344+F344+G344-H344-I344</f>
        <v>0</v>
      </c>
      <c r="K344" s="29" t="n">
        <f aca="false">ROUND(E344+F344+G344-H344-I344-J344,1)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158</v>
      </c>
      <c r="D345" s="18" t="s">
        <v>159</v>
      </c>
      <c r="E345" s="29" t="n">
        <f aca="false">J344</f>
        <v>0</v>
      </c>
      <c r="F345" s="28"/>
      <c r="G345" s="28"/>
      <c r="H345" s="28"/>
      <c r="I345" s="28"/>
      <c r="J345" s="29" t="n">
        <f aca="false">E345+F345+G345-H345-I345</f>
        <v>0</v>
      </c>
      <c r="K345" s="29" t="n">
        <f aca="false">ROUND(E345+F345+G345-H345-I345-J345,1)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158</v>
      </c>
      <c r="D346" s="18" t="s">
        <v>159</v>
      </c>
      <c r="E346" s="29" t="n">
        <f aca="false">J345</f>
        <v>0</v>
      </c>
      <c r="F346" s="28"/>
      <c r="G346" s="28"/>
      <c r="H346" s="28"/>
      <c r="I346" s="28"/>
      <c r="J346" s="29" t="n">
        <f aca="false">E346+F346+G346-H346-I346</f>
        <v>0</v>
      </c>
      <c r="K346" s="29" t="n">
        <f aca="false">ROUND(E346+F346+G346-H346-I346-J346,1)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158</v>
      </c>
      <c r="D347" s="18" t="s">
        <v>159</v>
      </c>
      <c r="E347" s="29" t="n">
        <f aca="false">J346</f>
        <v>0</v>
      </c>
      <c r="F347" s="28"/>
      <c r="G347" s="28"/>
      <c r="H347" s="28"/>
      <c r="I347" s="28"/>
      <c r="J347" s="29" t="n">
        <f aca="false">E347+F347+G347-H347-I347</f>
        <v>0</v>
      </c>
      <c r="K347" s="29" t="n">
        <f aca="false">ROUND(E347+F347+G347-H347-I347-J347,1)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158</v>
      </c>
      <c r="D348" s="18" t="s">
        <v>159</v>
      </c>
      <c r="E348" s="29" t="n">
        <f aca="false">J347</f>
        <v>0</v>
      </c>
      <c r="F348" s="28"/>
      <c r="G348" s="28"/>
      <c r="H348" s="28"/>
      <c r="I348" s="28"/>
      <c r="J348" s="29" t="n">
        <f aca="false">E348+F348+G348-H348-I348</f>
        <v>0</v>
      </c>
      <c r="K348" s="29" t="n">
        <f aca="false">ROUND(E348+F348+G348-H348-I348-J348,1)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158</v>
      </c>
      <c r="D349" s="18" t="s">
        <v>159</v>
      </c>
      <c r="E349" s="29" t="n">
        <f aca="false">J348</f>
        <v>0</v>
      </c>
      <c r="F349" s="28"/>
      <c r="G349" s="28"/>
      <c r="H349" s="28"/>
      <c r="I349" s="28"/>
      <c r="J349" s="29" t="n">
        <f aca="false">E349+F349+G349-H349-I349</f>
        <v>0</v>
      </c>
      <c r="K349" s="29" t="n">
        <f aca="false">ROUND(E349+F349+G349-H349-I349-J349,1)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158</v>
      </c>
      <c r="D350" s="18" t="s">
        <v>159</v>
      </c>
      <c r="E350" s="29" t="n">
        <f aca="false">J349</f>
        <v>0</v>
      </c>
      <c r="F350" s="28"/>
      <c r="G350" s="28"/>
      <c r="H350" s="28"/>
      <c r="I350" s="28"/>
      <c r="J350" s="29" t="n">
        <f aca="false">E350+F350+G350-H350-I350</f>
        <v>0</v>
      </c>
      <c r="K350" s="29" t="n">
        <f aca="false">ROUND(E350+F350+G350-H350-I350-J350,1)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158</v>
      </c>
      <c r="D351" s="18" t="s">
        <v>159</v>
      </c>
      <c r="E351" s="29" t="n">
        <f aca="false">J350</f>
        <v>0</v>
      </c>
      <c r="F351" s="28"/>
      <c r="G351" s="28"/>
      <c r="H351" s="28"/>
      <c r="I351" s="28"/>
      <c r="J351" s="29" t="n">
        <f aca="false">E351+F351+G351-H351-I351</f>
        <v>0</v>
      </c>
      <c r="K351" s="29" t="n">
        <f aca="false">ROUND(E351+F351+G351-H351-I351-J351,1)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158</v>
      </c>
      <c r="D352" s="18" t="s">
        <v>159</v>
      </c>
      <c r="E352" s="29" t="n">
        <f aca="false">J351</f>
        <v>0</v>
      </c>
      <c r="F352" s="28"/>
      <c r="G352" s="28"/>
      <c r="H352" s="28"/>
      <c r="I352" s="28"/>
      <c r="J352" s="29" t="n">
        <f aca="false">E352+F352+G352-H352-I352</f>
        <v>0</v>
      </c>
      <c r="K352" s="29" t="n">
        <f aca="false">ROUND(E352+F352+G352-H352-I352-J352,1)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158</v>
      </c>
      <c r="D353" s="18" t="s">
        <v>159</v>
      </c>
      <c r="E353" s="29" t="n">
        <f aca="false">J352</f>
        <v>0</v>
      </c>
      <c r="F353" s="28"/>
      <c r="G353" s="28"/>
      <c r="H353" s="28"/>
      <c r="I353" s="28"/>
      <c r="J353" s="29" t="n">
        <f aca="false">E353+F353+G353-H353-I353</f>
        <v>0</v>
      </c>
      <c r="K353" s="29" t="n">
        <f aca="false">ROUND(E353+F353+G353-H353-I353-J353,1)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158</v>
      </c>
      <c r="D354" s="18" t="s">
        <v>159</v>
      </c>
      <c r="E354" s="29" t="n">
        <f aca="false">J353</f>
        <v>0</v>
      </c>
      <c r="F354" s="28"/>
      <c r="G354" s="28"/>
      <c r="H354" s="28"/>
      <c r="I354" s="28"/>
      <c r="J354" s="29" t="n">
        <f aca="false">E354+F354+G354-H354-I354</f>
        <v>0</v>
      </c>
      <c r="K354" s="29" t="n">
        <f aca="false">ROUND(E354+F354+G354-H354-I354-J354,1)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158</v>
      </c>
      <c r="D355" s="18" t="s">
        <v>159</v>
      </c>
      <c r="E355" s="29" t="n">
        <f aca="false">J354</f>
        <v>0</v>
      </c>
      <c r="F355" s="28"/>
      <c r="G355" s="28"/>
      <c r="H355" s="28"/>
      <c r="I355" s="28"/>
      <c r="J355" s="29" t="n">
        <f aca="false">E355+F355+G355-H355-I355</f>
        <v>0</v>
      </c>
      <c r="K355" s="29" t="n">
        <f aca="false">ROUND(E355+F355+G355-H355-I355-J355,1)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158</v>
      </c>
      <c r="D356" s="18" t="s">
        <v>159</v>
      </c>
      <c r="E356" s="29" t="n">
        <f aca="false">J355</f>
        <v>0</v>
      </c>
      <c r="F356" s="28"/>
      <c r="G356" s="28"/>
      <c r="H356" s="28"/>
      <c r="I356" s="28"/>
      <c r="J356" s="29" t="n">
        <f aca="false">E356+F356+G356-H356-I356</f>
        <v>0</v>
      </c>
      <c r="K356" s="29" t="n">
        <f aca="false">ROUND(E356+F356+G356-H356-I356-J356,1)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158</v>
      </c>
      <c r="D357" s="18" t="s">
        <v>159</v>
      </c>
      <c r="E357" s="29" t="n">
        <f aca="false">J356</f>
        <v>0</v>
      </c>
      <c r="F357" s="28"/>
      <c r="G357" s="28"/>
      <c r="H357" s="28"/>
      <c r="I357" s="28"/>
      <c r="J357" s="29" t="n">
        <f aca="false">E357+F357+G357-H357-I357</f>
        <v>0</v>
      </c>
      <c r="K357" s="29" t="n">
        <f aca="false">ROUND(E357+F357+G357-H357-I357-J357,1)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158</v>
      </c>
      <c r="D358" s="18" t="s">
        <v>159</v>
      </c>
      <c r="E358" s="29" t="n">
        <f aca="false">J357</f>
        <v>0</v>
      </c>
      <c r="F358" s="28"/>
      <c r="G358" s="28"/>
      <c r="H358" s="28"/>
      <c r="I358" s="28"/>
      <c r="J358" s="29" t="n">
        <f aca="false">E358+F358+G358-H358-I358</f>
        <v>0</v>
      </c>
      <c r="K358" s="29" t="n">
        <f aca="false">ROUND(E358+F358+G358-H358-I358-J358,1)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158</v>
      </c>
      <c r="D359" s="18" t="s">
        <v>159</v>
      </c>
      <c r="E359" s="29" t="n">
        <f aca="false">J358</f>
        <v>0</v>
      </c>
      <c r="F359" s="28"/>
      <c r="G359" s="28"/>
      <c r="H359" s="28"/>
      <c r="I359" s="28"/>
      <c r="J359" s="29" t="n">
        <f aca="false">E359+F359+G359-H359-I359</f>
        <v>0</v>
      </c>
      <c r="K359" s="29" t="n">
        <f aca="false">ROUND(E359+F359+G359-H359-I359-J359,1)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158</v>
      </c>
      <c r="D360" s="18" t="s">
        <v>159</v>
      </c>
      <c r="E360" s="29" t="n">
        <f aca="false">J359</f>
        <v>0</v>
      </c>
      <c r="F360" s="28"/>
      <c r="G360" s="28"/>
      <c r="H360" s="28"/>
      <c r="I360" s="28"/>
      <c r="J360" s="29" t="n">
        <f aca="false">E360+F360+G360-H360-I360</f>
        <v>0</v>
      </c>
      <c r="K360" s="29" t="n">
        <f aca="false">ROUND(E360+F360+G360-H360-I360-J360,1)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158</v>
      </c>
      <c r="D361" s="18" t="s">
        <v>159</v>
      </c>
      <c r="E361" s="29" t="n">
        <f aca="false">J360</f>
        <v>0</v>
      </c>
      <c r="F361" s="28"/>
      <c r="G361" s="28"/>
      <c r="H361" s="28"/>
      <c r="I361" s="28"/>
      <c r="J361" s="29" t="n">
        <f aca="false">E361+F361+G361-H361-I361</f>
        <v>0</v>
      </c>
      <c r="K361" s="29" t="n">
        <f aca="false">ROUND(E361+F361+G361-H361-I361-J361,1)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158</v>
      </c>
      <c r="D362" s="18" t="s">
        <v>159</v>
      </c>
      <c r="E362" s="29" t="n">
        <f aca="false">J361</f>
        <v>0</v>
      </c>
      <c r="F362" s="28"/>
      <c r="G362" s="28"/>
      <c r="H362" s="28"/>
      <c r="I362" s="28"/>
      <c r="J362" s="29" t="n">
        <f aca="false">E362+F362+G362-H362-I362</f>
        <v>0</v>
      </c>
      <c r="K362" s="29" t="n">
        <f aca="false">ROUND(E362+F362+G362-H362-I362-J362,1)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158</v>
      </c>
      <c r="D363" s="18" t="s">
        <v>159</v>
      </c>
      <c r="E363" s="29" t="n">
        <f aca="false">J362</f>
        <v>0</v>
      </c>
      <c r="F363" s="28"/>
      <c r="G363" s="28"/>
      <c r="H363" s="28"/>
      <c r="I363" s="28"/>
      <c r="J363" s="29" t="n">
        <f aca="false">E363+F363+G363-H363-I363</f>
        <v>0</v>
      </c>
      <c r="K363" s="29" t="n">
        <f aca="false">ROUND(E363+F363+G363-H363-I363-J363,1)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158</v>
      </c>
      <c r="D364" s="18" t="s">
        <v>159</v>
      </c>
      <c r="E364" s="29" t="n">
        <f aca="false">J363</f>
        <v>0</v>
      </c>
      <c r="F364" s="28"/>
      <c r="G364" s="28"/>
      <c r="H364" s="28"/>
      <c r="I364" s="28"/>
      <c r="J364" s="29" t="n">
        <f aca="false">E364+F364+G364-H364-I364</f>
        <v>0</v>
      </c>
      <c r="K364" s="29" t="n">
        <f aca="false">ROUND(E364+F364+G364-H364-I364-J364,1)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158</v>
      </c>
      <c r="D365" s="18" t="s">
        <v>159</v>
      </c>
      <c r="E365" s="29" t="n">
        <f aca="false">J364</f>
        <v>0</v>
      </c>
      <c r="F365" s="28"/>
      <c r="G365" s="28"/>
      <c r="H365" s="28"/>
      <c r="I365" s="28"/>
      <c r="J365" s="29" t="n">
        <f aca="false">E365+F365+G365-H365-I365</f>
        <v>0</v>
      </c>
      <c r="K365" s="29" t="n">
        <f aca="false">ROUND(E365+F365+G365-H365-I365-J365,1)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158</v>
      </c>
      <c r="D366" s="18" t="s">
        <v>159</v>
      </c>
      <c r="E366" s="29" t="n">
        <f aca="false">J365</f>
        <v>0</v>
      </c>
      <c r="F366" s="28"/>
      <c r="G366" s="28"/>
      <c r="H366" s="28"/>
      <c r="I366" s="28"/>
      <c r="J366" s="29" t="n">
        <f aca="false">E366+F366+G366-H366-I366</f>
        <v>0</v>
      </c>
      <c r="K366" s="29" t="n">
        <f aca="false">ROUND(E366+F366+G366-H366-I366-J366,1)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77</v>
      </c>
      <c r="D367" s="18" t="s">
        <v>78</v>
      </c>
      <c r="E367" s="28"/>
      <c r="F367" s="28"/>
      <c r="G367" s="30" t="n">
        <v>0</v>
      </c>
      <c r="H367" s="28"/>
      <c r="I367" s="28"/>
      <c r="J367" s="29" t="n">
        <f aca="false">E367+F367+G367-H367-I367</f>
        <v>0</v>
      </c>
      <c r="K367" s="29" t="n">
        <f aca="false">ROUND(E367+F367+G367-H367-I367-J367,1)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77</v>
      </c>
      <c r="D368" s="18" t="s">
        <v>78</v>
      </c>
      <c r="E368" s="29" t="n">
        <f aca="false">J367</f>
        <v>0</v>
      </c>
      <c r="F368" s="28"/>
      <c r="G368" s="30" t="n">
        <v>0</v>
      </c>
      <c r="H368" s="28"/>
      <c r="I368" s="28"/>
      <c r="J368" s="29" t="n">
        <f aca="false">E368+F368+G368-H368-I368</f>
        <v>0</v>
      </c>
      <c r="K368" s="29" t="n">
        <f aca="false">ROUND(E368+F368+G368-H368-I368-J368,1)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77</v>
      </c>
      <c r="D369" s="18" t="s">
        <v>78</v>
      </c>
      <c r="E369" s="29" t="n">
        <f aca="false">J368</f>
        <v>0</v>
      </c>
      <c r="F369" s="28"/>
      <c r="G369" s="30" t="n">
        <v>0</v>
      </c>
      <c r="H369" s="28"/>
      <c r="I369" s="28"/>
      <c r="J369" s="29" t="n">
        <f aca="false">E369+F369+G369-H369-I369</f>
        <v>0</v>
      </c>
      <c r="K369" s="29" t="n">
        <f aca="false">ROUND(E369+F369+G369-H369-I369-J369,1)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77</v>
      </c>
      <c r="D370" s="18" t="s">
        <v>78</v>
      </c>
      <c r="E370" s="29" t="n">
        <f aca="false">J369</f>
        <v>0</v>
      </c>
      <c r="F370" s="28"/>
      <c r="G370" s="30" t="n">
        <v>0</v>
      </c>
      <c r="H370" s="28"/>
      <c r="I370" s="28"/>
      <c r="J370" s="29" t="n">
        <f aca="false">E370+F370+G370-H370-I370</f>
        <v>0</v>
      </c>
      <c r="K370" s="29" t="n">
        <f aca="false">ROUND(E370+F370+G370-H370-I370-J370,1)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77</v>
      </c>
      <c r="D371" s="18" t="s">
        <v>78</v>
      </c>
      <c r="E371" s="29" t="n">
        <f aca="false">J370</f>
        <v>0</v>
      </c>
      <c r="F371" s="28"/>
      <c r="G371" s="30" t="n">
        <v>0</v>
      </c>
      <c r="H371" s="28"/>
      <c r="I371" s="28"/>
      <c r="J371" s="29" t="n">
        <f aca="false">E371+F371+G371-H371-I371</f>
        <v>0</v>
      </c>
      <c r="K371" s="29" t="n">
        <f aca="false">ROUND(E371+F371+G371-H371-I371-J371,1)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77</v>
      </c>
      <c r="D372" s="18" t="s">
        <v>78</v>
      </c>
      <c r="E372" s="29" t="n">
        <f aca="false">J371</f>
        <v>0</v>
      </c>
      <c r="F372" s="28"/>
      <c r="G372" s="30" t="n">
        <v>0</v>
      </c>
      <c r="H372" s="28"/>
      <c r="I372" s="28"/>
      <c r="J372" s="29" t="n">
        <f aca="false">E372+F372+G372-H372-I372</f>
        <v>0</v>
      </c>
      <c r="K372" s="29" t="n">
        <f aca="false">ROUND(E372+F372+G372-H372-I372-J372,1)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77</v>
      </c>
      <c r="D373" s="18" t="s">
        <v>78</v>
      </c>
      <c r="E373" s="29" t="n">
        <f aca="false">J372</f>
        <v>0</v>
      </c>
      <c r="F373" s="28"/>
      <c r="G373" s="30" t="n">
        <v>0</v>
      </c>
      <c r="H373" s="28"/>
      <c r="I373" s="28"/>
      <c r="J373" s="29" t="n">
        <f aca="false">E373+F373+G373-H373-I373</f>
        <v>0</v>
      </c>
      <c r="K373" s="29" t="n">
        <f aca="false">ROUND(E373+F373+G373-H373-I373-J373,1)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77</v>
      </c>
      <c r="D374" s="18" t="s">
        <v>78</v>
      </c>
      <c r="E374" s="29" t="n">
        <f aca="false">J373</f>
        <v>0</v>
      </c>
      <c r="F374" s="28"/>
      <c r="G374" s="30" t="n">
        <v>0</v>
      </c>
      <c r="H374" s="28"/>
      <c r="I374" s="28"/>
      <c r="J374" s="29" t="n">
        <f aca="false">E374+F374+G374-H374-I374</f>
        <v>0</v>
      </c>
      <c r="K374" s="29" t="n">
        <f aca="false">ROUND(E374+F374+G374-H374-I374-J374,1)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77</v>
      </c>
      <c r="D375" s="18" t="s">
        <v>78</v>
      </c>
      <c r="E375" s="29" t="n">
        <f aca="false">J374</f>
        <v>0</v>
      </c>
      <c r="F375" s="28"/>
      <c r="G375" s="30" t="n">
        <v>0</v>
      </c>
      <c r="H375" s="28"/>
      <c r="I375" s="28"/>
      <c r="J375" s="29" t="n">
        <f aca="false">E375+F375+G375-H375-I375</f>
        <v>0</v>
      </c>
      <c r="K375" s="29" t="n">
        <f aca="false">ROUND(E375+F375+G375-H375-I375-J375,1)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77</v>
      </c>
      <c r="D376" s="18" t="s">
        <v>78</v>
      </c>
      <c r="E376" s="29" t="n">
        <f aca="false">J375</f>
        <v>0</v>
      </c>
      <c r="F376" s="28"/>
      <c r="G376" s="30" t="n">
        <v>0</v>
      </c>
      <c r="H376" s="28"/>
      <c r="I376" s="28"/>
      <c r="J376" s="29" t="n">
        <f aca="false">E376+F376+G376-H376-I376</f>
        <v>0</v>
      </c>
      <c r="K376" s="29" t="n">
        <f aca="false">ROUND(E376+F376+G376-H376-I376-J376,1)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77</v>
      </c>
      <c r="D377" s="18" t="s">
        <v>78</v>
      </c>
      <c r="E377" s="29" t="n">
        <f aca="false">J376</f>
        <v>0</v>
      </c>
      <c r="F377" s="28"/>
      <c r="G377" s="30" t="n">
        <v>0</v>
      </c>
      <c r="H377" s="28"/>
      <c r="I377" s="28"/>
      <c r="J377" s="29" t="n">
        <f aca="false">E377+F377+G377-H377-I377</f>
        <v>0</v>
      </c>
      <c r="K377" s="29" t="n">
        <f aca="false">ROUND(E377+F377+G377-H377-I377-J377,1)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77</v>
      </c>
      <c r="D378" s="18" t="s">
        <v>78</v>
      </c>
      <c r="E378" s="29" t="n">
        <f aca="false">J377</f>
        <v>0</v>
      </c>
      <c r="F378" s="28"/>
      <c r="G378" s="30" t="n">
        <v>0</v>
      </c>
      <c r="H378" s="28"/>
      <c r="I378" s="28"/>
      <c r="J378" s="29" t="n">
        <f aca="false">E378+F378+G378-H378-I378</f>
        <v>0</v>
      </c>
      <c r="K378" s="29" t="n">
        <f aca="false">ROUND(E378+F378+G378-H378-I378-J378,1)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77</v>
      </c>
      <c r="D379" s="18" t="s">
        <v>78</v>
      </c>
      <c r="E379" s="29" t="n">
        <f aca="false">J378</f>
        <v>0</v>
      </c>
      <c r="F379" s="28"/>
      <c r="G379" s="30" t="n">
        <v>0</v>
      </c>
      <c r="H379" s="28"/>
      <c r="I379" s="28"/>
      <c r="J379" s="29" t="n">
        <f aca="false">E379+F379+G379-H379-I379</f>
        <v>0</v>
      </c>
      <c r="K379" s="29" t="n">
        <f aca="false">ROUND(E379+F379+G379-H379-I379-J379,1)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77</v>
      </c>
      <c r="D380" s="18" t="s">
        <v>78</v>
      </c>
      <c r="E380" s="29" t="n">
        <f aca="false">J379</f>
        <v>0</v>
      </c>
      <c r="F380" s="28"/>
      <c r="G380" s="30" t="n">
        <v>0</v>
      </c>
      <c r="H380" s="28"/>
      <c r="I380" s="28"/>
      <c r="J380" s="29" t="n">
        <f aca="false">E380+F380+G380-H380-I380</f>
        <v>0</v>
      </c>
      <c r="K380" s="29" t="n">
        <f aca="false">ROUND(E380+F380+G380-H380-I380-J380,1)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77</v>
      </c>
      <c r="D381" s="18" t="s">
        <v>78</v>
      </c>
      <c r="E381" s="29" t="n">
        <f aca="false">J380</f>
        <v>0</v>
      </c>
      <c r="F381" s="28"/>
      <c r="G381" s="30" t="n">
        <v>0</v>
      </c>
      <c r="H381" s="28"/>
      <c r="I381" s="28"/>
      <c r="J381" s="29" t="n">
        <f aca="false">E381+F381+G381-H381-I381</f>
        <v>0</v>
      </c>
      <c r="K381" s="29" t="n">
        <f aca="false">ROUND(E381+F381+G381-H381-I381-J381,1)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77</v>
      </c>
      <c r="D382" s="18" t="s">
        <v>78</v>
      </c>
      <c r="E382" s="29" t="n">
        <f aca="false">J381</f>
        <v>0</v>
      </c>
      <c r="F382" s="28"/>
      <c r="G382" s="30" t="n">
        <v>0</v>
      </c>
      <c r="H382" s="28"/>
      <c r="I382" s="28"/>
      <c r="J382" s="29" t="n">
        <f aca="false">E382+F382+G382-H382-I382</f>
        <v>0</v>
      </c>
      <c r="K382" s="29" t="n">
        <f aca="false">ROUND(E382+F382+G382-H382-I382-J382,1)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77</v>
      </c>
      <c r="D383" s="18" t="s">
        <v>78</v>
      </c>
      <c r="E383" s="29" t="n">
        <f aca="false">J382</f>
        <v>0</v>
      </c>
      <c r="F383" s="28"/>
      <c r="G383" s="30" t="n">
        <v>0</v>
      </c>
      <c r="H383" s="28"/>
      <c r="I383" s="28"/>
      <c r="J383" s="29" t="n">
        <f aca="false">E383+F383+G383-H383-I383</f>
        <v>0</v>
      </c>
      <c r="K383" s="29" t="n">
        <f aca="false">ROUND(E383+F383+G383-H383-I383-J383,1)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77</v>
      </c>
      <c r="D384" s="18" t="s">
        <v>78</v>
      </c>
      <c r="E384" s="29" t="n">
        <f aca="false">J383</f>
        <v>0</v>
      </c>
      <c r="F384" s="28"/>
      <c r="G384" s="30" t="n">
        <v>0</v>
      </c>
      <c r="H384" s="28"/>
      <c r="I384" s="28"/>
      <c r="J384" s="29" t="n">
        <f aca="false">E384+F384+G384-H384-I384</f>
        <v>0</v>
      </c>
      <c r="K384" s="29" t="n">
        <f aca="false">ROUND(E384+F384+G384-H384-I384-J384,1)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77</v>
      </c>
      <c r="D385" s="18" t="s">
        <v>78</v>
      </c>
      <c r="E385" s="29" t="n">
        <f aca="false">J384</f>
        <v>0</v>
      </c>
      <c r="F385" s="28"/>
      <c r="G385" s="30" t="n">
        <v>0</v>
      </c>
      <c r="H385" s="28"/>
      <c r="I385" s="28"/>
      <c r="J385" s="29" t="n">
        <f aca="false">E385+F385+G385-H385-I385</f>
        <v>0</v>
      </c>
      <c r="K385" s="29" t="n">
        <f aca="false">ROUND(E385+F385+G385-H385-I385-J385,1)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77</v>
      </c>
      <c r="D386" s="18" t="s">
        <v>78</v>
      </c>
      <c r="E386" s="29" t="n">
        <f aca="false">J385</f>
        <v>0</v>
      </c>
      <c r="F386" s="28"/>
      <c r="G386" s="30" t="n">
        <v>0</v>
      </c>
      <c r="H386" s="28"/>
      <c r="I386" s="28"/>
      <c r="J386" s="29" t="n">
        <f aca="false">E386+F386+G386-H386-I386</f>
        <v>0</v>
      </c>
      <c r="K386" s="29" t="n">
        <f aca="false">ROUND(E386+F386+G386-H386-I386-J386,1)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77</v>
      </c>
      <c r="D387" s="18" t="s">
        <v>78</v>
      </c>
      <c r="E387" s="29" t="n">
        <f aca="false">J386</f>
        <v>0</v>
      </c>
      <c r="F387" s="28"/>
      <c r="G387" s="30" t="n">
        <v>0</v>
      </c>
      <c r="H387" s="28"/>
      <c r="I387" s="28"/>
      <c r="J387" s="29" t="n">
        <f aca="false">E387+F387+G387-H387-I387</f>
        <v>0</v>
      </c>
      <c r="K387" s="29" t="n">
        <f aca="false">ROUND(E387+F387+G387-H387-I387-J387,1)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77</v>
      </c>
      <c r="D388" s="18" t="s">
        <v>78</v>
      </c>
      <c r="E388" s="29" t="n">
        <f aca="false">J387</f>
        <v>0</v>
      </c>
      <c r="F388" s="28"/>
      <c r="G388" s="30" t="n">
        <v>0</v>
      </c>
      <c r="H388" s="28"/>
      <c r="I388" s="28"/>
      <c r="J388" s="29" t="n">
        <f aca="false">E388+F388+G388-H388-I388</f>
        <v>0</v>
      </c>
      <c r="K388" s="29" t="n">
        <f aca="false">ROUND(E388+F388+G388-H388-I388-J388,1)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77</v>
      </c>
      <c r="D389" s="18" t="s">
        <v>78</v>
      </c>
      <c r="E389" s="29" t="n">
        <f aca="false">J388</f>
        <v>0</v>
      </c>
      <c r="F389" s="28"/>
      <c r="G389" s="30" t="n">
        <v>0</v>
      </c>
      <c r="H389" s="28"/>
      <c r="I389" s="28"/>
      <c r="J389" s="29" t="n">
        <f aca="false">E389+F389+G389-H389-I389</f>
        <v>0</v>
      </c>
      <c r="K389" s="29" t="n">
        <f aca="false">ROUND(E389+F389+G389-H389-I389-J389,1)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77</v>
      </c>
      <c r="D390" s="18" t="s">
        <v>78</v>
      </c>
      <c r="E390" s="29" t="n">
        <f aca="false">J389</f>
        <v>0</v>
      </c>
      <c r="F390" s="28"/>
      <c r="G390" s="30" t="n">
        <v>0</v>
      </c>
      <c r="H390" s="28"/>
      <c r="I390" s="28"/>
      <c r="J390" s="29" t="n">
        <f aca="false">E390+F390+G390-H390-I390</f>
        <v>0</v>
      </c>
      <c r="K390" s="29" t="n">
        <f aca="false">ROUND(E390+F390+G390-H390-I390-J390,1)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77</v>
      </c>
      <c r="D391" s="18" t="s">
        <v>78</v>
      </c>
      <c r="E391" s="29" t="n">
        <f aca="false">J390</f>
        <v>0</v>
      </c>
      <c r="F391" s="28"/>
      <c r="G391" s="30" t="n">
        <v>0</v>
      </c>
      <c r="H391" s="28"/>
      <c r="I391" s="28"/>
      <c r="J391" s="29" t="n">
        <f aca="false">E391+F391+G391-H391-I391</f>
        <v>0</v>
      </c>
      <c r="K391" s="29" t="n">
        <f aca="false">ROUND(E391+F391+G391-H391-I391-J391,1)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77</v>
      </c>
      <c r="D392" s="18" t="s">
        <v>78</v>
      </c>
      <c r="E392" s="29" t="n">
        <f aca="false">J391</f>
        <v>0</v>
      </c>
      <c r="F392" s="28"/>
      <c r="G392" s="30" t="n">
        <v>0</v>
      </c>
      <c r="H392" s="28"/>
      <c r="I392" s="28"/>
      <c r="J392" s="29" t="n">
        <f aca="false">E392+F392+G392-H392-I392</f>
        <v>0</v>
      </c>
      <c r="K392" s="29" t="n">
        <f aca="false">ROUND(E392+F392+G392-H392-I392-J392,1)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77</v>
      </c>
      <c r="D393" s="18" t="s">
        <v>78</v>
      </c>
      <c r="E393" s="29" t="n">
        <f aca="false">J392</f>
        <v>0</v>
      </c>
      <c r="F393" s="28"/>
      <c r="G393" s="30" t="n">
        <v>0</v>
      </c>
      <c r="H393" s="28"/>
      <c r="I393" s="28"/>
      <c r="J393" s="29" t="n">
        <f aca="false">E393+F393+G393-H393-I393</f>
        <v>0</v>
      </c>
      <c r="K393" s="29" t="n">
        <f aca="false">ROUND(E393+F393+G393-H393-I393-J393,1)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77</v>
      </c>
      <c r="D394" s="18" t="s">
        <v>78</v>
      </c>
      <c r="E394" s="29" t="n">
        <f aca="false">J393</f>
        <v>0</v>
      </c>
      <c r="F394" s="28"/>
      <c r="G394" s="30" t="n">
        <v>0</v>
      </c>
      <c r="H394" s="28"/>
      <c r="I394" s="28"/>
      <c r="J394" s="29" t="n">
        <f aca="false">E394+F394+G394-H394-I394</f>
        <v>0</v>
      </c>
      <c r="K394" s="29" t="n">
        <f aca="false">ROUND(E394+F394+G394-H394-I394-J394,1)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77</v>
      </c>
      <c r="D395" s="18" t="s">
        <v>78</v>
      </c>
      <c r="E395" s="29" t="n">
        <f aca="false">J394</f>
        <v>0</v>
      </c>
      <c r="F395" s="28"/>
      <c r="G395" s="30" t="n">
        <v>0</v>
      </c>
      <c r="H395" s="28"/>
      <c r="I395" s="28"/>
      <c r="J395" s="29" t="n">
        <f aca="false">E395+F395+G395-H395-I395</f>
        <v>0</v>
      </c>
      <c r="K395" s="29" t="n">
        <f aca="false">ROUND(E395+F395+G395-H395-I395-J395,1)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77</v>
      </c>
      <c r="D396" s="18" t="s">
        <v>78</v>
      </c>
      <c r="E396" s="29" t="n">
        <f aca="false">J395</f>
        <v>0</v>
      </c>
      <c r="F396" s="28"/>
      <c r="G396" s="30" t="n">
        <v>0</v>
      </c>
      <c r="H396" s="28"/>
      <c r="I396" s="28"/>
      <c r="J396" s="29" t="n">
        <f aca="false">E396+F396+G396-H396-I396</f>
        <v>0</v>
      </c>
      <c r="K396" s="29" t="n">
        <f aca="false">ROUND(E396+F396+G396-H396-I396-J396,1)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77</v>
      </c>
      <c r="D397" s="18" t="s">
        <v>78</v>
      </c>
      <c r="E397" s="29" t="n">
        <f aca="false">J396</f>
        <v>0</v>
      </c>
      <c r="F397" s="28"/>
      <c r="G397" s="30" t="n">
        <v>0</v>
      </c>
      <c r="H397" s="28"/>
      <c r="I397" s="28"/>
      <c r="J397" s="29" t="n">
        <f aca="false">E397+F397+G397-H397-I397</f>
        <v>0</v>
      </c>
      <c r="K397" s="29" t="n">
        <f aca="false">ROUND(E397+F397+G397-H397-I397-J397,1)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77</v>
      </c>
      <c r="D398" s="18" t="s">
        <v>78</v>
      </c>
      <c r="E398" s="29" t="n">
        <f aca="false">J397</f>
        <v>0</v>
      </c>
      <c r="F398" s="28"/>
      <c r="G398" s="30" t="n">
        <v>0</v>
      </c>
      <c r="H398" s="28"/>
      <c r="I398" s="28"/>
      <c r="J398" s="29" t="n">
        <f aca="false">E398+F398+G398-H398-I398</f>
        <v>0</v>
      </c>
      <c r="K398" s="29" t="n">
        <f aca="false">ROUND(E398+F398+G398-H398-I398-J398,1)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77</v>
      </c>
      <c r="D399" s="18" t="s">
        <v>78</v>
      </c>
      <c r="E399" s="29" t="n">
        <f aca="false">J398</f>
        <v>0</v>
      </c>
      <c r="F399" s="28"/>
      <c r="G399" s="30" t="n">
        <v>0</v>
      </c>
      <c r="H399" s="28"/>
      <c r="I399" s="28"/>
      <c r="J399" s="29" t="n">
        <f aca="false">E399+F399+G399-H399-I399</f>
        <v>0</v>
      </c>
      <c r="K399" s="29" t="n">
        <f aca="false">ROUND(E399+F399+G399-H399-I399-J399,1)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77</v>
      </c>
      <c r="D400" s="18" t="s">
        <v>78</v>
      </c>
      <c r="E400" s="29" t="n">
        <f aca="false">J399</f>
        <v>0</v>
      </c>
      <c r="F400" s="28"/>
      <c r="G400" s="30" t="n">
        <v>0</v>
      </c>
      <c r="H400" s="28"/>
      <c r="I400" s="28"/>
      <c r="J400" s="29" t="n">
        <f aca="false">E400+F400+G400-H400-I400</f>
        <v>0</v>
      </c>
      <c r="K400" s="29" t="n">
        <f aca="false">ROUND(E400+F400+G400-H400-I400-J400,1)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77</v>
      </c>
      <c r="D401" s="18" t="s">
        <v>78</v>
      </c>
      <c r="E401" s="29" t="n">
        <f aca="false">J400</f>
        <v>0</v>
      </c>
      <c r="F401" s="28"/>
      <c r="G401" s="30" t="n">
        <v>0</v>
      </c>
      <c r="H401" s="28"/>
      <c r="I401" s="28"/>
      <c r="J401" s="29" t="n">
        <f aca="false">E401+F401+G401-H401-I401</f>
        <v>0</v>
      </c>
      <c r="K401" s="29" t="n">
        <f aca="false">ROUND(E401+F401+G401-H401-I401-J401,1)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77</v>
      </c>
      <c r="D402" s="18" t="s">
        <v>78</v>
      </c>
      <c r="E402" s="29" t="n">
        <f aca="false">J401</f>
        <v>0</v>
      </c>
      <c r="F402" s="28"/>
      <c r="G402" s="30" t="n">
        <v>0</v>
      </c>
      <c r="H402" s="28"/>
      <c r="I402" s="28"/>
      <c r="J402" s="29" t="n">
        <f aca="false">E402+F402+G402-H402-I402</f>
        <v>0</v>
      </c>
      <c r="K402" s="29" t="n">
        <f aca="false">ROUND(E402+F402+G402-H402-I402-J402,1)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77</v>
      </c>
      <c r="D403" s="18" t="s">
        <v>78</v>
      </c>
      <c r="E403" s="29" t="n">
        <f aca="false">J402</f>
        <v>0</v>
      </c>
      <c r="F403" s="28"/>
      <c r="G403" s="30" t="n">
        <v>0</v>
      </c>
      <c r="H403" s="28"/>
      <c r="I403" s="28"/>
      <c r="J403" s="29" t="n">
        <f aca="false">E403+F403+G403-H403-I403</f>
        <v>0</v>
      </c>
      <c r="K403" s="29" t="n">
        <f aca="false">ROUND(E403+F403+G403-H403-I403-J403,1)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77</v>
      </c>
      <c r="D404" s="18" t="s">
        <v>78</v>
      </c>
      <c r="E404" s="29" t="n">
        <f aca="false">J403</f>
        <v>0</v>
      </c>
      <c r="F404" s="28"/>
      <c r="G404" s="30" t="n">
        <v>0</v>
      </c>
      <c r="H404" s="28"/>
      <c r="I404" s="28"/>
      <c r="J404" s="29" t="n">
        <f aca="false">E404+F404+G404-H404-I404</f>
        <v>0</v>
      </c>
      <c r="K404" s="29" t="n">
        <f aca="false">ROUND(E404+F404+G404-H404-I404-J404,1)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77</v>
      </c>
      <c r="D405" s="18" t="s">
        <v>78</v>
      </c>
      <c r="E405" s="29" t="n">
        <f aca="false">J404</f>
        <v>0</v>
      </c>
      <c r="F405" s="28"/>
      <c r="G405" s="30" t="n">
        <v>0</v>
      </c>
      <c r="H405" s="28"/>
      <c r="I405" s="28"/>
      <c r="J405" s="29" t="n">
        <f aca="false">E405+F405+G405-H405-I405</f>
        <v>0</v>
      </c>
      <c r="K405" s="29" t="n">
        <f aca="false">ROUND(E405+F405+G405-H405-I405-J405,1)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77</v>
      </c>
      <c r="D406" s="18" t="s">
        <v>78</v>
      </c>
      <c r="E406" s="29" t="n">
        <f aca="false">J405</f>
        <v>0</v>
      </c>
      <c r="F406" s="28"/>
      <c r="G406" s="30" t="n">
        <v>0</v>
      </c>
      <c r="H406" s="28"/>
      <c r="I406" s="28"/>
      <c r="J406" s="29" t="n">
        <f aca="false">E406+F406+G406-H406-I406</f>
        <v>0</v>
      </c>
      <c r="K406" s="29" t="n">
        <f aca="false">ROUND(E406+F406+G406-H406-I406-J406,1)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77</v>
      </c>
      <c r="D407" s="18" t="s">
        <v>78</v>
      </c>
      <c r="E407" s="29" t="n">
        <f aca="false">J406</f>
        <v>0</v>
      </c>
      <c r="F407" s="28"/>
      <c r="G407" s="30" t="n">
        <v>0</v>
      </c>
      <c r="H407" s="28"/>
      <c r="I407" s="28"/>
      <c r="J407" s="29" t="n">
        <f aca="false">E407+F407+G407-H407-I407</f>
        <v>0</v>
      </c>
      <c r="K407" s="29" t="n">
        <f aca="false">ROUND(E407+F407+G407-H407-I407-J407,1)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77</v>
      </c>
      <c r="D408" s="18" t="s">
        <v>78</v>
      </c>
      <c r="E408" s="29" t="n">
        <f aca="false">J407</f>
        <v>0</v>
      </c>
      <c r="F408" s="28"/>
      <c r="G408" s="30" t="n">
        <v>0</v>
      </c>
      <c r="H408" s="28"/>
      <c r="I408" s="28"/>
      <c r="J408" s="29" t="n">
        <f aca="false">E408+F408+G408-H408-I408</f>
        <v>0</v>
      </c>
      <c r="K408" s="29" t="n">
        <f aca="false">ROUND(E408+F408+G408-H408-I408-J408,1)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77</v>
      </c>
      <c r="D409" s="18" t="s">
        <v>78</v>
      </c>
      <c r="E409" s="29" t="n">
        <f aca="false">J408</f>
        <v>0</v>
      </c>
      <c r="F409" s="28"/>
      <c r="G409" s="30" t="n">
        <v>0</v>
      </c>
      <c r="H409" s="28"/>
      <c r="I409" s="28"/>
      <c r="J409" s="29" t="n">
        <f aca="false">E409+F409+G409-H409-I409</f>
        <v>0</v>
      </c>
      <c r="K409" s="29" t="n">
        <f aca="false">ROUND(E409+F409+G409-H409-I409-J409,1)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77</v>
      </c>
      <c r="D410" s="18" t="s">
        <v>78</v>
      </c>
      <c r="E410" s="29" t="n">
        <f aca="false">J409</f>
        <v>0</v>
      </c>
      <c r="F410" s="28"/>
      <c r="G410" s="30" t="n">
        <v>0</v>
      </c>
      <c r="H410" s="28"/>
      <c r="I410" s="28"/>
      <c r="J410" s="29" t="n">
        <f aca="false">E410+F410+G410-H410-I410</f>
        <v>0</v>
      </c>
      <c r="K410" s="29" t="n">
        <f aca="false">ROUND(E410+F410+G410-H410-I410-J410,1)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77</v>
      </c>
      <c r="D411" s="18" t="s">
        <v>78</v>
      </c>
      <c r="E411" s="29" t="n">
        <f aca="false">J410</f>
        <v>0</v>
      </c>
      <c r="F411" s="28"/>
      <c r="G411" s="30" t="n">
        <v>0</v>
      </c>
      <c r="H411" s="28"/>
      <c r="I411" s="28"/>
      <c r="J411" s="29" t="n">
        <f aca="false">E411+F411+G411-H411-I411</f>
        <v>0</v>
      </c>
      <c r="K411" s="29" t="n">
        <f aca="false">ROUND(E411+F411+G411-H411-I411-J411,1)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77</v>
      </c>
      <c r="D412" s="18" t="s">
        <v>78</v>
      </c>
      <c r="E412" s="29" t="n">
        <f aca="false">J411</f>
        <v>0</v>
      </c>
      <c r="F412" s="28"/>
      <c r="G412" s="30" t="n">
        <v>0</v>
      </c>
      <c r="H412" s="28"/>
      <c r="I412" s="28"/>
      <c r="J412" s="29" t="n">
        <f aca="false">E412+F412+G412-H412-I412</f>
        <v>0</v>
      </c>
      <c r="K412" s="29" t="n">
        <f aca="false">ROUND(E412+F412+G412-H412-I412-J412,1)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77</v>
      </c>
      <c r="D413" s="18" t="s">
        <v>78</v>
      </c>
      <c r="E413" s="29" t="n">
        <f aca="false">J412</f>
        <v>0</v>
      </c>
      <c r="F413" s="28"/>
      <c r="G413" s="30" t="n">
        <v>0</v>
      </c>
      <c r="H413" s="28"/>
      <c r="I413" s="28"/>
      <c r="J413" s="29" t="n">
        <f aca="false">E413+F413+G413-H413-I413</f>
        <v>0</v>
      </c>
      <c r="K413" s="29" t="n">
        <f aca="false">ROUND(E413+F413+G413-H413-I413-J413,1)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77</v>
      </c>
      <c r="D414" s="18" t="s">
        <v>78</v>
      </c>
      <c r="E414" s="29" t="n">
        <f aca="false">J413</f>
        <v>0</v>
      </c>
      <c r="F414" s="28"/>
      <c r="G414" s="30" t="n">
        <v>0</v>
      </c>
      <c r="H414" s="28"/>
      <c r="I414" s="28"/>
      <c r="J414" s="29" t="n">
        <f aca="false">E414+F414+G414-H414-I414</f>
        <v>0</v>
      </c>
      <c r="K414" s="29" t="n">
        <f aca="false">ROUND(E414+F414+G414-H414-I414-J414,1)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77</v>
      </c>
      <c r="D415" s="18" t="s">
        <v>78</v>
      </c>
      <c r="E415" s="29" t="n">
        <f aca="false">J414</f>
        <v>0</v>
      </c>
      <c r="F415" s="28"/>
      <c r="G415" s="30" t="n">
        <v>0</v>
      </c>
      <c r="H415" s="28"/>
      <c r="I415" s="28"/>
      <c r="J415" s="29" t="n">
        <f aca="false">E415+F415+G415-H415-I415</f>
        <v>0</v>
      </c>
      <c r="K415" s="29" t="n">
        <f aca="false">ROUND(E415+F415+G415-H415-I415-J415,1)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77</v>
      </c>
      <c r="D416" s="18" t="s">
        <v>78</v>
      </c>
      <c r="E416" s="29" t="n">
        <f aca="false">J415</f>
        <v>0</v>
      </c>
      <c r="F416" s="28"/>
      <c r="G416" s="30" t="n">
        <v>0</v>
      </c>
      <c r="H416" s="28"/>
      <c r="I416" s="28"/>
      <c r="J416" s="29" t="n">
        <f aca="false">E416+F416+G416-H416-I416</f>
        <v>0</v>
      </c>
      <c r="K416" s="29" t="n">
        <f aca="false">ROUND(E416+F416+G416-H416-I416-J416,1)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77</v>
      </c>
      <c r="D417" s="18" t="s">
        <v>78</v>
      </c>
      <c r="E417" s="29" t="n">
        <f aca="false">J416</f>
        <v>0</v>
      </c>
      <c r="F417" s="28"/>
      <c r="G417" s="30" t="n">
        <v>0</v>
      </c>
      <c r="H417" s="28"/>
      <c r="I417" s="28"/>
      <c r="J417" s="29" t="n">
        <f aca="false">E417+F417+G417-H417-I417</f>
        <v>0</v>
      </c>
      <c r="K417" s="29" t="n">
        <f aca="false">ROUND(E417+F417+G417-H417-I417-J417,1)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77</v>
      </c>
      <c r="D418" s="18" t="s">
        <v>78</v>
      </c>
      <c r="E418" s="29" t="n">
        <f aca="false">J417</f>
        <v>0</v>
      </c>
      <c r="F418" s="28"/>
      <c r="G418" s="30" t="n">
        <v>0</v>
      </c>
      <c r="H418" s="28"/>
      <c r="I418" s="28"/>
      <c r="J418" s="29" t="n">
        <f aca="false">E418+F418+G418-H418-I418</f>
        <v>0</v>
      </c>
      <c r="K418" s="29" t="n">
        <f aca="false">ROUND(E418+F418+G418-H418-I418-J418,1)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77</v>
      </c>
      <c r="D419" s="18" t="s">
        <v>78</v>
      </c>
      <c r="E419" s="29" t="n">
        <f aca="false">J418</f>
        <v>0</v>
      </c>
      <c r="F419" s="28"/>
      <c r="G419" s="30" t="n">
        <v>0</v>
      </c>
      <c r="H419" s="28"/>
      <c r="I419" s="28"/>
      <c r="J419" s="29" t="n">
        <f aca="false">E419+F419+G419-H419-I419</f>
        <v>0</v>
      </c>
      <c r="K419" s="29" t="n">
        <f aca="false">ROUND(E419+F419+G419-H419-I419-J419,1)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77</v>
      </c>
      <c r="D420" s="18" t="s">
        <v>78</v>
      </c>
      <c r="E420" s="29" t="n">
        <f aca="false">J419</f>
        <v>0</v>
      </c>
      <c r="F420" s="28"/>
      <c r="G420" s="30" t="n">
        <v>0</v>
      </c>
      <c r="H420" s="28"/>
      <c r="I420" s="28"/>
      <c r="J420" s="29" t="n">
        <f aca="false">E420+F420+G420-H420-I420</f>
        <v>0</v>
      </c>
      <c r="K420" s="29" t="n">
        <f aca="false">ROUND(E420+F420+G420-H420-I420-J420,1)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77</v>
      </c>
      <c r="D421" s="18" t="s">
        <v>78</v>
      </c>
      <c r="E421" s="29" t="n">
        <f aca="false">J420</f>
        <v>0</v>
      </c>
      <c r="F421" s="28"/>
      <c r="G421" s="30" t="n">
        <v>0</v>
      </c>
      <c r="H421" s="28"/>
      <c r="I421" s="28"/>
      <c r="J421" s="29" t="n">
        <f aca="false">E421+F421+G421-H421-I421</f>
        <v>0</v>
      </c>
      <c r="K421" s="29" t="n">
        <f aca="false">ROUND(E421+F421+G421-H421-I421-J421,1)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77</v>
      </c>
      <c r="D422" s="18" t="s">
        <v>78</v>
      </c>
      <c r="E422" s="29" t="n">
        <f aca="false">J421</f>
        <v>0</v>
      </c>
      <c r="F422" s="28"/>
      <c r="G422" s="30" t="n">
        <v>0</v>
      </c>
      <c r="H422" s="28"/>
      <c r="I422" s="28"/>
      <c r="J422" s="29" t="n">
        <f aca="false">E422+F422+G422-H422-I422</f>
        <v>0</v>
      </c>
      <c r="K422" s="29" t="n">
        <f aca="false">ROUND(E422+F422+G422-H422-I422-J422,1)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77</v>
      </c>
      <c r="D423" s="18" t="s">
        <v>78</v>
      </c>
      <c r="E423" s="29" t="n">
        <f aca="false">J422</f>
        <v>0</v>
      </c>
      <c r="F423" s="28"/>
      <c r="G423" s="30" t="n">
        <v>0</v>
      </c>
      <c r="H423" s="28"/>
      <c r="I423" s="28"/>
      <c r="J423" s="29" t="n">
        <f aca="false">E423+F423+G423-H423-I423</f>
        <v>0</v>
      </c>
      <c r="K423" s="29" t="n">
        <f aca="false">ROUND(E423+F423+G423-H423-I423-J423,1)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77</v>
      </c>
      <c r="D424" s="18" t="s">
        <v>78</v>
      </c>
      <c r="E424" s="29" t="n">
        <f aca="false">J423</f>
        <v>0</v>
      </c>
      <c r="F424" s="28"/>
      <c r="G424" s="30" t="n">
        <v>0</v>
      </c>
      <c r="H424" s="28"/>
      <c r="I424" s="28"/>
      <c r="J424" s="29" t="n">
        <f aca="false">E424+F424+G424-H424-I424</f>
        <v>0</v>
      </c>
      <c r="K424" s="29" t="n">
        <f aca="false">ROUND(E424+F424+G424-H424-I424-J424,1)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77</v>
      </c>
      <c r="D425" s="18" t="s">
        <v>78</v>
      </c>
      <c r="E425" s="29" t="n">
        <f aca="false">J424</f>
        <v>0</v>
      </c>
      <c r="F425" s="28"/>
      <c r="G425" s="30" t="n">
        <v>0</v>
      </c>
      <c r="H425" s="28"/>
      <c r="I425" s="28"/>
      <c r="J425" s="29" t="n">
        <f aca="false">E425+F425+G425-H425-I425</f>
        <v>0</v>
      </c>
      <c r="K425" s="29" t="n">
        <f aca="false">ROUND(E425+F425+G425-H425-I425-J425,1)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77</v>
      </c>
      <c r="D426" s="18" t="s">
        <v>78</v>
      </c>
      <c r="E426" s="29" t="n">
        <f aca="false">J425</f>
        <v>0</v>
      </c>
      <c r="F426" s="28"/>
      <c r="G426" s="30" t="n">
        <v>0</v>
      </c>
      <c r="H426" s="28"/>
      <c r="I426" s="28"/>
      <c r="J426" s="29" t="n">
        <f aca="false">E426+F426+G426-H426-I426</f>
        <v>0</v>
      </c>
      <c r="K426" s="29" t="n">
        <f aca="false">ROUND(E426+F426+G426-H426-I426-J426,1)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77</v>
      </c>
      <c r="D427" s="18" t="s">
        <v>78</v>
      </c>
      <c r="E427" s="29" t="n">
        <f aca="false">J426</f>
        <v>0</v>
      </c>
      <c r="F427" s="28"/>
      <c r="G427" s="30" t="n">
        <v>0</v>
      </c>
      <c r="H427" s="28"/>
      <c r="I427" s="28"/>
      <c r="J427" s="29" t="n">
        <f aca="false">E427+F427+G427-H427-I427</f>
        <v>0</v>
      </c>
      <c r="K427" s="29" t="n">
        <f aca="false">ROUND(E427+F427+G427-H427-I427-J427,1)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77</v>
      </c>
      <c r="D428" s="18" t="s">
        <v>78</v>
      </c>
      <c r="E428" s="29" t="n">
        <f aca="false">J427</f>
        <v>0</v>
      </c>
      <c r="F428" s="28"/>
      <c r="G428" s="30" t="n">
        <v>0</v>
      </c>
      <c r="H428" s="28"/>
      <c r="I428" s="28"/>
      <c r="J428" s="29" t="n">
        <f aca="false">E428+F428+G428-H428-I428</f>
        <v>0</v>
      </c>
      <c r="K428" s="29" t="n">
        <f aca="false">ROUND(E428+F428+G428-H428-I428-J428,1)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77</v>
      </c>
      <c r="D429" s="18" t="s">
        <v>78</v>
      </c>
      <c r="E429" s="29" t="n">
        <f aca="false">J428</f>
        <v>0</v>
      </c>
      <c r="F429" s="28"/>
      <c r="G429" s="30" t="n">
        <v>0</v>
      </c>
      <c r="H429" s="28"/>
      <c r="I429" s="28"/>
      <c r="J429" s="29" t="n">
        <f aca="false">E429+F429+G429-H429-I429</f>
        <v>0</v>
      </c>
      <c r="K429" s="29" t="n">
        <f aca="false">ROUND(E429+F429+G429-H429-I429-J429,1)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77</v>
      </c>
      <c r="D430" s="18" t="s">
        <v>78</v>
      </c>
      <c r="E430" s="29" t="n">
        <f aca="false">J429</f>
        <v>0</v>
      </c>
      <c r="F430" s="28"/>
      <c r="G430" s="30" t="n">
        <v>0</v>
      </c>
      <c r="H430" s="28"/>
      <c r="I430" s="28"/>
      <c r="J430" s="29" t="n">
        <f aca="false">E430+F430+G430-H430-I430</f>
        <v>0</v>
      </c>
      <c r="K430" s="29" t="n">
        <f aca="false">ROUND(E430+F430+G430-H430-I430-J430,1)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77</v>
      </c>
      <c r="D431" s="18" t="s">
        <v>78</v>
      </c>
      <c r="E431" s="29" t="n">
        <f aca="false">J430</f>
        <v>0</v>
      </c>
      <c r="F431" s="28"/>
      <c r="G431" s="30" t="n">
        <v>0</v>
      </c>
      <c r="H431" s="28"/>
      <c r="I431" s="28"/>
      <c r="J431" s="29" t="n">
        <f aca="false">E431+F431+G431-H431-I431</f>
        <v>0</v>
      </c>
      <c r="K431" s="29" t="n">
        <f aca="false">ROUND(E431+F431+G431-H431-I431-J431,1)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77</v>
      </c>
      <c r="D432" s="18" t="s">
        <v>78</v>
      </c>
      <c r="E432" s="29" t="n">
        <f aca="false">J431</f>
        <v>0</v>
      </c>
      <c r="F432" s="28"/>
      <c r="G432" s="30" t="n">
        <v>0</v>
      </c>
      <c r="H432" s="28"/>
      <c r="I432" s="28"/>
      <c r="J432" s="29" t="n">
        <f aca="false">E432+F432+G432-H432-I432</f>
        <v>0</v>
      </c>
      <c r="K432" s="29" t="n">
        <f aca="false">ROUND(E432+F432+G432-H432-I432-J432,1)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77</v>
      </c>
      <c r="D433" s="18" t="s">
        <v>78</v>
      </c>
      <c r="E433" s="29" t="n">
        <f aca="false">J432</f>
        <v>0</v>
      </c>
      <c r="F433" s="28"/>
      <c r="G433" s="30" t="n">
        <v>0</v>
      </c>
      <c r="H433" s="28"/>
      <c r="I433" s="28"/>
      <c r="J433" s="29" t="n">
        <f aca="false">E433+F433+G433-H433-I433</f>
        <v>0</v>
      </c>
      <c r="K433" s="29" t="n">
        <f aca="false">ROUND(E433+F433+G433-H433-I433-J433,1)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77</v>
      </c>
      <c r="D434" s="18" t="s">
        <v>78</v>
      </c>
      <c r="E434" s="29" t="n">
        <f aca="false">J433</f>
        <v>0</v>
      </c>
      <c r="F434" s="28"/>
      <c r="G434" s="30" t="n">
        <v>0</v>
      </c>
      <c r="H434" s="28"/>
      <c r="I434" s="28"/>
      <c r="J434" s="29" t="n">
        <f aca="false">E434+F434+G434-H434-I434</f>
        <v>0</v>
      </c>
      <c r="K434" s="29" t="n">
        <f aca="false">ROUND(E434+F434+G434-H434-I434-J434,1)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77</v>
      </c>
      <c r="D435" s="18" t="s">
        <v>78</v>
      </c>
      <c r="E435" s="29" t="n">
        <f aca="false">J434</f>
        <v>0</v>
      </c>
      <c r="F435" s="28"/>
      <c r="G435" s="30" t="n">
        <v>0</v>
      </c>
      <c r="H435" s="28"/>
      <c r="I435" s="28"/>
      <c r="J435" s="29" t="n">
        <f aca="false">E435+F435+G435-H435-I435</f>
        <v>0</v>
      </c>
      <c r="K435" s="29" t="n">
        <f aca="false">ROUND(E435+F435+G435-H435-I435-J435,1)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77</v>
      </c>
      <c r="D436" s="18" t="s">
        <v>78</v>
      </c>
      <c r="E436" s="29" t="n">
        <f aca="false">J435</f>
        <v>0</v>
      </c>
      <c r="F436" s="28"/>
      <c r="G436" s="30" t="n">
        <v>0</v>
      </c>
      <c r="H436" s="28"/>
      <c r="I436" s="28"/>
      <c r="J436" s="29" t="n">
        <f aca="false">E436+F436+G436-H436-I436</f>
        <v>0</v>
      </c>
      <c r="K436" s="29" t="n">
        <f aca="false">ROUND(E436+F436+G436-H436-I436-J436,1)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77</v>
      </c>
      <c r="D437" s="18" t="s">
        <v>78</v>
      </c>
      <c r="E437" s="29" t="n">
        <f aca="false">J436</f>
        <v>0</v>
      </c>
      <c r="F437" s="28"/>
      <c r="G437" s="30" t="n">
        <v>0</v>
      </c>
      <c r="H437" s="28"/>
      <c r="I437" s="28"/>
      <c r="J437" s="29" t="n">
        <f aca="false">E437+F437+G437-H437-I437</f>
        <v>0</v>
      </c>
      <c r="K437" s="29" t="n">
        <f aca="false">ROUND(E437+F437+G437-H437-I437-J437,1)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77</v>
      </c>
      <c r="D438" s="18" t="s">
        <v>78</v>
      </c>
      <c r="E438" s="29" t="n">
        <f aca="false">J437</f>
        <v>0</v>
      </c>
      <c r="F438" s="28"/>
      <c r="G438" s="30" t="n">
        <v>0</v>
      </c>
      <c r="H438" s="28"/>
      <c r="I438" s="28"/>
      <c r="J438" s="29" t="n">
        <f aca="false">E438+F438+G438-H438-I438</f>
        <v>0</v>
      </c>
      <c r="K438" s="29" t="n">
        <f aca="false">ROUND(E438+F438+G438-H438-I438-J438,1)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77</v>
      </c>
      <c r="D439" s="18" t="s">
        <v>78</v>
      </c>
      <c r="E439" s="29" t="n">
        <f aca="false">J438</f>
        <v>0</v>
      </c>
      <c r="F439" s="28"/>
      <c r="G439" s="30" t="n">
        <v>0</v>
      </c>
      <c r="H439" s="28"/>
      <c r="I439" s="28"/>
      <c r="J439" s="29" t="n">
        <f aca="false">E439+F439+G439-H439-I439</f>
        <v>0</v>
      </c>
      <c r="K439" s="29" t="n">
        <f aca="false">ROUND(E439+F439+G439-H439-I439-J439,1)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77</v>
      </c>
      <c r="D440" s="18" t="s">
        <v>78</v>
      </c>
      <c r="E440" s="29" t="n">
        <f aca="false">J439</f>
        <v>0</v>
      </c>
      <c r="F440" s="28"/>
      <c r="G440" s="30" t="n">
        <v>0</v>
      </c>
      <c r="H440" s="28"/>
      <c r="I440" s="28"/>
      <c r="J440" s="29" t="n">
        <f aca="false">E440+F440+G440-H440-I440</f>
        <v>0</v>
      </c>
      <c r="K440" s="29" t="n">
        <f aca="false">ROUND(E440+F440+G440-H440-I440-J440,1)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77</v>
      </c>
      <c r="D441" s="18" t="s">
        <v>78</v>
      </c>
      <c r="E441" s="29" t="n">
        <f aca="false">J440</f>
        <v>0</v>
      </c>
      <c r="F441" s="28"/>
      <c r="G441" s="30" t="n">
        <v>0</v>
      </c>
      <c r="H441" s="28"/>
      <c r="I441" s="28"/>
      <c r="J441" s="29" t="n">
        <f aca="false">E441+F441+G441-H441-I441</f>
        <v>0</v>
      </c>
      <c r="K441" s="29" t="n">
        <f aca="false">ROUND(E441+F441+G441-H441-I441-J441,1)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77</v>
      </c>
      <c r="D442" s="18" t="s">
        <v>78</v>
      </c>
      <c r="E442" s="29" t="n">
        <f aca="false">J441</f>
        <v>0</v>
      </c>
      <c r="F442" s="28"/>
      <c r="G442" s="30" t="n">
        <v>0</v>
      </c>
      <c r="H442" s="28"/>
      <c r="I442" s="28"/>
      <c r="J442" s="29" t="n">
        <f aca="false">E442+F442+G442-H442-I442</f>
        <v>0</v>
      </c>
      <c r="K442" s="29" t="n">
        <f aca="false">ROUND(E442+F442+G442-H442-I442-J442,1)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77</v>
      </c>
      <c r="D443" s="18" t="s">
        <v>78</v>
      </c>
      <c r="E443" s="29" t="n">
        <f aca="false">J442</f>
        <v>0</v>
      </c>
      <c r="F443" s="28"/>
      <c r="G443" s="30" t="n">
        <v>0</v>
      </c>
      <c r="H443" s="28"/>
      <c r="I443" s="28"/>
      <c r="J443" s="29" t="n">
        <f aca="false">E443+F443+G443-H443-I443</f>
        <v>0</v>
      </c>
      <c r="K443" s="29" t="n">
        <f aca="false">ROUND(E443+F443+G443-H443-I443-J443,1)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77</v>
      </c>
      <c r="D444" s="18" t="s">
        <v>78</v>
      </c>
      <c r="E444" s="29" t="n">
        <f aca="false">J443</f>
        <v>0</v>
      </c>
      <c r="F444" s="28"/>
      <c r="G444" s="30" t="n">
        <v>0</v>
      </c>
      <c r="H444" s="28"/>
      <c r="I444" s="28"/>
      <c r="J444" s="29" t="n">
        <f aca="false">E444+F444+G444-H444-I444</f>
        <v>0</v>
      </c>
      <c r="K444" s="29" t="n">
        <f aca="false">ROUND(E444+F444+G444-H444-I444-J444,1)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77</v>
      </c>
      <c r="D445" s="18" t="s">
        <v>78</v>
      </c>
      <c r="E445" s="29" t="n">
        <f aca="false">J444</f>
        <v>0</v>
      </c>
      <c r="F445" s="28"/>
      <c r="G445" s="30" t="n">
        <v>0</v>
      </c>
      <c r="H445" s="28"/>
      <c r="I445" s="28"/>
      <c r="J445" s="29" t="n">
        <f aca="false">E445+F445+G445-H445-I445</f>
        <v>0</v>
      </c>
      <c r="K445" s="29" t="n">
        <f aca="false">ROUND(E445+F445+G445-H445-I445-J445,1)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77</v>
      </c>
      <c r="D446" s="18" t="s">
        <v>78</v>
      </c>
      <c r="E446" s="29" t="n">
        <f aca="false">J445</f>
        <v>0</v>
      </c>
      <c r="F446" s="28"/>
      <c r="G446" s="30" t="n">
        <v>0</v>
      </c>
      <c r="H446" s="28"/>
      <c r="I446" s="28"/>
      <c r="J446" s="29" t="n">
        <f aca="false">E446+F446+G446-H446-I446</f>
        <v>0</v>
      </c>
      <c r="K446" s="29" t="n">
        <f aca="false">ROUND(E446+F446+G446-H446-I446-J446,1)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77</v>
      </c>
      <c r="D447" s="18" t="s">
        <v>78</v>
      </c>
      <c r="E447" s="29" t="n">
        <f aca="false">J446</f>
        <v>0</v>
      </c>
      <c r="F447" s="28"/>
      <c r="G447" s="30" t="n">
        <v>0</v>
      </c>
      <c r="H447" s="28"/>
      <c r="I447" s="28"/>
      <c r="J447" s="29" t="n">
        <f aca="false">E447+F447+G447-H447-I447</f>
        <v>0</v>
      </c>
      <c r="K447" s="29" t="n">
        <f aca="false">ROUND(E447+F447+G447-H447-I447-J447,1)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77</v>
      </c>
      <c r="D448" s="18" t="s">
        <v>78</v>
      </c>
      <c r="E448" s="29" t="n">
        <f aca="false">J447</f>
        <v>0</v>
      </c>
      <c r="F448" s="28"/>
      <c r="G448" s="30" t="n">
        <v>0</v>
      </c>
      <c r="H448" s="28"/>
      <c r="I448" s="28"/>
      <c r="J448" s="29" t="n">
        <f aca="false">E448+F448+G448-H448-I448</f>
        <v>0</v>
      </c>
      <c r="K448" s="29" t="n">
        <f aca="false">ROUND(E448+F448+G448-H448-I448-J448,1)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77</v>
      </c>
      <c r="D449" s="18" t="s">
        <v>78</v>
      </c>
      <c r="E449" s="29" t="n">
        <f aca="false">J448</f>
        <v>0</v>
      </c>
      <c r="F449" s="28"/>
      <c r="G449" s="30" t="n">
        <v>0</v>
      </c>
      <c r="H449" s="28"/>
      <c r="I449" s="28"/>
      <c r="J449" s="29" t="n">
        <f aca="false">E449+F449+G449-H449-I449</f>
        <v>0</v>
      </c>
      <c r="K449" s="29" t="n">
        <f aca="false">ROUND(E449+F449+G449-H449-I449-J449,1)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77</v>
      </c>
      <c r="D450" s="18" t="s">
        <v>78</v>
      </c>
      <c r="E450" s="29" t="n">
        <f aca="false">J449</f>
        <v>0</v>
      </c>
      <c r="F450" s="28"/>
      <c r="G450" s="30" t="n">
        <v>0</v>
      </c>
      <c r="H450" s="28"/>
      <c r="I450" s="28"/>
      <c r="J450" s="29" t="n">
        <f aca="false">E450+F450+G450-H450-I450</f>
        <v>0</v>
      </c>
      <c r="K450" s="29" t="n">
        <f aca="false">ROUND(E450+F450+G450-H450-I450-J450,1)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77</v>
      </c>
      <c r="D451" s="18" t="s">
        <v>78</v>
      </c>
      <c r="E451" s="29" t="n">
        <f aca="false">J450</f>
        <v>0</v>
      </c>
      <c r="F451" s="28"/>
      <c r="G451" s="30" t="n">
        <v>0</v>
      </c>
      <c r="H451" s="28"/>
      <c r="I451" s="28"/>
      <c r="J451" s="29" t="n">
        <f aca="false">E451+F451+G451-H451-I451</f>
        <v>0</v>
      </c>
      <c r="K451" s="29" t="n">
        <f aca="false">ROUND(E451+F451+G451-H451-I451-J451,1)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77</v>
      </c>
      <c r="D452" s="18" t="s">
        <v>78</v>
      </c>
      <c r="E452" s="29" t="n">
        <f aca="false">J451</f>
        <v>0</v>
      </c>
      <c r="F452" s="28"/>
      <c r="G452" s="30" t="n">
        <v>0</v>
      </c>
      <c r="H452" s="28"/>
      <c r="I452" s="28"/>
      <c r="J452" s="29" t="n">
        <f aca="false">E452+F452+G452-H452-I452</f>
        <v>0</v>
      </c>
      <c r="K452" s="29" t="n">
        <f aca="false">ROUND(E452+F452+G452-H452-I452-J452,1)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77</v>
      </c>
      <c r="D453" s="18" t="s">
        <v>78</v>
      </c>
      <c r="E453" s="29" t="n">
        <f aca="false">J452</f>
        <v>0</v>
      </c>
      <c r="F453" s="28"/>
      <c r="G453" s="30" t="n">
        <v>0</v>
      </c>
      <c r="H453" s="28"/>
      <c r="I453" s="28"/>
      <c r="J453" s="29" t="n">
        <f aca="false">E453+F453+G453-H453-I453</f>
        <v>0</v>
      </c>
      <c r="K453" s="29" t="n">
        <f aca="false">ROUND(E453+F453+G453-H453-I453-J453,1)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77</v>
      </c>
      <c r="D454" s="18" t="s">
        <v>78</v>
      </c>
      <c r="E454" s="29" t="n">
        <f aca="false">J453</f>
        <v>0</v>
      </c>
      <c r="F454" s="28"/>
      <c r="G454" s="30" t="n">
        <v>0</v>
      </c>
      <c r="H454" s="28"/>
      <c r="I454" s="28"/>
      <c r="J454" s="29" t="n">
        <f aca="false">E454+F454+G454-H454-I454</f>
        <v>0</v>
      </c>
      <c r="K454" s="29" t="n">
        <f aca="false">ROUND(E454+F454+G454-H454-I454-J454,1)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77</v>
      </c>
      <c r="D455" s="18" t="s">
        <v>78</v>
      </c>
      <c r="E455" s="29" t="n">
        <f aca="false">J454</f>
        <v>0</v>
      </c>
      <c r="F455" s="28"/>
      <c r="G455" s="30" t="n">
        <v>0</v>
      </c>
      <c r="H455" s="28"/>
      <c r="I455" s="28"/>
      <c r="J455" s="29" t="n">
        <f aca="false">E455+F455+G455-H455-I455</f>
        <v>0</v>
      </c>
      <c r="K455" s="29" t="n">
        <f aca="false">ROUND(E455+F455+G455-H455-I455-J455,1)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77</v>
      </c>
      <c r="D456" s="18" t="s">
        <v>78</v>
      </c>
      <c r="E456" s="29" t="n">
        <f aca="false">J455</f>
        <v>0</v>
      </c>
      <c r="F456" s="28"/>
      <c r="G456" s="30" t="n">
        <v>0</v>
      </c>
      <c r="H456" s="28"/>
      <c r="I456" s="28"/>
      <c r="J456" s="29" t="n">
        <f aca="false">E456+F456+G456-H456-I456</f>
        <v>0</v>
      </c>
      <c r="K456" s="29" t="n">
        <f aca="false">ROUND(E456+F456+G456-H456-I456-J456,1)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77</v>
      </c>
      <c r="D457" s="18" t="s">
        <v>78</v>
      </c>
      <c r="E457" s="29" t="n">
        <f aca="false">J456</f>
        <v>0</v>
      </c>
      <c r="F457" s="28"/>
      <c r="G457" s="30" t="n">
        <v>0</v>
      </c>
      <c r="H457" s="28"/>
      <c r="I457" s="28"/>
      <c r="J457" s="29" t="n">
        <f aca="false">E457+F457+G457-H457-I457</f>
        <v>0</v>
      </c>
      <c r="K457" s="29" t="n">
        <f aca="false">ROUND(E457+F457+G457-H457-I457-J457,1)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77</v>
      </c>
      <c r="D458" s="18" t="s">
        <v>78</v>
      </c>
      <c r="E458" s="29" t="n">
        <f aca="false">J457</f>
        <v>0</v>
      </c>
      <c r="F458" s="28"/>
      <c r="G458" s="30" t="n">
        <v>0</v>
      </c>
      <c r="H458" s="28"/>
      <c r="I458" s="28"/>
      <c r="J458" s="29" t="n">
        <f aca="false">E458+F458+G458-H458-I458</f>
        <v>0</v>
      </c>
      <c r="K458" s="29" t="n">
        <f aca="false">ROUND(E458+F458+G458-H458-I458-J458,1)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77</v>
      </c>
      <c r="D459" s="18" t="s">
        <v>78</v>
      </c>
      <c r="E459" s="29" t="n">
        <f aca="false">J458</f>
        <v>0</v>
      </c>
      <c r="F459" s="28"/>
      <c r="G459" s="30" t="n">
        <v>0</v>
      </c>
      <c r="H459" s="28"/>
      <c r="I459" s="28"/>
      <c r="J459" s="29" t="n">
        <f aca="false">E459+F459+G459-H459-I459</f>
        <v>0</v>
      </c>
      <c r="K459" s="29" t="n">
        <f aca="false">ROUND(E459+F459+G459-H459-I459-J459,1)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77</v>
      </c>
      <c r="D460" s="18" t="s">
        <v>78</v>
      </c>
      <c r="E460" s="29" t="n">
        <f aca="false">J459</f>
        <v>0</v>
      </c>
      <c r="F460" s="28"/>
      <c r="G460" s="30" t="n">
        <v>0</v>
      </c>
      <c r="H460" s="28"/>
      <c r="I460" s="28"/>
      <c r="J460" s="29" t="n">
        <f aca="false">E460+F460+G460-H460-I460</f>
        <v>0</v>
      </c>
      <c r="K460" s="29" t="n">
        <f aca="false">ROUND(E460+F460+G460-H460-I460-J460,1)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77</v>
      </c>
      <c r="D461" s="18" t="s">
        <v>78</v>
      </c>
      <c r="E461" s="29" t="n">
        <f aca="false">J460</f>
        <v>0</v>
      </c>
      <c r="F461" s="28"/>
      <c r="G461" s="30" t="n">
        <v>0</v>
      </c>
      <c r="H461" s="28"/>
      <c r="I461" s="28"/>
      <c r="J461" s="29" t="n">
        <f aca="false">E461+F461+G461-H461-I461</f>
        <v>0</v>
      </c>
      <c r="K461" s="29" t="n">
        <f aca="false">ROUND(E461+F461+G461-H461-I461-J461,1)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77</v>
      </c>
      <c r="D462" s="18" t="s">
        <v>78</v>
      </c>
      <c r="E462" s="29" t="n">
        <f aca="false">J461</f>
        <v>0</v>
      </c>
      <c r="F462" s="28"/>
      <c r="G462" s="30" t="n">
        <v>0</v>
      </c>
      <c r="H462" s="28"/>
      <c r="I462" s="28"/>
      <c r="J462" s="29" t="n">
        <f aca="false">E462+F462+G462-H462-I462</f>
        <v>0</v>
      </c>
      <c r="K462" s="29" t="n">
        <f aca="false">ROUND(E462+F462+G462-H462-I462-J462,1)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77</v>
      </c>
      <c r="D463" s="18" t="s">
        <v>78</v>
      </c>
      <c r="E463" s="29" t="n">
        <f aca="false">J462</f>
        <v>0</v>
      </c>
      <c r="F463" s="28"/>
      <c r="G463" s="30" t="n">
        <v>0</v>
      </c>
      <c r="H463" s="28"/>
      <c r="I463" s="28"/>
      <c r="J463" s="29" t="n">
        <f aca="false">E463+F463+G463-H463-I463</f>
        <v>0</v>
      </c>
      <c r="K463" s="29" t="n">
        <f aca="false">ROUND(E463+F463+G463-H463-I463-J463,1)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77</v>
      </c>
      <c r="D464" s="18" t="s">
        <v>78</v>
      </c>
      <c r="E464" s="29" t="n">
        <f aca="false">J463</f>
        <v>0</v>
      </c>
      <c r="F464" s="28"/>
      <c r="G464" s="30" t="n">
        <v>0</v>
      </c>
      <c r="H464" s="28"/>
      <c r="I464" s="28"/>
      <c r="J464" s="29" t="n">
        <f aca="false">E464+F464+G464-H464-I464</f>
        <v>0</v>
      </c>
      <c r="K464" s="29" t="n">
        <f aca="false">ROUND(E464+F464+G464-H464-I464-J464,1)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77</v>
      </c>
      <c r="D465" s="18" t="s">
        <v>78</v>
      </c>
      <c r="E465" s="29" t="n">
        <f aca="false">J464</f>
        <v>0</v>
      </c>
      <c r="F465" s="28"/>
      <c r="G465" s="30" t="n">
        <v>0</v>
      </c>
      <c r="H465" s="28"/>
      <c r="I465" s="28"/>
      <c r="J465" s="29" t="n">
        <f aca="false">E465+F465+G465-H465-I465</f>
        <v>0</v>
      </c>
      <c r="K465" s="29" t="n">
        <f aca="false">ROUND(E465+F465+G465-H465-I465-J465,1)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77</v>
      </c>
      <c r="D466" s="18" t="s">
        <v>78</v>
      </c>
      <c r="E466" s="29" t="n">
        <f aca="false">J465</f>
        <v>0</v>
      </c>
      <c r="F466" s="28"/>
      <c r="G466" s="30" t="n">
        <v>0</v>
      </c>
      <c r="H466" s="28"/>
      <c r="I466" s="28"/>
      <c r="J466" s="29" t="n">
        <f aca="false">E466+F466+G466-H466-I466</f>
        <v>0</v>
      </c>
      <c r="K466" s="29" t="n">
        <f aca="false">ROUND(E466+F466+G466-H466-I466-J466,1)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77</v>
      </c>
      <c r="D467" s="18" t="s">
        <v>78</v>
      </c>
      <c r="E467" s="29" t="n">
        <f aca="false">J466</f>
        <v>0</v>
      </c>
      <c r="F467" s="28"/>
      <c r="G467" s="30" t="n">
        <v>0</v>
      </c>
      <c r="H467" s="28"/>
      <c r="I467" s="28"/>
      <c r="J467" s="29" t="n">
        <f aca="false">E467+F467+G467-H467-I467</f>
        <v>0</v>
      </c>
      <c r="K467" s="29" t="n">
        <f aca="false">ROUND(E467+F467+G467-H467-I467-J467,1)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77</v>
      </c>
      <c r="D468" s="18" t="s">
        <v>78</v>
      </c>
      <c r="E468" s="29" t="n">
        <f aca="false">J467</f>
        <v>0</v>
      </c>
      <c r="F468" s="28"/>
      <c r="G468" s="30" t="n">
        <v>0</v>
      </c>
      <c r="H468" s="28"/>
      <c r="I468" s="28"/>
      <c r="J468" s="29" t="n">
        <f aca="false">E468+F468+G468-H468-I468</f>
        <v>0</v>
      </c>
      <c r="K468" s="29" t="n">
        <f aca="false">ROUND(E468+F468+G468-H468-I468-J468,1)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77</v>
      </c>
      <c r="D469" s="18" t="s">
        <v>78</v>
      </c>
      <c r="E469" s="29" t="n">
        <f aca="false">J468</f>
        <v>0</v>
      </c>
      <c r="F469" s="28"/>
      <c r="G469" s="30" t="n">
        <v>0</v>
      </c>
      <c r="H469" s="28"/>
      <c r="I469" s="28"/>
      <c r="J469" s="29" t="n">
        <f aca="false">E469+F469+G469-H469-I469</f>
        <v>0</v>
      </c>
      <c r="K469" s="29" t="n">
        <f aca="false">ROUND(E469+F469+G469-H469-I469-J469,1)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77</v>
      </c>
      <c r="D470" s="18" t="s">
        <v>78</v>
      </c>
      <c r="E470" s="29" t="n">
        <f aca="false">J469</f>
        <v>0</v>
      </c>
      <c r="F470" s="28"/>
      <c r="G470" s="30" t="n">
        <v>0</v>
      </c>
      <c r="H470" s="28"/>
      <c r="I470" s="28"/>
      <c r="J470" s="29" t="n">
        <f aca="false">E470+F470+G470-H470-I470</f>
        <v>0</v>
      </c>
      <c r="K470" s="29" t="n">
        <f aca="false">ROUND(E470+F470+G470-H470-I470-J470,1)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77</v>
      </c>
      <c r="D471" s="18" t="s">
        <v>78</v>
      </c>
      <c r="E471" s="29" t="n">
        <f aca="false">J470</f>
        <v>0</v>
      </c>
      <c r="F471" s="28"/>
      <c r="G471" s="30" t="n">
        <v>0</v>
      </c>
      <c r="H471" s="28"/>
      <c r="I471" s="28"/>
      <c r="J471" s="29" t="n">
        <f aca="false">E471+F471+G471-H471-I471</f>
        <v>0</v>
      </c>
      <c r="K471" s="29" t="n">
        <f aca="false">ROUND(E471+F471+G471-H471-I471-J471,1)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77</v>
      </c>
      <c r="D472" s="18" t="s">
        <v>78</v>
      </c>
      <c r="E472" s="29" t="n">
        <f aca="false">J471</f>
        <v>0</v>
      </c>
      <c r="F472" s="28"/>
      <c r="G472" s="30" t="n">
        <v>0</v>
      </c>
      <c r="H472" s="28"/>
      <c r="I472" s="28"/>
      <c r="J472" s="29" t="n">
        <f aca="false">E472+F472+G472-H472-I472</f>
        <v>0</v>
      </c>
      <c r="K472" s="29" t="n">
        <f aca="false">ROUND(E472+F472+G472-H472-I472-J472,1)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77</v>
      </c>
      <c r="D473" s="18" t="s">
        <v>78</v>
      </c>
      <c r="E473" s="29" t="n">
        <f aca="false">J472</f>
        <v>0</v>
      </c>
      <c r="F473" s="28"/>
      <c r="G473" s="30" t="n">
        <v>0</v>
      </c>
      <c r="H473" s="28"/>
      <c r="I473" s="28"/>
      <c r="J473" s="29" t="n">
        <f aca="false">E473+F473+G473-H473-I473</f>
        <v>0</v>
      </c>
      <c r="K473" s="29" t="n">
        <f aca="false">ROUND(E473+F473+G473-H473-I473-J473,1)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77</v>
      </c>
      <c r="D474" s="18" t="s">
        <v>78</v>
      </c>
      <c r="E474" s="29" t="n">
        <f aca="false">J473</f>
        <v>0</v>
      </c>
      <c r="F474" s="28"/>
      <c r="G474" s="30" t="n">
        <v>0</v>
      </c>
      <c r="H474" s="28"/>
      <c r="I474" s="28"/>
      <c r="J474" s="29" t="n">
        <f aca="false">E474+F474+G474-H474-I474</f>
        <v>0</v>
      </c>
      <c r="K474" s="29" t="n">
        <f aca="false">ROUND(E474+F474+G474-H474-I474-J474,1)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77</v>
      </c>
      <c r="D475" s="18" t="s">
        <v>78</v>
      </c>
      <c r="E475" s="29" t="n">
        <f aca="false">J474</f>
        <v>0</v>
      </c>
      <c r="F475" s="28"/>
      <c r="G475" s="30" t="n">
        <v>0</v>
      </c>
      <c r="H475" s="28"/>
      <c r="I475" s="28"/>
      <c r="J475" s="29" t="n">
        <f aca="false">E475+F475+G475-H475-I475</f>
        <v>0</v>
      </c>
      <c r="K475" s="29" t="n">
        <f aca="false">ROUND(E475+F475+G475-H475-I475-J475,1)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77</v>
      </c>
      <c r="D476" s="18" t="s">
        <v>78</v>
      </c>
      <c r="E476" s="29" t="n">
        <f aca="false">J475</f>
        <v>0</v>
      </c>
      <c r="F476" s="28"/>
      <c r="G476" s="30" t="n">
        <v>0</v>
      </c>
      <c r="H476" s="28"/>
      <c r="I476" s="28"/>
      <c r="J476" s="29" t="n">
        <f aca="false">E476+F476+G476-H476-I476</f>
        <v>0</v>
      </c>
      <c r="K476" s="29" t="n">
        <f aca="false">ROUND(E476+F476+G476-H476-I476-J476,1)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77</v>
      </c>
      <c r="D477" s="18" t="s">
        <v>78</v>
      </c>
      <c r="E477" s="29" t="n">
        <f aca="false">J476</f>
        <v>0</v>
      </c>
      <c r="F477" s="28"/>
      <c r="G477" s="30" t="n">
        <v>0</v>
      </c>
      <c r="H477" s="28"/>
      <c r="I477" s="28"/>
      <c r="J477" s="29" t="n">
        <f aca="false">E477+F477+G477-H477-I477</f>
        <v>0</v>
      </c>
      <c r="K477" s="29" t="n">
        <f aca="false">ROUND(E477+F477+G477-H477-I477-J477,1)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77</v>
      </c>
      <c r="D478" s="18" t="s">
        <v>78</v>
      </c>
      <c r="E478" s="29" t="n">
        <f aca="false">J477</f>
        <v>0</v>
      </c>
      <c r="F478" s="28"/>
      <c r="G478" s="30" t="n">
        <v>0</v>
      </c>
      <c r="H478" s="28"/>
      <c r="I478" s="28"/>
      <c r="J478" s="29" t="n">
        <f aca="false">E478+F478+G478-H478-I478</f>
        <v>0</v>
      </c>
      <c r="K478" s="29" t="n">
        <f aca="false">ROUND(E478+F478+G478-H478-I478-J478,1)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77</v>
      </c>
      <c r="D479" s="18" t="s">
        <v>78</v>
      </c>
      <c r="E479" s="29" t="n">
        <f aca="false">J478</f>
        <v>0</v>
      </c>
      <c r="F479" s="28"/>
      <c r="G479" s="30" t="n">
        <v>0</v>
      </c>
      <c r="H479" s="28"/>
      <c r="I479" s="28"/>
      <c r="J479" s="29" t="n">
        <f aca="false">E479+F479+G479-H479-I479</f>
        <v>0</v>
      </c>
      <c r="K479" s="29" t="n">
        <f aca="false">ROUND(E479+F479+G479-H479-I479-J479,1)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77</v>
      </c>
      <c r="D480" s="18" t="s">
        <v>78</v>
      </c>
      <c r="E480" s="29" t="n">
        <f aca="false">J479</f>
        <v>0</v>
      </c>
      <c r="F480" s="28"/>
      <c r="G480" s="30" t="n">
        <v>0</v>
      </c>
      <c r="H480" s="28"/>
      <c r="I480" s="28"/>
      <c r="J480" s="29" t="n">
        <f aca="false">E480+F480+G480-H480-I480</f>
        <v>0</v>
      </c>
      <c r="K480" s="29" t="n">
        <f aca="false">ROUND(E480+F480+G480-H480-I480-J480,1)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77</v>
      </c>
      <c r="D481" s="18" t="s">
        <v>78</v>
      </c>
      <c r="E481" s="29" t="n">
        <f aca="false">J480</f>
        <v>0</v>
      </c>
      <c r="F481" s="28"/>
      <c r="G481" s="30" t="n">
        <v>0</v>
      </c>
      <c r="H481" s="28"/>
      <c r="I481" s="28"/>
      <c r="J481" s="29" t="n">
        <f aca="false">E481+F481+G481-H481-I481</f>
        <v>0</v>
      </c>
      <c r="K481" s="29" t="n">
        <f aca="false">ROUND(E481+F481+G481-H481-I481-J481,1)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77</v>
      </c>
      <c r="D482" s="18" t="s">
        <v>78</v>
      </c>
      <c r="E482" s="29" t="n">
        <f aca="false">J481</f>
        <v>0</v>
      </c>
      <c r="F482" s="28"/>
      <c r="G482" s="30" t="n">
        <v>0</v>
      </c>
      <c r="H482" s="28"/>
      <c r="I482" s="28"/>
      <c r="J482" s="29" t="n">
        <f aca="false">E482+F482+G482-H482-I482</f>
        <v>0</v>
      </c>
      <c r="K482" s="29" t="n">
        <f aca="false">ROUND(E482+F482+G482-H482-I482-J482,1)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77</v>
      </c>
      <c r="D483" s="18" t="s">
        <v>78</v>
      </c>
      <c r="E483" s="29" t="n">
        <f aca="false">J482</f>
        <v>0</v>
      </c>
      <c r="F483" s="28"/>
      <c r="G483" s="30" t="n">
        <v>0</v>
      </c>
      <c r="H483" s="28"/>
      <c r="I483" s="28"/>
      <c r="J483" s="29" t="n">
        <f aca="false">E483+F483+G483-H483-I483</f>
        <v>0</v>
      </c>
      <c r="K483" s="29" t="n">
        <f aca="false">ROUND(E483+F483+G483-H483-I483-J483,1)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77</v>
      </c>
      <c r="D484" s="18" t="s">
        <v>78</v>
      </c>
      <c r="E484" s="29" t="n">
        <f aca="false">J483</f>
        <v>0</v>
      </c>
      <c r="F484" s="28"/>
      <c r="G484" s="30" t="n">
        <v>0</v>
      </c>
      <c r="H484" s="28"/>
      <c r="I484" s="28"/>
      <c r="J484" s="29" t="n">
        <f aca="false">E484+F484+G484-H484-I484</f>
        <v>0</v>
      </c>
      <c r="K484" s="29" t="n">
        <f aca="false">ROUND(E484+F484+G484-H484-I484-J484,1)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77</v>
      </c>
      <c r="D485" s="18" t="s">
        <v>78</v>
      </c>
      <c r="E485" s="29" t="n">
        <f aca="false">J484</f>
        <v>0</v>
      </c>
      <c r="F485" s="28"/>
      <c r="G485" s="30" t="n">
        <v>0</v>
      </c>
      <c r="H485" s="28"/>
      <c r="I485" s="28"/>
      <c r="J485" s="29" t="n">
        <f aca="false">E485+F485+G485-H485-I485</f>
        <v>0</v>
      </c>
      <c r="K485" s="29" t="n">
        <f aca="false">ROUND(E485+F485+G485-H485-I485-J485,1)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77</v>
      </c>
      <c r="D486" s="18" t="s">
        <v>78</v>
      </c>
      <c r="E486" s="29" t="n">
        <f aca="false">J485</f>
        <v>0</v>
      </c>
      <c r="F486" s="28"/>
      <c r="G486" s="30" t="n">
        <v>0</v>
      </c>
      <c r="H486" s="28"/>
      <c r="I486" s="28"/>
      <c r="J486" s="29" t="n">
        <f aca="false">E486+F486+G486-H486-I486</f>
        <v>0</v>
      </c>
      <c r="K486" s="29" t="n">
        <f aca="false">ROUND(E486+F486+G486-H486-I486-J486,1)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77</v>
      </c>
      <c r="D487" s="18" t="s">
        <v>78</v>
      </c>
      <c r="E487" s="29" t="n">
        <f aca="false">J486</f>
        <v>0</v>
      </c>
      <c r="F487" s="28"/>
      <c r="G487" s="30" t="n">
        <v>0</v>
      </c>
      <c r="H487" s="28"/>
      <c r="I487" s="28"/>
      <c r="J487" s="29" t="n">
        <f aca="false">E487+F487+G487-H487-I487</f>
        <v>0</v>
      </c>
      <c r="K487" s="29" t="n">
        <f aca="false">ROUND(E487+F487+G487-H487-I487-J487,1)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77</v>
      </c>
      <c r="D488" s="18" t="s">
        <v>78</v>
      </c>
      <c r="E488" s="29" t="n">
        <f aca="false">J487</f>
        <v>0</v>
      </c>
      <c r="F488" s="28"/>
      <c r="G488" s="30" t="n">
        <v>0</v>
      </c>
      <c r="H488" s="28"/>
      <c r="I488" s="28"/>
      <c r="J488" s="29" t="n">
        <f aca="false">E488+F488+G488-H488-I488</f>
        <v>0</v>
      </c>
      <c r="K488" s="29" t="n">
        <f aca="false">ROUND(E488+F488+G488-H488-I488-J488,1)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77</v>
      </c>
      <c r="D489" s="18" t="s">
        <v>78</v>
      </c>
      <c r="E489" s="29" t="n">
        <f aca="false">J488</f>
        <v>0</v>
      </c>
      <c r="F489" s="28"/>
      <c r="G489" s="30" t="n">
        <v>0</v>
      </c>
      <c r="H489" s="28"/>
      <c r="I489" s="28"/>
      <c r="J489" s="29" t="n">
        <f aca="false">E489+F489+G489-H489-I489</f>
        <v>0</v>
      </c>
      <c r="K489" s="29" t="n">
        <f aca="false">ROUND(E489+F489+G489-H489-I489-J489,1)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77</v>
      </c>
      <c r="D490" s="18" t="s">
        <v>78</v>
      </c>
      <c r="E490" s="29" t="n">
        <f aca="false">J489</f>
        <v>0</v>
      </c>
      <c r="F490" s="28"/>
      <c r="G490" s="30" t="n">
        <v>0</v>
      </c>
      <c r="H490" s="28"/>
      <c r="I490" s="28"/>
      <c r="J490" s="29" t="n">
        <f aca="false">E490+F490+G490-H490-I490</f>
        <v>0</v>
      </c>
      <c r="K490" s="29" t="n">
        <f aca="false">ROUND(E490+F490+G490-H490-I490-J490,1)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77</v>
      </c>
      <c r="D491" s="18" t="s">
        <v>78</v>
      </c>
      <c r="E491" s="29" t="n">
        <f aca="false">J490</f>
        <v>0</v>
      </c>
      <c r="F491" s="28"/>
      <c r="G491" s="30" t="n">
        <v>0</v>
      </c>
      <c r="H491" s="28"/>
      <c r="I491" s="28"/>
      <c r="J491" s="29" t="n">
        <f aca="false">E491+F491+G491-H491-I491</f>
        <v>0</v>
      </c>
      <c r="K491" s="29" t="n">
        <f aca="false">ROUND(E491+F491+G491-H491-I491-J491,1)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77</v>
      </c>
      <c r="D492" s="18" t="s">
        <v>78</v>
      </c>
      <c r="E492" s="29" t="n">
        <f aca="false">J491</f>
        <v>0</v>
      </c>
      <c r="F492" s="28"/>
      <c r="G492" s="30" t="n">
        <v>0</v>
      </c>
      <c r="H492" s="28"/>
      <c r="I492" s="28"/>
      <c r="J492" s="29" t="n">
        <f aca="false">E492+F492+G492-H492-I492</f>
        <v>0</v>
      </c>
      <c r="K492" s="29" t="n">
        <f aca="false">ROUND(E492+F492+G492-H492-I492-J492,1)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77</v>
      </c>
      <c r="D493" s="18" t="s">
        <v>78</v>
      </c>
      <c r="E493" s="29" t="n">
        <f aca="false">J492</f>
        <v>0</v>
      </c>
      <c r="F493" s="28"/>
      <c r="G493" s="30" t="n">
        <v>0</v>
      </c>
      <c r="H493" s="28"/>
      <c r="I493" s="28"/>
      <c r="J493" s="29" t="n">
        <f aca="false">E493+F493+G493-H493-I493</f>
        <v>0</v>
      </c>
      <c r="K493" s="29" t="n">
        <f aca="false">ROUND(E493+F493+G493-H493-I493-J493,1)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77</v>
      </c>
      <c r="D494" s="18" t="s">
        <v>78</v>
      </c>
      <c r="E494" s="29" t="n">
        <f aca="false">J493</f>
        <v>0</v>
      </c>
      <c r="F494" s="28"/>
      <c r="G494" s="30" t="n">
        <v>0</v>
      </c>
      <c r="H494" s="28"/>
      <c r="I494" s="28"/>
      <c r="J494" s="29" t="n">
        <f aca="false">E494+F494+G494-H494-I494</f>
        <v>0</v>
      </c>
      <c r="K494" s="29" t="n">
        <f aca="false">ROUND(E494+F494+G494-H494-I494-J494,1)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77</v>
      </c>
      <c r="D495" s="18" t="s">
        <v>78</v>
      </c>
      <c r="E495" s="29" t="n">
        <f aca="false">J494</f>
        <v>0</v>
      </c>
      <c r="F495" s="28"/>
      <c r="G495" s="30" t="n">
        <v>0</v>
      </c>
      <c r="H495" s="28"/>
      <c r="I495" s="28"/>
      <c r="J495" s="29" t="n">
        <f aca="false">E495+F495+G495-H495-I495</f>
        <v>0</v>
      </c>
      <c r="K495" s="29" t="n">
        <f aca="false">ROUND(E495+F495+G495-H495-I495-J495,1)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77</v>
      </c>
      <c r="D496" s="18" t="s">
        <v>78</v>
      </c>
      <c r="E496" s="29" t="n">
        <f aca="false">J495</f>
        <v>0</v>
      </c>
      <c r="F496" s="28"/>
      <c r="G496" s="30" t="n">
        <v>0</v>
      </c>
      <c r="H496" s="28"/>
      <c r="I496" s="28"/>
      <c r="J496" s="29" t="n">
        <f aca="false">E496+F496+G496-H496-I496</f>
        <v>0</v>
      </c>
      <c r="K496" s="29" t="n">
        <f aca="false">ROUND(E496+F496+G496-H496-I496-J496,1)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77</v>
      </c>
      <c r="D497" s="18" t="s">
        <v>78</v>
      </c>
      <c r="E497" s="29" t="n">
        <f aca="false">J496</f>
        <v>0</v>
      </c>
      <c r="F497" s="28"/>
      <c r="G497" s="30" t="n">
        <v>0</v>
      </c>
      <c r="H497" s="28"/>
      <c r="I497" s="28"/>
      <c r="J497" s="29" t="n">
        <f aca="false">E497+F497+G497-H497-I497</f>
        <v>0</v>
      </c>
      <c r="K497" s="29" t="n">
        <f aca="false">ROUND(E497+F497+G497-H497-I497-J497,1)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77</v>
      </c>
      <c r="D498" s="18" t="s">
        <v>78</v>
      </c>
      <c r="E498" s="29" t="n">
        <f aca="false">J497</f>
        <v>0</v>
      </c>
      <c r="F498" s="28"/>
      <c r="G498" s="30" t="n">
        <v>0</v>
      </c>
      <c r="H498" s="28"/>
      <c r="I498" s="28"/>
      <c r="J498" s="29" t="n">
        <f aca="false">E498+F498+G498-H498-I498</f>
        <v>0</v>
      </c>
      <c r="K498" s="29" t="n">
        <f aca="false">ROUND(E498+F498+G498-H498-I498-J498,1)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77</v>
      </c>
      <c r="D499" s="18" t="s">
        <v>78</v>
      </c>
      <c r="E499" s="29" t="n">
        <f aca="false">J498</f>
        <v>0</v>
      </c>
      <c r="F499" s="28"/>
      <c r="G499" s="30" t="n">
        <v>0</v>
      </c>
      <c r="H499" s="28"/>
      <c r="I499" s="28"/>
      <c r="J499" s="29" t="n">
        <f aca="false">E499+F499+G499-H499-I499</f>
        <v>0</v>
      </c>
      <c r="K499" s="29" t="n">
        <f aca="false">ROUND(E499+F499+G499-H499-I499-J499,1)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77</v>
      </c>
      <c r="D500" s="18" t="s">
        <v>78</v>
      </c>
      <c r="E500" s="29" t="n">
        <f aca="false">J499</f>
        <v>0</v>
      </c>
      <c r="F500" s="28"/>
      <c r="G500" s="30" t="n">
        <v>0</v>
      </c>
      <c r="H500" s="28"/>
      <c r="I500" s="28"/>
      <c r="J500" s="29" t="n">
        <f aca="false">E500+F500+G500-H500-I500</f>
        <v>0</v>
      </c>
      <c r="K500" s="29" t="n">
        <f aca="false">ROUND(E500+F500+G500-H500-I500-J500,1)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77</v>
      </c>
      <c r="D501" s="18" t="s">
        <v>78</v>
      </c>
      <c r="E501" s="29" t="n">
        <f aca="false">J500</f>
        <v>0</v>
      </c>
      <c r="F501" s="28"/>
      <c r="G501" s="30" t="n">
        <v>0</v>
      </c>
      <c r="H501" s="28"/>
      <c r="I501" s="28"/>
      <c r="J501" s="29" t="n">
        <f aca="false">E501+F501+G501-H501-I501</f>
        <v>0</v>
      </c>
      <c r="K501" s="29" t="n">
        <f aca="false">ROUND(E501+F501+G501-H501-I501-J501,1)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77</v>
      </c>
      <c r="D502" s="18" t="s">
        <v>78</v>
      </c>
      <c r="E502" s="29" t="n">
        <f aca="false">J501</f>
        <v>0</v>
      </c>
      <c r="F502" s="28"/>
      <c r="G502" s="30" t="n">
        <v>0</v>
      </c>
      <c r="H502" s="28"/>
      <c r="I502" s="28"/>
      <c r="J502" s="29" t="n">
        <f aca="false">E502+F502+G502-H502-I502</f>
        <v>0</v>
      </c>
      <c r="K502" s="29" t="n">
        <f aca="false">ROUND(E502+F502+G502-H502-I502-J502,1)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77</v>
      </c>
      <c r="D503" s="18" t="s">
        <v>78</v>
      </c>
      <c r="E503" s="29" t="n">
        <f aca="false">J502</f>
        <v>0</v>
      </c>
      <c r="F503" s="28"/>
      <c r="G503" s="30" t="n">
        <v>0</v>
      </c>
      <c r="H503" s="28"/>
      <c r="I503" s="28"/>
      <c r="J503" s="29" t="n">
        <f aca="false">E503+F503+G503-H503-I503</f>
        <v>0</v>
      </c>
      <c r="K503" s="29" t="n">
        <f aca="false">ROUND(E503+F503+G503-H503-I503-J503,1)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77</v>
      </c>
      <c r="D504" s="18" t="s">
        <v>78</v>
      </c>
      <c r="E504" s="29" t="n">
        <f aca="false">J503</f>
        <v>0</v>
      </c>
      <c r="F504" s="28"/>
      <c r="G504" s="30" t="n">
        <v>0</v>
      </c>
      <c r="H504" s="28"/>
      <c r="I504" s="28"/>
      <c r="J504" s="29" t="n">
        <f aca="false">E504+F504+G504-H504-I504</f>
        <v>0</v>
      </c>
      <c r="K504" s="29" t="n">
        <f aca="false">ROUND(E504+F504+G504-H504-I504-J504,1)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77</v>
      </c>
      <c r="D505" s="18" t="s">
        <v>78</v>
      </c>
      <c r="E505" s="29" t="n">
        <f aca="false">J504</f>
        <v>0</v>
      </c>
      <c r="F505" s="28"/>
      <c r="G505" s="30" t="n">
        <v>0</v>
      </c>
      <c r="H505" s="28"/>
      <c r="I505" s="28"/>
      <c r="J505" s="29" t="n">
        <f aca="false">E505+F505+G505-H505-I505</f>
        <v>0</v>
      </c>
      <c r="K505" s="29" t="n">
        <f aca="false">ROUND(E505+F505+G505-H505-I505-J505,1)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77</v>
      </c>
      <c r="D506" s="18" t="s">
        <v>78</v>
      </c>
      <c r="E506" s="29" t="n">
        <f aca="false">J505</f>
        <v>0</v>
      </c>
      <c r="F506" s="28"/>
      <c r="G506" s="30" t="n">
        <v>0</v>
      </c>
      <c r="H506" s="28"/>
      <c r="I506" s="28"/>
      <c r="J506" s="29" t="n">
        <f aca="false">E506+F506+G506-H506-I506</f>
        <v>0</v>
      </c>
      <c r="K506" s="29" t="n">
        <f aca="false">ROUND(E506+F506+G506-H506-I506-J506,1)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77</v>
      </c>
      <c r="D507" s="18" t="s">
        <v>78</v>
      </c>
      <c r="E507" s="29" t="n">
        <f aca="false">J506</f>
        <v>0</v>
      </c>
      <c r="F507" s="28"/>
      <c r="G507" s="30" t="n">
        <v>0</v>
      </c>
      <c r="H507" s="28"/>
      <c r="I507" s="28"/>
      <c r="J507" s="29" t="n">
        <f aca="false">E507+F507+G507-H507-I507</f>
        <v>0</v>
      </c>
      <c r="K507" s="29" t="n">
        <f aca="false">ROUND(E507+F507+G507-H507-I507-J507,1)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77</v>
      </c>
      <c r="D508" s="18" t="s">
        <v>78</v>
      </c>
      <c r="E508" s="29" t="n">
        <f aca="false">J507</f>
        <v>0</v>
      </c>
      <c r="F508" s="28"/>
      <c r="G508" s="30" t="n">
        <v>0</v>
      </c>
      <c r="H508" s="28"/>
      <c r="I508" s="28"/>
      <c r="J508" s="29" t="n">
        <f aca="false">E508+F508+G508-H508-I508</f>
        <v>0</v>
      </c>
      <c r="K508" s="29" t="n">
        <f aca="false">ROUND(E508+F508+G508-H508-I508-J508,1)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77</v>
      </c>
      <c r="D509" s="18" t="s">
        <v>78</v>
      </c>
      <c r="E509" s="29" t="n">
        <f aca="false">J508</f>
        <v>0</v>
      </c>
      <c r="F509" s="28"/>
      <c r="G509" s="30" t="n">
        <v>0</v>
      </c>
      <c r="H509" s="28"/>
      <c r="I509" s="28"/>
      <c r="J509" s="29" t="n">
        <f aca="false">E509+F509+G509-H509-I509</f>
        <v>0</v>
      </c>
      <c r="K509" s="29" t="n">
        <f aca="false">ROUND(E509+F509+G509-H509-I509-J509,1)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77</v>
      </c>
      <c r="D510" s="18" t="s">
        <v>78</v>
      </c>
      <c r="E510" s="29" t="n">
        <f aca="false">J509</f>
        <v>0</v>
      </c>
      <c r="F510" s="28"/>
      <c r="G510" s="30" t="n">
        <v>0</v>
      </c>
      <c r="H510" s="28"/>
      <c r="I510" s="28"/>
      <c r="J510" s="29" t="n">
        <f aca="false">E510+F510+G510-H510-I510</f>
        <v>0</v>
      </c>
      <c r="K510" s="29" t="n">
        <f aca="false">ROUND(E510+F510+G510-H510-I510-J510,1)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77</v>
      </c>
      <c r="D511" s="18" t="s">
        <v>78</v>
      </c>
      <c r="E511" s="29" t="n">
        <f aca="false">J510</f>
        <v>0</v>
      </c>
      <c r="F511" s="28"/>
      <c r="G511" s="30" t="n">
        <v>0</v>
      </c>
      <c r="H511" s="28"/>
      <c r="I511" s="28"/>
      <c r="J511" s="29" t="n">
        <f aca="false">E511+F511+G511-H511-I511</f>
        <v>0</v>
      </c>
      <c r="K511" s="29" t="n">
        <f aca="false">ROUND(E511+F511+G511-H511-I511-J511,1)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77</v>
      </c>
      <c r="D512" s="18" t="s">
        <v>78</v>
      </c>
      <c r="E512" s="29" t="n">
        <f aca="false">J511</f>
        <v>0</v>
      </c>
      <c r="F512" s="28"/>
      <c r="G512" s="30" t="n">
        <v>0</v>
      </c>
      <c r="H512" s="28"/>
      <c r="I512" s="28"/>
      <c r="J512" s="29" t="n">
        <f aca="false">E512+F512+G512-H512-I512</f>
        <v>0</v>
      </c>
      <c r="K512" s="29" t="n">
        <f aca="false">ROUND(E512+F512+G512-H512-I512-J512,1)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77</v>
      </c>
      <c r="D513" s="18" t="s">
        <v>78</v>
      </c>
      <c r="E513" s="29" t="n">
        <f aca="false">J512</f>
        <v>0</v>
      </c>
      <c r="F513" s="28"/>
      <c r="G513" s="30" t="n">
        <v>0</v>
      </c>
      <c r="H513" s="28"/>
      <c r="I513" s="28"/>
      <c r="J513" s="29" t="n">
        <f aca="false">E513+F513+G513-H513-I513</f>
        <v>0</v>
      </c>
      <c r="K513" s="29" t="n">
        <f aca="false">ROUND(E513+F513+G513-H513-I513-J513,1)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77</v>
      </c>
      <c r="D514" s="18" t="s">
        <v>78</v>
      </c>
      <c r="E514" s="29" t="n">
        <f aca="false">J513</f>
        <v>0</v>
      </c>
      <c r="F514" s="28"/>
      <c r="G514" s="30" t="n">
        <v>0</v>
      </c>
      <c r="H514" s="28"/>
      <c r="I514" s="28"/>
      <c r="J514" s="29" t="n">
        <f aca="false">E514+F514+G514-H514-I514</f>
        <v>0</v>
      </c>
      <c r="K514" s="29" t="n">
        <f aca="false">ROUND(E514+F514+G514-H514-I514-J514,1)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77</v>
      </c>
      <c r="D515" s="18" t="s">
        <v>78</v>
      </c>
      <c r="E515" s="29" t="n">
        <f aca="false">J514</f>
        <v>0</v>
      </c>
      <c r="F515" s="28"/>
      <c r="G515" s="30" t="n">
        <v>0</v>
      </c>
      <c r="H515" s="28"/>
      <c r="I515" s="28"/>
      <c r="J515" s="29" t="n">
        <f aca="false">E515+F515+G515-H515-I515</f>
        <v>0</v>
      </c>
      <c r="K515" s="29" t="n">
        <f aca="false">ROUND(E515+F515+G515-H515-I515-J515,1)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77</v>
      </c>
      <c r="D516" s="18" t="s">
        <v>78</v>
      </c>
      <c r="E516" s="29" t="n">
        <f aca="false">J515</f>
        <v>0</v>
      </c>
      <c r="F516" s="28"/>
      <c r="G516" s="30" t="n">
        <v>0</v>
      </c>
      <c r="H516" s="28"/>
      <c r="I516" s="28"/>
      <c r="J516" s="29" t="n">
        <f aca="false">E516+F516+G516-H516-I516</f>
        <v>0</v>
      </c>
      <c r="K516" s="29" t="n">
        <f aca="false">ROUND(E516+F516+G516-H516-I516-J516,1)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77</v>
      </c>
      <c r="D517" s="18" t="s">
        <v>78</v>
      </c>
      <c r="E517" s="29" t="n">
        <f aca="false">J516</f>
        <v>0</v>
      </c>
      <c r="F517" s="28"/>
      <c r="G517" s="30" t="n">
        <v>0</v>
      </c>
      <c r="H517" s="28"/>
      <c r="I517" s="28"/>
      <c r="J517" s="29" t="n">
        <f aca="false">E517+F517+G517-H517-I517</f>
        <v>0</v>
      </c>
      <c r="K517" s="29" t="n">
        <f aca="false">ROUND(E517+F517+G517-H517-I517-J517,1)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77</v>
      </c>
      <c r="D518" s="18" t="s">
        <v>78</v>
      </c>
      <c r="E518" s="29" t="n">
        <f aca="false">J517</f>
        <v>0</v>
      </c>
      <c r="F518" s="28"/>
      <c r="G518" s="30" t="n">
        <v>0</v>
      </c>
      <c r="H518" s="28"/>
      <c r="I518" s="28"/>
      <c r="J518" s="29" t="n">
        <f aca="false">E518+F518+G518-H518-I518</f>
        <v>0</v>
      </c>
      <c r="K518" s="29" t="n">
        <f aca="false">ROUND(E518+F518+G518-H518-I518-J518,1)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77</v>
      </c>
      <c r="D519" s="18" t="s">
        <v>78</v>
      </c>
      <c r="E519" s="29" t="n">
        <f aca="false">J518</f>
        <v>0</v>
      </c>
      <c r="F519" s="28"/>
      <c r="G519" s="30" t="n">
        <v>0</v>
      </c>
      <c r="H519" s="28"/>
      <c r="I519" s="28"/>
      <c r="J519" s="29" t="n">
        <f aca="false">E519+F519+G519-H519-I519</f>
        <v>0</v>
      </c>
      <c r="K519" s="29" t="n">
        <f aca="false">ROUND(E519+F519+G519-H519-I519-J519,1)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77</v>
      </c>
      <c r="D520" s="18" t="s">
        <v>78</v>
      </c>
      <c r="E520" s="29" t="n">
        <f aca="false">J519</f>
        <v>0</v>
      </c>
      <c r="F520" s="28"/>
      <c r="G520" s="30" t="n">
        <v>0</v>
      </c>
      <c r="H520" s="28"/>
      <c r="I520" s="28"/>
      <c r="J520" s="29" t="n">
        <f aca="false">E520+F520+G520-H520-I520</f>
        <v>0</v>
      </c>
      <c r="K520" s="29" t="n">
        <f aca="false">ROUND(E520+F520+G520-H520-I520-J520,1)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77</v>
      </c>
      <c r="D521" s="18" t="s">
        <v>78</v>
      </c>
      <c r="E521" s="29" t="n">
        <f aca="false">J520</f>
        <v>0</v>
      </c>
      <c r="F521" s="28"/>
      <c r="G521" s="30" t="n">
        <v>0</v>
      </c>
      <c r="H521" s="28"/>
      <c r="I521" s="28"/>
      <c r="J521" s="29" t="n">
        <f aca="false">E521+F521+G521-H521-I521</f>
        <v>0</v>
      </c>
      <c r="K521" s="29" t="n">
        <f aca="false">ROUND(E521+F521+G521-H521-I521-J521,1)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77</v>
      </c>
      <c r="D522" s="18" t="s">
        <v>78</v>
      </c>
      <c r="E522" s="29" t="n">
        <f aca="false">J521</f>
        <v>0</v>
      </c>
      <c r="F522" s="28"/>
      <c r="G522" s="30" t="n">
        <v>0</v>
      </c>
      <c r="H522" s="28"/>
      <c r="I522" s="28"/>
      <c r="J522" s="29" t="n">
        <f aca="false">E522+F522+G522-H522-I522</f>
        <v>0</v>
      </c>
      <c r="K522" s="29" t="n">
        <f aca="false">ROUND(E522+F522+G522-H522-I522-J522,1)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77</v>
      </c>
      <c r="D523" s="18" t="s">
        <v>78</v>
      </c>
      <c r="E523" s="29" t="n">
        <f aca="false">J522</f>
        <v>0</v>
      </c>
      <c r="F523" s="28"/>
      <c r="G523" s="30" t="n">
        <v>0</v>
      </c>
      <c r="H523" s="28"/>
      <c r="I523" s="28"/>
      <c r="J523" s="29" t="n">
        <f aca="false">E523+F523+G523-H523-I523</f>
        <v>0</v>
      </c>
      <c r="K523" s="29" t="n">
        <f aca="false">ROUND(E523+F523+G523-H523-I523-J523,1)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77</v>
      </c>
      <c r="D524" s="18" t="s">
        <v>78</v>
      </c>
      <c r="E524" s="29" t="n">
        <f aca="false">J523</f>
        <v>0</v>
      </c>
      <c r="F524" s="28"/>
      <c r="G524" s="30" t="n">
        <v>0</v>
      </c>
      <c r="H524" s="28"/>
      <c r="I524" s="28"/>
      <c r="J524" s="29" t="n">
        <f aca="false">E524+F524+G524-H524-I524</f>
        <v>0</v>
      </c>
      <c r="K524" s="29" t="n">
        <f aca="false">ROUND(E524+F524+G524-H524-I524-J524,1)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77</v>
      </c>
      <c r="D525" s="18" t="s">
        <v>78</v>
      </c>
      <c r="E525" s="29" t="n">
        <f aca="false">J524</f>
        <v>0</v>
      </c>
      <c r="F525" s="28"/>
      <c r="G525" s="30" t="n">
        <v>0</v>
      </c>
      <c r="H525" s="28"/>
      <c r="I525" s="28"/>
      <c r="J525" s="29" t="n">
        <f aca="false">E525+F525+G525-H525-I525</f>
        <v>0</v>
      </c>
      <c r="K525" s="29" t="n">
        <f aca="false">ROUND(E525+F525+G525-H525-I525-J525,1)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77</v>
      </c>
      <c r="D526" s="18" t="s">
        <v>78</v>
      </c>
      <c r="E526" s="29" t="n">
        <f aca="false">J525</f>
        <v>0</v>
      </c>
      <c r="F526" s="28"/>
      <c r="G526" s="30" t="n">
        <v>0</v>
      </c>
      <c r="H526" s="28"/>
      <c r="I526" s="28"/>
      <c r="J526" s="29" t="n">
        <f aca="false">E526+F526+G526-H526-I526</f>
        <v>0</v>
      </c>
      <c r="K526" s="29" t="n">
        <f aca="false">ROUND(E526+F526+G526-H526-I526-J526,1)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77</v>
      </c>
      <c r="D527" s="18" t="s">
        <v>78</v>
      </c>
      <c r="E527" s="29" t="n">
        <f aca="false">J526</f>
        <v>0</v>
      </c>
      <c r="F527" s="28"/>
      <c r="G527" s="30" t="n">
        <v>0</v>
      </c>
      <c r="H527" s="28"/>
      <c r="I527" s="28"/>
      <c r="J527" s="29" t="n">
        <f aca="false">E527+F527+G527-H527-I527</f>
        <v>0</v>
      </c>
      <c r="K527" s="29" t="n">
        <f aca="false">ROUND(E527+F527+G527-H527-I527-J527,1)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77</v>
      </c>
      <c r="D528" s="18" t="s">
        <v>78</v>
      </c>
      <c r="E528" s="29" t="n">
        <f aca="false">J527</f>
        <v>0</v>
      </c>
      <c r="F528" s="28"/>
      <c r="G528" s="30" t="n">
        <v>0</v>
      </c>
      <c r="H528" s="28"/>
      <c r="I528" s="28"/>
      <c r="J528" s="29" t="n">
        <f aca="false">E528+F528+G528-H528-I528</f>
        <v>0</v>
      </c>
      <c r="K528" s="29" t="n">
        <f aca="false">ROUND(E528+F528+G528-H528-I528-J528,1)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77</v>
      </c>
      <c r="D529" s="18" t="s">
        <v>78</v>
      </c>
      <c r="E529" s="29" t="n">
        <f aca="false">J528</f>
        <v>0</v>
      </c>
      <c r="F529" s="28"/>
      <c r="G529" s="30" t="n">
        <v>0</v>
      </c>
      <c r="H529" s="28"/>
      <c r="I529" s="28"/>
      <c r="J529" s="29" t="n">
        <f aca="false">E529+F529+G529-H529-I529</f>
        <v>0</v>
      </c>
      <c r="K529" s="29" t="n">
        <f aca="false">ROUND(E529+F529+G529-H529-I529-J529,1)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77</v>
      </c>
      <c r="D530" s="18" t="s">
        <v>78</v>
      </c>
      <c r="E530" s="29" t="n">
        <f aca="false">J529</f>
        <v>0</v>
      </c>
      <c r="F530" s="28"/>
      <c r="G530" s="30" t="n">
        <v>0</v>
      </c>
      <c r="H530" s="28"/>
      <c r="I530" s="28"/>
      <c r="J530" s="29" t="n">
        <f aca="false">E530+F530+G530-H530-I530</f>
        <v>0</v>
      </c>
      <c r="K530" s="29" t="n">
        <f aca="false">ROUND(E530+F530+G530-H530-I530-J530,1)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77</v>
      </c>
      <c r="D531" s="18" t="s">
        <v>78</v>
      </c>
      <c r="E531" s="29" t="n">
        <f aca="false">J530</f>
        <v>0</v>
      </c>
      <c r="F531" s="28"/>
      <c r="G531" s="30" t="n">
        <v>0</v>
      </c>
      <c r="H531" s="28"/>
      <c r="I531" s="28"/>
      <c r="J531" s="29" t="n">
        <f aca="false">E531+F531+G531-H531-I531</f>
        <v>0</v>
      </c>
      <c r="K531" s="29" t="n">
        <f aca="false">ROUND(E531+F531+G531-H531-I531-J531,1)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77</v>
      </c>
      <c r="D532" s="18" t="s">
        <v>78</v>
      </c>
      <c r="E532" s="29" t="n">
        <f aca="false">J531</f>
        <v>0</v>
      </c>
      <c r="F532" s="28"/>
      <c r="G532" s="30" t="n">
        <v>0</v>
      </c>
      <c r="H532" s="28"/>
      <c r="I532" s="28"/>
      <c r="J532" s="29" t="n">
        <f aca="false">E532+F532+G532-H532-I532</f>
        <v>0</v>
      </c>
      <c r="K532" s="29" t="n">
        <f aca="false">ROUND(E532+F532+G532-H532-I532-J532,1)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77</v>
      </c>
      <c r="D533" s="18" t="s">
        <v>78</v>
      </c>
      <c r="E533" s="29" t="n">
        <f aca="false">J532</f>
        <v>0</v>
      </c>
      <c r="F533" s="28"/>
      <c r="G533" s="30" t="n">
        <v>0</v>
      </c>
      <c r="H533" s="28"/>
      <c r="I533" s="28"/>
      <c r="J533" s="29" t="n">
        <f aca="false">E533+F533+G533-H533-I533</f>
        <v>0</v>
      </c>
      <c r="K533" s="29" t="n">
        <f aca="false">ROUND(E533+F533+G533-H533-I533-J533,1)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77</v>
      </c>
      <c r="D534" s="18" t="s">
        <v>78</v>
      </c>
      <c r="E534" s="29" t="n">
        <f aca="false">J533</f>
        <v>0</v>
      </c>
      <c r="F534" s="28"/>
      <c r="G534" s="30" t="n">
        <v>0</v>
      </c>
      <c r="H534" s="28"/>
      <c r="I534" s="28"/>
      <c r="J534" s="29" t="n">
        <f aca="false">E534+F534+G534-H534-I534</f>
        <v>0</v>
      </c>
      <c r="K534" s="29" t="n">
        <f aca="false">ROUND(E534+F534+G534-H534-I534-J534,1)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77</v>
      </c>
      <c r="D535" s="18" t="s">
        <v>78</v>
      </c>
      <c r="E535" s="29" t="n">
        <f aca="false">J534</f>
        <v>0</v>
      </c>
      <c r="F535" s="28"/>
      <c r="G535" s="30" t="n">
        <v>0</v>
      </c>
      <c r="H535" s="28"/>
      <c r="I535" s="28"/>
      <c r="J535" s="29" t="n">
        <f aca="false">E535+F535+G535-H535-I535</f>
        <v>0</v>
      </c>
      <c r="K535" s="29" t="n">
        <f aca="false">ROUND(E535+F535+G535-H535-I535-J535,1)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77</v>
      </c>
      <c r="D536" s="18" t="s">
        <v>78</v>
      </c>
      <c r="E536" s="29" t="n">
        <f aca="false">J535</f>
        <v>0</v>
      </c>
      <c r="F536" s="28"/>
      <c r="G536" s="30" t="n">
        <v>0</v>
      </c>
      <c r="H536" s="28"/>
      <c r="I536" s="28"/>
      <c r="J536" s="29" t="n">
        <f aca="false">E536+F536+G536-H536-I536</f>
        <v>0</v>
      </c>
      <c r="K536" s="29" t="n">
        <f aca="false">ROUND(E536+F536+G536-H536-I536-J536,1)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77</v>
      </c>
      <c r="D537" s="18" t="s">
        <v>78</v>
      </c>
      <c r="E537" s="29" t="n">
        <f aca="false">J536</f>
        <v>0</v>
      </c>
      <c r="F537" s="28"/>
      <c r="G537" s="30" t="n">
        <v>0</v>
      </c>
      <c r="H537" s="28"/>
      <c r="I537" s="28"/>
      <c r="J537" s="29" t="n">
        <f aca="false">E537+F537+G537-H537-I537</f>
        <v>0</v>
      </c>
      <c r="K537" s="29" t="n">
        <f aca="false">ROUND(E537+F537+G537-H537-I537-J537,1)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77</v>
      </c>
      <c r="D538" s="18" t="s">
        <v>78</v>
      </c>
      <c r="E538" s="29" t="n">
        <f aca="false">J537</f>
        <v>0</v>
      </c>
      <c r="F538" s="28"/>
      <c r="G538" s="30" t="n">
        <v>0</v>
      </c>
      <c r="H538" s="28"/>
      <c r="I538" s="28"/>
      <c r="J538" s="29" t="n">
        <f aca="false">E538+F538+G538-H538-I538</f>
        <v>0</v>
      </c>
      <c r="K538" s="29" t="n">
        <f aca="false">ROUND(E538+F538+G538-H538-I538-J538,1)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77</v>
      </c>
      <c r="D539" s="18" t="s">
        <v>78</v>
      </c>
      <c r="E539" s="29" t="n">
        <f aca="false">J538</f>
        <v>0</v>
      </c>
      <c r="F539" s="28"/>
      <c r="G539" s="30" t="n">
        <v>0</v>
      </c>
      <c r="H539" s="28"/>
      <c r="I539" s="28"/>
      <c r="J539" s="29" t="n">
        <f aca="false">E539+F539+G539-H539-I539</f>
        <v>0</v>
      </c>
      <c r="K539" s="29" t="n">
        <f aca="false">ROUND(E539+F539+G539-H539-I539-J539,1)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77</v>
      </c>
      <c r="D540" s="18" t="s">
        <v>78</v>
      </c>
      <c r="E540" s="29" t="n">
        <f aca="false">J539</f>
        <v>0</v>
      </c>
      <c r="F540" s="28"/>
      <c r="G540" s="30" t="n">
        <v>0</v>
      </c>
      <c r="H540" s="28"/>
      <c r="I540" s="28"/>
      <c r="J540" s="29" t="n">
        <f aca="false">E540+F540+G540-H540-I540</f>
        <v>0</v>
      </c>
      <c r="K540" s="29" t="n">
        <f aca="false">ROUND(E540+F540+G540-H540-I540-J540,1)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77</v>
      </c>
      <c r="D541" s="18" t="s">
        <v>78</v>
      </c>
      <c r="E541" s="29" t="n">
        <f aca="false">J540</f>
        <v>0</v>
      </c>
      <c r="F541" s="28"/>
      <c r="G541" s="30" t="n">
        <v>0</v>
      </c>
      <c r="H541" s="28"/>
      <c r="I541" s="28"/>
      <c r="J541" s="29" t="n">
        <f aca="false">E541+F541+G541-H541-I541</f>
        <v>0</v>
      </c>
      <c r="K541" s="29" t="n">
        <f aca="false">ROUND(E541+F541+G541-H541-I541-J541,1)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77</v>
      </c>
      <c r="D542" s="18" t="s">
        <v>78</v>
      </c>
      <c r="E542" s="29" t="n">
        <f aca="false">J541</f>
        <v>0</v>
      </c>
      <c r="F542" s="28"/>
      <c r="G542" s="30" t="n">
        <v>0</v>
      </c>
      <c r="H542" s="28"/>
      <c r="I542" s="28"/>
      <c r="J542" s="29" t="n">
        <f aca="false">E542+F542+G542-H542-I542</f>
        <v>0</v>
      </c>
      <c r="K542" s="29" t="n">
        <f aca="false">ROUND(E542+F542+G542-H542-I542-J542,1)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77</v>
      </c>
      <c r="D543" s="18" t="s">
        <v>78</v>
      </c>
      <c r="E543" s="29" t="n">
        <f aca="false">J542</f>
        <v>0</v>
      </c>
      <c r="F543" s="28"/>
      <c r="G543" s="30" t="n">
        <v>0</v>
      </c>
      <c r="H543" s="28"/>
      <c r="I543" s="28"/>
      <c r="J543" s="29" t="n">
        <f aca="false">E543+F543+G543-H543-I543</f>
        <v>0</v>
      </c>
      <c r="K543" s="29" t="n">
        <f aca="false">ROUND(E543+F543+G543-H543-I543-J543,1)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77</v>
      </c>
      <c r="D544" s="18" t="s">
        <v>78</v>
      </c>
      <c r="E544" s="29" t="n">
        <f aca="false">J543</f>
        <v>0</v>
      </c>
      <c r="F544" s="28"/>
      <c r="G544" s="30" t="n">
        <v>0</v>
      </c>
      <c r="H544" s="28"/>
      <c r="I544" s="28"/>
      <c r="J544" s="29" t="n">
        <f aca="false">E544+F544+G544-H544-I544</f>
        <v>0</v>
      </c>
      <c r="K544" s="29" t="n">
        <f aca="false">ROUND(E544+F544+G544-H544-I544-J544,1)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77</v>
      </c>
      <c r="D545" s="18" t="s">
        <v>78</v>
      </c>
      <c r="E545" s="29" t="n">
        <f aca="false">J544</f>
        <v>0</v>
      </c>
      <c r="F545" s="28"/>
      <c r="G545" s="30" t="n">
        <v>0</v>
      </c>
      <c r="H545" s="28"/>
      <c r="I545" s="28"/>
      <c r="J545" s="29" t="n">
        <f aca="false">E545+F545+G545-H545-I545</f>
        <v>0</v>
      </c>
      <c r="K545" s="29" t="n">
        <f aca="false">ROUND(E545+F545+G545-H545-I545-J545,1)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77</v>
      </c>
      <c r="D546" s="18" t="s">
        <v>78</v>
      </c>
      <c r="E546" s="29" t="n">
        <f aca="false">J545</f>
        <v>0</v>
      </c>
      <c r="F546" s="28"/>
      <c r="G546" s="30" t="n">
        <v>0</v>
      </c>
      <c r="H546" s="28"/>
      <c r="I546" s="28"/>
      <c r="J546" s="29" t="n">
        <f aca="false">E546+F546+G546-H546-I546</f>
        <v>0</v>
      </c>
      <c r="K546" s="29" t="n">
        <f aca="false">ROUND(E546+F546+G546-H546-I546-J546,1)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77</v>
      </c>
      <c r="D547" s="18" t="s">
        <v>78</v>
      </c>
      <c r="E547" s="29" t="n">
        <f aca="false">J546</f>
        <v>0</v>
      </c>
      <c r="F547" s="28"/>
      <c r="G547" s="30" t="n">
        <v>0</v>
      </c>
      <c r="H547" s="28"/>
      <c r="I547" s="28"/>
      <c r="J547" s="29" t="n">
        <f aca="false">E547+F547+G547-H547-I547</f>
        <v>0</v>
      </c>
      <c r="K547" s="29" t="n">
        <f aca="false">ROUND(E547+F547+G547-H547-I547-J547,1)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77</v>
      </c>
      <c r="D548" s="18" t="s">
        <v>78</v>
      </c>
      <c r="E548" s="29" t="n">
        <f aca="false">J547</f>
        <v>0</v>
      </c>
      <c r="F548" s="28"/>
      <c r="G548" s="30" t="n">
        <v>0</v>
      </c>
      <c r="H548" s="28"/>
      <c r="I548" s="28"/>
      <c r="J548" s="29" t="n">
        <f aca="false">E548+F548+G548-H548-I548</f>
        <v>0</v>
      </c>
      <c r="K548" s="29" t="n">
        <f aca="false">ROUND(E548+F548+G548-H548-I548-J548,1)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77</v>
      </c>
      <c r="D549" s="18" t="s">
        <v>78</v>
      </c>
      <c r="E549" s="29" t="n">
        <f aca="false">J548</f>
        <v>0</v>
      </c>
      <c r="F549" s="28"/>
      <c r="G549" s="30" t="n">
        <v>0</v>
      </c>
      <c r="H549" s="28"/>
      <c r="I549" s="28"/>
      <c r="J549" s="29" t="n">
        <f aca="false">E549+F549+G549-H549-I549</f>
        <v>0</v>
      </c>
      <c r="K549" s="29" t="n">
        <f aca="false">ROUND(E549+F549+G549-H549-I549-J549,1)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77</v>
      </c>
      <c r="D550" s="18" t="s">
        <v>78</v>
      </c>
      <c r="E550" s="29" t="n">
        <f aca="false">J549</f>
        <v>0</v>
      </c>
      <c r="F550" s="28"/>
      <c r="G550" s="30" t="n">
        <v>0</v>
      </c>
      <c r="H550" s="28"/>
      <c r="I550" s="28"/>
      <c r="J550" s="29" t="n">
        <f aca="false">E550+F550+G550-H550-I550</f>
        <v>0</v>
      </c>
      <c r="K550" s="29" t="n">
        <f aca="false">ROUND(E550+F550+G550-H550-I550-J550,1)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77</v>
      </c>
      <c r="D551" s="18" t="s">
        <v>78</v>
      </c>
      <c r="E551" s="29" t="n">
        <f aca="false">J550</f>
        <v>0</v>
      </c>
      <c r="F551" s="28"/>
      <c r="G551" s="30" t="n">
        <v>0</v>
      </c>
      <c r="H551" s="28"/>
      <c r="I551" s="28"/>
      <c r="J551" s="29" t="n">
        <f aca="false">E551+F551+G551-H551-I551</f>
        <v>0</v>
      </c>
      <c r="K551" s="29" t="n">
        <f aca="false">ROUND(E551+F551+G551-H551-I551-J551,1)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77</v>
      </c>
      <c r="D552" s="18" t="s">
        <v>78</v>
      </c>
      <c r="E552" s="29" t="n">
        <f aca="false">J551</f>
        <v>0</v>
      </c>
      <c r="F552" s="28"/>
      <c r="G552" s="30" t="n">
        <v>0</v>
      </c>
      <c r="H552" s="28"/>
      <c r="I552" s="28"/>
      <c r="J552" s="29" t="n">
        <f aca="false">E552+F552+G552-H552-I552</f>
        <v>0</v>
      </c>
      <c r="K552" s="29" t="n">
        <f aca="false">ROUND(E552+F552+G552-H552-I552-J552,1)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77</v>
      </c>
      <c r="D553" s="18" t="s">
        <v>78</v>
      </c>
      <c r="E553" s="29" t="n">
        <f aca="false">J552</f>
        <v>0</v>
      </c>
      <c r="F553" s="28"/>
      <c r="G553" s="30" t="n">
        <v>0</v>
      </c>
      <c r="H553" s="28"/>
      <c r="I553" s="28"/>
      <c r="J553" s="29" t="n">
        <f aca="false">E553+F553+G553-H553-I553</f>
        <v>0</v>
      </c>
      <c r="K553" s="29" t="n">
        <f aca="false">ROUND(E553+F553+G553-H553-I553-J553,1)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77</v>
      </c>
      <c r="D554" s="18" t="s">
        <v>78</v>
      </c>
      <c r="E554" s="29" t="n">
        <f aca="false">J553</f>
        <v>0</v>
      </c>
      <c r="F554" s="28"/>
      <c r="G554" s="30" t="n">
        <v>0</v>
      </c>
      <c r="H554" s="28"/>
      <c r="I554" s="28"/>
      <c r="J554" s="29" t="n">
        <f aca="false">E554+F554+G554-H554-I554</f>
        <v>0</v>
      </c>
      <c r="K554" s="29" t="n">
        <f aca="false">ROUND(E554+F554+G554-H554-I554-J554,1)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77</v>
      </c>
      <c r="D555" s="18" t="s">
        <v>78</v>
      </c>
      <c r="E555" s="29" t="n">
        <f aca="false">J554</f>
        <v>0</v>
      </c>
      <c r="F555" s="28"/>
      <c r="G555" s="30" t="n">
        <v>0</v>
      </c>
      <c r="H555" s="28"/>
      <c r="I555" s="28"/>
      <c r="J555" s="29" t="n">
        <f aca="false">E555+F555+G555-H555-I555</f>
        <v>0</v>
      </c>
      <c r="K555" s="29" t="n">
        <f aca="false">ROUND(E555+F555+G555-H555-I555-J555,1)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77</v>
      </c>
      <c r="D556" s="18" t="s">
        <v>78</v>
      </c>
      <c r="E556" s="29" t="n">
        <f aca="false">J555</f>
        <v>0</v>
      </c>
      <c r="F556" s="28"/>
      <c r="G556" s="30" t="n">
        <v>0</v>
      </c>
      <c r="H556" s="28"/>
      <c r="I556" s="28"/>
      <c r="J556" s="29" t="n">
        <f aca="false">E556+F556+G556-H556-I556</f>
        <v>0</v>
      </c>
      <c r="K556" s="29" t="n">
        <f aca="false">ROUND(E556+F556+G556-H556-I556-J556,1)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77</v>
      </c>
      <c r="D557" s="18" t="s">
        <v>78</v>
      </c>
      <c r="E557" s="29" t="n">
        <f aca="false">J556</f>
        <v>0</v>
      </c>
      <c r="F557" s="28"/>
      <c r="G557" s="30" t="n">
        <v>0</v>
      </c>
      <c r="H557" s="28"/>
      <c r="I557" s="28"/>
      <c r="J557" s="29" t="n">
        <f aca="false">E557+F557+G557-H557-I557</f>
        <v>0</v>
      </c>
      <c r="K557" s="29" t="n">
        <f aca="false">ROUND(E557+F557+G557-H557-I557-J557,1)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77</v>
      </c>
      <c r="D558" s="18" t="s">
        <v>78</v>
      </c>
      <c r="E558" s="29" t="n">
        <f aca="false">J557</f>
        <v>0</v>
      </c>
      <c r="F558" s="28"/>
      <c r="G558" s="30" t="n">
        <v>0</v>
      </c>
      <c r="H558" s="28"/>
      <c r="I558" s="28"/>
      <c r="J558" s="29" t="n">
        <f aca="false">E558+F558+G558-H558-I558</f>
        <v>0</v>
      </c>
      <c r="K558" s="29" t="n">
        <f aca="false">ROUND(E558+F558+G558-H558-I558-J558,1)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77</v>
      </c>
      <c r="D559" s="18" t="s">
        <v>78</v>
      </c>
      <c r="E559" s="29" t="n">
        <f aca="false">J558</f>
        <v>0</v>
      </c>
      <c r="F559" s="28"/>
      <c r="G559" s="30" t="n">
        <v>0</v>
      </c>
      <c r="H559" s="28"/>
      <c r="I559" s="28"/>
      <c r="J559" s="29" t="n">
        <f aca="false">E559+F559+G559-H559-I559</f>
        <v>0</v>
      </c>
      <c r="K559" s="29" t="n">
        <f aca="false">ROUND(E559+F559+G559-H559-I559-J559,1)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77</v>
      </c>
      <c r="D560" s="18" t="s">
        <v>78</v>
      </c>
      <c r="E560" s="29" t="n">
        <f aca="false">J559</f>
        <v>0</v>
      </c>
      <c r="F560" s="28"/>
      <c r="G560" s="30" t="n">
        <v>0</v>
      </c>
      <c r="H560" s="28"/>
      <c r="I560" s="28"/>
      <c r="J560" s="29" t="n">
        <f aca="false">E560+F560+G560-H560-I560</f>
        <v>0</v>
      </c>
      <c r="K560" s="29" t="n">
        <f aca="false">ROUND(E560+F560+G560-H560-I560-J560,1)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77</v>
      </c>
      <c r="D561" s="18" t="s">
        <v>78</v>
      </c>
      <c r="E561" s="29" t="n">
        <f aca="false">J560</f>
        <v>0</v>
      </c>
      <c r="F561" s="28"/>
      <c r="G561" s="30" t="n">
        <v>0</v>
      </c>
      <c r="H561" s="28"/>
      <c r="I561" s="28"/>
      <c r="J561" s="29" t="n">
        <f aca="false">E561+F561+G561-H561-I561</f>
        <v>0</v>
      </c>
      <c r="K561" s="29" t="n">
        <f aca="false">ROUND(E561+F561+G561-H561-I561-J561,1)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77</v>
      </c>
      <c r="D562" s="18" t="s">
        <v>78</v>
      </c>
      <c r="E562" s="29" t="n">
        <f aca="false">J561</f>
        <v>0</v>
      </c>
      <c r="F562" s="28"/>
      <c r="G562" s="30" t="n">
        <v>0</v>
      </c>
      <c r="H562" s="28"/>
      <c r="I562" s="28"/>
      <c r="J562" s="29" t="n">
        <f aca="false">E562+F562+G562-H562-I562</f>
        <v>0</v>
      </c>
      <c r="K562" s="29" t="n">
        <f aca="false">ROUND(E562+F562+G562-H562-I562-J562,1)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77</v>
      </c>
      <c r="D563" s="18" t="s">
        <v>78</v>
      </c>
      <c r="E563" s="29" t="n">
        <f aca="false">J562</f>
        <v>0</v>
      </c>
      <c r="F563" s="28"/>
      <c r="G563" s="30" t="n">
        <v>0</v>
      </c>
      <c r="H563" s="28"/>
      <c r="I563" s="28"/>
      <c r="J563" s="29" t="n">
        <f aca="false">E563+F563+G563-H563-I563</f>
        <v>0</v>
      </c>
      <c r="K563" s="29" t="n">
        <f aca="false">ROUND(E563+F563+G563-H563-I563-J563,1)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77</v>
      </c>
      <c r="D564" s="18" t="s">
        <v>78</v>
      </c>
      <c r="E564" s="29" t="n">
        <f aca="false">J563</f>
        <v>0</v>
      </c>
      <c r="F564" s="28"/>
      <c r="G564" s="30" t="n">
        <v>0</v>
      </c>
      <c r="H564" s="28"/>
      <c r="I564" s="28"/>
      <c r="J564" s="29" t="n">
        <f aca="false">E564+F564+G564-H564-I564</f>
        <v>0</v>
      </c>
      <c r="K564" s="29" t="n">
        <f aca="false">ROUND(E564+F564+G564-H564-I564-J564,1)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77</v>
      </c>
      <c r="D565" s="18" t="s">
        <v>78</v>
      </c>
      <c r="E565" s="29" t="n">
        <f aca="false">J564</f>
        <v>0</v>
      </c>
      <c r="F565" s="28"/>
      <c r="G565" s="30" t="n">
        <v>0</v>
      </c>
      <c r="H565" s="28"/>
      <c r="I565" s="28"/>
      <c r="J565" s="29" t="n">
        <f aca="false">E565+F565+G565-H565-I565</f>
        <v>0</v>
      </c>
      <c r="K565" s="29" t="n">
        <f aca="false">ROUND(E565+F565+G565-H565-I565-J565,1)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77</v>
      </c>
      <c r="D566" s="18" t="s">
        <v>78</v>
      </c>
      <c r="E566" s="29" t="n">
        <f aca="false">J565</f>
        <v>0</v>
      </c>
      <c r="F566" s="28"/>
      <c r="G566" s="30" t="n">
        <v>0</v>
      </c>
      <c r="H566" s="28"/>
      <c r="I566" s="28"/>
      <c r="J566" s="29" t="n">
        <f aca="false">E566+F566+G566-H566-I566</f>
        <v>0</v>
      </c>
      <c r="K566" s="29" t="n">
        <f aca="false">ROUND(E566+F566+G566-H566-I566-J566,1)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77</v>
      </c>
      <c r="D567" s="18" t="s">
        <v>78</v>
      </c>
      <c r="E567" s="29" t="n">
        <f aca="false">J566</f>
        <v>0</v>
      </c>
      <c r="F567" s="28"/>
      <c r="G567" s="30" t="n">
        <v>0</v>
      </c>
      <c r="H567" s="28"/>
      <c r="I567" s="28"/>
      <c r="J567" s="29" t="n">
        <f aca="false">E567+F567+G567-H567-I567</f>
        <v>0</v>
      </c>
      <c r="K567" s="29" t="n">
        <f aca="false">ROUND(E567+F567+G567-H567-I567-J567,1)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77</v>
      </c>
      <c r="D568" s="18" t="s">
        <v>78</v>
      </c>
      <c r="E568" s="29" t="n">
        <f aca="false">J567</f>
        <v>0</v>
      </c>
      <c r="F568" s="28"/>
      <c r="G568" s="30" t="n">
        <v>0</v>
      </c>
      <c r="H568" s="28"/>
      <c r="I568" s="28"/>
      <c r="J568" s="29" t="n">
        <f aca="false">E568+F568+G568-H568-I568</f>
        <v>0</v>
      </c>
      <c r="K568" s="29" t="n">
        <f aca="false">ROUND(E568+F568+G568-H568-I568-J568,1)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77</v>
      </c>
      <c r="D569" s="18" t="s">
        <v>78</v>
      </c>
      <c r="E569" s="29" t="n">
        <f aca="false">J568</f>
        <v>0</v>
      </c>
      <c r="F569" s="28"/>
      <c r="G569" s="30" t="n">
        <v>0</v>
      </c>
      <c r="H569" s="28"/>
      <c r="I569" s="28"/>
      <c r="J569" s="29" t="n">
        <f aca="false">E569+F569+G569-H569-I569</f>
        <v>0</v>
      </c>
      <c r="K569" s="29" t="n">
        <f aca="false">ROUND(E569+F569+G569-H569-I569-J569,1)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77</v>
      </c>
      <c r="D570" s="18" t="s">
        <v>78</v>
      </c>
      <c r="E570" s="29" t="n">
        <f aca="false">J569</f>
        <v>0</v>
      </c>
      <c r="F570" s="28"/>
      <c r="G570" s="30" t="n">
        <v>0</v>
      </c>
      <c r="H570" s="28"/>
      <c r="I570" s="28"/>
      <c r="J570" s="29" t="n">
        <f aca="false">E570+F570+G570-H570-I570</f>
        <v>0</v>
      </c>
      <c r="K570" s="29" t="n">
        <f aca="false">ROUND(E570+F570+G570-H570-I570-J570,1)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77</v>
      </c>
      <c r="D571" s="18" t="s">
        <v>78</v>
      </c>
      <c r="E571" s="29" t="n">
        <f aca="false">J570</f>
        <v>0</v>
      </c>
      <c r="F571" s="28"/>
      <c r="G571" s="30" t="n">
        <v>0</v>
      </c>
      <c r="H571" s="28"/>
      <c r="I571" s="28"/>
      <c r="J571" s="29" t="n">
        <f aca="false">E571+F571+G571-H571-I571</f>
        <v>0</v>
      </c>
      <c r="K571" s="29" t="n">
        <f aca="false">ROUND(E571+F571+G571-H571-I571-J571,1)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77</v>
      </c>
      <c r="D572" s="18" t="s">
        <v>78</v>
      </c>
      <c r="E572" s="29" t="n">
        <f aca="false">J571</f>
        <v>0</v>
      </c>
      <c r="F572" s="28"/>
      <c r="G572" s="30" t="n">
        <v>0</v>
      </c>
      <c r="H572" s="28"/>
      <c r="I572" s="28"/>
      <c r="J572" s="29" t="n">
        <f aca="false">E572+F572+G572-H572-I572</f>
        <v>0</v>
      </c>
      <c r="K572" s="29" t="n">
        <f aca="false">ROUND(E572+F572+G572-H572-I572-J572,1)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77</v>
      </c>
      <c r="D573" s="18" t="s">
        <v>78</v>
      </c>
      <c r="E573" s="29" t="n">
        <f aca="false">J572</f>
        <v>0</v>
      </c>
      <c r="F573" s="28"/>
      <c r="G573" s="30" t="n">
        <v>0</v>
      </c>
      <c r="H573" s="28"/>
      <c r="I573" s="28"/>
      <c r="J573" s="29" t="n">
        <f aca="false">E573+F573+G573-H573-I573</f>
        <v>0</v>
      </c>
      <c r="K573" s="29" t="n">
        <f aca="false">ROUND(E573+F573+G573-H573-I573-J573,1)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77</v>
      </c>
      <c r="D574" s="18" t="s">
        <v>78</v>
      </c>
      <c r="E574" s="29" t="n">
        <f aca="false">J573</f>
        <v>0</v>
      </c>
      <c r="F574" s="28"/>
      <c r="G574" s="30" t="n">
        <v>0</v>
      </c>
      <c r="H574" s="28"/>
      <c r="I574" s="28"/>
      <c r="J574" s="29" t="n">
        <f aca="false">E574+F574+G574-H574-I574</f>
        <v>0</v>
      </c>
      <c r="K574" s="29" t="n">
        <f aca="false">ROUND(E574+F574+G574-H574-I574-J574,1)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77</v>
      </c>
      <c r="D575" s="18" t="s">
        <v>78</v>
      </c>
      <c r="E575" s="29" t="n">
        <f aca="false">J574</f>
        <v>0</v>
      </c>
      <c r="F575" s="28"/>
      <c r="G575" s="30" t="n">
        <v>0</v>
      </c>
      <c r="H575" s="28"/>
      <c r="I575" s="28"/>
      <c r="J575" s="29" t="n">
        <f aca="false">E575+F575+G575-H575-I575</f>
        <v>0</v>
      </c>
      <c r="K575" s="29" t="n">
        <f aca="false">ROUND(E575+F575+G575-H575-I575-J575,1)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77</v>
      </c>
      <c r="D576" s="18" t="s">
        <v>78</v>
      </c>
      <c r="E576" s="29" t="n">
        <f aca="false">J575</f>
        <v>0</v>
      </c>
      <c r="F576" s="28"/>
      <c r="G576" s="30" t="n">
        <v>0</v>
      </c>
      <c r="H576" s="28"/>
      <c r="I576" s="28"/>
      <c r="J576" s="29" t="n">
        <f aca="false">E576+F576+G576-H576-I576</f>
        <v>0</v>
      </c>
      <c r="K576" s="29" t="n">
        <f aca="false">ROUND(E576+F576+G576-H576-I576-J576,1)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77</v>
      </c>
      <c r="D577" s="18" t="s">
        <v>78</v>
      </c>
      <c r="E577" s="29" t="n">
        <f aca="false">J576</f>
        <v>0</v>
      </c>
      <c r="F577" s="28"/>
      <c r="G577" s="30" t="n">
        <v>0</v>
      </c>
      <c r="H577" s="28"/>
      <c r="I577" s="28"/>
      <c r="J577" s="29" t="n">
        <f aca="false">E577+F577+G577-H577-I577</f>
        <v>0</v>
      </c>
      <c r="K577" s="29" t="n">
        <f aca="false">ROUND(E577+F577+G577-H577-I577-J577,1)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77</v>
      </c>
      <c r="D578" s="18" t="s">
        <v>78</v>
      </c>
      <c r="E578" s="29" t="n">
        <f aca="false">J577</f>
        <v>0</v>
      </c>
      <c r="F578" s="28"/>
      <c r="G578" s="30" t="n">
        <v>0</v>
      </c>
      <c r="H578" s="28"/>
      <c r="I578" s="28"/>
      <c r="J578" s="29" t="n">
        <f aca="false">E578+F578+G578-H578-I578</f>
        <v>0</v>
      </c>
      <c r="K578" s="29" t="n">
        <f aca="false">ROUND(E578+F578+G578-H578-I578-J578,1)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77</v>
      </c>
      <c r="D579" s="18" t="s">
        <v>78</v>
      </c>
      <c r="E579" s="29" t="n">
        <f aca="false">J578</f>
        <v>0</v>
      </c>
      <c r="F579" s="28"/>
      <c r="G579" s="30" t="n">
        <v>0</v>
      </c>
      <c r="H579" s="28"/>
      <c r="I579" s="28"/>
      <c r="J579" s="29" t="n">
        <f aca="false">E579+F579+G579-H579-I579</f>
        <v>0</v>
      </c>
      <c r="K579" s="29" t="n">
        <f aca="false">ROUND(E579+F579+G579-H579-I579-J579,1)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77</v>
      </c>
      <c r="D580" s="18" t="s">
        <v>78</v>
      </c>
      <c r="E580" s="29" t="n">
        <f aca="false">J579</f>
        <v>0</v>
      </c>
      <c r="F580" s="28"/>
      <c r="G580" s="30" t="n">
        <v>0</v>
      </c>
      <c r="H580" s="28"/>
      <c r="I580" s="28"/>
      <c r="J580" s="29" t="n">
        <f aca="false">E580+F580+G580-H580-I580</f>
        <v>0</v>
      </c>
      <c r="K580" s="29" t="n">
        <f aca="false">ROUND(E580+F580+G580-H580-I580-J580,1)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77</v>
      </c>
      <c r="D581" s="18" t="s">
        <v>78</v>
      </c>
      <c r="E581" s="29" t="n">
        <f aca="false">J580</f>
        <v>0</v>
      </c>
      <c r="F581" s="28"/>
      <c r="G581" s="30" t="n">
        <v>0</v>
      </c>
      <c r="H581" s="28"/>
      <c r="I581" s="28"/>
      <c r="J581" s="29" t="n">
        <f aca="false">E581+F581+G581-H581-I581</f>
        <v>0</v>
      </c>
      <c r="K581" s="29" t="n">
        <f aca="false">ROUND(E581+F581+G581-H581-I581-J581,1)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77</v>
      </c>
      <c r="D582" s="18" t="s">
        <v>78</v>
      </c>
      <c r="E582" s="29" t="n">
        <f aca="false">J581</f>
        <v>0</v>
      </c>
      <c r="F582" s="28"/>
      <c r="G582" s="30" t="n">
        <v>0</v>
      </c>
      <c r="H582" s="28"/>
      <c r="I582" s="28"/>
      <c r="J582" s="29" t="n">
        <f aca="false">E582+F582+G582-H582-I582</f>
        <v>0</v>
      </c>
      <c r="K582" s="29" t="n">
        <f aca="false">ROUND(E582+F582+G582-H582-I582-J582,1)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77</v>
      </c>
      <c r="D583" s="18" t="s">
        <v>78</v>
      </c>
      <c r="E583" s="29" t="n">
        <f aca="false">J582</f>
        <v>0</v>
      </c>
      <c r="F583" s="28"/>
      <c r="G583" s="30" t="n">
        <v>0</v>
      </c>
      <c r="H583" s="28"/>
      <c r="I583" s="28"/>
      <c r="J583" s="29" t="n">
        <f aca="false">E583+F583+G583-H583-I583</f>
        <v>0</v>
      </c>
      <c r="K583" s="29" t="n">
        <f aca="false">ROUND(E583+F583+G583-H583-I583-J583,1)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77</v>
      </c>
      <c r="D584" s="18" t="s">
        <v>78</v>
      </c>
      <c r="E584" s="29" t="n">
        <f aca="false">J583</f>
        <v>0</v>
      </c>
      <c r="F584" s="28"/>
      <c r="G584" s="30" t="n">
        <v>0</v>
      </c>
      <c r="H584" s="28"/>
      <c r="I584" s="28"/>
      <c r="J584" s="29" t="n">
        <f aca="false">E584+F584+G584-H584-I584</f>
        <v>0</v>
      </c>
      <c r="K584" s="29" t="n">
        <f aca="false">ROUND(E584+F584+G584-H584-I584-J584,1)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77</v>
      </c>
      <c r="D585" s="18" t="s">
        <v>78</v>
      </c>
      <c r="E585" s="29" t="n">
        <f aca="false">J584</f>
        <v>0</v>
      </c>
      <c r="F585" s="28"/>
      <c r="G585" s="30" t="n">
        <v>0</v>
      </c>
      <c r="H585" s="28"/>
      <c r="I585" s="28"/>
      <c r="J585" s="29" t="n">
        <f aca="false">E585+F585+G585-H585-I585</f>
        <v>0</v>
      </c>
      <c r="K585" s="29" t="n">
        <f aca="false">ROUND(E585+F585+G585-H585-I585-J585,1)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77</v>
      </c>
      <c r="D586" s="18" t="s">
        <v>78</v>
      </c>
      <c r="E586" s="29" t="n">
        <f aca="false">J585</f>
        <v>0</v>
      </c>
      <c r="F586" s="28"/>
      <c r="G586" s="30" t="n">
        <v>0</v>
      </c>
      <c r="H586" s="28"/>
      <c r="I586" s="28"/>
      <c r="J586" s="29" t="n">
        <f aca="false">E586+F586+G586-H586-I586</f>
        <v>0</v>
      </c>
      <c r="K586" s="29" t="n">
        <f aca="false">ROUND(E586+F586+G586-H586-I586-J586,1)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77</v>
      </c>
      <c r="D587" s="18" t="s">
        <v>78</v>
      </c>
      <c r="E587" s="29" t="n">
        <f aca="false">J586</f>
        <v>0</v>
      </c>
      <c r="F587" s="28"/>
      <c r="G587" s="30" t="n">
        <v>0</v>
      </c>
      <c r="H587" s="28"/>
      <c r="I587" s="28"/>
      <c r="J587" s="29" t="n">
        <f aca="false">E587+F587+G587-H587-I587</f>
        <v>0</v>
      </c>
      <c r="K587" s="29" t="n">
        <f aca="false">ROUND(E587+F587+G587-H587-I587-J587,1)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77</v>
      </c>
      <c r="D588" s="18" t="s">
        <v>78</v>
      </c>
      <c r="E588" s="29" t="n">
        <f aca="false">J587</f>
        <v>0</v>
      </c>
      <c r="F588" s="28"/>
      <c r="G588" s="30" t="n">
        <v>0</v>
      </c>
      <c r="H588" s="28"/>
      <c r="I588" s="28"/>
      <c r="J588" s="29" t="n">
        <f aca="false">E588+F588+G588-H588-I588</f>
        <v>0</v>
      </c>
      <c r="K588" s="29" t="n">
        <f aca="false">ROUND(E588+F588+G588-H588-I588-J588,1)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77</v>
      </c>
      <c r="D589" s="18" t="s">
        <v>78</v>
      </c>
      <c r="E589" s="29" t="n">
        <f aca="false">J588</f>
        <v>0</v>
      </c>
      <c r="F589" s="28"/>
      <c r="G589" s="30" t="n">
        <v>0</v>
      </c>
      <c r="H589" s="28"/>
      <c r="I589" s="28"/>
      <c r="J589" s="29" t="n">
        <f aca="false">E589+F589+G589-H589-I589</f>
        <v>0</v>
      </c>
      <c r="K589" s="29" t="n">
        <f aca="false">ROUND(E589+F589+G589-H589-I589-J589,1)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77</v>
      </c>
      <c r="D590" s="18" t="s">
        <v>78</v>
      </c>
      <c r="E590" s="29" t="n">
        <f aca="false">J589</f>
        <v>0</v>
      </c>
      <c r="F590" s="28"/>
      <c r="G590" s="30" t="n">
        <v>0</v>
      </c>
      <c r="H590" s="28"/>
      <c r="I590" s="28"/>
      <c r="J590" s="29" t="n">
        <f aca="false">E590+F590+G590-H590-I590</f>
        <v>0</v>
      </c>
      <c r="K590" s="29" t="n">
        <f aca="false">ROUND(E590+F590+G590-H590-I590-J590,1)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77</v>
      </c>
      <c r="D591" s="18" t="s">
        <v>78</v>
      </c>
      <c r="E591" s="29" t="n">
        <f aca="false">J590</f>
        <v>0</v>
      </c>
      <c r="F591" s="28"/>
      <c r="G591" s="30" t="n">
        <v>0</v>
      </c>
      <c r="H591" s="28"/>
      <c r="I591" s="28"/>
      <c r="J591" s="29" t="n">
        <f aca="false">E591+F591+G591-H591-I591</f>
        <v>0</v>
      </c>
      <c r="K591" s="29" t="n">
        <f aca="false">ROUND(E591+F591+G591-H591-I591-J591,1)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77</v>
      </c>
      <c r="D592" s="18" t="s">
        <v>78</v>
      </c>
      <c r="E592" s="29" t="n">
        <f aca="false">J591</f>
        <v>0</v>
      </c>
      <c r="F592" s="28"/>
      <c r="G592" s="30" t="n">
        <v>0</v>
      </c>
      <c r="H592" s="28"/>
      <c r="I592" s="28"/>
      <c r="J592" s="29" t="n">
        <f aca="false">E592+F592+G592-H592-I592</f>
        <v>0</v>
      </c>
      <c r="K592" s="29" t="n">
        <f aca="false">ROUND(E592+F592+G592-H592-I592-J592,1)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77</v>
      </c>
      <c r="D593" s="18" t="s">
        <v>78</v>
      </c>
      <c r="E593" s="29" t="n">
        <f aca="false">J592</f>
        <v>0</v>
      </c>
      <c r="F593" s="28"/>
      <c r="G593" s="30" t="n">
        <v>0</v>
      </c>
      <c r="H593" s="28"/>
      <c r="I593" s="28"/>
      <c r="J593" s="29" t="n">
        <f aca="false">E593+F593+G593-H593-I593</f>
        <v>0</v>
      </c>
      <c r="K593" s="29" t="n">
        <f aca="false">ROUND(E593+F593+G593-H593-I593-J593,1)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77</v>
      </c>
      <c r="D594" s="18" t="s">
        <v>78</v>
      </c>
      <c r="E594" s="29" t="n">
        <f aca="false">J593</f>
        <v>0</v>
      </c>
      <c r="F594" s="28"/>
      <c r="G594" s="30" t="n">
        <v>0</v>
      </c>
      <c r="H594" s="28"/>
      <c r="I594" s="28"/>
      <c r="J594" s="29" t="n">
        <f aca="false">E594+F594+G594-H594-I594</f>
        <v>0</v>
      </c>
      <c r="K594" s="29" t="n">
        <f aca="false">ROUND(E594+F594+G594-H594-I594-J594,1)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77</v>
      </c>
      <c r="D595" s="18" t="s">
        <v>78</v>
      </c>
      <c r="E595" s="29" t="n">
        <f aca="false">J594</f>
        <v>0</v>
      </c>
      <c r="F595" s="28"/>
      <c r="G595" s="30" t="n">
        <v>0</v>
      </c>
      <c r="H595" s="28"/>
      <c r="I595" s="28"/>
      <c r="J595" s="29" t="n">
        <f aca="false">E595+F595+G595-H595-I595</f>
        <v>0</v>
      </c>
      <c r="K595" s="29" t="n">
        <f aca="false">ROUND(E595+F595+G595-H595-I595-J595,1)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77</v>
      </c>
      <c r="D596" s="18" t="s">
        <v>78</v>
      </c>
      <c r="E596" s="29" t="n">
        <f aca="false">J595</f>
        <v>0</v>
      </c>
      <c r="F596" s="28"/>
      <c r="G596" s="30" t="n">
        <v>0</v>
      </c>
      <c r="H596" s="28"/>
      <c r="I596" s="28"/>
      <c r="J596" s="29" t="n">
        <f aca="false">E596+F596+G596-H596-I596</f>
        <v>0</v>
      </c>
      <c r="K596" s="29" t="n">
        <f aca="false">ROUND(E596+F596+G596-H596-I596-J596,1)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77</v>
      </c>
      <c r="D597" s="18" t="s">
        <v>78</v>
      </c>
      <c r="E597" s="29" t="n">
        <f aca="false">J596</f>
        <v>0</v>
      </c>
      <c r="F597" s="28"/>
      <c r="G597" s="30" t="n">
        <v>0</v>
      </c>
      <c r="H597" s="28"/>
      <c r="I597" s="28"/>
      <c r="J597" s="29" t="n">
        <f aca="false">E597+F597+G597-H597-I597</f>
        <v>0</v>
      </c>
      <c r="K597" s="29" t="n">
        <f aca="false">ROUND(E597+F597+G597-H597-I597-J597,1)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77</v>
      </c>
      <c r="D598" s="18" t="s">
        <v>78</v>
      </c>
      <c r="E598" s="29" t="n">
        <f aca="false">J597</f>
        <v>0</v>
      </c>
      <c r="F598" s="28"/>
      <c r="G598" s="30" t="n">
        <v>0</v>
      </c>
      <c r="H598" s="28"/>
      <c r="I598" s="28"/>
      <c r="J598" s="29" t="n">
        <f aca="false">E598+F598+G598-H598-I598</f>
        <v>0</v>
      </c>
      <c r="K598" s="29" t="n">
        <f aca="false">ROUND(E598+F598+G598-H598-I598-J598,1)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77</v>
      </c>
      <c r="D599" s="18" t="s">
        <v>78</v>
      </c>
      <c r="E599" s="29" t="n">
        <f aca="false">J598</f>
        <v>0</v>
      </c>
      <c r="F599" s="28"/>
      <c r="G599" s="30" t="n">
        <v>0</v>
      </c>
      <c r="H599" s="28"/>
      <c r="I599" s="28"/>
      <c r="J599" s="29" t="n">
        <f aca="false">E599+F599+G599-H599-I599</f>
        <v>0</v>
      </c>
      <c r="K599" s="29" t="n">
        <f aca="false">ROUND(E599+F599+G599-H599-I599-J599,1)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77</v>
      </c>
      <c r="D600" s="18" t="s">
        <v>78</v>
      </c>
      <c r="E600" s="29" t="n">
        <f aca="false">J599</f>
        <v>0</v>
      </c>
      <c r="F600" s="28"/>
      <c r="G600" s="30" t="n">
        <v>0</v>
      </c>
      <c r="H600" s="28"/>
      <c r="I600" s="28"/>
      <c r="J600" s="29" t="n">
        <f aca="false">E600+F600+G600-H600-I600</f>
        <v>0</v>
      </c>
      <c r="K600" s="29" t="n">
        <f aca="false">ROUND(E600+F600+G600-H600-I600-J600,1)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77</v>
      </c>
      <c r="D601" s="18" t="s">
        <v>78</v>
      </c>
      <c r="E601" s="29" t="n">
        <f aca="false">J600</f>
        <v>0</v>
      </c>
      <c r="F601" s="28"/>
      <c r="G601" s="30" t="n">
        <v>0</v>
      </c>
      <c r="H601" s="28"/>
      <c r="I601" s="28"/>
      <c r="J601" s="29" t="n">
        <f aca="false">E601+F601+G601-H601-I601</f>
        <v>0</v>
      </c>
      <c r="K601" s="29" t="n">
        <f aca="false">ROUND(E601+F601+G601-H601-I601-J601,1)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77</v>
      </c>
      <c r="D602" s="18" t="s">
        <v>78</v>
      </c>
      <c r="E602" s="29" t="n">
        <f aca="false">J601</f>
        <v>0</v>
      </c>
      <c r="F602" s="28"/>
      <c r="G602" s="30" t="n">
        <v>0</v>
      </c>
      <c r="H602" s="28"/>
      <c r="I602" s="28"/>
      <c r="J602" s="29" t="n">
        <f aca="false">E602+F602+G602-H602-I602</f>
        <v>0</v>
      </c>
      <c r="K602" s="29" t="n">
        <f aca="false">ROUND(E602+F602+G602-H602-I602-J602,1)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77</v>
      </c>
      <c r="D603" s="18" t="s">
        <v>78</v>
      </c>
      <c r="E603" s="29" t="n">
        <f aca="false">J602</f>
        <v>0</v>
      </c>
      <c r="F603" s="28"/>
      <c r="G603" s="30" t="n">
        <v>0</v>
      </c>
      <c r="H603" s="28"/>
      <c r="I603" s="28"/>
      <c r="J603" s="29" t="n">
        <f aca="false">E603+F603+G603-H603-I603</f>
        <v>0</v>
      </c>
      <c r="K603" s="29" t="n">
        <f aca="false">ROUND(E603+F603+G603-H603-I603-J603,1)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77</v>
      </c>
      <c r="D604" s="18" t="s">
        <v>78</v>
      </c>
      <c r="E604" s="29" t="n">
        <f aca="false">J603</f>
        <v>0</v>
      </c>
      <c r="F604" s="28"/>
      <c r="G604" s="30" t="n">
        <v>0</v>
      </c>
      <c r="H604" s="28"/>
      <c r="I604" s="28"/>
      <c r="J604" s="29" t="n">
        <f aca="false">E604+F604+G604-H604-I604</f>
        <v>0</v>
      </c>
      <c r="K604" s="29" t="n">
        <f aca="false">ROUND(E604+F604+G604-H604-I604-J604,1)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77</v>
      </c>
      <c r="D605" s="18" t="s">
        <v>78</v>
      </c>
      <c r="E605" s="29" t="n">
        <f aca="false">J604</f>
        <v>0</v>
      </c>
      <c r="F605" s="28"/>
      <c r="G605" s="30" t="n">
        <v>0</v>
      </c>
      <c r="H605" s="28"/>
      <c r="I605" s="28"/>
      <c r="J605" s="29" t="n">
        <f aca="false">E605+F605+G605-H605-I605</f>
        <v>0</v>
      </c>
      <c r="K605" s="29" t="n">
        <f aca="false">ROUND(E605+F605+G605-H605-I605-J605,1)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77</v>
      </c>
      <c r="D606" s="18" t="s">
        <v>78</v>
      </c>
      <c r="E606" s="29" t="n">
        <f aca="false">J605</f>
        <v>0</v>
      </c>
      <c r="F606" s="28"/>
      <c r="G606" s="30" t="n">
        <v>0</v>
      </c>
      <c r="H606" s="28"/>
      <c r="I606" s="28"/>
      <c r="J606" s="29" t="n">
        <f aca="false">E606+F606+G606-H606-I606</f>
        <v>0</v>
      </c>
      <c r="K606" s="29" t="n">
        <f aca="false">ROUND(E606+F606+G606-H606-I606-J606,1)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77</v>
      </c>
      <c r="D607" s="18" t="s">
        <v>78</v>
      </c>
      <c r="E607" s="29" t="n">
        <f aca="false">J606</f>
        <v>0</v>
      </c>
      <c r="F607" s="28"/>
      <c r="G607" s="30" t="n">
        <v>0</v>
      </c>
      <c r="H607" s="28"/>
      <c r="I607" s="28"/>
      <c r="J607" s="29" t="n">
        <f aca="false">E607+F607+G607-H607-I607</f>
        <v>0</v>
      </c>
      <c r="K607" s="29" t="n">
        <f aca="false">ROUND(E607+F607+G607-H607-I607-J607,1)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77</v>
      </c>
      <c r="D608" s="18" t="s">
        <v>78</v>
      </c>
      <c r="E608" s="29" t="n">
        <f aca="false">J607</f>
        <v>0</v>
      </c>
      <c r="F608" s="28"/>
      <c r="G608" s="30" t="n">
        <v>0</v>
      </c>
      <c r="H608" s="28"/>
      <c r="I608" s="28"/>
      <c r="J608" s="29" t="n">
        <f aca="false">E608+F608+G608-H608-I608</f>
        <v>0</v>
      </c>
      <c r="K608" s="29" t="n">
        <f aca="false">ROUND(E608+F608+G608-H608-I608-J608,1)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77</v>
      </c>
      <c r="D609" s="18" t="s">
        <v>78</v>
      </c>
      <c r="E609" s="29" t="n">
        <f aca="false">J608</f>
        <v>0</v>
      </c>
      <c r="F609" s="28"/>
      <c r="G609" s="30" t="n">
        <v>0</v>
      </c>
      <c r="H609" s="28"/>
      <c r="I609" s="28"/>
      <c r="J609" s="29" t="n">
        <f aca="false">E609+F609+G609-H609-I609</f>
        <v>0</v>
      </c>
      <c r="K609" s="29" t="n">
        <f aca="false">ROUND(E609+F609+G609-H609-I609-J609,1)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77</v>
      </c>
      <c r="D610" s="18" t="s">
        <v>78</v>
      </c>
      <c r="E610" s="29" t="n">
        <f aca="false">J609</f>
        <v>0</v>
      </c>
      <c r="F610" s="28"/>
      <c r="G610" s="30" t="n">
        <v>0</v>
      </c>
      <c r="H610" s="28"/>
      <c r="I610" s="28"/>
      <c r="J610" s="29" t="n">
        <f aca="false">E610+F610+G610-H610-I610</f>
        <v>0</v>
      </c>
      <c r="K610" s="29" t="n">
        <f aca="false">ROUND(E610+F610+G610-H610-I610-J610,1)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77</v>
      </c>
      <c r="D611" s="18" t="s">
        <v>78</v>
      </c>
      <c r="E611" s="29" t="n">
        <f aca="false">J610</f>
        <v>0</v>
      </c>
      <c r="F611" s="28"/>
      <c r="G611" s="30" t="n">
        <v>0</v>
      </c>
      <c r="H611" s="28"/>
      <c r="I611" s="28"/>
      <c r="J611" s="29" t="n">
        <f aca="false">E611+F611+G611-H611-I611</f>
        <v>0</v>
      </c>
      <c r="K611" s="29" t="n">
        <f aca="false">ROUND(E611+F611+G611-H611-I611-J611,1)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77</v>
      </c>
      <c r="D612" s="18" t="s">
        <v>78</v>
      </c>
      <c r="E612" s="29" t="n">
        <f aca="false">J611</f>
        <v>0</v>
      </c>
      <c r="F612" s="28"/>
      <c r="G612" s="30" t="n">
        <v>0</v>
      </c>
      <c r="H612" s="28"/>
      <c r="I612" s="28"/>
      <c r="J612" s="29" t="n">
        <f aca="false">E612+F612+G612-H612-I612</f>
        <v>0</v>
      </c>
      <c r="K612" s="29" t="n">
        <f aca="false">ROUND(E612+F612+G612-H612-I612-J612,1)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77</v>
      </c>
      <c r="D613" s="18" t="s">
        <v>78</v>
      </c>
      <c r="E613" s="29" t="n">
        <f aca="false">J612</f>
        <v>0</v>
      </c>
      <c r="F613" s="28"/>
      <c r="G613" s="30" t="n">
        <v>0</v>
      </c>
      <c r="H613" s="28"/>
      <c r="I613" s="28"/>
      <c r="J613" s="29" t="n">
        <f aca="false">E613+F613+G613-H613-I613</f>
        <v>0</v>
      </c>
      <c r="K613" s="29" t="n">
        <f aca="false">ROUND(E613+F613+G613-H613-I613-J613,1)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77</v>
      </c>
      <c r="D614" s="18" t="s">
        <v>78</v>
      </c>
      <c r="E614" s="29" t="n">
        <f aca="false">J613</f>
        <v>0</v>
      </c>
      <c r="F614" s="28"/>
      <c r="G614" s="30" t="n">
        <v>0</v>
      </c>
      <c r="H614" s="28"/>
      <c r="I614" s="28"/>
      <c r="J614" s="29" t="n">
        <f aca="false">E614+F614+G614-H614-I614</f>
        <v>0</v>
      </c>
      <c r="K614" s="29" t="n">
        <f aca="false">ROUND(E614+F614+G614-H614-I614-J614,1)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77</v>
      </c>
      <c r="D615" s="18" t="s">
        <v>78</v>
      </c>
      <c r="E615" s="29" t="n">
        <f aca="false">J614</f>
        <v>0</v>
      </c>
      <c r="F615" s="28"/>
      <c r="G615" s="30" t="n">
        <v>0</v>
      </c>
      <c r="H615" s="28"/>
      <c r="I615" s="28"/>
      <c r="J615" s="29" t="n">
        <f aca="false">E615+F615+G615-H615-I615</f>
        <v>0</v>
      </c>
      <c r="K615" s="29" t="n">
        <f aca="false">ROUND(E615+F615+G615-H615-I615-J615,1)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77</v>
      </c>
      <c r="D616" s="18" t="s">
        <v>78</v>
      </c>
      <c r="E616" s="29" t="n">
        <f aca="false">J615</f>
        <v>0</v>
      </c>
      <c r="F616" s="28"/>
      <c r="G616" s="30" t="n">
        <v>0</v>
      </c>
      <c r="H616" s="28"/>
      <c r="I616" s="28"/>
      <c r="J616" s="29" t="n">
        <f aca="false">E616+F616+G616-H616-I616</f>
        <v>0</v>
      </c>
      <c r="K616" s="29" t="n">
        <f aca="false">ROUND(E616+F616+G616-H616-I616-J616,1)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77</v>
      </c>
      <c r="D617" s="18" t="s">
        <v>78</v>
      </c>
      <c r="E617" s="29" t="n">
        <f aca="false">J616</f>
        <v>0</v>
      </c>
      <c r="F617" s="28"/>
      <c r="G617" s="30" t="n">
        <v>0</v>
      </c>
      <c r="H617" s="28"/>
      <c r="I617" s="28"/>
      <c r="J617" s="29" t="n">
        <f aca="false">E617+F617+G617-H617-I617</f>
        <v>0</v>
      </c>
      <c r="K617" s="29" t="n">
        <f aca="false">ROUND(E617+F617+G617-H617-I617-J617,1)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77</v>
      </c>
      <c r="D618" s="18" t="s">
        <v>78</v>
      </c>
      <c r="E618" s="29" t="n">
        <f aca="false">J617</f>
        <v>0</v>
      </c>
      <c r="F618" s="28"/>
      <c r="G618" s="30" t="n">
        <v>0</v>
      </c>
      <c r="H618" s="28"/>
      <c r="I618" s="28"/>
      <c r="J618" s="29" t="n">
        <f aca="false">E618+F618+G618-H618-I618</f>
        <v>0</v>
      </c>
      <c r="K618" s="29" t="n">
        <f aca="false">ROUND(E618+F618+G618-H618-I618-J618,1)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77</v>
      </c>
      <c r="D619" s="18" t="s">
        <v>78</v>
      </c>
      <c r="E619" s="29" t="n">
        <f aca="false">J618</f>
        <v>0</v>
      </c>
      <c r="F619" s="28"/>
      <c r="G619" s="30" t="n">
        <v>0</v>
      </c>
      <c r="H619" s="28"/>
      <c r="I619" s="28"/>
      <c r="J619" s="29" t="n">
        <f aca="false">E619+F619+G619-H619-I619</f>
        <v>0</v>
      </c>
      <c r="K619" s="29" t="n">
        <f aca="false">ROUND(E619+F619+G619-H619-I619-J619,1)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77</v>
      </c>
      <c r="D620" s="18" t="s">
        <v>78</v>
      </c>
      <c r="E620" s="29" t="n">
        <f aca="false">J619</f>
        <v>0</v>
      </c>
      <c r="F620" s="28"/>
      <c r="G620" s="30" t="n">
        <v>0</v>
      </c>
      <c r="H620" s="28"/>
      <c r="I620" s="28"/>
      <c r="J620" s="29" t="n">
        <f aca="false">E620+F620+G620-H620-I620</f>
        <v>0</v>
      </c>
      <c r="K620" s="29" t="n">
        <f aca="false">ROUND(E620+F620+G620-H620-I620-J620,1)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77</v>
      </c>
      <c r="D621" s="18" t="s">
        <v>78</v>
      </c>
      <c r="E621" s="29" t="n">
        <f aca="false">J620</f>
        <v>0</v>
      </c>
      <c r="F621" s="28"/>
      <c r="G621" s="30" t="n">
        <v>0</v>
      </c>
      <c r="H621" s="28"/>
      <c r="I621" s="28"/>
      <c r="J621" s="29" t="n">
        <f aca="false">E621+F621+G621-H621-I621</f>
        <v>0</v>
      </c>
      <c r="K621" s="29" t="n">
        <f aca="false">ROUND(E621+F621+G621-H621-I621-J621,1)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77</v>
      </c>
      <c r="D622" s="18" t="s">
        <v>78</v>
      </c>
      <c r="E622" s="29" t="n">
        <f aca="false">J621</f>
        <v>0</v>
      </c>
      <c r="F622" s="28"/>
      <c r="G622" s="30" t="n">
        <v>0</v>
      </c>
      <c r="H622" s="28"/>
      <c r="I622" s="28"/>
      <c r="J622" s="29" t="n">
        <f aca="false">E622+F622+G622-H622-I622</f>
        <v>0</v>
      </c>
      <c r="K622" s="29" t="n">
        <f aca="false">ROUND(E622+F622+G622-H622-I622-J622,1)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77</v>
      </c>
      <c r="D623" s="18" t="s">
        <v>78</v>
      </c>
      <c r="E623" s="29" t="n">
        <f aca="false">J622</f>
        <v>0</v>
      </c>
      <c r="F623" s="28"/>
      <c r="G623" s="30" t="n">
        <v>0</v>
      </c>
      <c r="H623" s="28"/>
      <c r="I623" s="28"/>
      <c r="J623" s="29" t="n">
        <f aca="false">E623+F623+G623-H623-I623</f>
        <v>0</v>
      </c>
      <c r="K623" s="29" t="n">
        <f aca="false">ROUND(E623+F623+G623-H623-I623-J623,1)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77</v>
      </c>
      <c r="D624" s="18" t="s">
        <v>78</v>
      </c>
      <c r="E624" s="29" t="n">
        <f aca="false">J623</f>
        <v>0</v>
      </c>
      <c r="F624" s="28"/>
      <c r="G624" s="30" t="n">
        <v>0</v>
      </c>
      <c r="H624" s="28"/>
      <c r="I624" s="28"/>
      <c r="J624" s="29" t="n">
        <f aca="false">E624+F624+G624-H624-I624</f>
        <v>0</v>
      </c>
      <c r="K624" s="29" t="n">
        <f aca="false">ROUND(E624+F624+G624-H624-I624-J624,1)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77</v>
      </c>
      <c r="D625" s="18" t="s">
        <v>78</v>
      </c>
      <c r="E625" s="29" t="n">
        <f aca="false">J624</f>
        <v>0</v>
      </c>
      <c r="F625" s="28"/>
      <c r="G625" s="30" t="n">
        <v>0</v>
      </c>
      <c r="H625" s="28"/>
      <c r="I625" s="28"/>
      <c r="J625" s="29" t="n">
        <f aca="false">E625+F625+G625-H625-I625</f>
        <v>0</v>
      </c>
      <c r="K625" s="29" t="n">
        <f aca="false">ROUND(E625+F625+G625-H625-I625-J625,1)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77</v>
      </c>
      <c r="D626" s="18" t="s">
        <v>78</v>
      </c>
      <c r="E626" s="29" t="n">
        <f aca="false">J625</f>
        <v>0</v>
      </c>
      <c r="F626" s="28"/>
      <c r="G626" s="30" t="n">
        <v>0</v>
      </c>
      <c r="H626" s="28"/>
      <c r="I626" s="28"/>
      <c r="J626" s="29" t="n">
        <f aca="false">E626+F626+G626-H626-I626</f>
        <v>0</v>
      </c>
      <c r="K626" s="29" t="n">
        <f aca="false">ROUND(E626+F626+G626-H626-I626-J626,1)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77</v>
      </c>
      <c r="D627" s="18" t="s">
        <v>78</v>
      </c>
      <c r="E627" s="29" t="n">
        <f aca="false">J626</f>
        <v>0</v>
      </c>
      <c r="F627" s="28"/>
      <c r="G627" s="30" t="n">
        <v>0</v>
      </c>
      <c r="H627" s="28"/>
      <c r="I627" s="28"/>
      <c r="J627" s="29" t="n">
        <f aca="false">E627+F627+G627-H627-I627</f>
        <v>0</v>
      </c>
      <c r="K627" s="29" t="n">
        <f aca="false">ROUND(E627+F627+G627-H627-I627-J627,1)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77</v>
      </c>
      <c r="D628" s="18" t="s">
        <v>78</v>
      </c>
      <c r="E628" s="29" t="n">
        <f aca="false">J627</f>
        <v>0</v>
      </c>
      <c r="F628" s="28"/>
      <c r="G628" s="30" t="n">
        <v>0</v>
      </c>
      <c r="H628" s="28"/>
      <c r="I628" s="28"/>
      <c r="J628" s="29" t="n">
        <f aca="false">E628+F628+G628-H628-I628</f>
        <v>0</v>
      </c>
      <c r="K628" s="29" t="n">
        <f aca="false">ROUND(E628+F628+G628-H628-I628-J628,1)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77</v>
      </c>
      <c r="D629" s="18" t="s">
        <v>78</v>
      </c>
      <c r="E629" s="29" t="n">
        <f aca="false">J628</f>
        <v>0</v>
      </c>
      <c r="F629" s="28"/>
      <c r="G629" s="30" t="n">
        <v>0</v>
      </c>
      <c r="H629" s="28"/>
      <c r="I629" s="28"/>
      <c r="J629" s="29" t="n">
        <f aca="false">E629+F629+G629-H629-I629</f>
        <v>0</v>
      </c>
      <c r="K629" s="29" t="n">
        <f aca="false">ROUND(E629+F629+G629-H629-I629-J629,1)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77</v>
      </c>
      <c r="D630" s="18" t="s">
        <v>78</v>
      </c>
      <c r="E630" s="29" t="n">
        <f aca="false">J629</f>
        <v>0</v>
      </c>
      <c r="F630" s="28"/>
      <c r="G630" s="30" t="n">
        <v>0</v>
      </c>
      <c r="H630" s="28"/>
      <c r="I630" s="28"/>
      <c r="J630" s="29" t="n">
        <f aca="false">E630+F630+G630-H630-I630</f>
        <v>0</v>
      </c>
      <c r="K630" s="29" t="n">
        <f aca="false">ROUND(E630+F630+G630-H630-I630-J630,1)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77</v>
      </c>
      <c r="D631" s="18" t="s">
        <v>78</v>
      </c>
      <c r="E631" s="29" t="n">
        <f aca="false">J630</f>
        <v>0</v>
      </c>
      <c r="F631" s="28"/>
      <c r="G631" s="30" t="n">
        <v>0</v>
      </c>
      <c r="H631" s="28"/>
      <c r="I631" s="28"/>
      <c r="J631" s="29" t="n">
        <f aca="false">E631+F631+G631-H631-I631</f>
        <v>0</v>
      </c>
      <c r="K631" s="29" t="n">
        <f aca="false">ROUND(E631+F631+G631-H631-I631-J631,1)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77</v>
      </c>
      <c r="D632" s="18" t="s">
        <v>78</v>
      </c>
      <c r="E632" s="29" t="n">
        <f aca="false">J631</f>
        <v>0</v>
      </c>
      <c r="F632" s="28"/>
      <c r="G632" s="30" t="n">
        <v>0</v>
      </c>
      <c r="H632" s="28"/>
      <c r="I632" s="28"/>
      <c r="J632" s="29" t="n">
        <f aca="false">E632+F632+G632-H632-I632</f>
        <v>0</v>
      </c>
      <c r="K632" s="29" t="n">
        <f aca="false">ROUND(E632+F632+G632-H632-I632-J632,1)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77</v>
      </c>
      <c r="D633" s="18" t="s">
        <v>78</v>
      </c>
      <c r="E633" s="29" t="n">
        <f aca="false">J632</f>
        <v>0</v>
      </c>
      <c r="F633" s="28"/>
      <c r="G633" s="30" t="n">
        <v>0</v>
      </c>
      <c r="H633" s="28"/>
      <c r="I633" s="28"/>
      <c r="J633" s="29" t="n">
        <f aca="false">E633+F633+G633-H633-I633</f>
        <v>0</v>
      </c>
      <c r="K633" s="29" t="n">
        <f aca="false">ROUND(E633+F633+G633-H633-I633-J633,1)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77</v>
      </c>
      <c r="D634" s="18" t="s">
        <v>78</v>
      </c>
      <c r="E634" s="29" t="n">
        <f aca="false">J633</f>
        <v>0</v>
      </c>
      <c r="F634" s="28"/>
      <c r="G634" s="30" t="n">
        <v>0</v>
      </c>
      <c r="H634" s="28"/>
      <c r="I634" s="28"/>
      <c r="J634" s="29" t="n">
        <f aca="false">E634+F634+G634-H634-I634</f>
        <v>0</v>
      </c>
      <c r="K634" s="29" t="n">
        <f aca="false">ROUND(E634+F634+G634-H634-I634-J634,1)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77</v>
      </c>
      <c r="D635" s="18" t="s">
        <v>78</v>
      </c>
      <c r="E635" s="29" t="n">
        <f aca="false">J634</f>
        <v>0</v>
      </c>
      <c r="F635" s="28"/>
      <c r="G635" s="30" t="n">
        <v>0</v>
      </c>
      <c r="H635" s="28"/>
      <c r="I635" s="28"/>
      <c r="J635" s="29" t="n">
        <f aca="false">E635+F635+G635-H635-I635</f>
        <v>0</v>
      </c>
      <c r="K635" s="29" t="n">
        <f aca="false">ROUND(E635+F635+G635-H635-I635-J635,1)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77</v>
      </c>
      <c r="D636" s="18" t="s">
        <v>78</v>
      </c>
      <c r="E636" s="29" t="n">
        <f aca="false">J635</f>
        <v>0</v>
      </c>
      <c r="F636" s="28"/>
      <c r="G636" s="30" t="n">
        <v>0</v>
      </c>
      <c r="H636" s="28"/>
      <c r="I636" s="28"/>
      <c r="J636" s="29" t="n">
        <f aca="false">E636+F636+G636-H636-I636</f>
        <v>0</v>
      </c>
      <c r="K636" s="29" t="n">
        <f aca="false">ROUND(E636+F636+G636-H636-I636-J636,1)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77</v>
      </c>
      <c r="D637" s="18" t="s">
        <v>78</v>
      </c>
      <c r="E637" s="29" t="n">
        <f aca="false">J636</f>
        <v>0</v>
      </c>
      <c r="F637" s="28"/>
      <c r="G637" s="30" t="n">
        <v>0</v>
      </c>
      <c r="H637" s="28"/>
      <c r="I637" s="28"/>
      <c r="J637" s="29" t="n">
        <f aca="false">E637+F637+G637-H637-I637</f>
        <v>0</v>
      </c>
      <c r="K637" s="29" t="n">
        <f aca="false">ROUND(E637+F637+G637-H637-I637-J637,1)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77</v>
      </c>
      <c r="D638" s="18" t="s">
        <v>78</v>
      </c>
      <c r="E638" s="29" t="n">
        <f aca="false">J637</f>
        <v>0</v>
      </c>
      <c r="F638" s="28"/>
      <c r="G638" s="30" t="n">
        <v>0</v>
      </c>
      <c r="H638" s="28"/>
      <c r="I638" s="28"/>
      <c r="J638" s="29" t="n">
        <f aca="false">E638+F638+G638-H638-I638</f>
        <v>0</v>
      </c>
      <c r="K638" s="29" t="n">
        <f aca="false">ROUND(E638+F638+G638-H638-I638-J638,1)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77</v>
      </c>
      <c r="D639" s="18" t="s">
        <v>78</v>
      </c>
      <c r="E639" s="29" t="n">
        <f aca="false">J638</f>
        <v>0</v>
      </c>
      <c r="F639" s="28"/>
      <c r="G639" s="30" t="n">
        <v>0</v>
      </c>
      <c r="H639" s="28"/>
      <c r="I639" s="28"/>
      <c r="J639" s="29" t="n">
        <f aca="false">E639+F639+G639-H639-I639</f>
        <v>0</v>
      </c>
      <c r="K639" s="29" t="n">
        <f aca="false">ROUND(E639+F639+G639-H639-I639-J639,1)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77</v>
      </c>
      <c r="D640" s="18" t="s">
        <v>78</v>
      </c>
      <c r="E640" s="29" t="n">
        <f aca="false">J639</f>
        <v>0</v>
      </c>
      <c r="F640" s="28"/>
      <c r="G640" s="30" t="n">
        <v>0</v>
      </c>
      <c r="H640" s="28"/>
      <c r="I640" s="28"/>
      <c r="J640" s="29" t="n">
        <f aca="false">E640+F640+G640-H640-I640</f>
        <v>0</v>
      </c>
      <c r="K640" s="29" t="n">
        <f aca="false">ROUND(E640+F640+G640-H640-I640-J640,1)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77</v>
      </c>
      <c r="D641" s="18" t="s">
        <v>78</v>
      </c>
      <c r="E641" s="29" t="n">
        <f aca="false">J640</f>
        <v>0</v>
      </c>
      <c r="F641" s="28"/>
      <c r="G641" s="30" t="n">
        <v>0</v>
      </c>
      <c r="H641" s="28"/>
      <c r="I641" s="28"/>
      <c r="J641" s="29" t="n">
        <f aca="false">E641+F641+G641-H641-I641</f>
        <v>0</v>
      </c>
      <c r="K641" s="29" t="n">
        <f aca="false">ROUND(E641+F641+G641-H641-I641-J641,1)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77</v>
      </c>
      <c r="D642" s="18" t="s">
        <v>78</v>
      </c>
      <c r="E642" s="29" t="n">
        <f aca="false">J641</f>
        <v>0</v>
      </c>
      <c r="F642" s="28"/>
      <c r="G642" s="30" t="n">
        <v>0</v>
      </c>
      <c r="H642" s="28"/>
      <c r="I642" s="28"/>
      <c r="J642" s="29" t="n">
        <f aca="false">E642+F642+G642-H642-I642</f>
        <v>0</v>
      </c>
      <c r="K642" s="29" t="n">
        <f aca="false">ROUND(E642+F642+G642-H642-I642-J642,1)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77</v>
      </c>
      <c r="D643" s="18" t="s">
        <v>78</v>
      </c>
      <c r="E643" s="29" t="n">
        <f aca="false">J642</f>
        <v>0</v>
      </c>
      <c r="F643" s="28"/>
      <c r="G643" s="30" t="n">
        <v>0</v>
      </c>
      <c r="H643" s="28"/>
      <c r="I643" s="28"/>
      <c r="J643" s="29" t="n">
        <f aca="false">E643+F643+G643-H643-I643</f>
        <v>0</v>
      </c>
      <c r="K643" s="29" t="n">
        <f aca="false">ROUND(E643+F643+G643-H643-I643-J643,1)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77</v>
      </c>
      <c r="D644" s="18" t="s">
        <v>78</v>
      </c>
      <c r="E644" s="29" t="n">
        <f aca="false">J643</f>
        <v>0</v>
      </c>
      <c r="F644" s="28"/>
      <c r="G644" s="30" t="n">
        <v>0</v>
      </c>
      <c r="H644" s="28"/>
      <c r="I644" s="28"/>
      <c r="J644" s="29" t="n">
        <f aca="false">E644+F644+G644-H644-I644</f>
        <v>0</v>
      </c>
      <c r="K644" s="29" t="n">
        <f aca="false">ROUND(E644+F644+G644-H644-I644-J644,1)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77</v>
      </c>
      <c r="D645" s="18" t="s">
        <v>78</v>
      </c>
      <c r="E645" s="29" t="n">
        <f aca="false">J644</f>
        <v>0</v>
      </c>
      <c r="F645" s="28"/>
      <c r="G645" s="30" t="n">
        <v>0</v>
      </c>
      <c r="H645" s="28"/>
      <c r="I645" s="28"/>
      <c r="J645" s="29" t="n">
        <f aca="false">E645+F645+G645-H645-I645</f>
        <v>0</v>
      </c>
      <c r="K645" s="29" t="n">
        <f aca="false">ROUND(E645+F645+G645-H645-I645-J645,1)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77</v>
      </c>
      <c r="D646" s="18" t="s">
        <v>78</v>
      </c>
      <c r="E646" s="29" t="n">
        <f aca="false">J645</f>
        <v>0</v>
      </c>
      <c r="F646" s="28"/>
      <c r="G646" s="30" t="n">
        <v>0</v>
      </c>
      <c r="H646" s="28"/>
      <c r="I646" s="28"/>
      <c r="J646" s="29" t="n">
        <f aca="false">E646+F646+G646-H646-I646</f>
        <v>0</v>
      </c>
      <c r="K646" s="29" t="n">
        <f aca="false">ROUND(E646+F646+G646-H646-I646-J646,1)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77</v>
      </c>
      <c r="D647" s="18" t="s">
        <v>78</v>
      </c>
      <c r="E647" s="29" t="n">
        <f aca="false">J646</f>
        <v>0</v>
      </c>
      <c r="F647" s="28"/>
      <c r="G647" s="30" t="n">
        <v>0</v>
      </c>
      <c r="H647" s="28"/>
      <c r="I647" s="28"/>
      <c r="J647" s="29" t="n">
        <f aca="false">E647+F647+G647-H647-I647</f>
        <v>0</v>
      </c>
      <c r="K647" s="29" t="n">
        <f aca="false">ROUND(E647+F647+G647-H647-I647-J647,1)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77</v>
      </c>
      <c r="D648" s="18" t="s">
        <v>78</v>
      </c>
      <c r="E648" s="29" t="n">
        <f aca="false">J647</f>
        <v>0</v>
      </c>
      <c r="F648" s="28"/>
      <c r="G648" s="30" t="n">
        <v>0</v>
      </c>
      <c r="H648" s="28"/>
      <c r="I648" s="28"/>
      <c r="J648" s="29" t="n">
        <f aca="false">E648+F648+G648-H648-I648</f>
        <v>0</v>
      </c>
      <c r="K648" s="29" t="n">
        <f aca="false">ROUND(E648+F648+G648-H648-I648-J648,1)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77</v>
      </c>
      <c r="D649" s="18" t="s">
        <v>78</v>
      </c>
      <c r="E649" s="29" t="n">
        <f aca="false">J648</f>
        <v>0</v>
      </c>
      <c r="F649" s="28"/>
      <c r="G649" s="30" t="n">
        <v>0</v>
      </c>
      <c r="H649" s="28"/>
      <c r="I649" s="28"/>
      <c r="J649" s="29" t="n">
        <f aca="false">E649+F649+G649-H649-I649</f>
        <v>0</v>
      </c>
      <c r="K649" s="29" t="n">
        <f aca="false">ROUND(E649+F649+G649-H649-I649-J649,1)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77</v>
      </c>
      <c r="D650" s="18" t="s">
        <v>78</v>
      </c>
      <c r="E650" s="29" t="n">
        <f aca="false">J649</f>
        <v>0</v>
      </c>
      <c r="F650" s="28"/>
      <c r="G650" s="30" t="n">
        <v>0</v>
      </c>
      <c r="H650" s="28"/>
      <c r="I650" s="28"/>
      <c r="J650" s="29" t="n">
        <f aca="false">E650+F650+G650-H650-I650</f>
        <v>0</v>
      </c>
      <c r="K650" s="29" t="n">
        <f aca="false">ROUND(E650+F650+G650-H650-I650-J650,1)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77</v>
      </c>
      <c r="D651" s="18" t="s">
        <v>78</v>
      </c>
      <c r="E651" s="29" t="n">
        <f aca="false">J650</f>
        <v>0</v>
      </c>
      <c r="F651" s="28"/>
      <c r="G651" s="30" t="n">
        <v>0</v>
      </c>
      <c r="H651" s="28"/>
      <c r="I651" s="28"/>
      <c r="J651" s="29" t="n">
        <f aca="false">E651+F651+G651-H651-I651</f>
        <v>0</v>
      </c>
      <c r="K651" s="29" t="n">
        <f aca="false">ROUND(E651+F651+G651-H651-I651-J651,1)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77</v>
      </c>
      <c r="D652" s="18" t="s">
        <v>78</v>
      </c>
      <c r="E652" s="29" t="n">
        <f aca="false">J651</f>
        <v>0</v>
      </c>
      <c r="F652" s="28"/>
      <c r="G652" s="30" t="n">
        <v>0</v>
      </c>
      <c r="H652" s="28"/>
      <c r="I652" s="28"/>
      <c r="J652" s="29" t="n">
        <f aca="false">E652+F652+G652-H652-I652</f>
        <v>0</v>
      </c>
      <c r="K652" s="29" t="n">
        <f aca="false">ROUND(E652+F652+G652-H652-I652-J652,1)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77</v>
      </c>
      <c r="D653" s="18" t="s">
        <v>78</v>
      </c>
      <c r="E653" s="29" t="n">
        <f aca="false">J652</f>
        <v>0</v>
      </c>
      <c r="F653" s="28"/>
      <c r="G653" s="30" t="n">
        <v>0</v>
      </c>
      <c r="H653" s="28"/>
      <c r="I653" s="28"/>
      <c r="J653" s="29" t="n">
        <f aca="false">E653+F653+G653-H653-I653</f>
        <v>0</v>
      </c>
      <c r="K653" s="29" t="n">
        <f aca="false">ROUND(E653+F653+G653-H653-I653-J653,1)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77</v>
      </c>
      <c r="D654" s="18" t="s">
        <v>78</v>
      </c>
      <c r="E654" s="29" t="n">
        <f aca="false">J653</f>
        <v>0</v>
      </c>
      <c r="F654" s="28"/>
      <c r="G654" s="30" t="n">
        <v>0</v>
      </c>
      <c r="H654" s="28"/>
      <c r="I654" s="28"/>
      <c r="J654" s="29" t="n">
        <f aca="false">E654+F654+G654-H654-I654</f>
        <v>0</v>
      </c>
      <c r="K654" s="29" t="n">
        <f aca="false">ROUND(E654+F654+G654-H654-I654-J654,1)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77</v>
      </c>
      <c r="D655" s="18" t="s">
        <v>78</v>
      </c>
      <c r="E655" s="29" t="n">
        <f aca="false">J654</f>
        <v>0</v>
      </c>
      <c r="F655" s="28"/>
      <c r="G655" s="30" t="n">
        <v>0</v>
      </c>
      <c r="H655" s="28"/>
      <c r="I655" s="28"/>
      <c r="J655" s="29" t="n">
        <f aca="false">E655+F655+G655-H655-I655</f>
        <v>0</v>
      </c>
      <c r="K655" s="29" t="n">
        <f aca="false">ROUND(E655+F655+G655-H655-I655-J655,1)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77</v>
      </c>
      <c r="D656" s="18" t="s">
        <v>78</v>
      </c>
      <c r="E656" s="29" t="n">
        <f aca="false">J655</f>
        <v>0</v>
      </c>
      <c r="F656" s="28"/>
      <c r="G656" s="30" t="n">
        <v>0</v>
      </c>
      <c r="H656" s="28"/>
      <c r="I656" s="28"/>
      <c r="J656" s="29" t="n">
        <f aca="false">E656+F656+G656-H656-I656</f>
        <v>0</v>
      </c>
      <c r="K656" s="29" t="n">
        <f aca="false">ROUND(E656+F656+G656-H656-I656-J656,1)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77</v>
      </c>
      <c r="D657" s="18" t="s">
        <v>78</v>
      </c>
      <c r="E657" s="29" t="n">
        <f aca="false">J656</f>
        <v>0</v>
      </c>
      <c r="F657" s="28"/>
      <c r="G657" s="30" t="n">
        <v>0</v>
      </c>
      <c r="H657" s="28"/>
      <c r="I657" s="28"/>
      <c r="J657" s="29" t="n">
        <f aca="false">E657+F657+G657-H657-I657</f>
        <v>0</v>
      </c>
      <c r="K657" s="29" t="n">
        <f aca="false">ROUND(E657+F657+G657-H657-I657-J657,1)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77</v>
      </c>
      <c r="D658" s="18" t="s">
        <v>78</v>
      </c>
      <c r="E658" s="29" t="n">
        <f aca="false">J657</f>
        <v>0</v>
      </c>
      <c r="F658" s="28"/>
      <c r="G658" s="30" t="n">
        <v>0</v>
      </c>
      <c r="H658" s="28"/>
      <c r="I658" s="28"/>
      <c r="J658" s="29" t="n">
        <f aca="false">E658+F658+G658-H658-I658</f>
        <v>0</v>
      </c>
      <c r="K658" s="29" t="n">
        <f aca="false">ROUND(E658+F658+G658-H658-I658-J658,1)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77</v>
      </c>
      <c r="D659" s="18" t="s">
        <v>78</v>
      </c>
      <c r="E659" s="29" t="n">
        <f aca="false">J658</f>
        <v>0</v>
      </c>
      <c r="F659" s="28"/>
      <c r="G659" s="30" t="n">
        <v>0</v>
      </c>
      <c r="H659" s="28"/>
      <c r="I659" s="28"/>
      <c r="J659" s="29" t="n">
        <f aca="false">E659+F659+G659-H659-I659</f>
        <v>0</v>
      </c>
      <c r="K659" s="29" t="n">
        <f aca="false">ROUND(E659+F659+G659-H659-I659-J659,1)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77</v>
      </c>
      <c r="D660" s="18" t="s">
        <v>78</v>
      </c>
      <c r="E660" s="29" t="n">
        <f aca="false">J659</f>
        <v>0</v>
      </c>
      <c r="F660" s="28"/>
      <c r="G660" s="30" t="n">
        <v>0</v>
      </c>
      <c r="H660" s="28"/>
      <c r="I660" s="28"/>
      <c r="J660" s="29" t="n">
        <f aca="false">E660+F660+G660-H660-I660</f>
        <v>0</v>
      </c>
      <c r="K660" s="29" t="n">
        <f aca="false">ROUND(E660+F660+G660-H660-I660-J660,1)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77</v>
      </c>
      <c r="D661" s="18" t="s">
        <v>78</v>
      </c>
      <c r="E661" s="29" t="n">
        <f aca="false">J660</f>
        <v>0</v>
      </c>
      <c r="F661" s="28"/>
      <c r="G661" s="30" t="n">
        <v>0</v>
      </c>
      <c r="H661" s="28"/>
      <c r="I661" s="28"/>
      <c r="J661" s="29" t="n">
        <f aca="false">E661+F661+G661-H661-I661</f>
        <v>0</v>
      </c>
      <c r="K661" s="29" t="n">
        <f aca="false">ROUND(E661+F661+G661-H661-I661-J661,1)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77</v>
      </c>
      <c r="D662" s="18" t="s">
        <v>78</v>
      </c>
      <c r="E662" s="29" t="n">
        <f aca="false">J661</f>
        <v>0</v>
      </c>
      <c r="F662" s="28"/>
      <c r="G662" s="30" t="n">
        <v>0</v>
      </c>
      <c r="H662" s="28"/>
      <c r="I662" s="28"/>
      <c r="J662" s="29" t="n">
        <f aca="false">E662+F662+G662-H662-I662</f>
        <v>0</v>
      </c>
      <c r="K662" s="29" t="n">
        <f aca="false">ROUND(E662+F662+G662-H662-I662-J662,1)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77</v>
      </c>
      <c r="D663" s="18" t="s">
        <v>78</v>
      </c>
      <c r="E663" s="29" t="n">
        <f aca="false">J662</f>
        <v>0</v>
      </c>
      <c r="F663" s="28"/>
      <c r="G663" s="30" t="n">
        <v>0</v>
      </c>
      <c r="H663" s="28"/>
      <c r="I663" s="28"/>
      <c r="J663" s="29" t="n">
        <f aca="false">E663+F663+G663-H663-I663</f>
        <v>0</v>
      </c>
      <c r="K663" s="29" t="n">
        <f aca="false">ROUND(E663+F663+G663-H663-I663-J663,1)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77</v>
      </c>
      <c r="D664" s="18" t="s">
        <v>78</v>
      </c>
      <c r="E664" s="29" t="n">
        <f aca="false">J663</f>
        <v>0</v>
      </c>
      <c r="F664" s="28"/>
      <c r="G664" s="30" t="n">
        <v>0</v>
      </c>
      <c r="H664" s="28"/>
      <c r="I664" s="28"/>
      <c r="J664" s="29" t="n">
        <f aca="false">E664+F664+G664-H664-I664</f>
        <v>0</v>
      </c>
      <c r="K664" s="29" t="n">
        <f aca="false">ROUND(E664+F664+G664-H664-I664-J664,1)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77</v>
      </c>
      <c r="D665" s="18" t="s">
        <v>78</v>
      </c>
      <c r="E665" s="29" t="n">
        <f aca="false">J664</f>
        <v>0</v>
      </c>
      <c r="F665" s="28"/>
      <c r="G665" s="30" t="n">
        <v>0</v>
      </c>
      <c r="H665" s="28"/>
      <c r="I665" s="28"/>
      <c r="J665" s="29" t="n">
        <f aca="false">E665+F665+G665-H665-I665</f>
        <v>0</v>
      </c>
      <c r="K665" s="29" t="n">
        <f aca="false">ROUND(E665+F665+G665-H665-I665-J665,1)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77</v>
      </c>
      <c r="D666" s="18" t="s">
        <v>78</v>
      </c>
      <c r="E666" s="29" t="n">
        <f aca="false">J665</f>
        <v>0</v>
      </c>
      <c r="F666" s="28"/>
      <c r="G666" s="30" t="n">
        <v>0</v>
      </c>
      <c r="H666" s="28"/>
      <c r="I666" s="28"/>
      <c r="J666" s="29" t="n">
        <f aca="false">E666+F666+G666-H666-I666</f>
        <v>0</v>
      </c>
      <c r="K666" s="29" t="n">
        <f aca="false">ROUND(E666+F666+G666-H666-I666-J666,1)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77</v>
      </c>
      <c r="D667" s="18" t="s">
        <v>78</v>
      </c>
      <c r="E667" s="29" t="n">
        <f aca="false">J666</f>
        <v>0</v>
      </c>
      <c r="F667" s="28"/>
      <c r="G667" s="30" t="n">
        <v>0</v>
      </c>
      <c r="H667" s="28"/>
      <c r="I667" s="28"/>
      <c r="J667" s="29" t="n">
        <f aca="false">E667+F667+G667-H667-I667</f>
        <v>0</v>
      </c>
      <c r="K667" s="29" t="n">
        <f aca="false">ROUND(E667+F667+G667-H667-I667-J667,1)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77</v>
      </c>
      <c r="D668" s="18" t="s">
        <v>78</v>
      </c>
      <c r="E668" s="29" t="n">
        <f aca="false">J667</f>
        <v>0</v>
      </c>
      <c r="F668" s="28"/>
      <c r="G668" s="30" t="n">
        <v>0</v>
      </c>
      <c r="H668" s="28"/>
      <c r="I668" s="28"/>
      <c r="J668" s="29" t="n">
        <f aca="false">E668+F668+G668-H668-I668</f>
        <v>0</v>
      </c>
      <c r="K668" s="29" t="n">
        <f aca="false">ROUND(E668+F668+G668-H668-I668-J668,1)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77</v>
      </c>
      <c r="D669" s="18" t="s">
        <v>78</v>
      </c>
      <c r="E669" s="29" t="n">
        <f aca="false">J668</f>
        <v>0</v>
      </c>
      <c r="F669" s="28"/>
      <c r="G669" s="30" t="n">
        <v>0</v>
      </c>
      <c r="H669" s="28"/>
      <c r="I669" s="28"/>
      <c r="J669" s="29" t="n">
        <f aca="false">E669+F669+G669-H669-I669</f>
        <v>0</v>
      </c>
      <c r="K669" s="29" t="n">
        <f aca="false">ROUND(E669+F669+G669-H669-I669-J669,1)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77</v>
      </c>
      <c r="D670" s="18" t="s">
        <v>78</v>
      </c>
      <c r="E670" s="29" t="n">
        <f aca="false">J669</f>
        <v>0</v>
      </c>
      <c r="F670" s="28"/>
      <c r="G670" s="30" t="n">
        <v>0</v>
      </c>
      <c r="H670" s="28"/>
      <c r="I670" s="28"/>
      <c r="J670" s="29" t="n">
        <f aca="false">E670+F670+G670-H670-I670</f>
        <v>0</v>
      </c>
      <c r="K670" s="29" t="n">
        <f aca="false">ROUND(E670+F670+G670-H670-I670-J670,1)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77</v>
      </c>
      <c r="D671" s="18" t="s">
        <v>78</v>
      </c>
      <c r="E671" s="29" t="n">
        <f aca="false">J670</f>
        <v>0</v>
      </c>
      <c r="F671" s="28"/>
      <c r="G671" s="30" t="n">
        <v>0</v>
      </c>
      <c r="H671" s="28"/>
      <c r="I671" s="28"/>
      <c r="J671" s="29" t="n">
        <f aca="false">E671+F671+G671-H671-I671</f>
        <v>0</v>
      </c>
      <c r="K671" s="29" t="n">
        <f aca="false">ROUND(E671+F671+G671-H671-I671-J671,1)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77</v>
      </c>
      <c r="D672" s="18" t="s">
        <v>78</v>
      </c>
      <c r="E672" s="29" t="n">
        <f aca="false">J671</f>
        <v>0</v>
      </c>
      <c r="F672" s="28"/>
      <c r="G672" s="30" t="n">
        <v>0</v>
      </c>
      <c r="H672" s="28"/>
      <c r="I672" s="28"/>
      <c r="J672" s="29" t="n">
        <f aca="false">E672+F672+G672-H672-I672</f>
        <v>0</v>
      </c>
      <c r="K672" s="29" t="n">
        <f aca="false">ROUND(E672+F672+G672-H672-I672-J672,1)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77</v>
      </c>
      <c r="D673" s="18" t="s">
        <v>78</v>
      </c>
      <c r="E673" s="29" t="n">
        <f aca="false">J672</f>
        <v>0</v>
      </c>
      <c r="F673" s="28"/>
      <c r="G673" s="30" t="n">
        <v>0</v>
      </c>
      <c r="H673" s="28"/>
      <c r="I673" s="28"/>
      <c r="J673" s="29" t="n">
        <f aca="false">E673+F673+G673-H673-I673</f>
        <v>0</v>
      </c>
      <c r="K673" s="29" t="n">
        <f aca="false">ROUND(E673+F673+G673-H673-I673-J673,1)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77</v>
      </c>
      <c r="D674" s="18" t="s">
        <v>78</v>
      </c>
      <c r="E674" s="29" t="n">
        <f aca="false">J673</f>
        <v>0</v>
      </c>
      <c r="F674" s="28"/>
      <c r="G674" s="30" t="n">
        <v>0</v>
      </c>
      <c r="H674" s="28"/>
      <c r="I674" s="28"/>
      <c r="J674" s="29" t="n">
        <f aca="false">E674+F674+G674-H674-I674</f>
        <v>0</v>
      </c>
      <c r="K674" s="29" t="n">
        <f aca="false">ROUND(E674+F674+G674-H674-I674-J674,1)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77</v>
      </c>
      <c r="D675" s="18" t="s">
        <v>78</v>
      </c>
      <c r="E675" s="29" t="n">
        <f aca="false">J674</f>
        <v>0</v>
      </c>
      <c r="F675" s="28"/>
      <c r="G675" s="30" t="n">
        <v>0</v>
      </c>
      <c r="H675" s="28"/>
      <c r="I675" s="28"/>
      <c r="J675" s="29" t="n">
        <f aca="false">E675+F675+G675-H675-I675</f>
        <v>0</v>
      </c>
      <c r="K675" s="29" t="n">
        <f aca="false">ROUND(E675+F675+G675-H675-I675-J675,1)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77</v>
      </c>
      <c r="D676" s="18" t="s">
        <v>78</v>
      </c>
      <c r="E676" s="29" t="n">
        <f aca="false">J675</f>
        <v>0</v>
      </c>
      <c r="F676" s="28"/>
      <c r="G676" s="30" t="n">
        <v>0</v>
      </c>
      <c r="H676" s="28"/>
      <c r="I676" s="28"/>
      <c r="J676" s="29" t="n">
        <f aca="false">E676+F676+G676-H676-I676</f>
        <v>0</v>
      </c>
      <c r="K676" s="29" t="n">
        <f aca="false">ROUND(E676+F676+G676-H676-I676-J676,1)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77</v>
      </c>
      <c r="D677" s="18" t="s">
        <v>78</v>
      </c>
      <c r="E677" s="29" t="n">
        <f aca="false">J676</f>
        <v>0</v>
      </c>
      <c r="F677" s="28"/>
      <c r="G677" s="30" t="n">
        <v>0</v>
      </c>
      <c r="H677" s="28"/>
      <c r="I677" s="28"/>
      <c r="J677" s="29" t="n">
        <f aca="false">E677+F677+G677-H677-I677</f>
        <v>0</v>
      </c>
      <c r="K677" s="29" t="n">
        <f aca="false">ROUND(E677+F677+G677-H677-I677-J677,1)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77</v>
      </c>
      <c r="D678" s="18" t="s">
        <v>78</v>
      </c>
      <c r="E678" s="29" t="n">
        <f aca="false">J677</f>
        <v>0</v>
      </c>
      <c r="F678" s="28"/>
      <c r="G678" s="30" t="n">
        <v>0</v>
      </c>
      <c r="H678" s="28"/>
      <c r="I678" s="28"/>
      <c r="J678" s="29" t="n">
        <f aca="false">E678+F678+G678-H678-I678</f>
        <v>0</v>
      </c>
      <c r="K678" s="29" t="n">
        <f aca="false">ROUND(E678+F678+G678-H678-I678-J678,1)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77</v>
      </c>
      <c r="D679" s="18" t="s">
        <v>78</v>
      </c>
      <c r="E679" s="29" t="n">
        <f aca="false">J678</f>
        <v>0</v>
      </c>
      <c r="F679" s="28"/>
      <c r="G679" s="30" t="n">
        <v>0</v>
      </c>
      <c r="H679" s="28"/>
      <c r="I679" s="28"/>
      <c r="J679" s="29" t="n">
        <f aca="false">E679+F679+G679-H679-I679</f>
        <v>0</v>
      </c>
      <c r="K679" s="29" t="n">
        <f aca="false">ROUND(E679+F679+G679-H679-I679-J679,1)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77</v>
      </c>
      <c r="D680" s="18" t="s">
        <v>78</v>
      </c>
      <c r="E680" s="29" t="n">
        <f aca="false">J679</f>
        <v>0</v>
      </c>
      <c r="F680" s="28"/>
      <c r="G680" s="30" t="n">
        <v>0</v>
      </c>
      <c r="H680" s="28"/>
      <c r="I680" s="28"/>
      <c r="J680" s="29" t="n">
        <f aca="false">E680+F680+G680-H680-I680</f>
        <v>0</v>
      </c>
      <c r="K680" s="29" t="n">
        <f aca="false">ROUND(E680+F680+G680-H680-I680-J680,1)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77</v>
      </c>
      <c r="D681" s="18" t="s">
        <v>78</v>
      </c>
      <c r="E681" s="29" t="n">
        <f aca="false">J680</f>
        <v>0</v>
      </c>
      <c r="F681" s="28"/>
      <c r="G681" s="30" t="n">
        <v>0</v>
      </c>
      <c r="H681" s="28"/>
      <c r="I681" s="28"/>
      <c r="J681" s="29" t="n">
        <f aca="false">E681+F681+G681-H681-I681</f>
        <v>0</v>
      </c>
      <c r="K681" s="29" t="n">
        <f aca="false">ROUND(E681+F681+G681-H681-I681-J681,1)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77</v>
      </c>
      <c r="D682" s="18" t="s">
        <v>78</v>
      </c>
      <c r="E682" s="29" t="n">
        <f aca="false">J681</f>
        <v>0</v>
      </c>
      <c r="F682" s="28"/>
      <c r="G682" s="30" t="n">
        <v>0</v>
      </c>
      <c r="H682" s="28"/>
      <c r="I682" s="28"/>
      <c r="J682" s="29" t="n">
        <f aca="false">E682+F682+G682-H682-I682</f>
        <v>0</v>
      </c>
      <c r="K682" s="29" t="n">
        <f aca="false">ROUND(E682+F682+G682-H682-I682-J682,1)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77</v>
      </c>
      <c r="D683" s="18" t="s">
        <v>78</v>
      </c>
      <c r="E683" s="29" t="n">
        <f aca="false">J682</f>
        <v>0</v>
      </c>
      <c r="F683" s="28"/>
      <c r="G683" s="30" t="n">
        <v>0</v>
      </c>
      <c r="H683" s="28"/>
      <c r="I683" s="28"/>
      <c r="J683" s="29" t="n">
        <f aca="false">E683+F683+G683-H683-I683</f>
        <v>0</v>
      </c>
      <c r="K683" s="29" t="n">
        <f aca="false">ROUND(E683+F683+G683-H683-I683-J683,1)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77</v>
      </c>
      <c r="D684" s="18" t="s">
        <v>78</v>
      </c>
      <c r="E684" s="29" t="n">
        <f aca="false">J683</f>
        <v>0</v>
      </c>
      <c r="F684" s="28"/>
      <c r="G684" s="30" t="n">
        <v>0</v>
      </c>
      <c r="H684" s="28"/>
      <c r="I684" s="28"/>
      <c r="J684" s="29" t="n">
        <f aca="false">E684+F684+G684-H684-I684</f>
        <v>0</v>
      </c>
      <c r="K684" s="29" t="n">
        <f aca="false">ROUND(E684+F684+G684-H684-I684-J684,1)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77</v>
      </c>
      <c r="D685" s="18" t="s">
        <v>78</v>
      </c>
      <c r="E685" s="29" t="n">
        <f aca="false">J684</f>
        <v>0</v>
      </c>
      <c r="F685" s="28"/>
      <c r="G685" s="30" t="n">
        <v>0</v>
      </c>
      <c r="H685" s="28"/>
      <c r="I685" s="28"/>
      <c r="J685" s="29" t="n">
        <f aca="false">E685+F685+G685-H685-I685</f>
        <v>0</v>
      </c>
      <c r="K685" s="29" t="n">
        <f aca="false">ROUND(E685+F685+G685-H685-I685-J685,1)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77</v>
      </c>
      <c r="D686" s="18" t="s">
        <v>78</v>
      </c>
      <c r="E686" s="29" t="n">
        <f aca="false">J685</f>
        <v>0</v>
      </c>
      <c r="F686" s="28"/>
      <c r="G686" s="30" t="n">
        <v>0</v>
      </c>
      <c r="H686" s="28"/>
      <c r="I686" s="28"/>
      <c r="J686" s="29" t="n">
        <f aca="false">E686+F686+G686-H686-I686</f>
        <v>0</v>
      </c>
      <c r="K686" s="29" t="n">
        <f aca="false">ROUND(E686+F686+G686-H686-I686-J686,1)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77</v>
      </c>
      <c r="D687" s="18" t="s">
        <v>78</v>
      </c>
      <c r="E687" s="29" t="n">
        <f aca="false">J686</f>
        <v>0</v>
      </c>
      <c r="F687" s="28"/>
      <c r="G687" s="30" t="n">
        <v>0</v>
      </c>
      <c r="H687" s="28"/>
      <c r="I687" s="28"/>
      <c r="J687" s="29" t="n">
        <f aca="false">E687+F687+G687-H687-I687</f>
        <v>0</v>
      </c>
      <c r="K687" s="29" t="n">
        <f aca="false">ROUND(E687+F687+G687-H687-I687-J687,1)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77</v>
      </c>
      <c r="D688" s="18" t="s">
        <v>78</v>
      </c>
      <c r="E688" s="29" t="n">
        <f aca="false">J687</f>
        <v>0</v>
      </c>
      <c r="F688" s="28"/>
      <c r="G688" s="30" t="n">
        <v>0</v>
      </c>
      <c r="H688" s="28"/>
      <c r="I688" s="28"/>
      <c r="J688" s="29" t="n">
        <f aca="false">E688+F688+G688-H688-I688</f>
        <v>0</v>
      </c>
      <c r="K688" s="29" t="n">
        <f aca="false">ROUND(E688+F688+G688-H688-I688-J688,1)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77</v>
      </c>
      <c r="D689" s="18" t="s">
        <v>78</v>
      </c>
      <c r="E689" s="29" t="n">
        <f aca="false">J688</f>
        <v>0</v>
      </c>
      <c r="F689" s="28"/>
      <c r="G689" s="30" t="n">
        <v>0</v>
      </c>
      <c r="H689" s="28"/>
      <c r="I689" s="28"/>
      <c r="J689" s="29" t="n">
        <f aca="false">E689+F689+G689-H689-I689</f>
        <v>0</v>
      </c>
      <c r="K689" s="29" t="n">
        <f aca="false">ROUND(E689+F689+G689-H689-I689-J689,1)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77</v>
      </c>
      <c r="D690" s="18" t="s">
        <v>78</v>
      </c>
      <c r="E690" s="29" t="n">
        <f aca="false">J689</f>
        <v>0</v>
      </c>
      <c r="F690" s="28"/>
      <c r="G690" s="30" t="n">
        <v>0</v>
      </c>
      <c r="H690" s="28"/>
      <c r="I690" s="28"/>
      <c r="J690" s="29" t="n">
        <f aca="false">E690+F690+G690-H690-I690</f>
        <v>0</v>
      </c>
      <c r="K690" s="29" t="n">
        <f aca="false">ROUND(E690+F690+G690-H690-I690-J690,1)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77</v>
      </c>
      <c r="D691" s="18" t="s">
        <v>78</v>
      </c>
      <c r="E691" s="29" t="n">
        <f aca="false">J690</f>
        <v>0</v>
      </c>
      <c r="F691" s="28"/>
      <c r="G691" s="30" t="n">
        <v>0</v>
      </c>
      <c r="H691" s="28"/>
      <c r="I691" s="28"/>
      <c r="J691" s="29" t="n">
        <f aca="false">E691+F691+G691-H691-I691</f>
        <v>0</v>
      </c>
      <c r="K691" s="29" t="n">
        <f aca="false">ROUND(E691+F691+G691-H691-I691-J691,1)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77</v>
      </c>
      <c r="D692" s="18" t="s">
        <v>78</v>
      </c>
      <c r="E692" s="29" t="n">
        <f aca="false">J691</f>
        <v>0</v>
      </c>
      <c r="F692" s="28"/>
      <c r="G692" s="30" t="n">
        <v>0</v>
      </c>
      <c r="H692" s="28"/>
      <c r="I692" s="28"/>
      <c r="J692" s="29" t="n">
        <f aca="false">E692+F692+G692-H692-I692</f>
        <v>0</v>
      </c>
      <c r="K692" s="29" t="n">
        <f aca="false">ROUND(E692+F692+G692-H692-I692-J692,1)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77</v>
      </c>
      <c r="D693" s="18" t="s">
        <v>78</v>
      </c>
      <c r="E693" s="29" t="n">
        <f aca="false">J692</f>
        <v>0</v>
      </c>
      <c r="F693" s="28"/>
      <c r="G693" s="30" t="n">
        <v>0</v>
      </c>
      <c r="H693" s="28"/>
      <c r="I693" s="28"/>
      <c r="J693" s="29" t="n">
        <f aca="false">E693+F693+G693-H693-I693</f>
        <v>0</v>
      </c>
      <c r="K693" s="29" t="n">
        <f aca="false">ROUND(E693+F693+G693-H693-I693-J693,1)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77</v>
      </c>
      <c r="D694" s="18" t="s">
        <v>78</v>
      </c>
      <c r="E694" s="29" t="n">
        <f aca="false">J693</f>
        <v>0</v>
      </c>
      <c r="F694" s="28"/>
      <c r="G694" s="30" t="n">
        <v>0</v>
      </c>
      <c r="H694" s="28"/>
      <c r="I694" s="28"/>
      <c r="J694" s="29" t="n">
        <f aca="false">E694+F694+G694-H694-I694</f>
        <v>0</v>
      </c>
      <c r="K694" s="29" t="n">
        <f aca="false">ROUND(E694+F694+G694-H694-I694-J694,1)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77</v>
      </c>
      <c r="D695" s="18" t="s">
        <v>78</v>
      </c>
      <c r="E695" s="29" t="n">
        <f aca="false">J694</f>
        <v>0</v>
      </c>
      <c r="F695" s="28"/>
      <c r="G695" s="30" t="n">
        <v>0</v>
      </c>
      <c r="H695" s="28"/>
      <c r="I695" s="28"/>
      <c r="J695" s="29" t="n">
        <f aca="false">E695+F695+G695-H695-I695</f>
        <v>0</v>
      </c>
      <c r="K695" s="29" t="n">
        <f aca="false">ROUND(E695+F695+G695-H695-I695-J695,1)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77</v>
      </c>
      <c r="D696" s="18" t="s">
        <v>78</v>
      </c>
      <c r="E696" s="29" t="n">
        <f aca="false">J695</f>
        <v>0</v>
      </c>
      <c r="F696" s="28"/>
      <c r="G696" s="30" t="n">
        <v>0</v>
      </c>
      <c r="H696" s="28"/>
      <c r="I696" s="28"/>
      <c r="J696" s="29" t="n">
        <f aca="false">E696+F696+G696-H696-I696</f>
        <v>0</v>
      </c>
      <c r="K696" s="29" t="n">
        <f aca="false">ROUND(E696+F696+G696-H696-I696-J696,1)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77</v>
      </c>
      <c r="D697" s="18" t="s">
        <v>78</v>
      </c>
      <c r="E697" s="29" t="n">
        <f aca="false">J696</f>
        <v>0</v>
      </c>
      <c r="F697" s="28"/>
      <c r="G697" s="30" t="n">
        <v>0</v>
      </c>
      <c r="H697" s="28"/>
      <c r="I697" s="28"/>
      <c r="J697" s="29" t="n">
        <f aca="false">E697+F697+G697-H697-I697</f>
        <v>0</v>
      </c>
      <c r="K697" s="29" t="n">
        <f aca="false">ROUND(E697+F697+G697-H697-I697-J697,1)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77</v>
      </c>
      <c r="D698" s="18" t="s">
        <v>78</v>
      </c>
      <c r="E698" s="29" t="n">
        <f aca="false">J697</f>
        <v>0</v>
      </c>
      <c r="F698" s="28"/>
      <c r="G698" s="30" t="n">
        <v>0</v>
      </c>
      <c r="H698" s="28"/>
      <c r="I698" s="28"/>
      <c r="J698" s="29" t="n">
        <f aca="false">E698+F698+G698-H698-I698</f>
        <v>0</v>
      </c>
      <c r="K698" s="29" t="n">
        <f aca="false">ROUND(E698+F698+G698-H698-I698-J698,1)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77</v>
      </c>
      <c r="D699" s="18" t="s">
        <v>78</v>
      </c>
      <c r="E699" s="29" t="n">
        <f aca="false">J698</f>
        <v>0</v>
      </c>
      <c r="F699" s="28"/>
      <c r="G699" s="30" t="n">
        <v>0</v>
      </c>
      <c r="H699" s="28"/>
      <c r="I699" s="28"/>
      <c r="J699" s="29" t="n">
        <f aca="false">E699+F699+G699-H699-I699</f>
        <v>0</v>
      </c>
      <c r="K699" s="29" t="n">
        <f aca="false">ROUND(E699+F699+G699-H699-I699-J699,1)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77</v>
      </c>
      <c r="D700" s="18" t="s">
        <v>78</v>
      </c>
      <c r="E700" s="29" t="n">
        <f aca="false">J699</f>
        <v>0</v>
      </c>
      <c r="F700" s="28"/>
      <c r="G700" s="30" t="n">
        <v>0</v>
      </c>
      <c r="H700" s="28"/>
      <c r="I700" s="28"/>
      <c r="J700" s="29" t="n">
        <f aca="false">E700+F700+G700-H700-I700</f>
        <v>0</v>
      </c>
      <c r="K700" s="29" t="n">
        <f aca="false">ROUND(E700+F700+G700-H700-I700-J700,1)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77</v>
      </c>
      <c r="D701" s="18" t="s">
        <v>78</v>
      </c>
      <c r="E701" s="29" t="n">
        <f aca="false">J700</f>
        <v>0</v>
      </c>
      <c r="F701" s="28"/>
      <c r="G701" s="30" t="n">
        <v>0</v>
      </c>
      <c r="H701" s="28"/>
      <c r="I701" s="28"/>
      <c r="J701" s="29" t="n">
        <f aca="false">E701+F701+G701-H701-I701</f>
        <v>0</v>
      </c>
      <c r="K701" s="29" t="n">
        <f aca="false">ROUND(E701+F701+G701-H701-I701-J701,1)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77</v>
      </c>
      <c r="D702" s="18" t="s">
        <v>78</v>
      </c>
      <c r="E702" s="29" t="n">
        <f aca="false">J701</f>
        <v>0</v>
      </c>
      <c r="F702" s="28"/>
      <c r="G702" s="30" t="n">
        <v>0</v>
      </c>
      <c r="H702" s="28"/>
      <c r="I702" s="28"/>
      <c r="J702" s="29" t="n">
        <f aca="false">E702+F702+G702-H702-I702</f>
        <v>0</v>
      </c>
      <c r="K702" s="29" t="n">
        <f aca="false">ROUND(E702+F702+G702-H702-I702-J702,1)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77</v>
      </c>
      <c r="D703" s="18" t="s">
        <v>78</v>
      </c>
      <c r="E703" s="29" t="n">
        <f aca="false">J702</f>
        <v>0</v>
      </c>
      <c r="F703" s="28"/>
      <c r="G703" s="30" t="n">
        <v>0</v>
      </c>
      <c r="H703" s="28"/>
      <c r="I703" s="28"/>
      <c r="J703" s="29" t="n">
        <f aca="false">E703+F703+G703-H703-I703</f>
        <v>0</v>
      </c>
      <c r="K703" s="29" t="n">
        <f aca="false">ROUND(E703+F703+G703-H703-I703-J703,1)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77</v>
      </c>
      <c r="D704" s="18" t="s">
        <v>78</v>
      </c>
      <c r="E704" s="29" t="n">
        <f aca="false">J703</f>
        <v>0</v>
      </c>
      <c r="F704" s="28"/>
      <c r="G704" s="30" t="n">
        <v>0</v>
      </c>
      <c r="H704" s="28"/>
      <c r="I704" s="28"/>
      <c r="J704" s="29" t="n">
        <f aca="false">E704+F704+G704-H704-I704</f>
        <v>0</v>
      </c>
      <c r="K704" s="29" t="n">
        <f aca="false">ROUND(E704+F704+G704-H704-I704-J704,1)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77</v>
      </c>
      <c r="D705" s="18" t="s">
        <v>78</v>
      </c>
      <c r="E705" s="29" t="n">
        <f aca="false">J704</f>
        <v>0</v>
      </c>
      <c r="F705" s="28"/>
      <c r="G705" s="30" t="n">
        <v>0</v>
      </c>
      <c r="H705" s="28"/>
      <c r="I705" s="28"/>
      <c r="J705" s="29" t="n">
        <f aca="false">E705+F705+G705-H705-I705</f>
        <v>0</v>
      </c>
      <c r="K705" s="29" t="n">
        <f aca="false">ROUND(E705+F705+G705-H705-I705-J705,1)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77</v>
      </c>
      <c r="D706" s="18" t="s">
        <v>78</v>
      </c>
      <c r="E706" s="29" t="n">
        <f aca="false">J705</f>
        <v>0</v>
      </c>
      <c r="F706" s="28"/>
      <c r="G706" s="30" t="n">
        <v>0</v>
      </c>
      <c r="H706" s="28"/>
      <c r="I706" s="28"/>
      <c r="J706" s="29" t="n">
        <f aca="false">E706+F706+G706-H706-I706</f>
        <v>0</v>
      </c>
      <c r="K706" s="29" t="n">
        <f aca="false">ROUND(E706+F706+G706-H706-I706-J706,1)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77</v>
      </c>
      <c r="D707" s="18" t="s">
        <v>78</v>
      </c>
      <c r="E707" s="29" t="n">
        <f aca="false">J706</f>
        <v>0</v>
      </c>
      <c r="F707" s="28"/>
      <c r="G707" s="30" t="n">
        <v>0</v>
      </c>
      <c r="H707" s="28"/>
      <c r="I707" s="28"/>
      <c r="J707" s="29" t="n">
        <f aca="false">E707+F707+G707-H707-I707</f>
        <v>0</v>
      </c>
      <c r="K707" s="29" t="n">
        <f aca="false">ROUND(E707+F707+G707-H707-I707-J707,1)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77</v>
      </c>
      <c r="D708" s="18" t="s">
        <v>78</v>
      </c>
      <c r="E708" s="29" t="n">
        <f aca="false">J707</f>
        <v>0</v>
      </c>
      <c r="F708" s="28"/>
      <c r="G708" s="30" t="n">
        <v>0</v>
      </c>
      <c r="H708" s="28"/>
      <c r="I708" s="28"/>
      <c r="J708" s="29" t="n">
        <f aca="false">E708+F708+G708-H708-I708</f>
        <v>0</v>
      </c>
      <c r="K708" s="29" t="n">
        <f aca="false">ROUND(E708+F708+G708-H708-I708-J708,1)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77</v>
      </c>
      <c r="D709" s="18" t="s">
        <v>78</v>
      </c>
      <c r="E709" s="29" t="n">
        <f aca="false">J708</f>
        <v>0</v>
      </c>
      <c r="F709" s="28"/>
      <c r="G709" s="30" t="n">
        <v>0</v>
      </c>
      <c r="H709" s="28"/>
      <c r="I709" s="28"/>
      <c r="J709" s="29" t="n">
        <f aca="false">E709+F709+G709-H709-I709</f>
        <v>0</v>
      </c>
      <c r="K709" s="29" t="n">
        <f aca="false">ROUND(E709+F709+G709-H709-I709-J709,1)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77</v>
      </c>
      <c r="D710" s="18" t="s">
        <v>78</v>
      </c>
      <c r="E710" s="29" t="n">
        <f aca="false">J709</f>
        <v>0</v>
      </c>
      <c r="F710" s="28"/>
      <c r="G710" s="30" t="n">
        <v>0</v>
      </c>
      <c r="H710" s="28"/>
      <c r="I710" s="28"/>
      <c r="J710" s="29" t="n">
        <f aca="false">E710+F710+G710-H710-I710</f>
        <v>0</v>
      </c>
      <c r="K710" s="29" t="n">
        <f aca="false">ROUND(E710+F710+G710-H710-I710-J710,1)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77</v>
      </c>
      <c r="D711" s="18" t="s">
        <v>78</v>
      </c>
      <c r="E711" s="29" t="n">
        <f aca="false">J710</f>
        <v>0</v>
      </c>
      <c r="F711" s="28"/>
      <c r="G711" s="30" t="n">
        <v>0</v>
      </c>
      <c r="H711" s="28"/>
      <c r="I711" s="28"/>
      <c r="J711" s="29" t="n">
        <f aca="false">E711+F711+G711-H711-I711</f>
        <v>0</v>
      </c>
      <c r="K711" s="29" t="n">
        <f aca="false">ROUND(E711+F711+G711-H711-I711-J711,1)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77</v>
      </c>
      <c r="D712" s="18" t="s">
        <v>78</v>
      </c>
      <c r="E712" s="29" t="n">
        <f aca="false">J711</f>
        <v>0</v>
      </c>
      <c r="F712" s="28"/>
      <c r="G712" s="30" t="n">
        <v>0</v>
      </c>
      <c r="H712" s="28"/>
      <c r="I712" s="28"/>
      <c r="J712" s="29" t="n">
        <f aca="false">E712+F712+G712-H712-I712</f>
        <v>0</v>
      </c>
      <c r="K712" s="29" t="n">
        <f aca="false">ROUND(E712+F712+G712-H712-I712-J712,1)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77</v>
      </c>
      <c r="D713" s="18" t="s">
        <v>78</v>
      </c>
      <c r="E713" s="29" t="n">
        <f aca="false">J712</f>
        <v>0</v>
      </c>
      <c r="F713" s="28"/>
      <c r="G713" s="30" t="n">
        <v>0</v>
      </c>
      <c r="H713" s="28"/>
      <c r="I713" s="28"/>
      <c r="J713" s="29" t="n">
        <f aca="false">E713+F713+G713-H713-I713</f>
        <v>0</v>
      </c>
      <c r="K713" s="29" t="n">
        <f aca="false">ROUND(E713+F713+G713-H713-I713-J713,1)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77</v>
      </c>
      <c r="D714" s="18" t="s">
        <v>78</v>
      </c>
      <c r="E714" s="29" t="n">
        <f aca="false">J713</f>
        <v>0</v>
      </c>
      <c r="F714" s="28"/>
      <c r="G714" s="30" t="n">
        <v>0</v>
      </c>
      <c r="H714" s="28"/>
      <c r="I714" s="28"/>
      <c r="J714" s="29" t="n">
        <f aca="false">E714+F714+G714-H714-I714</f>
        <v>0</v>
      </c>
      <c r="K714" s="29" t="n">
        <f aca="false">ROUND(E714+F714+G714-H714-I714-J714,1)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77</v>
      </c>
      <c r="D715" s="18" t="s">
        <v>78</v>
      </c>
      <c r="E715" s="29" t="n">
        <f aca="false">J714</f>
        <v>0</v>
      </c>
      <c r="F715" s="28"/>
      <c r="G715" s="30" t="n">
        <v>0</v>
      </c>
      <c r="H715" s="28"/>
      <c r="I715" s="28"/>
      <c r="J715" s="29" t="n">
        <f aca="false">E715+F715+G715-H715-I715</f>
        <v>0</v>
      </c>
      <c r="K715" s="29" t="n">
        <f aca="false">ROUND(E715+F715+G715-H715-I715-J715,1)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77</v>
      </c>
      <c r="D716" s="18" t="s">
        <v>78</v>
      </c>
      <c r="E716" s="29" t="n">
        <f aca="false">J715</f>
        <v>0</v>
      </c>
      <c r="F716" s="28"/>
      <c r="G716" s="30" t="n">
        <v>0</v>
      </c>
      <c r="H716" s="28"/>
      <c r="I716" s="28"/>
      <c r="J716" s="29" t="n">
        <f aca="false">E716+F716+G716-H716-I716</f>
        <v>0</v>
      </c>
      <c r="K716" s="29" t="n">
        <f aca="false">ROUND(E716+F716+G716-H716-I716-J716,1)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77</v>
      </c>
      <c r="D717" s="18" t="s">
        <v>78</v>
      </c>
      <c r="E717" s="29" t="n">
        <f aca="false">J716</f>
        <v>0</v>
      </c>
      <c r="F717" s="28"/>
      <c r="G717" s="30" t="n">
        <v>0</v>
      </c>
      <c r="H717" s="28"/>
      <c r="I717" s="28"/>
      <c r="J717" s="29" t="n">
        <f aca="false">E717+F717+G717-H717-I717</f>
        <v>0</v>
      </c>
      <c r="K717" s="29" t="n">
        <f aca="false">ROUND(E717+F717+G717-H717-I717-J717,1)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77</v>
      </c>
      <c r="D718" s="18" t="s">
        <v>78</v>
      </c>
      <c r="E718" s="29" t="n">
        <f aca="false">J717</f>
        <v>0</v>
      </c>
      <c r="F718" s="28"/>
      <c r="G718" s="30" t="n">
        <v>0</v>
      </c>
      <c r="H718" s="28"/>
      <c r="I718" s="28"/>
      <c r="J718" s="29" t="n">
        <f aca="false">E718+F718+G718-H718-I718</f>
        <v>0</v>
      </c>
      <c r="K718" s="29" t="n">
        <f aca="false">ROUND(E718+F718+G718-H718-I718-J718,1)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77</v>
      </c>
      <c r="D719" s="18" t="s">
        <v>78</v>
      </c>
      <c r="E719" s="29" t="n">
        <f aca="false">J718</f>
        <v>0</v>
      </c>
      <c r="F719" s="28"/>
      <c r="G719" s="30" t="n">
        <v>0</v>
      </c>
      <c r="H719" s="28"/>
      <c r="I719" s="28"/>
      <c r="J719" s="29" t="n">
        <f aca="false">E719+F719+G719-H719-I719</f>
        <v>0</v>
      </c>
      <c r="K719" s="29" t="n">
        <f aca="false">ROUND(E719+F719+G719-H719-I719-J719,1)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77</v>
      </c>
      <c r="D720" s="18" t="s">
        <v>78</v>
      </c>
      <c r="E720" s="29" t="n">
        <f aca="false">J719</f>
        <v>0</v>
      </c>
      <c r="F720" s="28"/>
      <c r="G720" s="30" t="n">
        <v>0</v>
      </c>
      <c r="H720" s="28"/>
      <c r="I720" s="28"/>
      <c r="J720" s="29" t="n">
        <f aca="false">E720+F720+G720-H720-I720</f>
        <v>0</v>
      </c>
      <c r="K720" s="29" t="n">
        <f aca="false">ROUND(E720+F720+G720-H720-I720-J720,1)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77</v>
      </c>
      <c r="D721" s="18" t="s">
        <v>78</v>
      </c>
      <c r="E721" s="29" t="n">
        <f aca="false">J720</f>
        <v>0</v>
      </c>
      <c r="F721" s="28"/>
      <c r="G721" s="30" t="n">
        <v>0</v>
      </c>
      <c r="H721" s="28"/>
      <c r="I721" s="28"/>
      <c r="J721" s="29" t="n">
        <f aca="false">E721+F721+G721-H721-I721</f>
        <v>0</v>
      </c>
      <c r="K721" s="29" t="n">
        <f aca="false">ROUND(E721+F721+G721-H721-I721-J721,1)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77</v>
      </c>
      <c r="D722" s="18" t="s">
        <v>78</v>
      </c>
      <c r="E722" s="29" t="n">
        <f aca="false">J721</f>
        <v>0</v>
      </c>
      <c r="F722" s="28"/>
      <c r="G722" s="30" t="n">
        <v>0</v>
      </c>
      <c r="H722" s="28"/>
      <c r="I722" s="28"/>
      <c r="J722" s="29" t="n">
        <f aca="false">E722+F722+G722-H722-I722</f>
        <v>0</v>
      </c>
      <c r="K722" s="29" t="n">
        <f aca="false">ROUND(E722+F722+G722-H722-I722-J722,1)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77</v>
      </c>
      <c r="D723" s="18" t="s">
        <v>78</v>
      </c>
      <c r="E723" s="29" t="n">
        <f aca="false">J722</f>
        <v>0</v>
      </c>
      <c r="F723" s="28"/>
      <c r="G723" s="30" t="n">
        <v>0</v>
      </c>
      <c r="H723" s="28"/>
      <c r="I723" s="28"/>
      <c r="J723" s="29" t="n">
        <f aca="false">E723+F723+G723-H723-I723</f>
        <v>0</v>
      </c>
      <c r="K723" s="29" t="n">
        <f aca="false">ROUND(E723+F723+G723-H723-I723-J723,1)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77</v>
      </c>
      <c r="D724" s="18" t="s">
        <v>78</v>
      </c>
      <c r="E724" s="29" t="n">
        <f aca="false">J723</f>
        <v>0</v>
      </c>
      <c r="F724" s="28"/>
      <c r="G724" s="30" t="n">
        <v>0</v>
      </c>
      <c r="H724" s="28"/>
      <c r="I724" s="28"/>
      <c r="J724" s="29" t="n">
        <f aca="false">E724+F724+G724-H724-I724</f>
        <v>0</v>
      </c>
      <c r="K724" s="29" t="n">
        <f aca="false">ROUND(E724+F724+G724-H724-I724-J724,1)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77</v>
      </c>
      <c r="D725" s="18" t="s">
        <v>78</v>
      </c>
      <c r="E725" s="29" t="n">
        <f aca="false">J724</f>
        <v>0</v>
      </c>
      <c r="F725" s="28"/>
      <c r="G725" s="30" t="n">
        <v>0</v>
      </c>
      <c r="H725" s="28"/>
      <c r="I725" s="28"/>
      <c r="J725" s="29" t="n">
        <f aca="false">E725+F725+G725-H725-I725</f>
        <v>0</v>
      </c>
      <c r="K725" s="29" t="n">
        <f aca="false">ROUND(E725+F725+G725-H725-I725-J725,1)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77</v>
      </c>
      <c r="D726" s="18" t="s">
        <v>78</v>
      </c>
      <c r="E726" s="29" t="n">
        <f aca="false">J725</f>
        <v>0</v>
      </c>
      <c r="F726" s="28"/>
      <c r="G726" s="30" t="n">
        <v>0</v>
      </c>
      <c r="H726" s="28"/>
      <c r="I726" s="28"/>
      <c r="J726" s="29" t="n">
        <f aca="false">E726+F726+G726-H726-I726</f>
        <v>0</v>
      </c>
      <c r="K726" s="29" t="n">
        <f aca="false">ROUND(E726+F726+G726-H726-I726-J726,1)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77</v>
      </c>
      <c r="D727" s="18" t="s">
        <v>78</v>
      </c>
      <c r="E727" s="29" t="n">
        <f aca="false">J726</f>
        <v>0</v>
      </c>
      <c r="F727" s="28"/>
      <c r="G727" s="30" t="n">
        <v>0</v>
      </c>
      <c r="H727" s="28"/>
      <c r="I727" s="28"/>
      <c r="J727" s="29" t="n">
        <f aca="false">E727+F727+G727-H727-I727</f>
        <v>0</v>
      </c>
      <c r="K727" s="29" t="n">
        <f aca="false">ROUND(E727+F727+G727-H727-I727-J727,1)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77</v>
      </c>
      <c r="D728" s="18" t="s">
        <v>78</v>
      </c>
      <c r="E728" s="29" t="n">
        <f aca="false">J727</f>
        <v>0</v>
      </c>
      <c r="F728" s="28"/>
      <c r="G728" s="30" t="n">
        <v>0</v>
      </c>
      <c r="H728" s="28"/>
      <c r="I728" s="28"/>
      <c r="J728" s="29" t="n">
        <f aca="false">E728+F728+G728-H728-I728</f>
        <v>0</v>
      </c>
      <c r="K728" s="29" t="n">
        <f aca="false">ROUND(E728+F728+G728-H728-I728-J728,1)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77</v>
      </c>
      <c r="D729" s="18" t="s">
        <v>78</v>
      </c>
      <c r="E729" s="29" t="n">
        <f aca="false">J728</f>
        <v>0</v>
      </c>
      <c r="F729" s="28"/>
      <c r="G729" s="30" t="n">
        <v>0</v>
      </c>
      <c r="H729" s="28"/>
      <c r="I729" s="28"/>
      <c r="J729" s="29" t="n">
        <f aca="false">E729+F729+G729-H729-I729</f>
        <v>0</v>
      </c>
      <c r="K729" s="29" t="n">
        <f aca="false">ROUND(E729+F729+G729-H729-I729-J729,1)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77</v>
      </c>
      <c r="D730" s="18" t="s">
        <v>78</v>
      </c>
      <c r="E730" s="29" t="n">
        <f aca="false">J729</f>
        <v>0</v>
      </c>
      <c r="F730" s="28"/>
      <c r="G730" s="30" t="n">
        <v>0</v>
      </c>
      <c r="H730" s="28"/>
      <c r="I730" s="28"/>
      <c r="J730" s="29" t="n">
        <f aca="false">E730+F730+G730-H730-I730</f>
        <v>0</v>
      </c>
      <c r="K730" s="29" t="n">
        <f aca="false">ROUND(E730+F730+G730-H730-I730-J730,1)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77</v>
      </c>
      <c r="D731" s="18" t="s">
        <v>78</v>
      </c>
      <c r="E731" s="29" t="n">
        <f aca="false">J730</f>
        <v>0</v>
      </c>
      <c r="F731" s="28"/>
      <c r="G731" s="30" t="n">
        <v>0</v>
      </c>
      <c r="H731" s="28"/>
      <c r="I731" s="28"/>
      <c r="J731" s="29" t="n">
        <f aca="false">E731+F731+G731-H731-I731</f>
        <v>0</v>
      </c>
      <c r="K731" s="29" t="n">
        <f aca="false">ROUND(E731+F731+G731-H731-I731-J731,1)</f>
        <v>0</v>
      </c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160</v>
      </c>
      <c r="D732" s="18" t="s">
        <v>160</v>
      </c>
      <c r="E732" s="28"/>
      <c r="F732" s="28"/>
      <c r="G732" s="30" t="n">
        <v>0</v>
      </c>
      <c r="H732" s="28"/>
      <c r="I732" s="28"/>
      <c r="J732" s="29" t="n">
        <f aca="false">E732+F732+G732-H732-I732</f>
        <v>0</v>
      </c>
      <c r="K732" s="29" t="n">
        <f aca="false">ROUND(E732+F732+G732-H732-I732-J732,1)</f>
        <v>0</v>
      </c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160</v>
      </c>
      <c r="D733" s="18" t="s">
        <v>160</v>
      </c>
      <c r="E733" s="29" t="n">
        <f aca="false">J732</f>
        <v>0</v>
      </c>
      <c r="F733" s="28"/>
      <c r="G733" s="30" t="n">
        <v>0</v>
      </c>
      <c r="H733" s="28"/>
      <c r="I733" s="28"/>
      <c r="J733" s="29" t="n">
        <f aca="false">E733+F733+G733-H733-I733</f>
        <v>0</v>
      </c>
      <c r="K733" s="29" t="n">
        <f aca="false">ROUND(E733+F733+G733-H733-I733-J733,1)</f>
        <v>0</v>
      </c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160</v>
      </c>
      <c r="D734" s="18" t="s">
        <v>160</v>
      </c>
      <c r="E734" s="29" t="n">
        <f aca="false">J733</f>
        <v>0</v>
      </c>
      <c r="F734" s="28"/>
      <c r="G734" s="30" t="n">
        <v>0</v>
      </c>
      <c r="H734" s="28"/>
      <c r="I734" s="28"/>
      <c r="J734" s="29" t="n">
        <f aca="false">E734+F734+G734-H734-I734</f>
        <v>0</v>
      </c>
      <c r="K734" s="29" t="n">
        <f aca="false">ROUND(E734+F734+G734-H734-I734-J734,1)</f>
        <v>0</v>
      </c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160</v>
      </c>
      <c r="D735" s="18" t="s">
        <v>160</v>
      </c>
      <c r="E735" s="29" t="n">
        <f aca="false">J734</f>
        <v>0</v>
      </c>
      <c r="F735" s="28"/>
      <c r="G735" s="30" t="n">
        <v>0</v>
      </c>
      <c r="H735" s="28"/>
      <c r="I735" s="28"/>
      <c r="J735" s="29" t="n">
        <f aca="false">E735+F735+G735-H735-I735</f>
        <v>0</v>
      </c>
      <c r="K735" s="29" t="n">
        <f aca="false">ROUND(E735+F735+G735-H735-I735-J735,1)</f>
        <v>0</v>
      </c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160</v>
      </c>
      <c r="D736" s="18" t="s">
        <v>160</v>
      </c>
      <c r="E736" s="29" t="n">
        <f aca="false">J735</f>
        <v>0</v>
      </c>
      <c r="F736" s="28"/>
      <c r="G736" s="30" t="n">
        <v>0</v>
      </c>
      <c r="H736" s="28"/>
      <c r="I736" s="28"/>
      <c r="J736" s="29" t="n">
        <f aca="false">E736+F736+G736-H736-I736</f>
        <v>0</v>
      </c>
      <c r="K736" s="29" t="n">
        <f aca="false">ROUND(E736+F736+G736-H736-I736-J736,1)</f>
        <v>0</v>
      </c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160</v>
      </c>
      <c r="D737" s="18" t="s">
        <v>160</v>
      </c>
      <c r="E737" s="29" t="n">
        <f aca="false">J736</f>
        <v>0</v>
      </c>
      <c r="F737" s="28"/>
      <c r="G737" s="30" t="n">
        <v>0</v>
      </c>
      <c r="H737" s="28"/>
      <c r="I737" s="28"/>
      <c r="J737" s="29" t="n">
        <f aca="false">E737+F737+G737-H737-I737</f>
        <v>0</v>
      </c>
      <c r="K737" s="29" t="n">
        <f aca="false">ROUND(E737+F737+G737-H737-I737-J737,1)</f>
        <v>0</v>
      </c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160</v>
      </c>
      <c r="D738" s="18" t="s">
        <v>160</v>
      </c>
      <c r="E738" s="29" t="n">
        <f aca="false">J737</f>
        <v>0</v>
      </c>
      <c r="F738" s="28"/>
      <c r="G738" s="30" t="n">
        <v>0</v>
      </c>
      <c r="H738" s="28"/>
      <c r="I738" s="28"/>
      <c r="J738" s="29" t="n">
        <f aca="false">E738+F738+G738-H738-I738</f>
        <v>0</v>
      </c>
      <c r="K738" s="29" t="n">
        <f aca="false">ROUND(E738+F738+G738-H738-I738-J738,1)</f>
        <v>0</v>
      </c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160</v>
      </c>
      <c r="D739" s="18" t="s">
        <v>160</v>
      </c>
      <c r="E739" s="29" t="n">
        <f aca="false">J738</f>
        <v>0</v>
      </c>
      <c r="F739" s="28"/>
      <c r="G739" s="30" t="n">
        <v>0</v>
      </c>
      <c r="H739" s="28"/>
      <c r="I739" s="28"/>
      <c r="J739" s="29" t="n">
        <f aca="false">E739+F739+G739-H739-I739</f>
        <v>0</v>
      </c>
      <c r="K739" s="29" t="n">
        <f aca="false">ROUND(E739+F739+G739-H739-I739-J739,1)</f>
        <v>0</v>
      </c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160</v>
      </c>
      <c r="D740" s="18" t="s">
        <v>160</v>
      </c>
      <c r="E740" s="29" t="n">
        <f aca="false">J739</f>
        <v>0</v>
      </c>
      <c r="F740" s="28"/>
      <c r="G740" s="30" t="n">
        <v>0</v>
      </c>
      <c r="H740" s="28"/>
      <c r="I740" s="28"/>
      <c r="J740" s="29" t="n">
        <f aca="false">E740+F740+G740-H740-I740</f>
        <v>0</v>
      </c>
      <c r="K740" s="29" t="n">
        <f aca="false">ROUND(E740+F740+G740-H740-I740-J740,1)</f>
        <v>0</v>
      </c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160</v>
      </c>
      <c r="D741" s="18" t="s">
        <v>160</v>
      </c>
      <c r="E741" s="29" t="n">
        <f aca="false">J740</f>
        <v>0</v>
      </c>
      <c r="F741" s="28"/>
      <c r="G741" s="30" t="n">
        <v>0</v>
      </c>
      <c r="H741" s="28"/>
      <c r="I741" s="28"/>
      <c r="J741" s="29" t="n">
        <f aca="false">E741+F741+G741-H741-I741</f>
        <v>0</v>
      </c>
      <c r="K741" s="29" t="n">
        <f aca="false">ROUND(E741+F741+G741-H741-I741-J741,1)</f>
        <v>0</v>
      </c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160</v>
      </c>
      <c r="D742" s="18" t="s">
        <v>160</v>
      </c>
      <c r="E742" s="29" t="n">
        <f aca="false">J741</f>
        <v>0</v>
      </c>
      <c r="F742" s="28"/>
      <c r="G742" s="30" t="n">
        <v>0</v>
      </c>
      <c r="H742" s="28"/>
      <c r="I742" s="28"/>
      <c r="J742" s="29" t="n">
        <f aca="false">E742+F742+G742-H742-I742</f>
        <v>0</v>
      </c>
      <c r="K742" s="29" t="n">
        <f aca="false">ROUND(E742+F742+G742-H742-I742-J742,1)</f>
        <v>0</v>
      </c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160</v>
      </c>
      <c r="D743" s="18" t="s">
        <v>160</v>
      </c>
      <c r="E743" s="29" t="n">
        <f aca="false">J742</f>
        <v>0</v>
      </c>
      <c r="F743" s="28"/>
      <c r="G743" s="30" t="n">
        <v>0</v>
      </c>
      <c r="H743" s="28"/>
      <c r="I743" s="28"/>
      <c r="J743" s="29" t="n">
        <f aca="false">E743+F743+G743-H743-I743</f>
        <v>0</v>
      </c>
      <c r="K743" s="29" t="n">
        <f aca="false">ROUND(E743+F743+G743-H743-I743-J743,1)</f>
        <v>0</v>
      </c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160</v>
      </c>
      <c r="D744" s="18" t="s">
        <v>160</v>
      </c>
      <c r="E744" s="29" t="n">
        <f aca="false">J743</f>
        <v>0</v>
      </c>
      <c r="F744" s="28"/>
      <c r="G744" s="30" t="n">
        <v>0</v>
      </c>
      <c r="H744" s="28"/>
      <c r="I744" s="28"/>
      <c r="J744" s="29" t="n">
        <f aca="false">E744+F744+G744-H744-I744</f>
        <v>0</v>
      </c>
      <c r="K744" s="29" t="n">
        <f aca="false">ROUND(E744+F744+G744-H744-I744-J744,1)</f>
        <v>0</v>
      </c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160</v>
      </c>
      <c r="D745" s="18" t="s">
        <v>160</v>
      </c>
      <c r="E745" s="29" t="n">
        <f aca="false">J744</f>
        <v>0</v>
      </c>
      <c r="F745" s="28"/>
      <c r="G745" s="30" t="n">
        <v>0</v>
      </c>
      <c r="H745" s="28"/>
      <c r="I745" s="28"/>
      <c r="J745" s="29" t="n">
        <f aca="false">E745+F745+G745-H745-I745</f>
        <v>0</v>
      </c>
      <c r="K745" s="29" t="n">
        <f aca="false">ROUND(E745+F745+G745-H745-I745-J745,1)</f>
        <v>0</v>
      </c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160</v>
      </c>
      <c r="D746" s="18" t="s">
        <v>160</v>
      </c>
      <c r="E746" s="29" t="n">
        <f aca="false">J745</f>
        <v>0</v>
      </c>
      <c r="F746" s="28"/>
      <c r="G746" s="30" t="n">
        <v>0</v>
      </c>
      <c r="H746" s="28"/>
      <c r="I746" s="28"/>
      <c r="J746" s="29" t="n">
        <f aca="false">E746+F746+G746-H746-I746</f>
        <v>0</v>
      </c>
      <c r="K746" s="29" t="n">
        <f aca="false">ROUND(E746+F746+G746-H746-I746-J746,1)</f>
        <v>0</v>
      </c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160</v>
      </c>
      <c r="D747" s="18" t="s">
        <v>160</v>
      </c>
      <c r="E747" s="29" t="n">
        <f aca="false">J746</f>
        <v>0</v>
      </c>
      <c r="F747" s="28"/>
      <c r="G747" s="30" t="n">
        <v>0</v>
      </c>
      <c r="H747" s="28"/>
      <c r="I747" s="28"/>
      <c r="J747" s="29" t="n">
        <f aca="false">E747+F747+G747-H747-I747</f>
        <v>0</v>
      </c>
      <c r="K747" s="29" t="n">
        <f aca="false">ROUND(E747+F747+G747-H747-I747-J747,1)</f>
        <v>0</v>
      </c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160</v>
      </c>
      <c r="D748" s="18" t="s">
        <v>160</v>
      </c>
      <c r="E748" s="29" t="n">
        <f aca="false">J747</f>
        <v>0</v>
      </c>
      <c r="F748" s="28"/>
      <c r="G748" s="30" t="n">
        <v>0</v>
      </c>
      <c r="H748" s="28"/>
      <c r="I748" s="28"/>
      <c r="J748" s="29" t="n">
        <f aca="false">E748+F748+G748-H748-I748</f>
        <v>0</v>
      </c>
      <c r="K748" s="29" t="n">
        <f aca="false">ROUND(E748+F748+G748-H748-I748-J748,1)</f>
        <v>0</v>
      </c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160</v>
      </c>
      <c r="D749" s="18" t="s">
        <v>160</v>
      </c>
      <c r="E749" s="29" t="n">
        <f aca="false">J748</f>
        <v>0</v>
      </c>
      <c r="F749" s="28"/>
      <c r="G749" s="30" t="n">
        <v>0</v>
      </c>
      <c r="H749" s="28"/>
      <c r="I749" s="28"/>
      <c r="J749" s="29" t="n">
        <f aca="false">E749+F749+G749-H749-I749</f>
        <v>0</v>
      </c>
      <c r="K749" s="29" t="n">
        <f aca="false">ROUND(E749+F749+G749-H749-I749-J749,1)</f>
        <v>0</v>
      </c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160</v>
      </c>
      <c r="D750" s="18" t="s">
        <v>160</v>
      </c>
      <c r="E750" s="29" t="n">
        <f aca="false">J749</f>
        <v>0</v>
      </c>
      <c r="F750" s="28"/>
      <c r="G750" s="30" t="n">
        <v>0</v>
      </c>
      <c r="H750" s="28"/>
      <c r="I750" s="28"/>
      <c r="J750" s="29" t="n">
        <f aca="false">E750+F750+G750-H750-I750</f>
        <v>0</v>
      </c>
      <c r="K750" s="29" t="n">
        <f aca="false">ROUND(E750+F750+G750-H750-I750-J750,1)</f>
        <v>0</v>
      </c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160</v>
      </c>
      <c r="D751" s="18" t="s">
        <v>160</v>
      </c>
      <c r="E751" s="29" t="n">
        <f aca="false">J750</f>
        <v>0</v>
      </c>
      <c r="F751" s="28"/>
      <c r="G751" s="30" t="n">
        <v>0</v>
      </c>
      <c r="H751" s="28"/>
      <c r="I751" s="28"/>
      <c r="J751" s="29" t="n">
        <f aca="false">E751+F751+G751-H751-I751</f>
        <v>0</v>
      </c>
      <c r="K751" s="29" t="n">
        <f aca="false">ROUND(E751+F751+G751-H751-I751-J751,1)</f>
        <v>0</v>
      </c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160</v>
      </c>
      <c r="D752" s="18" t="s">
        <v>160</v>
      </c>
      <c r="E752" s="29" t="n">
        <f aca="false">J751</f>
        <v>0</v>
      </c>
      <c r="F752" s="28"/>
      <c r="G752" s="30" t="n">
        <v>0</v>
      </c>
      <c r="H752" s="28"/>
      <c r="I752" s="28"/>
      <c r="J752" s="29" t="n">
        <f aca="false">E752+F752+G752-H752-I752</f>
        <v>0</v>
      </c>
      <c r="K752" s="29" t="n">
        <f aca="false">ROUND(E752+F752+G752-H752-I752-J752,1)</f>
        <v>0</v>
      </c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160</v>
      </c>
      <c r="D753" s="18" t="s">
        <v>160</v>
      </c>
      <c r="E753" s="29" t="n">
        <f aca="false">J752</f>
        <v>0</v>
      </c>
      <c r="F753" s="28"/>
      <c r="G753" s="30" t="n">
        <v>0</v>
      </c>
      <c r="H753" s="28"/>
      <c r="I753" s="28"/>
      <c r="J753" s="29" t="n">
        <f aca="false">E753+F753+G753-H753-I753</f>
        <v>0</v>
      </c>
      <c r="K753" s="29" t="n">
        <f aca="false">ROUND(E753+F753+G753-H753-I753-J753,1)</f>
        <v>0</v>
      </c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160</v>
      </c>
      <c r="D754" s="18" t="s">
        <v>160</v>
      </c>
      <c r="E754" s="29" t="n">
        <f aca="false">J753</f>
        <v>0</v>
      </c>
      <c r="F754" s="28"/>
      <c r="G754" s="30" t="n">
        <v>0</v>
      </c>
      <c r="H754" s="28"/>
      <c r="I754" s="28"/>
      <c r="J754" s="29" t="n">
        <f aca="false">E754+F754+G754-H754-I754</f>
        <v>0</v>
      </c>
      <c r="K754" s="29" t="n">
        <f aca="false">ROUND(E754+F754+G754-H754-I754-J754,1)</f>
        <v>0</v>
      </c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160</v>
      </c>
      <c r="D755" s="18" t="s">
        <v>160</v>
      </c>
      <c r="E755" s="29" t="n">
        <f aca="false">J754</f>
        <v>0</v>
      </c>
      <c r="F755" s="28"/>
      <c r="G755" s="30" t="n">
        <v>0</v>
      </c>
      <c r="H755" s="28"/>
      <c r="I755" s="28"/>
      <c r="J755" s="29" t="n">
        <f aca="false">E755+F755+G755-H755-I755</f>
        <v>0</v>
      </c>
      <c r="K755" s="29" t="n">
        <f aca="false">ROUND(E755+F755+G755-H755-I755-J755,1)</f>
        <v>0</v>
      </c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160</v>
      </c>
      <c r="D756" s="18" t="s">
        <v>160</v>
      </c>
      <c r="E756" s="29" t="n">
        <f aca="false">J755</f>
        <v>0</v>
      </c>
      <c r="F756" s="28"/>
      <c r="G756" s="30" t="n">
        <v>0</v>
      </c>
      <c r="H756" s="28"/>
      <c r="I756" s="28"/>
      <c r="J756" s="29" t="n">
        <f aca="false">E756+F756+G756-H756-I756</f>
        <v>0</v>
      </c>
      <c r="K756" s="29" t="n">
        <f aca="false">ROUND(E756+F756+G756-H756-I756-J756,1)</f>
        <v>0</v>
      </c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160</v>
      </c>
      <c r="D757" s="18" t="s">
        <v>160</v>
      </c>
      <c r="E757" s="29" t="n">
        <f aca="false">J756</f>
        <v>0</v>
      </c>
      <c r="F757" s="28"/>
      <c r="G757" s="30" t="n">
        <v>0</v>
      </c>
      <c r="H757" s="28"/>
      <c r="I757" s="28"/>
      <c r="J757" s="29" t="n">
        <f aca="false">E757+F757+G757-H757-I757</f>
        <v>0</v>
      </c>
      <c r="K757" s="29" t="n">
        <f aca="false">ROUND(E757+F757+G757-H757-I757-J757,1)</f>
        <v>0</v>
      </c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160</v>
      </c>
      <c r="D758" s="18" t="s">
        <v>160</v>
      </c>
      <c r="E758" s="29" t="n">
        <f aca="false">J757</f>
        <v>0</v>
      </c>
      <c r="F758" s="28"/>
      <c r="G758" s="30" t="n">
        <v>0</v>
      </c>
      <c r="H758" s="28"/>
      <c r="I758" s="28"/>
      <c r="J758" s="29" t="n">
        <f aca="false">E758+F758+G758-H758-I758</f>
        <v>0</v>
      </c>
      <c r="K758" s="29" t="n">
        <f aca="false">ROUND(E758+F758+G758-H758-I758-J758,1)</f>
        <v>0</v>
      </c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160</v>
      </c>
      <c r="D759" s="18" t="s">
        <v>160</v>
      </c>
      <c r="E759" s="29" t="n">
        <f aca="false">J758</f>
        <v>0</v>
      </c>
      <c r="F759" s="28"/>
      <c r="G759" s="30" t="n">
        <v>0</v>
      </c>
      <c r="H759" s="28"/>
      <c r="I759" s="28"/>
      <c r="J759" s="29" t="n">
        <f aca="false">E759+F759+G759-H759-I759</f>
        <v>0</v>
      </c>
      <c r="K759" s="29" t="n">
        <f aca="false">ROUND(E759+F759+G759-H759-I759-J759,1)</f>
        <v>0</v>
      </c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160</v>
      </c>
      <c r="D760" s="18" t="s">
        <v>160</v>
      </c>
      <c r="E760" s="29" t="n">
        <f aca="false">J759</f>
        <v>0</v>
      </c>
      <c r="F760" s="28"/>
      <c r="G760" s="30" t="n">
        <v>0</v>
      </c>
      <c r="H760" s="28"/>
      <c r="I760" s="28"/>
      <c r="J760" s="29" t="n">
        <f aca="false">E760+F760+G760-H760-I760</f>
        <v>0</v>
      </c>
      <c r="K760" s="29" t="n">
        <f aca="false">ROUND(E760+F760+G760-H760-I760-J760,1)</f>
        <v>0</v>
      </c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160</v>
      </c>
      <c r="D761" s="18" t="s">
        <v>160</v>
      </c>
      <c r="E761" s="29" t="n">
        <f aca="false">J760</f>
        <v>0</v>
      </c>
      <c r="F761" s="28"/>
      <c r="G761" s="30" t="n">
        <v>0</v>
      </c>
      <c r="H761" s="28"/>
      <c r="I761" s="28"/>
      <c r="J761" s="29" t="n">
        <f aca="false">E761+F761+G761-H761-I761</f>
        <v>0</v>
      </c>
      <c r="K761" s="29" t="n">
        <f aca="false">ROUND(E761+F761+G761-H761-I761-J761,1)</f>
        <v>0</v>
      </c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160</v>
      </c>
      <c r="D762" s="18" t="s">
        <v>160</v>
      </c>
      <c r="E762" s="29" t="n">
        <f aca="false">J761</f>
        <v>0</v>
      </c>
      <c r="F762" s="28"/>
      <c r="G762" s="30" t="n">
        <v>0</v>
      </c>
      <c r="H762" s="28"/>
      <c r="I762" s="28"/>
      <c r="J762" s="29" t="n">
        <f aca="false">E762+F762+G762-H762-I762</f>
        <v>0</v>
      </c>
      <c r="K762" s="29" t="n">
        <f aca="false">ROUND(E762+F762+G762-H762-I762-J762,1)</f>
        <v>0</v>
      </c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160</v>
      </c>
      <c r="D763" s="18" t="s">
        <v>160</v>
      </c>
      <c r="E763" s="29" t="n">
        <f aca="false">J762</f>
        <v>0</v>
      </c>
      <c r="F763" s="28"/>
      <c r="G763" s="30" t="n">
        <v>0</v>
      </c>
      <c r="H763" s="28"/>
      <c r="I763" s="28"/>
      <c r="J763" s="29" t="n">
        <f aca="false">E763+F763+G763-H763-I763</f>
        <v>0</v>
      </c>
      <c r="K763" s="29" t="n">
        <f aca="false">ROUND(E763+F763+G763-H763-I763-J763,1)</f>
        <v>0</v>
      </c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160</v>
      </c>
      <c r="D764" s="18" t="s">
        <v>160</v>
      </c>
      <c r="E764" s="29" t="n">
        <f aca="false">J763</f>
        <v>0</v>
      </c>
      <c r="F764" s="28"/>
      <c r="G764" s="30" t="n">
        <v>0</v>
      </c>
      <c r="H764" s="28"/>
      <c r="I764" s="28"/>
      <c r="J764" s="29" t="n">
        <f aca="false">E764+F764+G764-H764-I764</f>
        <v>0</v>
      </c>
      <c r="K764" s="29" t="n">
        <f aca="false">ROUND(E764+F764+G764-H764-I764-J764,1)</f>
        <v>0</v>
      </c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160</v>
      </c>
      <c r="D765" s="18" t="s">
        <v>160</v>
      </c>
      <c r="E765" s="29" t="n">
        <f aca="false">J764</f>
        <v>0</v>
      </c>
      <c r="F765" s="28"/>
      <c r="G765" s="30" t="n">
        <v>0</v>
      </c>
      <c r="H765" s="28"/>
      <c r="I765" s="28"/>
      <c r="J765" s="29" t="n">
        <f aca="false">E765+F765+G765-H765-I765</f>
        <v>0</v>
      </c>
      <c r="K765" s="29" t="n">
        <f aca="false">ROUND(E765+F765+G765-H765-I765-J765,1)</f>
        <v>0</v>
      </c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160</v>
      </c>
      <c r="D766" s="18" t="s">
        <v>160</v>
      </c>
      <c r="E766" s="29" t="n">
        <f aca="false">J765</f>
        <v>0</v>
      </c>
      <c r="F766" s="28"/>
      <c r="G766" s="30" t="n">
        <v>0</v>
      </c>
      <c r="H766" s="28"/>
      <c r="I766" s="28"/>
      <c r="J766" s="29" t="n">
        <f aca="false">E766+F766+G766-H766-I766</f>
        <v>0</v>
      </c>
      <c r="K766" s="29" t="n">
        <f aca="false">ROUND(E766+F766+G766-H766-I766-J766,1)</f>
        <v>0</v>
      </c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160</v>
      </c>
      <c r="D767" s="18" t="s">
        <v>160</v>
      </c>
      <c r="E767" s="29" t="n">
        <f aca="false">J766</f>
        <v>0</v>
      </c>
      <c r="F767" s="28"/>
      <c r="G767" s="30" t="n">
        <v>0</v>
      </c>
      <c r="H767" s="28"/>
      <c r="I767" s="28"/>
      <c r="J767" s="29" t="n">
        <f aca="false">E767+F767+G767-H767-I767</f>
        <v>0</v>
      </c>
      <c r="K767" s="29" t="n">
        <f aca="false">ROUND(E767+F767+G767-H767-I767-J767,1)</f>
        <v>0</v>
      </c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160</v>
      </c>
      <c r="D768" s="18" t="s">
        <v>160</v>
      </c>
      <c r="E768" s="29" t="n">
        <f aca="false">J767</f>
        <v>0</v>
      </c>
      <c r="F768" s="28"/>
      <c r="G768" s="30" t="n">
        <v>0</v>
      </c>
      <c r="H768" s="28"/>
      <c r="I768" s="28"/>
      <c r="J768" s="29" t="n">
        <f aca="false">E768+F768+G768-H768-I768</f>
        <v>0</v>
      </c>
      <c r="K768" s="29" t="n">
        <f aca="false">ROUND(E768+F768+G768-H768-I768-J768,1)</f>
        <v>0</v>
      </c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160</v>
      </c>
      <c r="D769" s="18" t="s">
        <v>160</v>
      </c>
      <c r="E769" s="29" t="n">
        <f aca="false">J768</f>
        <v>0</v>
      </c>
      <c r="F769" s="28"/>
      <c r="G769" s="30" t="n">
        <v>0</v>
      </c>
      <c r="H769" s="28"/>
      <c r="I769" s="28"/>
      <c r="J769" s="29" t="n">
        <f aca="false">E769+F769+G769-H769-I769</f>
        <v>0</v>
      </c>
      <c r="K769" s="29" t="n">
        <f aca="false">ROUND(E769+F769+G769-H769-I769-J769,1)</f>
        <v>0</v>
      </c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160</v>
      </c>
      <c r="D770" s="18" t="s">
        <v>160</v>
      </c>
      <c r="E770" s="29" t="n">
        <f aca="false">J769</f>
        <v>0</v>
      </c>
      <c r="F770" s="28"/>
      <c r="G770" s="30" t="n">
        <v>0</v>
      </c>
      <c r="H770" s="28"/>
      <c r="I770" s="28"/>
      <c r="J770" s="29" t="n">
        <f aca="false">E770+F770+G770-H770-I770</f>
        <v>0</v>
      </c>
      <c r="K770" s="29" t="n">
        <f aca="false">ROUND(E770+F770+G770-H770-I770-J770,1)</f>
        <v>0</v>
      </c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160</v>
      </c>
      <c r="D771" s="18" t="s">
        <v>160</v>
      </c>
      <c r="E771" s="29" t="n">
        <f aca="false">J770</f>
        <v>0</v>
      </c>
      <c r="F771" s="28"/>
      <c r="G771" s="30" t="n">
        <v>0</v>
      </c>
      <c r="H771" s="28"/>
      <c r="I771" s="28"/>
      <c r="J771" s="29" t="n">
        <f aca="false">E771+F771+G771-H771-I771</f>
        <v>0</v>
      </c>
      <c r="K771" s="29" t="n">
        <f aca="false">ROUND(E771+F771+G771-H771-I771-J771,1)</f>
        <v>0</v>
      </c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160</v>
      </c>
      <c r="D772" s="18" t="s">
        <v>160</v>
      </c>
      <c r="E772" s="29" t="n">
        <f aca="false">J771</f>
        <v>0</v>
      </c>
      <c r="F772" s="28"/>
      <c r="G772" s="30" t="n">
        <v>0</v>
      </c>
      <c r="H772" s="28"/>
      <c r="I772" s="28"/>
      <c r="J772" s="29" t="n">
        <f aca="false">E772+F772+G772-H772-I772</f>
        <v>0</v>
      </c>
      <c r="K772" s="29" t="n">
        <f aca="false">ROUND(E772+F772+G772-H772-I772-J772,1)</f>
        <v>0</v>
      </c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160</v>
      </c>
      <c r="D773" s="18" t="s">
        <v>160</v>
      </c>
      <c r="E773" s="29" t="n">
        <f aca="false">J772</f>
        <v>0</v>
      </c>
      <c r="F773" s="28"/>
      <c r="G773" s="30" t="n">
        <v>0</v>
      </c>
      <c r="H773" s="28"/>
      <c r="I773" s="28"/>
      <c r="J773" s="29" t="n">
        <f aca="false">E773+F773+G773-H773-I773</f>
        <v>0</v>
      </c>
      <c r="K773" s="29" t="n">
        <f aca="false">ROUND(E773+F773+G773-H773-I773-J773,1)</f>
        <v>0</v>
      </c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160</v>
      </c>
      <c r="D774" s="18" t="s">
        <v>160</v>
      </c>
      <c r="E774" s="29" t="n">
        <f aca="false">J773</f>
        <v>0</v>
      </c>
      <c r="F774" s="28"/>
      <c r="G774" s="30" t="n">
        <v>0</v>
      </c>
      <c r="H774" s="28"/>
      <c r="I774" s="28"/>
      <c r="J774" s="29" t="n">
        <f aca="false">E774+F774+G774-H774-I774</f>
        <v>0</v>
      </c>
      <c r="K774" s="29" t="n">
        <f aca="false">ROUND(E774+F774+G774-H774-I774-J774,1)</f>
        <v>0</v>
      </c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160</v>
      </c>
      <c r="D775" s="18" t="s">
        <v>160</v>
      </c>
      <c r="E775" s="29" t="n">
        <f aca="false">J774</f>
        <v>0</v>
      </c>
      <c r="F775" s="28"/>
      <c r="G775" s="30" t="n">
        <v>0</v>
      </c>
      <c r="H775" s="28"/>
      <c r="I775" s="28"/>
      <c r="J775" s="29" t="n">
        <f aca="false">E775+F775+G775-H775-I775</f>
        <v>0</v>
      </c>
      <c r="K775" s="29" t="n">
        <f aca="false">ROUND(E775+F775+G775-H775-I775-J775,1)</f>
        <v>0</v>
      </c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160</v>
      </c>
      <c r="D776" s="18" t="s">
        <v>160</v>
      </c>
      <c r="E776" s="29" t="n">
        <f aca="false">J775</f>
        <v>0</v>
      </c>
      <c r="F776" s="28"/>
      <c r="G776" s="30" t="n">
        <v>0</v>
      </c>
      <c r="H776" s="28"/>
      <c r="I776" s="28"/>
      <c r="J776" s="29" t="n">
        <f aca="false">E776+F776+G776-H776-I776</f>
        <v>0</v>
      </c>
      <c r="K776" s="29" t="n">
        <f aca="false">ROUND(E776+F776+G776-H776-I776-J776,1)</f>
        <v>0</v>
      </c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160</v>
      </c>
      <c r="D777" s="18" t="s">
        <v>160</v>
      </c>
      <c r="E777" s="29" t="n">
        <f aca="false">J776</f>
        <v>0</v>
      </c>
      <c r="F777" s="28"/>
      <c r="G777" s="30" t="n">
        <v>0</v>
      </c>
      <c r="H777" s="28"/>
      <c r="I777" s="28"/>
      <c r="J777" s="29" t="n">
        <f aca="false">E777+F777+G777-H777-I777</f>
        <v>0</v>
      </c>
      <c r="K777" s="29" t="n">
        <f aca="false">ROUND(E777+F777+G777-H777-I777-J777,1)</f>
        <v>0</v>
      </c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160</v>
      </c>
      <c r="D778" s="18" t="s">
        <v>160</v>
      </c>
      <c r="E778" s="29" t="n">
        <f aca="false">J777</f>
        <v>0</v>
      </c>
      <c r="F778" s="28"/>
      <c r="G778" s="30" t="n">
        <v>0</v>
      </c>
      <c r="H778" s="28"/>
      <c r="I778" s="28"/>
      <c r="J778" s="29" t="n">
        <f aca="false">E778+F778+G778-H778-I778</f>
        <v>0</v>
      </c>
      <c r="K778" s="29" t="n">
        <f aca="false">ROUND(E778+F778+G778-H778-I778-J778,1)</f>
        <v>0</v>
      </c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160</v>
      </c>
      <c r="D779" s="18" t="s">
        <v>160</v>
      </c>
      <c r="E779" s="29" t="n">
        <f aca="false">J778</f>
        <v>0</v>
      </c>
      <c r="F779" s="28"/>
      <c r="G779" s="30" t="n">
        <v>0</v>
      </c>
      <c r="H779" s="28"/>
      <c r="I779" s="28"/>
      <c r="J779" s="29" t="n">
        <f aca="false">E779+F779+G779-H779-I779</f>
        <v>0</v>
      </c>
      <c r="K779" s="29" t="n">
        <f aca="false">ROUND(E779+F779+G779-H779-I779-J779,1)</f>
        <v>0</v>
      </c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160</v>
      </c>
      <c r="D780" s="18" t="s">
        <v>160</v>
      </c>
      <c r="E780" s="29" t="n">
        <f aca="false">J779</f>
        <v>0</v>
      </c>
      <c r="F780" s="28"/>
      <c r="G780" s="30" t="n">
        <v>0</v>
      </c>
      <c r="H780" s="28"/>
      <c r="I780" s="28"/>
      <c r="J780" s="29" t="n">
        <f aca="false">E780+F780+G780-H780-I780</f>
        <v>0</v>
      </c>
      <c r="K780" s="29" t="n">
        <f aca="false">ROUND(E780+F780+G780-H780-I780-J780,1)</f>
        <v>0</v>
      </c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160</v>
      </c>
      <c r="D781" s="18" t="s">
        <v>160</v>
      </c>
      <c r="E781" s="29" t="n">
        <f aca="false">J780</f>
        <v>0</v>
      </c>
      <c r="F781" s="28"/>
      <c r="G781" s="30" t="n">
        <v>0</v>
      </c>
      <c r="H781" s="28"/>
      <c r="I781" s="28"/>
      <c r="J781" s="29" t="n">
        <f aca="false">E781+F781+G781-H781-I781</f>
        <v>0</v>
      </c>
      <c r="K781" s="29" t="n">
        <f aca="false">ROUND(E781+F781+G781-H781-I781-J781,1)</f>
        <v>0</v>
      </c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160</v>
      </c>
      <c r="D782" s="18" t="s">
        <v>160</v>
      </c>
      <c r="E782" s="29" t="n">
        <f aca="false">J781</f>
        <v>0</v>
      </c>
      <c r="F782" s="28"/>
      <c r="G782" s="30" t="n">
        <v>0</v>
      </c>
      <c r="H782" s="28"/>
      <c r="I782" s="28"/>
      <c r="J782" s="29" t="n">
        <f aca="false">E782+F782+G782-H782-I782</f>
        <v>0</v>
      </c>
      <c r="K782" s="29" t="n">
        <f aca="false">ROUND(E782+F782+G782-H782-I782-J782,1)</f>
        <v>0</v>
      </c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160</v>
      </c>
      <c r="D783" s="18" t="s">
        <v>160</v>
      </c>
      <c r="E783" s="29" t="n">
        <f aca="false">J782</f>
        <v>0</v>
      </c>
      <c r="F783" s="28"/>
      <c r="G783" s="30" t="n">
        <v>0</v>
      </c>
      <c r="H783" s="28"/>
      <c r="I783" s="28"/>
      <c r="J783" s="29" t="n">
        <f aca="false">E783+F783+G783-H783-I783</f>
        <v>0</v>
      </c>
      <c r="K783" s="29" t="n">
        <f aca="false">ROUND(E783+F783+G783-H783-I783-J783,1)</f>
        <v>0</v>
      </c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160</v>
      </c>
      <c r="D784" s="18" t="s">
        <v>160</v>
      </c>
      <c r="E784" s="29" t="n">
        <f aca="false">J783</f>
        <v>0</v>
      </c>
      <c r="F784" s="28"/>
      <c r="G784" s="30" t="n">
        <v>0</v>
      </c>
      <c r="H784" s="28"/>
      <c r="I784" s="28"/>
      <c r="J784" s="29" t="n">
        <f aca="false">E784+F784+G784-H784-I784</f>
        <v>0</v>
      </c>
      <c r="K784" s="29" t="n">
        <f aca="false">ROUND(E784+F784+G784-H784-I784-J784,1)</f>
        <v>0</v>
      </c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160</v>
      </c>
      <c r="D785" s="18" t="s">
        <v>160</v>
      </c>
      <c r="E785" s="29" t="n">
        <f aca="false">J784</f>
        <v>0</v>
      </c>
      <c r="F785" s="28"/>
      <c r="G785" s="30" t="n">
        <v>0</v>
      </c>
      <c r="H785" s="28"/>
      <c r="I785" s="28"/>
      <c r="J785" s="29" t="n">
        <f aca="false">E785+F785+G785-H785-I785</f>
        <v>0</v>
      </c>
      <c r="K785" s="29" t="n">
        <f aca="false">ROUND(E785+F785+G785-H785-I785-J785,1)</f>
        <v>0</v>
      </c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160</v>
      </c>
      <c r="D786" s="18" t="s">
        <v>160</v>
      </c>
      <c r="E786" s="29" t="n">
        <f aca="false">J785</f>
        <v>0</v>
      </c>
      <c r="F786" s="28"/>
      <c r="G786" s="30" t="n">
        <v>0</v>
      </c>
      <c r="H786" s="28"/>
      <c r="I786" s="28"/>
      <c r="J786" s="29" t="n">
        <f aca="false">E786+F786+G786-H786-I786</f>
        <v>0</v>
      </c>
      <c r="K786" s="29" t="n">
        <f aca="false">ROUND(E786+F786+G786-H786-I786-J786,1)</f>
        <v>0</v>
      </c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160</v>
      </c>
      <c r="D787" s="18" t="s">
        <v>160</v>
      </c>
      <c r="E787" s="29" t="n">
        <f aca="false">J786</f>
        <v>0</v>
      </c>
      <c r="F787" s="28"/>
      <c r="G787" s="30" t="n">
        <v>0</v>
      </c>
      <c r="H787" s="28"/>
      <c r="I787" s="28"/>
      <c r="J787" s="29" t="n">
        <f aca="false">E787+F787+G787-H787-I787</f>
        <v>0</v>
      </c>
      <c r="K787" s="29" t="n">
        <f aca="false">ROUND(E787+F787+G787-H787-I787-J787,1)</f>
        <v>0</v>
      </c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160</v>
      </c>
      <c r="D788" s="18" t="s">
        <v>160</v>
      </c>
      <c r="E788" s="29" t="n">
        <f aca="false">J787</f>
        <v>0</v>
      </c>
      <c r="F788" s="28"/>
      <c r="G788" s="30" t="n">
        <v>0</v>
      </c>
      <c r="H788" s="28"/>
      <c r="I788" s="28"/>
      <c r="J788" s="29" t="n">
        <f aca="false">E788+F788+G788-H788-I788</f>
        <v>0</v>
      </c>
      <c r="K788" s="29" t="n">
        <f aca="false">ROUND(E788+F788+G788-H788-I788-J788,1)</f>
        <v>0</v>
      </c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160</v>
      </c>
      <c r="D789" s="18" t="s">
        <v>160</v>
      </c>
      <c r="E789" s="29" t="n">
        <f aca="false">J788</f>
        <v>0</v>
      </c>
      <c r="F789" s="28"/>
      <c r="G789" s="30" t="n">
        <v>0</v>
      </c>
      <c r="H789" s="28"/>
      <c r="I789" s="28"/>
      <c r="J789" s="29" t="n">
        <f aca="false">E789+F789+G789-H789-I789</f>
        <v>0</v>
      </c>
      <c r="K789" s="29" t="n">
        <f aca="false">ROUND(E789+F789+G789-H789-I789-J789,1)</f>
        <v>0</v>
      </c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160</v>
      </c>
      <c r="D790" s="18" t="s">
        <v>160</v>
      </c>
      <c r="E790" s="29" t="n">
        <f aca="false">J789</f>
        <v>0</v>
      </c>
      <c r="F790" s="28"/>
      <c r="G790" s="30" t="n">
        <v>0</v>
      </c>
      <c r="H790" s="28"/>
      <c r="I790" s="28"/>
      <c r="J790" s="29" t="n">
        <f aca="false">E790+F790+G790-H790-I790</f>
        <v>0</v>
      </c>
      <c r="K790" s="29" t="n">
        <f aca="false">ROUND(E790+F790+G790-H790-I790-J790,1)</f>
        <v>0</v>
      </c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160</v>
      </c>
      <c r="D791" s="18" t="s">
        <v>160</v>
      </c>
      <c r="E791" s="29" t="n">
        <f aca="false">J790</f>
        <v>0</v>
      </c>
      <c r="F791" s="28"/>
      <c r="G791" s="30" t="n">
        <v>0</v>
      </c>
      <c r="H791" s="28"/>
      <c r="I791" s="28"/>
      <c r="J791" s="29" t="n">
        <f aca="false">E791+F791+G791-H791-I791</f>
        <v>0</v>
      </c>
      <c r="K791" s="29" t="n">
        <f aca="false">ROUND(E791+F791+G791-H791-I791-J791,1)</f>
        <v>0</v>
      </c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160</v>
      </c>
      <c r="D792" s="18" t="s">
        <v>160</v>
      </c>
      <c r="E792" s="29" t="n">
        <f aca="false">J791</f>
        <v>0</v>
      </c>
      <c r="F792" s="28"/>
      <c r="G792" s="30" t="n">
        <v>0</v>
      </c>
      <c r="H792" s="28"/>
      <c r="I792" s="28"/>
      <c r="J792" s="29" t="n">
        <f aca="false">E792+F792+G792-H792-I792</f>
        <v>0</v>
      </c>
      <c r="K792" s="29" t="n">
        <f aca="false">ROUND(E792+F792+G792-H792-I792-J792,1)</f>
        <v>0</v>
      </c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160</v>
      </c>
      <c r="D793" s="18" t="s">
        <v>160</v>
      </c>
      <c r="E793" s="29" t="n">
        <f aca="false">J792</f>
        <v>0</v>
      </c>
      <c r="F793" s="28"/>
      <c r="G793" s="30" t="n">
        <v>0</v>
      </c>
      <c r="H793" s="28"/>
      <c r="I793" s="28"/>
      <c r="J793" s="29" t="n">
        <f aca="false">E793+F793+G793-H793-I793</f>
        <v>0</v>
      </c>
      <c r="K793" s="29" t="n">
        <f aca="false">ROUND(E793+F793+G793-H793-I793-J793,1)</f>
        <v>0</v>
      </c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160</v>
      </c>
      <c r="D794" s="18" t="s">
        <v>160</v>
      </c>
      <c r="E794" s="29" t="n">
        <f aca="false">J793</f>
        <v>0</v>
      </c>
      <c r="F794" s="28"/>
      <c r="G794" s="30" t="n">
        <v>0</v>
      </c>
      <c r="H794" s="28"/>
      <c r="I794" s="28"/>
      <c r="J794" s="29" t="n">
        <f aca="false">E794+F794+G794-H794-I794</f>
        <v>0</v>
      </c>
      <c r="K794" s="29" t="n">
        <f aca="false">ROUND(E794+F794+G794-H794-I794-J794,1)</f>
        <v>0</v>
      </c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160</v>
      </c>
      <c r="D795" s="18" t="s">
        <v>160</v>
      </c>
      <c r="E795" s="29" t="n">
        <f aca="false">J794</f>
        <v>0</v>
      </c>
      <c r="F795" s="28"/>
      <c r="G795" s="30" t="n">
        <v>0</v>
      </c>
      <c r="H795" s="28"/>
      <c r="I795" s="28"/>
      <c r="J795" s="29" t="n">
        <f aca="false">E795+F795+G795-H795-I795</f>
        <v>0</v>
      </c>
      <c r="K795" s="29" t="n">
        <f aca="false">ROUND(E795+F795+G795-H795-I795-J795,1)</f>
        <v>0</v>
      </c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160</v>
      </c>
      <c r="D796" s="18" t="s">
        <v>160</v>
      </c>
      <c r="E796" s="29" t="n">
        <f aca="false">J795</f>
        <v>0</v>
      </c>
      <c r="F796" s="28"/>
      <c r="G796" s="30" t="n">
        <v>0</v>
      </c>
      <c r="H796" s="28"/>
      <c r="I796" s="28"/>
      <c r="J796" s="29" t="n">
        <f aca="false">E796+F796+G796-H796-I796</f>
        <v>0</v>
      </c>
      <c r="K796" s="29" t="n">
        <f aca="false">ROUND(E796+F796+G796-H796-I796-J796,1)</f>
        <v>0</v>
      </c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160</v>
      </c>
      <c r="D797" s="18" t="s">
        <v>160</v>
      </c>
      <c r="E797" s="29" t="n">
        <f aca="false">J796</f>
        <v>0</v>
      </c>
      <c r="F797" s="28"/>
      <c r="G797" s="30" t="n">
        <v>0</v>
      </c>
      <c r="H797" s="28"/>
      <c r="I797" s="28"/>
      <c r="J797" s="29" t="n">
        <f aca="false">E797+F797+G797-H797-I797</f>
        <v>0</v>
      </c>
      <c r="K797" s="29" t="n">
        <f aca="false">ROUND(E797+F797+G797-H797-I797-J797,1)</f>
        <v>0</v>
      </c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160</v>
      </c>
      <c r="D798" s="18" t="s">
        <v>160</v>
      </c>
      <c r="E798" s="29" t="n">
        <f aca="false">J797</f>
        <v>0</v>
      </c>
      <c r="F798" s="28"/>
      <c r="G798" s="30" t="n">
        <v>0</v>
      </c>
      <c r="H798" s="28"/>
      <c r="I798" s="28"/>
      <c r="J798" s="29" t="n">
        <f aca="false">E798+F798+G798-H798-I798</f>
        <v>0</v>
      </c>
      <c r="K798" s="29" t="n">
        <f aca="false">ROUND(E798+F798+G798-H798-I798-J798,1)</f>
        <v>0</v>
      </c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160</v>
      </c>
      <c r="D799" s="18" t="s">
        <v>160</v>
      </c>
      <c r="E799" s="29" t="n">
        <f aca="false">J798</f>
        <v>0</v>
      </c>
      <c r="F799" s="28"/>
      <c r="G799" s="30" t="n">
        <v>0</v>
      </c>
      <c r="H799" s="28"/>
      <c r="I799" s="28"/>
      <c r="J799" s="29" t="n">
        <f aca="false">E799+F799+G799-H799-I799</f>
        <v>0</v>
      </c>
      <c r="K799" s="29" t="n">
        <f aca="false">ROUND(E799+F799+G799-H799-I799-J799,1)</f>
        <v>0</v>
      </c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160</v>
      </c>
      <c r="D800" s="18" t="s">
        <v>160</v>
      </c>
      <c r="E800" s="29" t="n">
        <f aca="false">J799</f>
        <v>0</v>
      </c>
      <c r="F800" s="28"/>
      <c r="G800" s="30" t="n">
        <v>0</v>
      </c>
      <c r="H800" s="28"/>
      <c r="I800" s="28"/>
      <c r="J800" s="29" t="n">
        <f aca="false">E800+F800+G800-H800-I800</f>
        <v>0</v>
      </c>
      <c r="K800" s="29" t="n">
        <f aca="false">ROUND(E800+F800+G800-H800-I800-J800,1)</f>
        <v>0</v>
      </c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160</v>
      </c>
      <c r="D801" s="18" t="s">
        <v>160</v>
      </c>
      <c r="E801" s="29" t="n">
        <f aca="false">J800</f>
        <v>0</v>
      </c>
      <c r="F801" s="28"/>
      <c r="G801" s="30" t="n">
        <v>0</v>
      </c>
      <c r="H801" s="28"/>
      <c r="I801" s="28"/>
      <c r="J801" s="29" t="n">
        <f aca="false">E801+F801+G801-H801-I801</f>
        <v>0</v>
      </c>
      <c r="K801" s="29" t="n">
        <f aca="false">ROUND(E801+F801+G801-H801-I801-J801,1)</f>
        <v>0</v>
      </c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160</v>
      </c>
      <c r="D802" s="18" t="s">
        <v>160</v>
      </c>
      <c r="E802" s="29" t="n">
        <f aca="false">J801</f>
        <v>0</v>
      </c>
      <c r="F802" s="28"/>
      <c r="G802" s="30" t="n">
        <v>0</v>
      </c>
      <c r="H802" s="28"/>
      <c r="I802" s="28"/>
      <c r="J802" s="29" t="n">
        <f aca="false">E802+F802+G802-H802-I802</f>
        <v>0</v>
      </c>
      <c r="K802" s="29" t="n">
        <f aca="false">ROUND(E802+F802+G802-H802-I802-J802,1)</f>
        <v>0</v>
      </c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160</v>
      </c>
      <c r="D803" s="18" t="s">
        <v>160</v>
      </c>
      <c r="E803" s="29" t="n">
        <f aca="false">J802</f>
        <v>0</v>
      </c>
      <c r="F803" s="28"/>
      <c r="G803" s="30" t="n">
        <v>0</v>
      </c>
      <c r="H803" s="28"/>
      <c r="I803" s="28"/>
      <c r="J803" s="29" t="n">
        <f aca="false">E803+F803+G803-H803-I803</f>
        <v>0</v>
      </c>
      <c r="K803" s="29" t="n">
        <f aca="false">ROUND(E803+F803+G803-H803-I803-J803,1)</f>
        <v>0</v>
      </c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160</v>
      </c>
      <c r="D804" s="18" t="s">
        <v>160</v>
      </c>
      <c r="E804" s="29" t="n">
        <f aca="false">J803</f>
        <v>0</v>
      </c>
      <c r="F804" s="28"/>
      <c r="G804" s="30" t="n">
        <v>0</v>
      </c>
      <c r="H804" s="28"/>
      <c r="I804" s="28"/>
      <c r="J804" s="29" t="n">
        <f aca="false">E804+F804+G804-H804-I804</f>
        <v>0</v>
      </c>
      <c r="K804" s="29" t="n">
        <f aca="false">ROUND(E804+F804+G804-H804-I804-J804,1)</f>
        <v>0</v>
      </c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160</v>
      </c>
      <c r="D805" s="18" t="s">
        <v>160</v>
      </c>
      <c r="E805" s="29" t="n">
        <f aca="false">J804</f>
        <v>0</v>
      </c>
      <c r="F805" s="28"/>
      <c r="G805" s="30" t="n">
        <v>0</v>
      </c>
      <c r="H805" s="28"/>
      <c r="I805" s="28"/>
      <c r="J805" s="29" t="n">
        <f aca="false">E805+F805+G805-H805-I805</f>
        <v>0</v>
      </c>
      <c r="K805" s="29" t="n">
        <f aca="false">ROUND(E805+F805+G805-H805-I805-J805,1)</f>
        <v>0</v>
      </c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160</v>
      </c>
      <c r="D806" s="18" t="s">
        <v>160</v>
      </c>
      <c r="E806" s="29" t="n">
        <f aca="false">J805</f>
        <v>0</v>
      </c>
      <c r="F806" s="28"/>
      <c r="G806" s="30" t="n">
        <v>0</v>
      </c>
      <c r="H806" s="28"/>
      <c r="I806" s="28"/>
      <c r="J806" s="29" t="n">
        <f aca="false">E806+F806+G806-H806-I806</f>
        <v>0</v>
      </c>
      <c r="K806" s="29" t="n">
        <f aca="false">ROUND(E806+F806+G806-H806-I806-J806,1)</f>
        <v>0</v>
      </c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160</v>
      </c>
      <c r="D807" s="18" t="s">
        <v>160</v>
      </c>
      <c r="E807" s="29" t="n">
        <f aca="false">J806</f>
        <v>0</v>
      </c>
      <c r="F807" s="28"/>
      <c r="G807" s="30" t="n">
        <v>0</v>
      </c>
      <c r="H807" s="28"/>
      <c r="I807" s="28"/>
      <c r="J807" s="29" t="n">
        <f aca="false">E807+F807+G807-H807-I807</f>
        <v>0</v>
      </c>
      <c r="K807" s="29" t="n">
        <f aca="false">ROUND(E807+F807+G807-H807-I807-J807,1)</f>
        <v>0</v>
      </c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160</v>
      </c>
      <c r="D808" s="18" t="s">
        <v>160</v>
      </c>
      <c r="E808" s="29" t="n">
        <f aca="false">J807</f>
        <v>0</v>
      </c>
      <c r="F808" s="28"/>
      <c r="G808" s="30" t="n">
        <v>0</v>
      </c>
      <c r="H808" s="28"/>
      <c r="I808" s="28"/>
      <c r="J808" s="29" t="n">
        <f aca="false">E808+F808+G808-H808-I808</f>
        <v>0</v>
      </c>
      <c r="K808" s="29" t="n">
        <f aca="false">ROUND(E808+F808+G808-H808-I808-J808,1)</f>
        <v>0</v>
      </c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160</v>
      </c>
      <c r="D809" s="18" t="s">
        <v>160</v>
      </c>
      <c r="E809" s="29" t="n">
        <f aca="false">J808</f>
        <v>0</v>
      </c>
      <c r="F809" s="28"/>
      <c r="G809" s="30" t="n">
        <v>0</v>
      </c>
      <c r="H809" s="28"/>
      <c r="I809" s="28"/>
      <c r="J809" s="29" t="n">
        <f aca="false">E809+F809+G809-H809-I809</f>
        <v>0</v>
      </c>
      <c r="K809" s="29" t="n">
        <f aca="false">ROUND(E809+F809+G809-H809-I809-J809,1)</f>
        <v>0</v>
      </c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160</v>
      </c>
      <c r="D810" s="18" t="s">
        <v>160</v>
      </c>
      <c r="E810" s="29" t="n">
        <f aca="false">J809</f>
        <v>0</v>
      </c>
      <c r="F810" s="28"/>
      <c r="G810" s="30" t="n">
        <v>0</v>
      </c>
      <c r="H810" s="28"/>
      <c r="I810" s="28"/>
      <c r="J810" s="29" t="n">
        <f aca="false">E810+F810+G810-H810-I810</f>
        <v>0</v>
      </c>
      <c r="K810" s="29" t="n">
        <f aca="false">ROUND(E810+F810+G810-H810-I810-J810,1)</f>
        <v>0</v>
      </c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160</v>
      </c>
      <c r="D811" s="18" t="s">
        <v>160</v>
      </c>
      <c r="E811" s="29" t="n">
        <f aca="false">J810</f>
        <v>0</v>
      </c>
      <c r="F811" s="28"/>
      <c r="G811" s="30" t="n">
        <v>0</v>
      </c>
      <c r="H811" s="28"/>
      <c r="I811" s="28"/>
      <c r="J811" s="29" t="n">
        <f aca="false">E811+F811+G811-H811-I811</f>
        <v>0</v>
      </c>
      <c r="K811" s="29" t="n">
        <f aca="false">ROUND(E811+F811+G811-H811-I811-J811,1)</f>
        <v>0</v>
      </c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160</v>
      </c>
      <c r="D812" s="18" t="s">
        <v>160</v>
      </c>
      <c r="E812" s="29" t="n">
        <f aca="false">J811</f>
        <v>0</v>
      </c>
      <c r="F812" s="28"/>
      <c r="G812" s="30" t="n">
        <v>0</v>
      </c>
      <c r="H812" s="28"/>
      <c r="I812" s="28"/>
      <c r="J812" s="29" t="n">
        <f aca="false">E812+F812+G812-H812-I812</f>
        <v>0</v>
      </c>
      <c r="K812" s="29" t="n">
        <f aca="false">ROUND(E812+F812+G812-H812-I812-J812,1)</f>
        <v>0</v>
      </c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160</v>
      </c>
      <c r="D813" s="18" t="s">
        <v>160</v>
      </c>
      <c r="E813" s="29" t="n">
        <f aca="false">J812</f>
        <v>0</v>
      </c>
      <c r="F813" s="28"/>
      <c r="G813" s="30" t="n">
        <v>0</v>
      </c>
      <c r="H813" s="28"/>
      <c r="I813" s="28"/>
      <c r="J813" s="29" t="n">
        <f aca="false">E813+F813+G813-H813-I813</f>
        <v>0</v>
      </c>
      <c r="K813" s="29" t="n">
        <f aca="false">ROUND(E813+F813+G813-H813-I813-J813,1)</f>
        <v>0</v>
      </c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160</v>
      </c>
      <c r="D814" s="18" t="s">
        <v>160</v>
      </c>
      <c r="E814" s="29" t="n">
        <f aca="false">J813</f>
        <v>0</v>
      </c>
      <c r="F814" s="28"/>
      <c r="G814" s="30" t="n">
        <v>0</v>
      </c>
      <c r="H814" s="28"/>
      <c r="I814" s="28"/>
      <c r="J814" s="29" t="n">
        <f aca="false">E814+F814+G814-H814-I814</f>
        <v>0</v>
      </c>
      <c r="K814" s="29" t="n">
        <f aca="false">ROUND(E814+F814+G814-H814-I814-J814,1)</f>
        <v>0</v>
      </c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160</v>
      </c>
      <c r="D815" s="18" t="s">
        <v>160</v>
      </c>
      <c r="E815" s="29" t="n">
        <f aca="false">J814</f>
        <v>0</v>
      </c>
      <c r="F815" s="28"/>
      <c r="G815" s="30" t="n">
        <v>0</v>
      </c>
      <c r="H815" s="28"/>
      <c r="I815" s="28"/>
      <c r="J815" s="29" t="n">
        <f aca="false">E815+F815+G815-H815-I815</f>
        <v>0</v>
      </c>
      <c r="K815" s="29" t="n">
        <f aca="false">ROUND(E815+F815+G815-H815-I815-J815,1)</f>
        <v>0</v>
      </c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160</v>
      </c>
      <c r="D816" s="18" t="s">
        <v>160</v>
      </c>
      <c r="E816" s="29" t="n">
        <f aca="false">J815</f>
        <v>0</v>
      </c>
      <c r="F816" s="28"/>
      <c r="G816" s="30" t="n">
        <v>0</v>
      </c>
      <c r="H816" s="28"/>
      <c r="I816" s="28"/>
      <c r="J816" s="29" t="n">
        <f aca="false">E816+F816+G816-H816-I816</f>
        <v>0</v>
      </c>
      <c r="K816" s="29" t="n">
        <f aca="false">ROUND(E816+F816+G816-H816-I816-J816,1)</f>
        <v>0</v>
      </c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160</v>
      </c>
      <c r="D817" s="18" t="s">
        <v>160</v>
      </c>
      <c r="E817" s="29" t="n">
        <f aca="false">J816</f>
        <v>0</v>
      </c>
      <c r="F817" s="28"/>
      <c r="G817" s="30" t="n">
        <v>0</v>
      </c>
      <c r="H817" s="28"/>
      <c r="I817" s="28"/>
      <c r="J817" s="29" t="n">
        <f aca="false">E817+F817+G817-H817-I817</f>
        <v>0</v>
      </c>
      <c r="K817" s="29" t="n">
        <f aca="false">ROUND(E817+F817+G817-H817-I817-J817,1)</f>
        <v>0</v>
      </c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160</v>
      </c>
      <c r="D818" s="18" t="s">
        <v>160</v>
      </c>
      <c r="E818" s="29" t="n">
        <f aca="false">J817</f>
        <v>0</v>
      </c>
      <c r="F818" s="28"/>
      <c r="G818" s="30" t="n">
        <v>0</v>
      </c>
      <c r="H818" s="28"/>
      <c r="I818" s="28"/>
      <c r="J818" s="29" t="n">
        <f aca="false">E818+F818+G818-H818-I818</f>
        <v>0</v>
      </c>
      <c r="K818" s="29" t="n">
        <f aca="false">ROUND(E818+F818+G818-H818-I818-J818,1)</f>
        <v>0</v>
      </c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160</v>
      </c>
      <c r="D819" s="18" t="s">
        <v>160</v>
      </c>
      <c r="E819" s="29" t="n">
        <f aca="false">J818</f>
        <v>0</v>
      </c>
      <c r="F819" s="28"/>
      <c r="G819" s="30" t="n">
        <v>0</v>
      </c>
      <c r="H819" s="28"/>
      <c r="I819" s="28"/>
      <c r="J819" s="29" t="n">
        <f aca="false">E819+F819+G819-H819-I819</f>
        <v>0</v>
      </c>
      <c r="K819" s="29" t="n">
        <f aca="false">ROUND(E819+F819+G819-H819-I819-J819,1)</f>
        <v>0</v>
      </c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160</v>
      </c>
      <c r="D820" s="18" t="s">
        <v>160</v>
      </c>
      <c r="E820" s="29" t="n">
        <f aca="false">J819</f>
        <v>0</v>
      </c>
      <c r="F820" s="28"/>
      <c r="G820" s="30" t="n">
        <v>0</v>
      </c>
      <c r="H820" s="28"/>
      <c r="I820" s="28"/>
      <c r="J820" s="29" t="n">
        <f aca="false">E820+F820+G820-H820-I820</f>
        <v>0</v>
      </c>
      <c r="K820" s="29" t="n">
        <f aca="false">ROUND(E820+F820+G820-H820-I820-J820,1)</f>
        <v>0</v>
      </c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160</v>
      </c>
      <c r="D821" s="18" t="s">
        <v>160</v>
      </c>
      <c r="E821" s="29" t="n">
        <f aca="false">J820</f>
        <v>0</v>
      </c>
      <c r="F821" s="28"/>
      <c r="G821" s="30" t="n">
        <v>0</v>
      </c>
      <c r="H821" s="28"/>
      <c r="I821" s="28"/>
      <c r="J821" s="29" t="n">
        <f aca="false">E821+F821+G821-H821-I821</f>
        <v>0</v>
      </c>
      <c r="K821" s="29" t="n">
        <f aca="false">ROUND(E821+F821+G821-H821-I821-J821,1)</f>
        <v>0</v>
      </c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160</v>
      </c>
      <c r="D822" s="18" t="s">
        <v>160</v>
      </c>
      <c r="E822" s="29" t="n">
        <f aca="false">J821</f>
        <v>0</v>
      </c>
      <c r="F822" s="28"/>
      <c r="G822" s="30" t="n">
        <v>0</v>
      </c>
      <c r="H822" s="28"/>
      <c r="I822" s="28"/>
      <c r="J822" s="29" t="n">
        <f aca="false">E822+F822+G822-H822-I822</f>
        <v>0</v>
      </c>
      <c r="K822" s="29" t="n">
        <f aca="false">ROUND(E822+F822+G822-H822-I822-J822,1)</f>
        <v>0</v>
      </c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160</v>
      </c>
      <c r="D823" s="18" t="s">
        <v>160</v>
      </c>
      <c r="E823" s="29" t="n">
        <f aca="false">J822</f>
        <v>0</v>
      </c>
      <c r="F823" s="28"/>
      <c r="G823" s="30" t="n">
        <v>0</v>
      </c>
      <c r="H823" s="28"/>
      <c r="I823" s="28"/>
      <c r="J823" s="29" t="n">
        <f aca="false">E823+F823+G823-H823-I823</f>
        <v>0</v>
      </c>
      <c r="K823" s="29" t="n">
        <f aca="false">ROUND(E823+F823+G823-H823-I823-J823,1)</f>
        <v>0</v>
      </c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160</v>
      </c>
      <c r="D824" s="18" t="s">
        <v>160</v>
      </c>
      <c r="E824" s="29" t="n">
        <f aca="false">J823</f>
        <v>0</v>
      </c>
      <c r="F824" s="28"/>
      <c r="G824" s="30" t="n">
        <v>0</v>
      </c>
      <c r="H824" s="28"/>
      <c r="I824" s="28"/>
      <c r="J824" s="29" t="n">
        <f aca="false">E824+F824+G824-H824-I824</f>
        <v>0</v>
      </c>
      <c r="K824" s="29" t="n">
        <f aca="false">ROUND(E824+F824+G824-H824-I824-J824,1)</f>
        <v>0</v>
      </c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160</v>
      </c>
      <c r="D825" s="18" t="s">
        <v>160</v>
      </c>
      <c r="E825" s="29" t="n">
        <f aca="false">J824</f>
        <v>0</v>
      </c>
      <c r="F825" s="28"/>
      <c r="G825" s="30" t="n">
        <v>0</v>
      </c>
      <c r="H825" s="28"/>
      <c r="I825" s="28"/>
      <c r="J825" s="29" t="n">
        <f aca="false">E825+F825+G825-H825-I825</f>
        <v>0</v>
      </c>
      <c r="K825" s="29" t="n">
        <f aca="false">ROUND(E825+F825+G825-H825-I825-J825,1)</f>
        <v>0</v>
      </c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160</v>
      </c>
      <c r="D826" s="18" t="s">
        <v>160</v>
      </c>
      <c r="E826" s="29" t="n">
        <f aca="false">J825</f>
        <v>0</v>
      </c>
      <c r="F826" s="28"/>
      <c r="G826" s="30" t="n">
        <v>0</v>
      </c>
      <c r="H826" s="28"/>
      <c r="I826" s="28"/>
      <c r="J826" s="29" t="n">
        <f aca="false">E826+F826+G826-H826-I826</f>
        <v>0</v>
      </c>
      <c r="K826" s="29" t="n">
        <f aca="false">ROUND(E826+F826+G826-H826-I826-J826,1)</f>
        <v>0</v>
      </c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160</v>
      </c>
      <c r="D827" s="18" t="s">
        <v>160</v>
      </c>
      <c r="E827" s="29" t="n">
        <f aca="false">J826</f>
        <v>0</v>
      </c>
      <c r="F827" s="28"/>
      <c r="G827" s="30" t="n">
        <v>0</v>
      </c>
      <c r="H827" s="28"/>
      <c r="I827" s="28"/>
      <c r="J827" s="29" t="n">
        <f aca="false">E827+F827+G827-H827-I827</f>
        <v>0</v>
      </c>
      <c r="K827" s="29" t="n">
        <f aca="false">ROUND(E827+F827+G827-H827-I827-J827,1)</f>
        <v>0</v>
      </c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160</v>
      </c>
      <c r="D828" s="18" t="s">
        <v>160</v>
      </c>
      <c r="E828" s="29" t="n">
        <f aca="false">J827</f>
        <v>0</v>
      </c>
      <c r="F828" s="28"/>
      <c r="G828" s="30" t="n">
        <v>0</v>
      </c>
      <c r="H828" s="28"/>
      <c r="I828" s="28"/>
      <c r="J828" s="29" t="n">
        <f aca="false">E828+F828+G828-H828-I828</f>
        <v>0</v>
      </c>
      <c r="K828" s="29" t="n">
        <f aca="false">ROUND(E828+F828+G828-H828-I828-J828,1)</f>
        <v>0</v>
      </c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160</v>
      </c>
      <c r="D829" s="18" t="s">
        <v>160</v>
      </c>
      <c r="E829" s="29" t="n">
        <f aca="false">J828</f>
        <v>0</v>
      </c>
      <c r="F829" s="28"/>
      <c r="G829" s="30" t="n">
        <v>0</v>
      </c>
      <c r="H829" s="28"/>
      <c r="I829" s="28"/>
      <c r="J829" s="29" t="n">
        <f aca="false">E829+F829+G829-H829-I829</f>
        <v>0</v>
      </c>
      <c r="K829" s="29" t="n">
        <f aca="false">ROUND(E829+F829+G829-H829-I829-J829,1)</f>
        <v>0</v>
      </c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160</v>
      </c>
      <c r="D830" s="18" t="s">
        <v>160</v>
      </c>
      <c r="E830" s="29" t="n">
        <f aca="false">J829</f>
        <v>0</v>
      </c>
      <c r="F830" s="28"/>
      <c r="G830" s="30" t="n">
        <v>0</v>
      </c>
      <c r="H830" s="28"/>
      <c r="I830" s="28"/>
      <c r="J830" s="29" t="n">
        <f aca="false">E830+F830+G830-H830-I830</f>
        <v>0</v>
      </c>
      <c r="K830" s="29" t="n">
        <f aca="false">ROUND(E830+F830+G830-H830-I830-J830,1)</f>
        <v>0</v>
      </c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160</v>
      </c>
      <c r="D831" s="18" t="s">
        <v>160</v>
      </c>
      <c r="E831" s="29" t="n">
        <f aca="false">J830</f>
        <v>0</v>
      </c>
      <c r="F831" s="28"/>
      <c r="G831" s="30" t="n">
        <v>0</v>
      </c>
      <c r="H831" s="28"/>
      <c r="I831" s="28"/>
      <c r="J831" s="29" t="n">
        <f aca="false">E831+F831+G831-H831-I831</f>
        <v>0</v>
      </c>
      <c r="K831" s="29" t="n">
        <f aca="false">ROUND(E831+F831+G831-H831-I831-J831,1)</f>
        <v>0</v>
      </c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160</v>
      </c>
      <c r="D832" s="18" t="s">
        <v>160</v>
      </c>
      <c r="E832" s="29" t="n">
        <f aca="false">J831</f>
        <v>0</v>
      </c>
      <c r="F832" s="28"/>
      <c r="G832" s="30" t="n">
        <v>0</v>
      </c>
      <c r="H832" s="28"/>
      <c r="I832" s="28"/>
      <c r="J832" s="29" t="n">
        <f aca="false">E832+F832+G832-H832-I832</f>
        <v>0</v>
      </c>
      <c r="K832" s="29" t="n">
        <f aca="false">ROUND(E832+F832+G832-H832-I832-J832,1)</f>
        <v>0</v>
      </c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160</v>
      </c>
      <c r="D833" s="18" t="s">
        <v>160</v>
      </c>
      <c r="E833" s="29" t="n">
        <f aca="false">J832</f>
        <v>0</v>
      </c>
      <c r="F833" s="28"/>
      <c r="G833" s="30" t="n">
        <v>0</v>
      </c>
      <c r="H833" s="28"/>
      <c r="I833" s="28"/>
      <c r="J833" s="29" t="n">
        <f aca="false">E833+F833+G833-H833-I833</f>
        <v>0</v>
      </c>
      <c r="K833" s="29" t="n">
        <f aca="false">ROUND(E833+F833+G833-H833-I833-J833,1)</f>
        <v>0</v>
      </c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160</v>
      </c>
      <c r="D834" s="18" t="s">
        <v>160</v>
      </c>
      <c r="E834" s="29" t="n">
        <f aca="false">J833</f>
        <v>0</v>
      </c>
      <c r="F834" s="28"/>
      <c r="G834" s="30" t="n">
        <v>0</v>
      </c>
      <c r="H834" s="28"/>
      <c r="I834" s="28"/>
      <c r="J834" s="29" t="n">
        <f aca="false">E834+F834+G834-H834-I834</f>
        <v>0</v>
      </c>
      <c r="K834" s="29" t="n">
        <f aca="false">ROUND(E834+F834+G834-H834-I834-J834,1)</f>
        <v>0</v>
      </c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160</v>
      </c>
      <c r="D835" s="18" t="s">
        <v>160</v>
      </c>
      <c r="E835" s="29" t="n">
        <f aca="false">J834</f>
        <v>0</v>
      </c>
      <c r="F835" s="28"/>
      <c r="G835" s="30" t="n">
        <v>0</v>
      </c>
      <c r="H835" s="28"/>
      <c r="I835" s="28"/>
      <c r="J835" s="29" t="n">
        <f aca="false">E835+F835+G835-H835-I835</f>
        <v>0</v>
      </c>
      <c r="K835" s="29" t="n">
        <f aca="false">ROUND(E835+F835+G835-H835-I835-J835,1)</f>
        <v>0</v>
      </c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160</v>
      </c>
      <c r="D836" s="18" t="s">
        <v>160</v>
      </c>
      <c r="E836" s="29" t="n">
        <f aca="false">J835</f>
        <v>0</v>
      </c>
      <c r="F836" s="28"/>
      <c r="G836" s="30" t="n">
        <v>0</v>
      </c>
      <c r="H836" s="28"/>
      <c r="I836" s="28"/>
      <c r="J836" s="29" t="n">
        <f aca="false">E836+F836+G836-H836-I836</f>
        <v>0</v>
      </c>
      <c r="K836" s="29" t="n">
        <f aca="false">ROUND(E836+F836+G836-H836-I836-J836,1)</f>
        <v>0</v>
      </c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160</v>
      </c>
      <c r="D837" s="18" t="s">
        <v>160</v>
      </c>
      <c r="E837" s="29" t="n">
        <f aca="false">J836</f>
        <v>0</v>
      </c>
      <c r="F837" s="28"/>
      <c r="G837" s="30" t="n">
        <v>0</v>
      </c>
      <c r="H837" s="28"/>
      <c r="I837" s="28"/>
      <c r="J837" s="29" t="n">
        <f aca="false">E837+F837+G837-H837-I837</f>
        <v>0</v>
      </c>
      <c r="K837" s="29" t="n">
        <f aca="false">ROUND(E837+F837+G837-H837-I837-J837,1)</f>
        <v>0</v>
      </c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160</v>
      </c>
      <c r="D838" s="18" t="s">
        <v>160</v>
      </c>
      <c r="E838" s="29" t="n">
        <f aca="false">J837</f>
        <v>0</v>
      </c>
      <c r="F838" s="28"/>
      <c r="G838" s="30" t="n">
        <v>0</v>
      </c>
      <c r="H838" s="28"/>
      <c r="I838" s="28"/>
      <c r="J838" s="29" t="n">
        <f aca="false">E838+F838+G838-H838-I838</f>
        <v>0</v>
      </c>
      <c r="K838" s="29" t="n">
        <f aca="false">ROUND(E838+F838+G838-H838-I838-J838,1)</f>
        <v>0</v>
      </c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160</v>
      </c>
      <c r="D839" s="18" t="s">
        <v>160</v>
      </c>
      <c r="E839" s="29" t="n">
        <f aca="false">J838</f>
        <v>0</v>
      </c>
      <c r="F839" s="28"/>
      <c r="G839" s="30" t="n">
        <v>0</v>
      </c>
      <c r="H839" s="28"/>
      <c r="I839" s="28"/>
      <c r="J839" s="29" t="n">
        <f aca="false">E839+F839+G839-H839-I839</f>
        <v>0</v>
      </c>
      <c r="K839" s="29" t="n">
        <f aca="false">ROUND(E839+F839+G839-H839-I839-J839,1)</f>
        <v>0</v>
      </c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160</v>
      </c>
      <c r="D840" s="18" t="s">
        <v>160</v>
      </c>
      <c r="E840" s="29" t="n">
        <f aca="false">J839</f>
        <v>0</v>
      </c>
      <c r="F840" s="28"/>
      <c r="G840" s="30" t="n">
        <v>0</v>
      </c>
      <c r="H840" s="28"/>
      <c r="I840" s="28"/>
      <c r="J840" s="29" t="n">
        <f aca="false">E840+F840+G840-H840-I840</f>
        <v>0</v>
      </c>
      <c r="K840" s="29" t="n">
        <f aca="false">ROUND(E840+F840+G840-H840-I840-J840,1)</f>
        <v>0</v>
      </c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160</v>
      </c>
      <c r="D841" s="18" t="s">
        <v>160</v>
      </c>
      <c r="E841" s="29" t="n">
        <f aca="false">J840</f>
        <v>0</v>
      </c>
      <c r="F841" s="28"/>
      <c r="G841" s="30" t="n">
        <v>0</v>
      </c>
      <c r="H841" s="28"/>
      <c r="I841" s="28"/>
      <c r="J841" s="29" t="n">
        <f aca="false">E841+F841+G841-H841-I841</f>
        <v>0</v>
      </c>
      <c r="K841" s="29" t="n">
        <f aca="false">ROUND(E841+F841+G841-H841-I841-J841,1)</f>
        <v>0</v>
      </c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160</v>
      </c>
      <c r="D842" s="18" t="s">
        <v>160</v>
      </c>
      <c r="E842" s="29" t="n">
        <f aca="false">J841</f>
        <v>0</v>
      </c>
      <c r="F842" s="28"/>
      <c r="G842" s="30" t="n">
        <v>0</v>
      </c>
      <c r="H842" s="28"/>
      <c r="I842" s="28"/>
      <c r="J842" s="29" t="n">
        <f aca="false">E842+F842+G842-H842-I842</f>
        <v>0</v>
      </c>
      <c r="K842" s="29" t="n">
        <f aca="false">ROUND(E842+F842+G842-H842-I842-J842,1)</f>
        <v>0</v>
      </c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160</v>
      </c>
      <c r="D843" s="18" t="s">
        <v>160</v>
      </c>
      <c r="E843" s="29" t="n">
        <f aca="false">J842</f>
        <v>0</v>
      </c>
      <c r="F843" s="28"/>
      <c r="G843" s="30" t="n">
        <v>0</v>
      </c>
      <c r="H843" s="28"/>
      <c r="I843" s="28"/>
      <c r="J843" s="29" t="n">
        <f aca="false">E843+F843+G843-H843-I843</f>
        <v>0</v>
      </c>
      <c r="K843" s="29" t="n">
        <f aca="false">ROUND(E843+F843+G843-H843-I843-J843,1)</f>
        <v>0</v>
      </c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160</v>
      </c>
      <c r="D844" s="18" t="s">
        <v>160</v>
      </c>
      <c r="E844" s="29" t="n">
        <f aca="false">J843</f>
        <v>0</v>
      </c>
      <c r="F844" s="28"/>
      <c r="G844" s="30" t="n">
        <v>0</v>
      </c>
      <c r="H844" s="28"/>
      <c r="I844" s="28"/>
      <c r="J844" s="29" t="n">
        <f aca="false">E844+F844+G844-H844-I844</f>
        <v>0</v>
      </c>
      <c r="K844" s="29" t="n">
        <f aca="false">ROUND(E844+F844+G844-H844-I844-J844,1)</f>
        <v>0</v>
      </c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160</v>
      </c>
      <c r="D845" s="18" t="s">
        <v>160</v>
      </c>
      <c r="E845" s="29" t="n">
        <f aca="false">J844</f>
        <v>0</v>
      </c>
      <c r="F845" s="28"/>
      <c r="G845" s="30" t="n">
        <v>0</v>
      </c>
      <c r="H845" s="28"/>
      <c r="I845" s="28"/>
      <c r="J845" s="29" t="n">
        <f aca="false">E845+F845+G845-H845-I845</f>
        <v>0</v>
      </c>
      <c r="K845" s="29" t="n">
        <f aca="false">ROUND(E845+F845+G845-H845-I845-J845,1)</f>
        <v>0</v>
      </c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160</v>
      </c>
      <c r="D846" s="18" t="s">
        <v>160</v>
      </c>
      <c r="E846" s="29" t="n">
        <f aca="false">J845</f>
        <v>0</v>
      </c>
      <c r="F846" s="28"/>
      <c r="G846" s="30" t="n">
        <v>0</v>
      </c>
      <c r="H846" s="28"/>
      <c r="I846" s="28"/>
      <c r="J846" s="29" t="n">
        <f aca="false">E846+F846+G846-H846-I846</f>
        <v>0</v>
      </c>
      <c r="K846" s="29" t="n">
        <f aca="false">ROUND(E846+F846+G846-H846-I846-J846,1)</f>
        <v>0</v>
      </c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160</v>
      </c>
      <c r="D847" s="18" t="s">
        <v>160</v>
      </c>
      <c r="E847" s="29" t="n">
        <f aca="false">J846</f>
        <v>0</v>
      </c>
      <c r="F847" s="28"/>
      <c r="G847" s="30" t="n">
        <v>0</v>
      </c>
      <c r="H847" s="28"/>
      <c r="I847" s="28"/>
      <c r="J847" s="29" t="n">
        <f aca="false">E847+F847+G847-H847-I847</f>
        <v>0</v>
      </c>
      <c r="K847" s="29" t="n">
        <f aca="false">ROUND(E847+F847+G847-H847-I847-J847,1)</f>
        <v>0</v>
      </c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160</v>
      </c>
      <c r="D848" s="18" t="s">
        <v>160</v>
      </c>
      <c r="E848" s="29" t="n">
        <f aca="false">J847</f>
        <v>0</v>
      </c>
      <c r="F848" s="28"/>
      <c r="G848" s="30" t="n">
        <v>0</v>
      </c>
      <c r="H848" s="28"/>
      <c r="I848" s="28"/>
      <c r="J848" s="29" t="n">
        <f aca="false">E848+F848+G848-H848-I848</f>
        <v>0</v>
      </c>
      <c r="K848" s="29" t="n">
        <f aca="false">ROUND(E848+F848+G848-H848-I848-J848,1)</f>
        <v>0</v>
      </c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160</v>
      </c>
      <c r="D849" s="18" t="s">
        <v>160</v>
      </c>
      <c r="E849" s="29" t="n">
        <f aca="false">J848</f>
        <v>0</v>
      </c>
      <c r="F849" s="28"/>
      <c r="G849" s="30" t="n">
        <v>0</v>
      </c>
      <c r="H849" s="28"/>
      <c r="I849" s="28"/>
      <c r="J849" s="29" t="n">
        <f aca="false">E849+F849+G849-H849-I849</f>
        <v>0</v>
      </c>
      <c r="K849" s="29" t="n">
        <f aca="false">ROUND(E849+F849+G849-H849-I849-J849,1)</f>
        <v>0</v>
      </c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160</v>
      </c>
      <c r="D850" s="18" t="s">
        <v>160</v>
      </c>
      <c r="E850" s="29" t="n">
        <f aca="false">J849</f>
        <v>0</v>
      </c>
      <c r="F850" s="28"/>
      <c r="G850" s="30" t="n">
        <v>0</v>
      </c>
      <c r="H850" s="28"/>
      <c r="I850" s="28"/>
      <c r="J850" s="29" t="n">
        <f aca="false">E850+F850+G850-H850-I850</f>
        <v>0</v>
      </c>
      <c r="K850" s="29" t="n">
        <f aca="false">ROUND(E850+F850+G850-H850-I850-J850,1)</f>
        <v>0</v>
      </c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160</v>
      </c>
      <c r="D851" s="18" t="s">
        <v>160</v>
      </c>
      <c r="E851" s="29" t="n">
        <f aca="false">J850</f>
        <v>0</v>
      </c>
      <c r="F851" s="28"/>
      <c r="G851" s="30" t="n">
        <v>0</v>
      </c>
      <c r="H851" s="28"/>
      <c r="I851" s="28"/>
      <c r="J851" s="29" t="n">
        <f aca="false">E851+F851+G851-H851-I851</f>
        <v>0</v>
      </c>
      <c r="K851" s="29" t="n">
        <f aca="false">ROUND(E851+F851+G851-H851-I851-J851,1)</f>
        <v>0</v>
      </c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160</v>
      </c>
      <c r="D852" s="18" t="s">
        <v>160</v>
      </c>
      <c r="E852" s="29" t="n">
        <f aca="false">J851</f>
        <v>0</v>
      </c>
      <c r="F852" s="28"/>
      <c r="G852" s="30" t="n">
        <v>0</v>
      </c>
      <c r="H852" s="28"/>
      <c r="I852" s="28"/>
      <c r="J852" s="29" t="n">
        <f aca="false">E852+F852+G852-H852-I852</f>
        <v>0</v>
      </c>
      <c r="K852" s="29" t="n">
        <f aca="false">ROUND(E852+F852+G852-H852-I852-J852,1)</f>
        <v>0</v>
      </c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160</v>
      </c>
      <c r="D853" s="18" t="s">
        <v>160</v>
      </c>
      <c r="E853" s="29" t="n">
        <f aca="false">J852</f>
        <v>0</v>
      </c>
      <c r="F853" s="28"/>
      <c r="G853" s="30" t="n">
        <v>0</v>
      </c>
      <c r="H853" s="28"/>
      <c r="I853" s="28"/>
      <c r="J853" s="29" t="n">
        <f aca="false">E853+F853+G853-H853-I853</f>
        <v>0</v>
      </c>
      <c r="K853" s="29" t="n">
        <f aca="false">ROUND(E853+F853+G853-H853-I853-J853,1)</f>
        <v>0</v>
      </c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160</v>
      </c>
      <c r="D854" s="18" t="s">
        <v>160</v>
      </c>
      <c r="E854" s="29" t="n">
        <f aca="false">J853</f>
        <v>0</v>
      </c>
      <c r="F854" s="28"/>
      <c r="G854" s="30" t="n">
        <v>0</v>
      </c>
      <c r="H854" s="28"/>
      <c r="I854" s="28"/>
      <c r="J854" s="29" t="n">
        <f aca="false">E854+F854+G854-H854-I854</f>
        <v>0</v>
      </c>
      <c r="K854" s="29" t="n">
        <f aca="false">ROUND(E854+F854+G854-H854-I854-J854,1)</f>
        <v>0</v>
      </c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160</v>
      </c>
      <c r="D855" s="18" t="s">
        <v>160</v>
      </c>
      <c r="E855" s="29" t="n">
        <f aca="false">J854</f>
        <v>0</v>
      </c>
      <c r="F855" s="28"/>
      <c r="G855" s="30" t="n">
        <v>0</v>
      </c>
      <c r="H855" s="28"/>
      <c r="I855" s="28"/>
      <c r="J855" s="29" t="n">
        <f aca="false">E855+F855+G855-H855-I855</f>
        <v>0</v>
      </c>
      <c r="K855" s="29" t="n">
        <f aca="false">ROUND(E855+F855+G855-H855-I855-J855,1)</f>
        <v>0</v>
      </c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160</v>
      </c>
      <c r="D856" s="18" t="s">
        <v>160</v>
      </c>
      <c r="E856" s="29" t="n">
        <f aca="false">J855</f>
        <v>0</v>
      </c>
      <c r="F856" s="28"/>
      <c r="G856" s="30" t="n">
        <v>0</v>
      </c>
      <c r="H856" s="28"/>
      <c r="I856" s="28"/>
      <c r="J856" s="29" t="n">
        <f aca="false">E856+F856+G856-H856-I856</f>
        <v>0</v>
      </c>
      <c r="K856" s="29" t="n">
        <f aca="false">ROUND(E856+F856+G856-H856-I856-J856,1)</f>
        <v>0</v>
      </c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160</v>
      </c>
      <c r="D857" s="18" t="s">
        <v>160</v>
      </c>
      <c r="E857" s="29" t="n">
        <f aca="false">J856</f>
        <v>0</v>
      </c>
      <c r="F857" s="28"/>
      <c r="G857" s="30" t="n">
        <v>0</v>
      </c>
      <c r="H857" s="28"/>
      <c r="I857" s="28"/>
      <c r="J857" s="29" t="n">
        <f aca="false">E857+F857+G857-H857-I857</f>
        <v>0</v>
      </c>
      <c r="K857" s="29" t="n">
        <f aca="false">ROUND(E857+F857+G857-H857-I857-J857,1)</f>
        <v>0</v>
      </c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160</v>
      </c>
      <c r="D858" s="18" t="s">
        <v>160</v>
      </c>
      <c r="E858" s="29" t="n">
        <f aca="false">J857</f>
        <v>0</v>
      </c>
      <c r="F858" s="28"/>
      <c r="G858" s="30" t="n">
        <v>0</v>
      </c>
      <c r="H858" s="28"/>
      <c r="I858" s="28"/>
      <c r="J858" s="29" t="n">
        <f aca="false">E858+F858+G858-H858-I858</f>
        <v>0</v>
      </c>
      <c r="K858" s="29" t="n">
        <f aca="false">ROUND(E858+F858+G858-H858-I858-J858,1)</f>
        <v>0</v>
      </c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160</v>
      </c>
      <c r="D859" s="18" t="s">
        <v>160</v>
      </c>
      <c r="E859" s="29" t="n">
        <f aca="false">J858</f>
        <v>0</v>
      </c>
      <c r="F859" s="28"/>
      <c r="G859" s="30" t="n">
        <v>0</v>
      </c>
      <c r="H859" s="28"/>
      <c r="I859" s="28"/>
      <c r="J859" s="29" t="n">
        <f aca="false">E859+F859+G859-H859-I859</f>
        <v>0</v>
      </c>
      <c r="K859" s="29" t="n">
        <f aca="false">ROUND(E859+F859+G859-H859-I859-J859,1)</f>
        <v>0</v>
      </c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160</v>
      </c>
      <c r="D860" s="18" t="s">
        <v>160</v>
      </c>
      <c r="E860" s="29" t="n">
        <f aca="false">J859</f>
        <v>0</v>
      </c>
      <c r="F860" s="28"/>
      <c r="G860" s="30" t="n">
        <v>0</v>
      </c>
      <c r="H860" s="28"/>
      <c r="I860" s="28"/>
      <c r="J860" s="29" t="n">
        <f aca="false">E860+F860+G860-H860-I860</f>
        <v>0</v>
      </c>
      <c r="K860" s="29" t="n">
        <f aca="false">ROUND(E860+F860+G860-H860-I860-J860,1)</f>
        <v>0</v>
      </c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160</v>
      </c>
      <c r="D861" s="18" t="s">
        <v>160</v>
      </c>
      <c r="E861" s="29" t="n">
        <f aca="false">J860</f>
        <v>0</v>
      </c>
      <c r="F861" s="28"/>
      <c r="G861" s="30" t="n">
        <v>0</v>
      </c>
      <c r="H861" s="28"/>
      <c r="I861" s="28"/>
      <c r="J861" s="29" t="n">
        <f aca="false">E861+F861+G861-H861-I861</f>
        <v>0</v>
      </c>
      <c r="K861" s="29" t="n">
        <f aca="false">ROUND(E861+F861+G861-H861-I861-J861,1)</f>
        <v>0</v>
      </c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160</v>
      </c>
      <c r="D862" s="18" t="s">
        <v>160</v>
      </c>
      <c r="E862" s="29" t="n">
        <f aca="false">J861</f>
        <v>0</v>
      </c>
      <c r="F862" s="28"/>
      <c r="G862" s="30" t="n">
        <v>0</v>
      </c>
      <c r="H862" s="28"/>
      <c r="I862" s="28"/>
      <c r="J862" s="29" t="n">
        <f aca="false">E862+F862+G862-H862-I862</f>
        <v>0</v>
      </c>
      <c r="K862" s="29" t="n">
        <f aca="false">ROUND(E862+F862+G862-H862-I862-J862,1)</f>
        <v>0</v>
      </c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160</v>
      </c>
      <c r="D863" s="18" t="s">
        <v>160</v>
      </c>
      <c r="E863" s="29" t="n">
        <f aca="false">J862</f>
        <v>0</v>
      </c>
      <c r="F863" s="28"/>
      <c r="G863" s="30" t="n">
        <v>0</v>
      </c>
      <c r="H863" s="28"/>
      <c r="I863" s="28"/>
      <c r="J863" s="29" t="n">
        <f aca="false">E863+F863+G863-H863-I863</f>
        <v>0</v>
      </c>
      <c r="K863" s="29" t="n">
        <f aca="false">ROUND(E863+F863+G863-H863-I863-J863,1)</f>
        <v>0</v>
      </c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160</v>
      </c>
      <c r="D864" s="18" t="s">
        <v>160</v>
      </c>
      <c r="E864" s="29" t="n">
        <f aca="false">J863</f>
        <v>0</v>
      </c>
      <c r="F864" s="28"/>
      <c r="G864" s="30" t="n">
        <v>0</v>
      </c>
      <c r="H864" s="28"/>
      <c r="I864" s="28"/>
      <c r="J864" s="29" t="n">
        <f aca="false">E864+F864+G864-H864-I864</f>
        <v>0</v>
      </c>
      <c r="K864" s="29" t="n">
        <f aca="false">ROUND(E864+F864+G864-H864-I864-J864,1)</f>
        <v>0</v>
      </c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160</v>
      </c>
      <c r="D865" s="18" t="s">
        <v>160</v>
      </c>
      <c r="E865" s="29" t="n">
        <f aca="false">J864</f>
        <v>0</v>
      </c>
      <c r="F865" s="28"/>
      <c r="G865" s="30" t="n">
        <v>0</v>
      </c>
      <c r="H865" s="28"/>
      <c r="I865" s="28"/>
      <c r="J865" s="29" t="n">
        <f aca="false">E865+F865+G865-H865-I865</f>
        <v>0</v>
      </c>
      <c r="K865" s="29" t="n">
        <f aca="false">ROUND(E865+F865+G865-H865-I865-J865,1)</f>
        <v>0</v>
      </c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160</v>
      </c>
      <c r="D866" s="18" t="s">
        <v>160</v>
      </c>
      <c r="E866" s="29" t="n">
        <f aca="false">J865</f>
        <v>0</v>
      </c>
      <c r="F866" s="28"/>
      <c r="G866" s="30" t="n">
        <v>0</v>
      </c>
      <c r="H866" s="28"/>
      <c r="I866" s="28"/>
      <c r="J866" s="29" t="n">
        <f aca="false">E866+F866+G866-H866-I866</f>
        <v>0</v>
      </c>
      <c r="K866" s="29" t="n">
        <f aca="false">ROUND(E866+F866+G866-H866-I866-J866,1)</f>
        <v>0</v>
      </c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160</v>
      </c>
      <c r="D867" s="18" t="s">
        <v>160</v>
      </c>
      <c r="E867" s="29" t="n">
        <f aca="false">J866</f>
        <v>0</v>
      </c>
      <c r="F867" s="28"/>
      <c r="G867" s="30" t="n">
        <v>0</v>
      </c>
      <c r="H867" s="28"/>
      <c r="I867" s="28"/>
      <c r="J867" s="29" t="n">
        <f aca="false">E867+F867+G867-H867-I867</f>
        <v>0</v>
      </c>
      <c r="K867" s="29" t="n">
        <f aca="false">ROUND(E867+F867+G867-H867-I867-J867,1)</f>
        <v>0</v>
      </c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160</v>
      </c>
      <c r="D868" s="18" t="s">
        <v>160</v>
      </c>
      <c r="E868" s="29" t="n">
        <f aca="false">J867</f>
        <v>0</v>
      </c>
      <c r="F868" s="28"/>
      <c r="G868" s="30" t="n">
        <v>0</v>
      </c>
      <c r="H868" s="28"/>
      <c r="I868" s="28"/>
      <c r="J868" s="29" t="n">
        <f aca="false">E868+F868+G868-H868-I868</f>
        <v>0</v>
      </c>
      <c r="K868" s="29" t="n">
        <f aca="false">ROUND(E868+F868+G868-H868-I868-J868,1)</f>
        <v>0</v>
      </c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160</v>
      </c>
      <c r="D869" s="18" t="s">
        <v>160</v>
      </c>
      <c r="E869" s="29" t="n">
        <f aca="false">J868</f>
        <v>0</v>
      </c>
      <c r="F869" s="28"/>
      <c r="G869" s="30" t="n">
        <v>0</v>
      </c>
      <c r="H869" s="28"/>
      <c r="I869" s="28"/>
      <c r="J869" s="29" t="n">
        <f aca="false">E869+F869+G869-H869-I869</f>
        <v>0</v>
      </c>
      <c r="K869" s="29" t="n">
        <f aca="false">ROUND(E869+F869+G869-H869-I869-J869,1)</f>
        <v>0</v>
      </c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160</v>
      </c>
      <c r="D870" s="18" t="s">
        <v>160</v>
      </c>
      <c r="E870" s="29" t="n">
        <f aca="false">J869</f>
        <v>0</v>
      </c>
      <c r="F870" s="28"/>
      <c r="G870" s="30" t="n">
        <v>0</v>
      </c>
      <c r="H870" s="28"/>
      <c r="I870" s="28"/>
      <c r="J870" s="29" t="n">
        <f aca="false">E870+F870+G870-H870-I870</f>
        <v>0</v>
      </c>
      <c r="K870" s="29" t="n">
        <f aca="false">ROUND(E870+F870+G870-H870-I870-J870,1)</f>
        <v>0</v>
      </c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160</v>
      </c>
      <c r="D871" s="18" t="s">
        <v>160</v>
      </c>
      <c r="E871" s="29" t="n">
        <f aca="false">J870</f>
        <v>0</v>
      </c>
      <c r="F871" s="28"/>
      <c r="G871" s="30" t="n">
        <v>0</v>
      </c>
      <c r="H871" s="28"/>
      <c r="I871" s="28"/>
      <c r="J871" s="29" t="n">
        <f aca="false">E871+F871+G871-H871-I871</f>
        <v>0</v>
      </c>
      <c r="K871" s="29" t="n">
        <f aca="false">ROUND(E871+F871+G871-H871-I871-J871,1)</f>
        <v>0</v>
      </c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160</v>
      </c>
      <c r="D872" s="18" t="s">
        <v>160</v>
      </c>
      <c r="E872" s="29" t="n">
        <f aca="false">J871</f>
        <v>0</v>
      </c>
      <c r="F872" s="28"/>
      <c r="G872" s="30" t="n">
        <v>0</v>
      </c>
      <c r="H872" s="28"/>
      <c r="I872" s="28"/>
      <c r="J872" s="29" t="n">
        <f aca="false">E872+F872+G872-H872-I872</f>
        <v>0</v>
      </c>
      <c r="K872" s="29" t="n">
        <f aca="false">ROUND(E872+F872+G872-H872-I872-J872,1)</f>
        <v>0</v>
      </c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160</v>
      </c>
      <c r="D873" s="18" t="s">
        <v>160</v>
      </c>
      <c r="E873" s="29" t="n">
        <f aca="false">J872</f>
        <v>0</v>
      </c>
      <c r="F873" s="28"/>
      <c r="G873" s="30" t="n">
        <v>0</v>
      </c>
      <c r="H873" s="28"/>
      <c r="I873" s="28"/>
      <c r="J873" s="29" t="n">
        <f aca="false">E873+F873+G873-H873-I873</f>
        <v>0</v>
      </c>
      <c r="K873" s="29" t="n">
        <f aca="false">ROUND(E873+F873+G873-H873-I873-J873,1)</f>
        <v>0</v>
      </c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160</v>
      </c>
      <c r="D874" s="18" t="s">
        <v>160</v>
      </c>
      <c r="E874" s="29" t="n">
        <f aca="false">J873</f>
        <v>0</v>
      </c>
      <c r="F874" s="28"/>
      <c r="G874" s="30" t="n">
        <v>0</v>
      </c>
      <c r="H874" s="28"/>
      <c r="I874" s="28"/>
      <c r="J874" s="29" t="n">
        <f aca="false">E874+F874+G874-H874-I874</f>
        <v>0</v>
      </c>
      <c r="K874" s="29" t="n">
        <f aca="false">ROUND(E874+F874+G874-H874-I874-J874,1)</f>
        <v>0</v>
      </c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160</v>
      </c>
      <c r="D875" s="18" t="s">
        <v>160</v>
      </c>
      <c r="E875" s="29" t="n">
        <f aca="false">J874</f>
        <v>0</v>
      </c>
      <c r="F875" s="28"/>
      <c r="G875" s="30" t="n">
        <v>0</v>
      </c>
      <c r="H875" s="28"/>
      <c r="I875" s="28"/>
      <c r="J875" s="29" t="n">
        <f aca="false">E875+F875+G875-H875-I875</f>
        <v>0</v>
      </c>
      <c r="K875" s="29" t="n">
        <f aca="false">ROUND(E875+F875+G875-H875-I875-J875,1)</f>
        <v>0</v>
      </c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160</v>
      </c>
      <c r="D876" s="18" t="s">
        <v>160</v>
      </c>
      <c r="E876" s="29" t="n">
        <f aca="false">J875</f>
        <v>0</v>
      </c>
      <c r="F876" s="28"/>
      <c r="G876" s="30" t="n">
        <v>0</v>
      </c>
      <c r="H876" s="28"/>
      <c r="I876" s="28"/>
      <c r="J876" s="29" t="n">
        <f aca="false">E876+F876+G876-H876-I876</f>
        <v>0</v>
      </c>
      <c r="K876" s="29" t="n">
        <f aca="false">ROUND(E876+F876+G876-H876-I876-J876,1)</f>
        <v>0</v>
      </c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160</v>
      </c>
      <c r="D877" s="18" t="s">
        <v>160</v>
      </c>
      <c r="E877" s="29" t="n">
        <f aca="false">J876</f>
        <v>0</v>
      </c>
      <c r="F877" s="28"/>
      <c r="G877" s="30" t="n">
        <v>0</v>
      </c>
      <c r="H877" s="28"/>
      <c r="I877" s="28"/>
      <c r="J877" s="29" t="n">
        <f aca="false">E877+F877+G877-H877-I877</f>
        <v>0</v>
      </c>
      <c r="K877" s="29" t="n">
        <f aca="false">ROUND(E877+F877+G877-H877-I877-J877,1)</f>
        <v>0</v>
      </c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160</v>
      </c>
      <c r="D878" s="18" t="s">
        <v>160</v>
      </c>
      <c r="E878" s="29" t="n">
        <f aca="false">J877</f>
        <v>0</v>
      </c>
      <c r="F878" s="28"/>
      <c r="G878" s="30" t="n">
        <v>0</v>
      </c>
      <c r="H878" s="28"/>
      <c r="I878" s="28"/>
      <c r="J878" s="29" t="n">
        <f aca="false">E878+F878+G878-H878-I878</f>
        <v>0</v>
      </c>
      <c r="K878" s="29" t="n">
        <f aca="false">ROUND(E878+F878+G878-H878-I878-J878,1)</f>
        <v>0</v>
      </c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160</v>
      </c>
      <c r="D879" s="18" t="s">
        <v>160</v>
      </c>
      <c r="E879" s="29" t="n">
        <f aca="false">J878</f>
        <v>0</v>
      </c>
      <c r="F879" s="28"/>
      <c r="G879" s="30" t="n">
        <v>0</v>
      </c>
      <c r="H879" s="28"/>
      <c r="I879" s="28"/>
      <c r="J879" s="29" t="n">
        <f aca="false">E879+F879+G879-H879-I879</f>
        <v>0</v>
      </c>
      <c r="K879" s="29" t="n">
        <f aca="false">ROUND(E879+F879+G879-H879-I879-J879,1)</f>
        <v>0</v>
      </c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160</v>
      </c>
      <c r="D880" s="18" t="s">
        <v>160</v>
      </c>
      <c r="E880" s="29" t="n">
        <f aca="false">J879</f>
        <v>0</v>
      </c>
      <c r="F880" s="28"/>
      <c r="G880" s="30" t="n">
        <v>0</v>
      </c>
      <c r="H880" s="28"/>
      <c r="I880" s="28"/>
      <c r="J880" s="29" t="n">
        <f aca="false">E880+F880+G880-H880-I880</f>
        <v>0</v>
      </c>
      <c r="K880" s="29" t="n">
        <f aca="false">ROUND(E880+F880+G880-H880-I880-J880,1)</f>
        <v>0</v>
      </c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160</v>
      </c>
      <c r="D881" s="18" t="s">
        <v>160</v>
      </c>
      <c r="E881" s="29" t="n">
        <f aca="false">J880</f>
        <v>0</v>
      </c>
      <c r="F881" s="28"/>
      <c r="G881" s="30" t="n">
        <v>0</v>
      </c>
      <c r="H881" s="28"/>
      <c r="I881" s="28"/>
      <c r="J881" s="29" t="n">
        <f aca="false">E881+F881+G881-H881-I881</f>
        <v>0</v>
      </c>
      <c r="K881" s="29" t="n">
        <f aca="false">ROUND(E881+F881+G881-H881-I881-J881,1)</f>
        <v>0</v>
      </c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160</v>
      </c>
      <c r="D882" s="18" t="s">
        <v>160</v>
      </c>
      <c r="E882" s="29" t="n">
        <f aca="false">J881</f>
        <v>0</v>
      </c>
      <c r="F882" s="28"/>
      <c r="G882" s="30" t="n">
        <v>0</v>
      </c>
      <c r="H882" s="28"/>
      <c r="I882" s="28"/>
      <c r="J882" s="29" t="n">
        <f aca="false">E882+F882+G882-H882-I882</f>
        <v>0</v>
      </c>
      <c r="K882" s="29" t="n">
        <f aca="false">ROUND(E882+F882+G882-H882-I882-J882,1)</f>
        <v>0</v>
      </c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160</v>
      </c>
      <c r="D883" s="18" t="s">
        <v>160</v>
      </c>
      <c r="E883" s="29" t="n">
        <f aca="false">J882</f>
        <v>0</v>
      </c>
      <c r="F883" s="28"/>
      <c r="G883" s="30" t="n">
        <v>0</v>
      </c>
      <c r="H883" s="28"/>
      <c r="I883" s="28"/>
      <c r="J883" s="29" t="n">
        <f aca="false">E883+F883+G883-H883-I883</f>
        <v>0</v>
      </c>
      <c r="K883" s="29" t="n">
        <f aca="false">ROUND(E883+F883+G883-H883-I883-J883,1)</f>
        <v>0</v>
      </c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160</v>
      </c>
      <c r="D884" s="18" t="s">
        <v>160</v>
      </c>
      <c r="E884" s="29" t="n">
        <f aca="false">J883</f>
        <v>0</v>
      </c>
      <c r="F884" s="28"/>
      <c r="G884" s="30" t="n">
        <v>0</v>
      </c>
      <c r="H884" s="28"/>
      <c r="I884" s="28"/>
      <c r="J884" s="29" t="n">
        <f aca="false">E884+F884+G884-H884-I884</f>
        <v>0</v>
      </c>
      <c r="K884" s="29" t="n">
        <f aca="false">ROUND(E884+F884+G884-H884-I884-J884,1)</f>
        <v>0</v>
      </c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160</v>
      </c>
      <c r="D885" s="18" t="s">
        <v>160</v>
      </c>
      <c r="E885" s="29" t="n">
        <f aca="false">J884</f>
        <v>0</v>
      </c>
      <c r="F885" s="28"/>
      <c r="G885" s="30" t="n">
        <v>0</v>
      </c>
      <c r="H885" s="28"/>
      <c r="I885" s="28"/>
      <c r="J885" s="29" t="n">
        <f aca="false">E885+F885+G885-H885-I885</f>
        <v>0</v>
      </c>
      <c r="K885" s="29" t="n">
        <f aca="false">ROUND(E885+F885+G885-H885-I885-J885,1)</f>
        <v>0</v>
      </c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160</v>
      </c>
      <c r="D886" s="18" t="s">
        <v>160</v>
      </c>
      <c r="E886" s="29" t="n">
        <f aca="false">J885</f>
        <v>0</v>
      </c>
      <c r="F886" s="28"/>
      <c r="G886" s="30" t="n">
        <v>0</v>
      </c>
      <c r="H886" s="28"/>
      <c r="I886" s="28"/>
      <c r="J886" s="29" t="n">
        <f aca="false">E886+F886+G886-H886-I886</f>
        <v>0</v>
      </c>
      <c r="K886" s="29" t="n">
        <f aca="false">ROUND(E886+F886+G886-H886-I886-J886,1)</f>
        <v>0</v>
      </c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160</v>
      </c>
      <c r="D887" s="18" t="s">
        <v>160</v>
      </c>
      <c r="E887" s="29" t="n">
        <f aca="false">J886</f>
        <v>0</v>
      </c>
      <c r="F887" s="28"/>
      <c r="G887" s="30" t="n">
        <v>0</v>
      </c>
      <c r="H887" s="28"/>
      <c r="I887" s="28"/>
      <c r="J887" s="29" t="n">
        <f aca="false">E887+F887+G887-H887-I887</f>
        <v>0</v>
      </c>
      <c r="K887" s="29" t="n">
        <f aca="false">ROUND(E887+F887+G887-H887-I887-J887,1)</f>
        <v>0</v>
      </c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160</v>
      </c>
      <c r="D888" s="18" t="s">
        <v>160</v>
      </c>
      <c r="E888" s="29" t="n">
        <f aca="false">J887</f>
        <v>0</v>
      </c>
      <c r="F888" s="28"/>
      <c r="G888" s="30" t="n">
        <v>0</v>
      </c>
      <c r="H888" s="28"/>
      <c r="I888" s="28"/>
      <c r="J888" s="29" t="n">
        <f aca="false">E888+F888+G888-H888-I888</f>
        <v>0</v>
      </c>
      <c r="K888" s="29" t="n">
        <f aca="false">ROUND(E888+F888+G888-H888-I888-J888,1)</f>
        <v>0</v>
      </c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160</v>
      </c>
      <c r="D889" s="18" t="s">
        <v>160</v>
      </c>
      <c r="E889" s="29" t="n">
        <f aca="false">J888</f>
        <v>0</v>
      </c>
      <c r="F889" s="28"/>
      <c r="G889" s="30" t="n">
        <v>0</v>
      </c>
      <c r="H889" s="28"/>
      <c r="I889" s="28"/>
      <c r="J889" s="29" t="n">
        <f aca="false">E889+F889+G889-H889-I889</f>
        <v>0</v>
      </c>
      <c r="K889" s="29" t="n">
        <f aca="false">ROUND(E889+F889+G889-H889-I889-J889,1)</f>
        <v>0</v>
      </c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160</v>
      </c>
      <c r="D890" s="18" t="s">
        <v>160</v>
      </c>
      <c r="E890" s="29" t="n">
        <f aca="false">J889</f>
        <v>0</v>
      </c>
      <c r="F890" s="28"/>
      <c r="G890" s="30" t="n">
        <v>0</v>
      </c>
      <c r="H890" s="28"/>
      <c r="I890" s="28"/>
      <c r="J890" s="29" t="n">
        <f aca="false">E890+F890+G890-H890-I890</f>
        <v>0</v>
      </c>
      <c r="K890" s="29" t="n">
        <f aca="false">ROUND(E890+F890+G890-H890-I890-J890,1)</f>
        <v>0</v>
      </c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160</v>
      </c>
      <c r="D891" s="18" t="s">
        <v>160</v>
      </c>
      <c r="E891" s="29" t="n">
        <f aca="false">J890</f>
        <v>0</v>
      </c>
      <c r="F891" s="28"/>
      <c r="G891" s="30" t="n">
        <v>0</v>
      </c>
      <c r="H891" s="28"/>
      <c r="I891" s="28"/>
      <c r="J891" s="29" t="n">
        <f aca="false">E891+F891+G891-H891-I891</f>
        <v>0</v>
      </c>
      <c r="K891" s="29" t="n">
        <f aca="false">ROUND(E891+F891+G891-H891-I891-J891,1)</f>
        <v>0</v>
      </c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160</v>
      </c>
      <c r="D892" s="18" t="s">
        <v>160</v>
      </c>
      <c r="E892" s="29" t="n">
        <f aca="false">J891</f>
        <v>0</v>
      </c>
      <c r="F892" s="28"/>
      <c r="G892" s="30" t="n">
        <v>0</v>
      </c>
      <c r="H892" s="28"/>
      <c r="I892" s="28"/>
      <c r="J892" s="29" t="n">
        <f aca="false">E892+F892+G892-H892-I892</f>
        <v>0</v>
      </c>
      <c r="K892" s="29" t="n">
        <f aca="false">ROUND(E892+F892+G892-H892-I892-J892,1)</f>
        <v>0</v>
      </c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160</v>
      </c>
      <c r="D893" s="18" t="s">
        <v>160</v>
      </c>
      <c r="E893" s="29" t="n">
        <f aca="false">J892</f>
        <v>0</v>
      </c>
      <c r="F893" s="28"/>
      <c r="G893" s="30" t="n">
        <v>0</v>
      </c>
      <c r="H893" s="28"/>
      <c r="I893" s="28"/>
      <c r="J893" s="29" t="n">
        <f aca="false">E893+F893+G893-H893-I893</f>
        <v>0</v>
      </c>
      <c r="K893" s="29" t="n">
        <f aca="false">ROUND(E893+F893+G893-H893-I893-J893,1)</f>
        <v>0</v>
      </c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160</v>
      </c>
      <c r="D894" s="18" t="s">
        <v>160</v>
      </c>
      <c r="E894" s="29" t="n">
        <f aca="false">J893</f>
        <v>0</v>
      </c>
      <c r="F894" s="28"/>
      <c r="G894" s="30" t="n">
        <v>0</v>
      </c>
      <c r="H894" s="28"/>
      <c r="I894" s="28"/>
      <c r="J894" s="29" t="n">
        <f aca="false">E894+F894+G894-H894-I894</f>
        <v>0</v>
      </c>
      <c r="K894" s="29" t="n">
        <f aca="false">ROUND(E894+F894+G894-H894-I894-J894,1)</f>
        <v>0</v>
      </c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160</v>
      </c>
      <c r="D895" s="18" t="s">
        <v>160</v>
      </c>
      <c r="E895" s="29" t="n">
        <f aca="false">J894</f>
        <v>0</v>
      </c>
      <c r="F895" s="28"/>
      <c r="G895" s="30" t="n">
        <v>0</v>
      </c>
      <c r="H895" s="28"/>
      <c r="I895" s="28"/>
      <c r="J895" s="29" t="n">
        <f aca="false">E895+F895+G895-H895-I895</f>
        <v>0</v>
      </c>
      <c r="K895" s="29" t="n">
        <f aca="false">ROUND(E895+F895+G895-H895-I895-J895,1)</f>
        <v>0</v>
      </c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160</v>
      </c>
      <c r="D896" s="18" t="s">
        <v>160</v>
      </c>
      <c r="E896" s="29" t="n">
        <f aca="false">J895</f>
        <v>0</v>
      </c>
      <c r="F896" s="28"/>
      <c r="G896" s="30" t="n">
        <v>0</v>
      </c>
      <c r="H896" s="28"/>
      <c r="I896" s="28"/>
      <c r="J896" s="29" t="n">
        <f aca="false">E896+F896+G896-H896-I896</f>
        <v>0</v>
      </c>
      <c r="K896" s="29" t="n">
        <f aca="false">ROUND(E896+F896+G896-H896-I896-J896,1)</f>
        <v>0</v>
      </c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160</v>
      </c>
      <c r="D897" s="18" t="s">
        <v>160</v>
      </c>
      <c r="E897" s="29" t="n">
        <f aca="false">J896</f>
        <v>0</v>
      </c>
      <c r="F897" s="28"/>
      <c r="G897" s="30" t="n">
        <v>0</v>
      </c>
      <c r="H897" s="28"/>
      <c r="I897" s="28"/>
      <c r="J897" s="29" t="n">
        <f aca="false">E897+F897+G897-H897-I897</f>
        <v>0</v>
      </c>
      <c r="K897" s="29" t="n">
        <f aca="false">ROUND(E897+F897+G897-H897-I897-J897,1)</f>
        <v>0</v>
      </c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160</v>
      </c>
      <c r="D898" s="18" t="s">
        <v>160</v>
      </c>
      <c r="E898" s="29" t="n">
        <f aca="false">J897</f>
        <v>0</v>
      </c>
      <c r="F898" s="28"/>
      <c r="G898" s="30" t="n">
        <v>0</v>
      </c>
      <c r="H898" s="28"/>
      <c r="I898" s="28"/>
      <c r="J898" s="29" t="n">
        <f aca="false">E898+F898+G898-H898-I898</f>
        <v>0</v>
      </c>
      <c r="K898" s="29" t="n">
        <f aca="false">ROUND(E898+F898+G898-H898-I898-J898,1)</f>
        <v>0</v>
      </c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160</v>
      </c>
      <c r="D899" s="18" t="s">
        <v>160</v>
      </c>
      <c r="E899" s="29" t="n">
        <f aca="false">J898</f>
        <v>0</v>
      </c>
      <c r="F899" s="28"/>
      <c r="G899" s="30" t="n">
        <v>0</v>
      </c>
      <c r="H899" s="28"/>
      <c r="I899" s="28"/>
      <c r="J899" s="29" t="n">
        <f aca="false">E899+F899+G899-H899-I899</f>
        <v>0</v>
      </c>
      <c r="K899" s="29" t="n">
        <f aca="false">ROUND(E899+F899+G899-H899-I899-J899,1)</f>
        <v>0</v>
      </c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160</v>
      </c>
      <c r="D900" s="18" t="s">
        <v>160</v>
      </c>
      <c r="E900" s="29" t="n">
        <f aca="false">J899</f>
        <v>0</v>
      </c>
      <c r="F900" s="28"/>
      <c r="G900" s="30" t="n">
        <v>0</v>
      </c>
      <c r="H900" s="28"/>
      <c r="I900" s="28"/>
      <c r="J900" s="29" t="n">
        <f aca="false">E900+F900+G900-H900-I900</f>
        <v>0</v>
      </c>
      <c r="K900" s="29" t="n">
        <f aca="false">ROUND(E900+F900+G900-H900-I900-J900,1)</f>
        <v>0</v>
      </c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160</v>
      </c>
      <c r="D901" s="18" t="s">
        <v>160</v>
      </c>
      <c r="E901" s="29" t="n">
        <f aca="false">J900</f>
        <v>0</v>
      </c>
      <c r="F901" s="28"/>
      <c r="G901" s="30" t="n">
        <v>0</v>
      </c>
      <c r="H901" s="28"/>
      <c r="I901" s="28"/>
      <c r="J901" s="29" t="n">
        <f aca="false">E901+F901+G901-H901-I901</f>
        <v>0</v>
      </c>
      <c r="K901" s="29" t="n">
        <f aca="false">ROUND(E901+F901+G901-H901-I901-J901,1)</f>
        <v>0</v>
      </c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160</v>
      </c>
      <c r="D902" s="18" t="s">
        <v>160</v>
      </c>
      <c r="E902" s="29" t="n">
        <f aca="false">J901</f>
        <v>0</v>
      </c>
      <c r="F902" s="28"/>
      <c r="G902" s="30" t="n">
        <v>0</v>
      </c>
      <c r="H902" s="28"/>
      <c r="I902" s="28"/>
      <c r="J902" s="29" t="n">
        <f aca="false">E902+F902+G902-H902-I902</f>
        <v>0</v>
      </c>
      <c r="K902" s="29" t="n">
        <f aca="false">ROUND(E902+F902+G902-H902-I902-J902,1)</f>
        <v>0</v>
      </c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160</v>
      </c>
      <c r="D903" s="18" t="s">
        <v>160</v>
      </c>
      <c r="E903" s="29" t="n">
        <f aca="false">J902</f>
        <v>0</v>
      </c>
      <c r="F903" s="28"/>
      <c r="G903" s="30" t="n">
        <v>0</v>
      </c>
      <c r="H903" s="28"/>
      <c r="I903" s="28"/>
      <c r="J903" s="29" t="n">
        <f aca="false">E903+F903+G903-H903-I903</f>
        <v>0</v>
      </c>
      <c r="K903" s="29" t="n">
        <f aca="false">ROUND(E903+F903+G903-H903-I903-J903,1)</f>
        <v>0</v>
      </c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160</v>
      </c>
      <c r="D904" s="18" t="s">
        <v>160</v>
      </c>
      <c r="E904" s="29" t="n">
        <f aca="false">J903</f>
        <v>0</v>
      </c>
      <c r="F904" s="28"/>
      <c r="G904" s="30" t="n">
        <v>0</v>
      </c>
      <c r="H904" s="28"/>
      <c r="I904" s="28"/>
      <c r="J904" s="29" t="n">
        <f aca="false">E904+F904+G904-H904-I904</f>
        <v>0</v>
      </c>
      <c r="K904" s="29" t="n">
        <f aca="false">ROUND(E904+F904+G904-H904-I904-J904,1)</f>
        <v>0</v>
      </c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160</v>
      </c>
      <c r="D905" s="18" t="s">
        <v>160</v>
      </c>
      <c r="E905" s="29" t="n">
        <f aca="false">J904</f>
        <v>0</v>
      </c>
      <c r="F905" s="28"/>
      <c r="G905" s="30" t="n">
        <v>0</v>
      </c>
      <c r="H905" s="28"/>
      <c r="I905" s="28"/>
      <c r="J905" s="29" t="n">
        <f aca="false">E905+F905+G905-H905-I905</f>
        <v>0</v>
      </c>
      <c r="K905" s="29" t="n">
        <f aca="false">ROUND(E905+F905+G905-H905-I905-J905,1)</f>
        <v>0</v>
      </c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160</v>
      </c>
      <c r="D906" s="18" t="s">
        <v>160</v>
      </c>
      <c r="E906" s="29" t="n">
        <f aca="false">J905</f>
        <v>0</v>
      </c>
      <c r="F906" s="28"/>
      <c r="G906" s="30" t="n">
        <v>0</v>
      </c>
      <c r="H906" s="28"/>
      <c r="I906" s="28"/>
      <c r="J906" s="29" t="n">
        <f aca="false">E906+F906+G906-H906-I906</f>
        <v>0</v>
      </c>
      <c r="K906" s="29" t="n">
        <f aca="false">ROUND(E906+F906+G906-H906-I906-J906,1)</f>
        <v>0</v>
      </c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160</v>
      </c>
      <c r="D907" s="18" t="s">
        <v>160</v>
      </c>
      <c r="E907" s="29" t="n">
        <f aca="false">J906</f>
        <v>0</v>
      </c>
      <c r="F907" s="28"/>
      <c r="G907" s="30" t="n">
        <v>0</v>
      </c>
      <c r="H907" s="28"/>
      <c r="I907" s="28"/>
      <c r="J907" s="29" t="n">
        <f aca="false">E907+F907+G907-H907-I907</f>
        <v>0</v>
      </c>
      <c r="K907" s="29" t="n">
        <f aca="false">ROUND(E907+F907+G907-H907-I907-J907,1)</f>
        <v>0</v>
      </c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160</v>
      </c>
      <c r="D908" s="18" t="s">
        <v>160</v>
      </c>
      <c r="E908" s="29" t="n">
        <f aca="false">J907</f>
        <v>0</v>
      </c>
      <c r="F908" s="28"/>
      <c r="G908" s="30" t="n">
        <v>0</v>
      </c>
      <c r="H908" s="28"/>
      <c r="I908" s="28"/>
      <c r="J908" s="29" t="n">
        <f aca="false">E908+F908+G908-H908-I908</f>
        <v>0</v>
      </c>
      <c r="K908" s="29" t="n">
        <f aca="false">ROUND(E908+F908+G908-H908-I908-J908,1)</f>
        <v>0</v>
      </c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160</v>
      </c>
      <c r="D909" s="18" t="s">
        <v>160</v>
      </c>
      <c r="E909" s="29" t="n">
        <f aca="false">J908</f>
        <v>0</v>
      </c>
      <c r="F909" s="28"/>
      <c r="G909" s="30" t="n">
        <v>0</v>
      </c>
      <c r="H909" s="28"/>
      <c r="I909" s="28"/>
      <c r="J909" s="29" t="n">
        <f aca="false">E909+F909+G909-H909-I909</f>
        <v>0</v>
      </c>
      <c r="K909" s="29" t="n">
        <f aca="false">ROUND(E909+F909+G909-H909-I909-J909,1)</f>
        <v>0</v>
      </c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160</v>
      </c>
      <c r="D910" s="18" t="s">
        <v>160</v>
      </c>
      <c r="E910" s="29" t="n">
        <f aca="false">J909</f>
        <v>0</v>
      </c>
      <c r="F910" s="28"/>
      <c r="G910" s="30" t="n">
        <v>0</v>
      </c>
      <c r="H910" s="28"/>
      <c r="I910" s="28"/>
      <c r="J910" s="29" t="n">
        <f aca="false">E910+F910+G910-H910-I910</f>
        <v>0</v>
      </c>
      <c r="K910" s="29" t="n">
        <f aca="false">ROUND(E910+F910+G910-H910-I910-J910,1)</f>
        <v>0</v>
      </c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160</v>
      </c>
      <c r="D911" s="18" t="s">
        <v>160</v>
      </c>
      <c r="E911" s="29" t="n">
        <f aca="false">J910</f>
        <v>0</v>
      </c>
      <c r="F911" s="28"/>
      <c r="G911" s="30" t="n">
        <v>0</v>
      </c>
      <c r="H911" s="28"/>
      <c r="I911" s="28"/>
      <c r="J911" s="29" t="n">
        <f aca="false">E911+F911+G911-H911-I911</f>
        <v>0</v>
      </c>
      <c r="K911" s="29" t="n">
        <f aca="false">ROUND(E911+F911+G911-H911-I911-J911,1)</f>
        <v>0</v>
      </c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160</v>
      </c>
      <c r="D912" s="18" t="s">
        <v>160</v>
      </c>
      <c r="E912" s="29" t="n">
        <f aca="false">J911</f>
        <v>0</v>
      </c>
      <c r="F912" s="28"/>
      <c r="G912" s="30" t="n">
        <v>0</v>
      </c>
      <c r="H912" s="28"/>
      <c r="I912" s="28"/>
      <c r="J912" s="29" t="n">
        <f aca="false">E912+F912+G912-H912-I912</f>
        <v>0</v>
      </c>
      <c r="K912" s="29" t="n">
        <f aca="false">ROUND(E912+F912+G912-H912-I912-J912,1)</f>
        <v>0</v>
      </c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160</v>
      </c>
      <c r="D913" s="18" t="s">
        <v>160</v>
      </c>
      <c r="E913" s="29" t="n">
        <f aca="false">J912</f>
        <v>0</v>
      </c>
      <c r="F913" s="28"/>
      <c r="G913" s="30" t="n">
        <v>0</v>
      </c>
      <c r="H913" s="28"/>
      <c r="I913" s="28"/>
      <c r="J913" s="29" t="n">
        <f aca="false">E913+F913+G913-H913-I913</f>
        <v>0</v>
      </c>
      <c r="K913" s="29" t="n">
        <f aca="false">ROUND(E913+F913+G913-H913-I913-J913,1)</f>
        <v>0</v>
      </c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160</v>
      </c>
      <c r="D914" s="18" t="s">
        <v>160</v>
      </c>
      <c r="E914" s="29" t="n">
        <f aca="false">J913</f>
        <v>0</v>
      </c>
      <c r="F914" s="28"/>
      <c r="G914" s="30" t="n">
        <v>0</v>
      </c>
      <c r="H914" s="28"/>
      <c r="I914" s="28"/>
      <c r="J914" s="29" t="n">
        <f aca="false">E914+F914+G914-H914-I914</f>
        <v>0</v>
      </c>
      <c r="K914" s="29" t="n">
        <f aca="false">ROUND(E914+F914+G914-H914-I914-J914,1)</f>
        <v>0</v>
      </c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160</v>
      </c>
      <c r="D915" s="18" t="s">
        <v>160</v>
      </c>
      <c r="E915" s="29" t="n">
        <f aca="false">J914</f>
        <v>0</v>
      </c>
      <c r="F915" s="28"/>
      <c r="G915" s="30" t="n">
        <v>0</v>
      </c>
      <c r="H915" s="28"/>
      <c r="I915" s="28"/>
      <c r="J915" s="29" t="n">
        <f aca="false">E915+F915+G915-H915-I915</f>
        <v>0</v>
      </c>
      <c r="K915" s="29" t="n">
        <f aca="false">ROUND(E915+F915+G915-H915-I915-J915,1)</f>
        <v>0</v>
      </c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160</v>
      </c>
      <c r="D916" s="18" t="s">
        <v>160</v>
      </c>
      <c r="E916" s="29" t="n">
        <f aca="false">J915</f>
        <v>0</v>
      </c>
      <c r="F916" s="28"/>
      <c r="G916" s="30" t="n">
        <v>0</v>
      </c>
      <c r="H916" s="28"/>
      <c r="I916" s="28"/>
      <c r="J916" s="29" t="n">
        <f aca="false">E916+F916+G916-H916-I916</f>
        <v>0</v>
      </c>
      <c r="K916" s="29" t="n">
        <f aca="false">ROUND(E916+F916+G916-H916-I916-J916,1)</f>
        <v>0</v>
      </c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160</v>
      </c>
      <c r="D917" s="18" t="s">
        <v>160</v>
      </c>
      <c r="E917" s="29" t="n">
        <f aca="false">J916</f>
        <v>0</v>
      </c>
      <c r="F917" s="28"/>
      <c r="G917" s="30" t="n">
        <v>0</v>
      </c>
      <c r="H917" s="28"/>
      <c r="I917" s="28"/>
      <c r="J917" s="29" t="n">
        <f aca="false">E917+F917+G917-H917-I917</f>
        <v>0</v>
      </c>
      <c r="K917" s="29" t="n">
        <f aca="false">ROUND(E917+F917+G917-H917-I917-J917,1)</f>
        <v>0</v>
      </c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160</v>
      </c>
      <c r="D918" s="18" t="s">
        <v>160</v>
      </c>
      <c r="E918" s="29" t="n">
        <f aca="false">J917</f>
        <v>0</v>
      </c>
      <c r="F918" s="28"/>
      <c r="G918" s="30" t="n">
        <v>0</v>
      </c>
      <c r="H918" s="28"/>
      <c r="I918" s="28"/>
      <c r="J918" s="29" t="n">
        <f aca="false">E918+F918+G918-H918-I918</f>
        <v>0</v>
      </c>
      <c r="K918" s="29" t="n">
        <f aca="false">ROUND(E918+F918+G918-H918-I918-J918,1)</f>
        <v>0</v>
      </c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160</v>
      </c>
      <c r="D919" s="18" t="s">
        <v>160</v>
      </c>
      <c r="E919" s="29" t="n">
        <f aca="false">J918</f>
        <v>0</v>
      </c>
      <c r="F919" s="28"/>
      <c r="G919" s="30" t="n">
        <v>0</v>
      </c>
      <c r="H919" s="28"/>
      <c r="I919" s="28"/>
      <c r="J919" s="29" t="n">
        <f aca="false">E919+F919+G919-H919-I919</f>
        <v>0</v>
      </c>
      <c r="K919" s="29" t="n">
        <f aca="false">ROUND(E919+F919+G919-H919-I919-J919,1)</f>
        <v>0</v>
      </c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160</v>
      </c>
      <c r="D920" s="18" t="s">
        <v>160</v>
      </c>
      <c r="E920" s="29" t="n">
        <f aca="false">J919</f>
        <v>0</v>
      </c>
      <c r="F920" s="28"/>
      <c r="G920" s="30" t="n">
        <v>0</v>
      </c>
      <c r="H920" s="28"/>
      <c r="I920" s="28"/>
      <c r="J920" s="29" t="n">
        <f aca="false">E920+F920+G920-H920-I920</f>
        <v>0</v>
      </c>
      <c r="K920" s="29" t="n">
        <f aca="false">ROUND(E920+F920+G920-H920-I920-J920,1)</f>
        <v>0</v>
      </c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160</v>
      </c>
      <c r="D921" s="18" t="s">
        <v>160</v>
      </c>
      <c r="E921" s="29" t="n">
        <f aca="false">J920</f>
        <v>0</v>
      </c>
      <c r="F921" s="28"/>
      <c r="G921" s="30" t="n">
        <v>0</v>
      </c>
      <c r="H921" s="28"/>
      <c r="I921" s="28"/>
      <c r="J921" s="29" t="n">
        <f aca="false">E921+F921+G921-H921-I921</f>
        <v>0</v>
      </c>
      <c r="K921" s="29" t="n">
        <f aca="false">ROUND(E921+F921+G921-H921-I921-J921,1)</f>
        <v>0</v>
      </c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160</v>
      </c>
      <c r="D922" s="18" t="s">
        <v>160</v>
      </c>
      <c r="E922" s="29" t="n">
        <f aca="false">J921</f>
        <v>0</v>
      </c>
      <c r="F922" s="28"/>
      <c r="G922" s="30" t="n">
        <v>0</v>
      </c>
      <c r="H922" s="28"/>
      <c r="I922" s="28"/>
      <c r="J922" s="29" t="n">
        <f aca="false">E922+F922+G922-H922-I922</f>
        <v>0</v>
      </c>
      <c r="K922" s="29" t="n">
        <f aca="false">ROUND(E922+F922+G922-H922-I922-J922,1)</f>
        <v>0</v>
      </c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160</v>
      </c>
      <c r="D923" s="18" t="s">
        <v>160</v>
      </c>
      <c r="E923" s="29" t="n">
        <f aca="false">J922</f>
        <v>0</v>
      </c>
      <c r="F923" s="28"/>
      <c r="G923" s="30" t="n">
        <v>0</v>
      </c>
      <c r="H923" s="28"/>
      <c r="I923" s="28"/>
      <c r="J923" s="29" t="n">
        <f aca="false">E923+F923+G923-H923-I923</f>
        <v>0</v>
      </c>
      <c r="K923" s="29" t="n">
        <f aca="false">ROUND(E923+F923+G923-H923-I923-J923,1)</f>
        <v>0</v>
      </c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160</v>
      </c>
      <c r="D924" s="18" t="s">
        <v>160</v>
      </c>
      <c r="E924" s="29" t="n">
        <f aca="false">J923</f>
        <v>0</v>
      </c>
      <c r="F924" s="28"/>
      <c r="G924" s="30" t="n">
        <v>0</v>
      </c>
      <c r="H924" s="28"/>
      <c r="I924" s="28"/>
      <c r="J924" s="29" t="n">
        <f aca="false">E924+F924+G924-H924-I924</f>
        <v>0</v>
      </c>
      <c r="K924" s="29" t="n">
        <f aca="false">ROUND(E924+F924+G924-H924-I924-J924,1)</f>
        <v>0</v>
      </c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160</v>
      </c>
      <c r="D925" s="18" t="s">
        <v>160</v>
      </c>
      <c r="E925" s="29" t="n">
        <f aca="false">J924</f>
        <v>0</v>
      </c>
      <c r="F925" s="28"/>
      <c r="G925" s="30" t="n">
        <v>0</v>
      </c>
      <c r="H925" s="28"/>
      <c r="I925" s="28"/>
      <c r="J925" s="29" t="n">
        <f aca="false">E925+F925+G925-H925-I925</f>
        <v>0</v>
      </c>
      <c r="K925" s="29" t="n">
        <f aca="false">ROUND(E925+F925+G925-H925-I925-J925,1)</f>
        <v>0</v>
      </c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160</v>
      </c>
      <c r="D926" s="18" t="s">
        <v>160</v>
      </c>
      <c r="E926" s="29" t="n">
        <f aca="false">J925</f>
        <v>0</v>
      </c>
      <c r="F926" s="28"/>
      <c r="G926" s="30" t="n">
        <v>0</v>
      </c>
      <c r="H926" s="28"/>
      <c r="I926" s="28"/>
      <c r="J926" s="29" t="n">
        <f aca="false">E926+F926+G926-H926-I926</f>
        <v>0</v>
      </c>
      <c r="K926" s="29" t="n">
        <f aca="false">ROUND(E926+F926+G926-H926-I926-J926,1)</f>
        <v>0</v>
      </c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160</v>
      </c>
      <c r="D927" s="18" t="s">
        <v>160</v>
      </c>
      <c r="E927" s="29" t="n">
        <f aca="false">J926</f>
        <v>0</v>
      </c>
      <c r="F927" s="28"/>
      <c r="G927" s="30" t="n">
        <v>0</v>
      </c>
      <c r="H927" s="28"/>
      <c r="I927" s="28"/>
      <c r="J927" s="29" t="n">
        <f aca="false">E927+F927+G927-H927-I927</f>
        <v>0</v>
      </c>
      <c r="K927" s="29" t="n">
        <f aca="false">ROUND(E927+F927+G927-H927-I927-J927,1)</f>
        <v>0</v>
      </c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160</v>
      </c>
      <c r="D928" s="18" t="s">
        <v>160</v>
      </c>
      <c r="E928" s="29" t="n">
        <f aca="false">J927</f>
        <v>0</v>
      </c>
      <c r="F928" s="28"/>
      <c r="G928" s="30" t="n">
        <v>0</v>
      </c>
      <c r="H928" s="28"/>
      <c r="I928" s="28"/>
      <c r="J928" s="29" t="n">
        <f aca="false">E928+F928+G928-H928-I928</f>
        <v>0</v>
      </c>
      <c r="K928" s="29" t="n">
        <f aca="false">ROUND(E928+F928+G928-H928-I928-J928,1)</f>
        <v>0</v>
      </c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160</v>
      </c>
      <c r="D929" s="18" t="s">
        <v>160</v>
      </c>
      <c r="E929" s="29" t="n">
        <f aca="false">J928</f>
        <v>0</v>
      </c>
      <c r="F929" s="28"/>
      <c r="G929" s="30" t="n">
        <v>0</v>
      </c>
      <c r="H929" s="28"/>
      <c r="I929" s="28"/>
      <c r="J929" s="29" t="n">
        <f aca="false">E929+F929+G929-H929-I929</f>
        <v>0</v>
      </c>
      <c r="K929" s="29" t="n">
        <f aca="false">ROUND(E929+F929+G929-H929-I929-J929,1)</f>
        <v>0</v>
      </c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160</v>
      </c>
      <c r="D930" s="18" t="s">
        <v>160</v>
      </c>
      <c r="E930" s="29" t="n">
        <f aca="false">J929</f>
        <v>0</v>
      </c>
      <c r="F930" s="28"/>
      <c r="G930" s="30" t="n">
        <v>0</v>
      </c>
      <c r="H930" s="28"/>
      <c r="I930" s="28"/>
      <c r="J930" s="29" t="n">
        <f aca="false">E930+F930+G930-H930-I930</f>
        <v>0</v>
      </c>
      <c r="K930" s="29" t="n">
        <f aca="false">ROUND(E930+F930+G930-H930-I930-J930,1)</f>
        <v>0</v>
      </c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160</v>
      </c>
      <c r="D931" s="18" t="s">
        <v>160</v>
      </c>
      <c r="E931" s="29" t="n">
        <f aca="false">J930</f>
        <v>0</v>
      </c>
      <c r="F931" s="28"/>
      <c r="G931" s="30" t="n">
        <v>0</v>
      </c>
      <c r="H931" s="28"/>
      <c r="I931" s="28"/>
      <c r="J931" s="29" t="n">
        <f aca="false">E931+F931+G931-H931-I931</f>
        <v>0</v>
      </c>
      <c r="K931" s="29" t="n">
        <f aca="false">ROUND(E931+F931+G931-H931-I931-J931,1)</f>
        <v>0</v>
      </c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160</v>
      </c>
      <c r="D932" s="18" t="s">
        <v>160</v>
      </c>
      <c r="E932" s="29" t="n">
        <f aca="false">J931</f>
        <v>0</v>
      </c>
      <c r="F932" s="28"/>
      <c r="G932" s="30" t="n">
        <v>0</v>
      </c>
      <c r="H932" s="28"/>
      <c r="I932" s="28"/>
      <c r="J932" s="29" t="n">
        <f aca="false">E932+F932+G932-H932-I932</f>
        <v>0</v>
      </c>
      <c r="K932" s="29" t="n">
        <f aca="false">ROUND(E932+F932+G932-H932-I932-J932,1)</f>
        <v>0</v>
      </c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160</v>
      </c>
      <c r="D933" s="18" t="s">
        <v>160</v>
      </c>
      <c r="E933" s="29" t="n">
        <f aca="false">J932</f>
        <v>0</v>
      </c>
      <c r="F933" s="28"/>
      <c r="G933" s="30" t="n">
        <v>0</v>
      </c>
      <c r="H933" s="28"/>
      <c r="I933" s="28"/>
      <c r="J933" s="29" t="n">
        <f aca="false">E933+F933+G933-H933-I933</f>
        <v>0</v>
      </c>
      <c r="K933" s="29" t="n">
        <f aca="false">ROUND(E933+F933+G933-H933-I933-J933,1)</f>
        <v>0</v>
      </c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160</v>
      </c>
      <c r="D934" s="18" t="s">
        <v>160</v>
      </c>
      <c r="E934" s="29" t="n">
        <f aca="false">J933</f>
        <v>0</v>
      </c>
      <c r="F934" s="28"/>
      <c r="G934" s="30" t="n">
        <v>0</v>
      </c>
      <c r="H934" s="28"/>
      <c r="I934" s="28"/>
      <c r="J934" s="29" t="n">
        <f aca="false">E934+F934+G934-H934-I934</f>
        <v>0</v>
      </c>
      <c r="K934" s="29" t="n">
        <f aca="false">ROUND(E934+F934+G934-H934-I934-J934,1)</f>
        <v>0</v>
      </c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160</v>
      </c>
      <c r="D935" s="18" t="s">
        <v>160</v>
      </c>
      <c r="E935" s="29" t="n">
        <f aca="false">J934</f>
        <v>0</v>
      </c>
      <c r="F935" s="28"/>
      <c r="G935" s="30" t="n">
        <v>0</v>
      </c>
      <c r="H935" s="28"/>
      <c r="I935" s="28"/>
      <c r="J935" s="29" t="n">
        <f aca="false">E935+F935+G935-H935-I935</f>
        <v>0</v>
      </c>
      <c r="K935" s="29" t="n">
        <f aca="false">ROUND(E935+F935+G935-H935-I935-J935,1)</f>
        <v>0</v>
      </c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160</v>
      </c>
      <c r="D936" s="18" t="s">
        <v>160</v>
      </c>
      <c r="E936" s="29" t="n">
        <f aca="false">J935</f>
        <v>0</v>
      </c>
      <c r="F936" s="28"/>
      <c r="G936" s="30" t="n">
        <v>0</v>
      </c>
      <c r="H936" s="28"/>
      <c r="I936" s="28"/>
      <c r="J936" s="29" t="n">
        <f aca="false">E936+F936+G936-H936-I936</f>
        <v>0</v>
      </c>
      <c r="K936" s="29" t="n">
        <f aca="false">ROUND(E936+F936+G936-H936-I936-J936,1)</f>
        <v>0</v>
      </c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160</v>
      </c>
      <c r="D937" s="18" t="s">
        <v>160</v>
      </c>
      <c r="E937" s="29" t="n">
        <f aca="false">J936</f>
        <v>0</v>
      </c>
      <c r="F937" s="28"/>
      <c r="G937" s="30" t="n">
        <v>0</v>
      </c>
      <c r="H937" s="28"/>
      <c r="I937" s="28"/>
      <c r="J937" s="29" t="n">
        <f aca="false">E937+F937+G937-H937-I937</f>
        <v>0</v>
      </c>
      <c r="K937" s="29" t="n">
        <f aca="false">ROUND(E937+F937+G937-H937-I937-J937,1)</f>
        <v>0</v>
      </c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160</v>
      </c>
      <c r="D938" s="18" t="s">
        <v>160</v>
      </c>
      <c r="E938" s="29" t="n">
        <f aca="false">J937</f>
        <v>0</v>
      </c>
      <c r="F938" s="28"/>
      <c r="G938" s="30" t="n">
        <v>0</v>
      </c>
      <c r="H938" s="28"/>
      <c r="I938" s="28"/>
      <c r="J938" s="29" t="n">
        <f aca="false">E938+F938+G938-H938-I938</f>
        <v>0</v>
      </c>
      <c r="K938" s="29" t="n">
        <f aca="false">ROUND(E938+F938+G938-H938-I938-J938,1)</f>
        <v>0</v>
      </c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160</v>
      </c>
      <c r="D939" s="18" t="s">
        <v>160</v>
      </c>
      <c r="E939" s="29" t="n">
        <f aca="false">J938</f>
        <v>0</v>
      </c>
      <c r="F939" s="28"/>
      <c r="G939" s="30" t="n">
        <v>0</v>
      </c>
      <c r="H939" s="28"/>
      <c r="I939" s="28"/>
      <c r="J939" s="29" t="n">
        <f aca="false">E939+F939+G939-H939-I939</f>
        <v>0</v>
      </c>
      <c r="K939" s="29" t="n">
        <f aca="false">ROUND(E939+F939+G939-H939-I939-J939,1)</f>
        <v>0</v>
      </c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160</v>
      </c>
      <c r="D940" s="18" t="s">
        <v>160</v>
      </c>
      <c r="E940" s="29" t="n">
        <f aca="false">J939</f>
        <v>0</v>
      </c>
      <c r="F940" s="28"/>
      <c r="G940" s="30" t="n">
        <v>0</v>
      </c>
      <c r="H940" s="28"/>
      <c r="I940" s="28"/>
      <c r="J940" s="29" t="n">
        <f aca="false">E940+F940+G940-H940-I940</f>
        <v>0</v>
      </c>
      <c r="K940" s="29" t="n">
        <f aca="false">ROUND(E940+F940+G940-H940-I940-J940,1)</f>
        <v>0</v>
      </c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160</v>
      </c>
      <c r="D941" s="18" t="s">
        <v>160</v>
      </c>
      <c r="E941" s="29" t="n">
        <f aca="false">J940</f>
        <v>0</v>
      </c>
      <c r="F941" s="28"/>
      <c r="G941" s="30" t="n">
        <v>0</v>
      </c>
      <c r="H941" s="28"/>
      <c r="I941" s="28"/>
      <c r="J941" s="29" t="n">
        <f aca="false">E941+F941+G941-H941-I941</f>
        <v>0</v>
      </c>
      <c r="K941" s="29" t="n">
        <f aca="false">ROUND(E941+F941+G941-H941-I941-J941,1)</f>
        <v>0</v>
      </c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160</v>
      </c>
      <c r="D942" s="18" t="s">
        <v>160</v>
      </c>
      <c r="E942" s="29" t="n">
        <f aca="false">J941</f>
        <v>0</v>
      </c>
      <c r="F942" s="28"/>
      <c r="G942" s="30" t="n">
        <v>0</v>
      </c>
      <c r="H942" s="28"/>
      <c r="I942" s="28"/>
      <c r="J942" s="29" t="n">
        <f aca="false">E942+F942+G942-H942-I942</f>
        <v>0</v>
      </c>
      <c r="K942" s="29" t="n">
        <f aca="false">ROUND(E942+F942+G942-H942-I942-J942,1)</f>
        <v>0</v>
      </c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160</v>
      </c>
      <c r="D943" s="18" t="s">
        <v>160</v>
      </c>
      <c r="E943" s="29" t="n">
        <f aca="false">J942</f>
        <v>0</v>
      </c>
      <c r="F943" s="28"/>
      <c r="G943" s="30" t="n">
        <v>0</v>
      </c>
      <c r="H943" s="28"/>
      <c r="I943" s="28"/>
      <c r="J943" s="29" t="n">
        <f aca="false">E943+F943+G943-H943-I943</f>
        <v>0</v>
      </c>
      <c r="K943" s="29" t="n">
        <f aca="false">ROUND(E943+F943+G943-H943-I943-J943,1)</f>
        <v>0</v>
      </c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160</v>
      </c>
      <c r="D944" s="18" t="s">
        <v>160</v>
      </c>
      <c r="E944" s="29" t="n">
        <f aca="false">J943</f>
        <v>0</v>
      </c>
      <c r="F944" s="28"/>
      <c r="G944" s="30" t="n">
        <v>0</v>
      </c>
      <c r="H944" s="28"/>
      <c r="I944" s="28"/>
      <c r="J944" s="29" t="n">
        <f aca="false">E944+F944+G944-H944-I944</f>
        <v>0</v>
      </c>
      <c r="K944" s="29" t="n">
        <f aca="false">ROUND(E944+F944+G944-H944-I944-J944,1)</f>
        <v>0</v>
      </c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160</v>
      </c>
      <c r="D945" s="18" t="s">
        <v>160</v>
      </c>
      <c r="E945" s="29" t="n">
        <f aca="false">J944</f>
        <v>0</v>
      </c>
      <c r="F945" s="28"/>
      <c r="G945" s="30" t="n">
        <v>0</v>
      </c>
      <c r="H945" s="28"/>
      <c r="I945" s="28"/>
      <c r="J945" s="29" t="n">
        <f aca="false">E945+F945+G945-H945-I945</f>
        <v>0</v>
      </c>
      <c r="K945" s="29" t="n">
        <f aca="false">ROUND(E945+F945+G945-H945-I945-J945,1)</f>
        <v>0</v>
      </c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160</v>
      </c>
      <c r="D946" s="18" t="s">
        <v>160</v>
      </c>
      <c r="E946" s="29" t="n">
        <f aca="false">J945</f>
        <v>0</v>
      </c>
      <c r="F946" s="28"/>
      <c r="G946" s="30" t="n">
        <v>0</v>
      </c>
      <c r="H946" s="28"/>
      <c r="I946" s="28"/>
      <c r="J946" s="29" t="n">
        <f aca="false">E946+F946+G946-H946-I946</f>
        <v>0</v>
      </c>
      <c r="K946" s="29" t="n">
        <f aca="false">ROUND(E946+F946+G946-H946-I946-J946,1)</f>
        <v>0</v>
      </c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160</v>
      </c>
      <c r="D947" s="18" t="s">
        <v>160</v>
      </c>
      <c r="E947" s="29" t="n">
        <f aca="false">J946</f>
        <v>0</v>
      </c>
      <c r="F947" s="28"/>
      <c r="G947" s="30" t="n">
        <v>0</v>
      </c>
      <c r="H947" s="28"/>
      <c r="I947" s="28"/>
      <c r="J947" s="29" t="n">
        <f aca="false">E947+F947+G947-H947-I947</f>
        <v>0</v>
      </c>
      <c r="K947" s="29" t="n">
        <f aca="false">ROUND(E947+F947+G947-H947-I947-J947,1)</f>
        <v>0</v>
      </c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160</v>
      </c>
      <c r="D948" s="18" t="s">
        <v>160</v>
      </c>
      <c r="E948" s="29" t="n">
        <f aca="false">J947</f>
        <v>0</v>
      </c>
      <c r="F948" s="28"/>
      <c r="G948" s="30" t="n">
        <v>0</v>
      </c>
      <c r="H948" s="28"/>
      <c r="I948" s="28"/>
      <c r="J948" s="29" t="n">
        <f aca="false">E948+F948+G948-H948-I948</f>
        <v>0</v>
      </c>
      <c r="K948" s="29" t="n">
        <f aca="false">ROUND(E948+F948+G948-H948-I948-J948,1)</f>
        <v>0</v>
      </c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160</v>
      </c>
      <c r="D949" s="18" t="s">
        <v>160</v>
      </c>
      <c r="E949" s="29" t="n">
        <f aca="false">J948</f>
        <v>0</v>
      </c>
      <c r="F949" s="28"/>
      <c r="G949" s="30" t="n">
        <v>0</v>
      </c>
      <c r="H949" s="28"/>
      <c r="I949" s="28"/>
      <c r="J949" s="29" t="n">
        <f aca="false">E949+F949+G949-H949-I949</f>
        <v>0</v>
      </c>
      <c r="K949" s="29" t="n">
        <f aca="false">ROUND(E949+F949+G949-H949-I949-J949,1)</f>
        <v>0</v>
      </c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160</v>
      </c>
      <c r="D950" s="18" t="s">
        <v>160</v>
      </c>
      <c r="E950" s="29" t="n">
        <f aca="false">J949</f>
        <v>0</v>
      </c>
      <c r="F950" s="28"/>
      <c r="G950" s="30" t="n">
        <v>0</v>
      </c>
      <c r="H950" s="28"/>
      <c r="I950" s="28"/>
      <c r="J950" s="29" t="n">
        <f aca="false">E950+F950+G950-H950-I950</f>
        <v>0</v>
      </c>
      <c r="K950" s="29" t="n">
        <f aca="false">ROUND(E950+F950+G950-H950-I950-J950,1)</f>
        <v>0</v>
      </c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160</v>
      </c>
      <c r="D951" s="18" t="s">
        <v>160</v>
      </c>
      <c r="E951" s="29" t="n">
        <f aca="false">J950</f>
        <v>0</v>
      </c>
      <c r="F951" s="28"/>
      <c r="G951" s="30" t="n">
        <v>0</v>
      </c>
      <c r="H951" s="28"/>
      <c r="I951" s="28"/>
      <c r="J951" s="29" t="n">
        <f aca="false">E951+F951+G951-H951-I951</f>
        <v>0</v>
      </c>
      <c r="K951" s="29" t="n">
        <f aca="false">ROUND(E951+F951+G951-H951-I951-J951,1)</f>
        <v>0</v>
      </c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160</v>
      </c>
      <c r="D952" s="18" t="s">
        <v>160</v>
      </c>
      <c r="E952" s="29" t="n">
        <f aca="false">J951</f>
        <v>0</v>
      </c>
      <c r="F952" s="28"/>
      <c r="G952" s="30" t="n">
        <v>0</v>
      </c>
      <c r="H952" s="28"/>
      <c r="I952" s="28"/>
      <c r="J952" s="29" t="n">
        <f aca="false">E952+F952+G952-H952-I952</f>
        <v>0</v>
      </c>
      <c r="K952" s="29" t="n">
        <f aca="false">ROUND(E952+F952+G952-H952-I952-J952,1)</f>
        <v>0</v>
      </c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160</v>
      </c>
      <c r="D953" s="18" t="s">
        <v>160</v>
      </c>
      <c r="E953" s="29" t="n">
        <f aca="false">J952</f>
        <v>0</v>
      </c>
      <c r="F953" s="28"/>
      <c r="G953" s="30" t="n">
        <v>0</v>
      </c>
      <c r="H953" s="28"/>
      <c r="I953" s="28"/>
      <c r="J953" s="29" t="n">
        <f aca="false">E953+F953+G953-H953-I953</f>
        <v>0</v>
      </c>
      <c r="K953" s="29" t="n">
        <f aca="false">ROUND(E953+F953+G953-H953-I953-J953,1)</f>
        <v>0</v>
      </c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160</v>
      </c>
      <c r="D954" s="18" t="s">
        <v>160</v>
      </c>
      <c r="E954" s="29" t="n">
        <f aca="false">J953</f>
        <v>0</v>
      </c>
      <c r="F954" s="28"/>
      <c r="G954" s="30" t="n">
        <v>0</v>
      </c>
      <c r="H954" s="28"/>
      <c r="I954" s="28"/>
      <c r="J954" s="29" t="n">
        <f aca="false">E954+F954+G954-H954-I954</f>
        <v>0</v>
      </c>
      <c r="K954" s="29" t="n">
        <f aca="false">ROUND(E954+F954+G954-H954-I954-J954,1)</f>
        <v>0</v>
      </c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160</v>
      </c>
      <c r="D955" s="18" t="s">
        <v>160</v>
      </c>
      <c r="E955" s="29" t="n">
        <f aca="false">J954</f>
        <v>0</v>
      </c>
      <c r="F955" s="28"/>
      <c r="G955" s="30" t="n">
        <v>0</v>
      </c>
      <c r="H955" s="28"/>
      <c r="I955" s="28"/>
      <c r="J955" s="29" t="n">
        <f aca="false">E955+F955+G955-H955-I955</f>
        <v>0</v>
      </c>
      <c r="K955" s="29" t="n">
        <f aca="false">ROUND(E955+F955+G955-H955-I955-J955,1)</f>
        <v>0</v>
      </c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160</v>
      </c>
      <c r="D956" s="18" t="s">
        <v>160</v>
      </c>
      <c r="E956" s="29" t="n">
        <f aca="false">J955</f>
        <v>0</v>
      </c>
      <c r="F956" s="28"/>
      <c r="G956" s="30" t="n">
        <v>0</v>
      </c>
      <c r="H956" s="28"/>
      <c r="I956" s="28"/>
      <c r="J956" s="29" t="n">
        <f aca="false">E956+F956+G956-H956-I956</f>
        <v>0</v>
      </c>
      <c r="K956" s="29" t="n">
        <f aca="false">ROUND(E956+F956+G956-H956-I956-J956,1)</f>
        <v>0</v>
      </c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160</v>
      </c>
      <c r="D957" s="18" t="s">
        <v>160</v>
      </c>
      <c r="E957" s="29" t="n">
        <f aca="false">J956</f>
        <v>0</v>
      </c>
      <c r="F957" s="28"/>
      <c r="G957" s="30" t="n">
        <v>0</v>
      </c>
      <c r="H957" s="28"/>
      <c r="I957" s="28"/>
      <c r="J957" s="29" t="n">
        <f aca="false">E957+F957+G957-H957-I957</f>
        <v>0</v>
      </c>
      <c r="K957" s="29" t="n">
        <f aca="false">ROUND(E957+F957+G957-H957-I957-J957,1)</f>
        <v>0</v>
      </c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160</v>
      </c>
      <c r="D958" s="18" t="s">
        <v>160</v>
      </c>
      <c r="E958" s="29" t="n">
        <f aca="false">J957</f>
        <v>0</v>
      </c>
      <c r="F958" s="28"/>
      <c r="G958" s="30" t="n">
        <v>0</v>
      </c>
      <c r="H958" s="28"/>
      <c r="I958" s="28"/>
      <c r="J958" s="29" t="n">
        <f aca="false">E958+F958+G958-H958-I958</f>
        <v>0</v>
      </c>
      <c r="K958" s="29" t="n">
        <f aca="false">ROUND(E958+F958+G958-H958-I958-J958,1)</f>
        <v>0</v>
      </c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160</v>
      </c>
      <c r="D959" s="18" t="s">
        <v>160</v>
      </c>
      <c r="E959" s="29" t="n">
        <f aca="false">J958</f>
        <v>0</v>
      </c>
      <c r="F959" s="28"/>
      <c r="G959" s="30" t="n">
        <v>0</v>
      </c>
      <c r="H959" s="28"/>
      <c r="I959" s="28"/>
      <c r="J959" s="29" t="n">
        <f aca="false">E959+F959+G959-H959-I959</f>
        <v>0</v>
      </c>
      <c r="K959" s="29" t="n">
        <f aca="false">ROUND(E959+F959+G959-H959-I959-J959,1)</f>
        <v>0</v>
      </c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160</v>
      </c>
      <c r="D960" s="18" t="s">
        <v>160</v>
      </c>
      <c r="E960" s="29" t="n">
        <f aca="false">J959</f>
        <v>0</v>
      </c>
      <c r="F960" s="28"/>
      <c r="G960" s="30" t="n">
        <v>0</v>
      </c>
      <c r="H960" s="28"/>
      <c r="I960" s="28"/>
      <c r="J960" s="29" t="n">
        <f aca="false">E960+F960+G960-H960-I960</f>
        <v>0</v>
      </c>
      <c r="K960" s="29" t="n">
        <f aca="false">ROUND(E960+F960+G960-H960-I960-J960,1)</f>
        <v>0</v>
      </c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160</v>
      </c>
      <c r="D961" s="18" t="s">
        <v>160</v>
      </c>
      <c r="E961" s="29" t="n">
        <f aca="false">J960</f>
        <v>0</v>
      </c>
      <c r="F961" s="28"/>
      <c r="G961" s="30" t="n">
        <v>0</v>
      </c>
      <c r="H961" s="28"/>
      <c r="I961" s="28"/>
      <c r="J961" s="29" t="n">
        <f aca="false">E961+F961+G961-H961-I961</f>
        <v>0</v>
      </c>
      <c r="K961" s="29" t="n">
        <f aca="false">ROUND(E961+F961+G961-H961-I961-J961,1)</f>
        <v>0</v>
      </c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160</v>
      </c>
      <c r="D962" s="18" t="s">
        <v>160</v>
      </c>
      <c r="E962" s="29" t="n">
        <f aca="false">J961</f>
        <v>0</v>
      </c>
      <c r="F962" s="28"/>
      <c r="G962" s="30" t="n">
        <v>0</v>
      </c>
      <c r="H962" s="28"/>
      <c r="I962" s="28"/>
      <c r="J962" s="29" t="n">
        <f aca="false">E962+F962+G962-H962-I962</f>
        <v>0</v>
      </c>
      <c r="K962" s="29" t="n">
        <f aca="false">ROUND(E962+F962+G962-H962-I962-J962,1)</f>
        <v>0</v>
      </c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160</v>
      </c>
      <c r="D963" s="18" t="s">
        <v>160</v>
      </c>
      <c r="E963" s="29" t="n">
        <f aca="false">J962</f>
        <v>0</v>
      </c>
      <c r="F963" s="28"/>
      <c r="G963" s="30" t="n">
        <v>0</v>
      </c>
      <c r="H963" s="28"/>
      <c r="I963" s="28"/>
      <c r="J963" s="29" t="n">
        <f aca="false">E963+F963+G963-H963-I963</f>
        <v>0</v>
      </c>
      <c r="K963" s="29" t="n">
        <f aca="false">ROUND(E963+F963+G963-H963-I963-J963,1)</f>
        <v>0</v>
      </c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160</v>
      </c>
      <c r="D964" s="18" t="s">
        <v>160</v>
      </c>
      <c r="E964" s="29" t="n">
        <f aca="false">J963</f>
        <v>0</v>
      </c>
      <c r="F964" s="28"/>
      <c r="G964" s="30" t="n">
        <v>0</v>
      </c>
      <c r="H964" s="28"/>
      <c r="I964" s="28"/>
      <c r="J964" s="29" t="n">
        <f aca="false">E964+F964+G964-H964-I964</f>
        <v>0</v>
      </c>
      <c r="K964" s="29" t="n">
        <f aca="false">ROUND(E964+F964+G964-H964-I964-J964,1)</f>
        <v>0</v>
      </c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160</v>
      </c>
      <c r="D965" s="18" t="s">
        <v>160</v>
      </c>
      <c r="E965" s="29" t="n">
        <f aca="false">J964</f>
        <v>0</v>
      </c>
      <c r="F965" s="28"/>
      <c r="G965" s="30" t="n">
        <v>0</v>
      </c>
      <c r="H965" s="28"/>
      <c r="I965" s="28"/>
      <c r="J965" s="29" t="n">
        <f aca="false">E965+F965+G965-H965-I965</f>
        <v>0</v>
      </c>
      <c r="K965" s="29" t="n">
        <f aca="false">ROUND(E965+F965+G965-H965-I965-J965,1)</f>
        <v>0</v>
      </c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160</v>
      </c>
      <c r="D966" s="18" t="s">
        <v>160</v>
      </c>
      <c r="E966" s="29" t="n">
        <f aca="false">J965</f>
        <v>0</v>
      </c>
      <c r="F966" s="28"/>
      <c r="G966" s="30" t="n">
        <v>0</v>
      </c>
      <c r="H966" s="28"/>
      <c r="I966" s="28"/>
      <c r="J966" s="29" t="n">
        <f aca="false">E966+F966+G966-H966-I966</f>
        <v>0</v>
      </c>
      <c r="K966" s="29" t="n">
        <f aca="false">ROUND(E966+F966+G966-H966-I966-J966,1)</f>
        <v>0</v>
      </c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160</v>
      </c>
      <c r="D967" s="18" t="s">
        <v>160</v>
      </c>
      <c r="E967" s="29" t="n">
        <f aca="false">J966</f>
        <v>0</v>
      </c>
      <c r="F967" s="28"/>
      <c r="G967" s="30" t="n">
        <v>0</v>
      </c>
      <c r="H967" s="28"/>
      <c r="I967" s="28"/>
      <c r="J967" s="29" t="n">
        <f aca="false">E967+F967+G967-H967-I967</f>
        <v>0</v>
      </c>
      <c r="K967" s="29" t="n">
        <f aca="false">ROUND(E967+F967+G967-H967-I967-J967,1)</f>
        <v>0</v>
      </c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160</v>
      </c>
      <c r="D968" s="18" t="s">
        <v>160</v>
      </c>
      <c r="E968" s="29" t="n">
        <f aca="false">J967</f>
        <v>0</v>
      </c>
      <c r="F968" s="28"/>
      <c r="G968" s="30" t="n">
        <v>0</v>
      </c>
      <c r="H968" s="28"/>
      <c r="I968" s="28"/>
      <c r="J968" s="29" t="n">
        <f aca="false">E968+F968+G968-H968-I968</f>
        <v>0</v>
      </c>
      <c r="K968" s="29" t="n">
        <f aca="false">ROUND(E968+F968+G968-H968-I968-J968,1)</f>
        <v>0</v>
      </c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160</v>
      </c>
      <c r="D969" s="18" t="s">
        <v>160</v>
      </c>
      <c r="E969" s="29" t="n">
        <f aca="false">J968</f>
        <v>0</v>
      </c>
      <c r="F969" s="28"/>
      <c r="G969" s="30" t="n">
        <v>0</v>
      </c>
      <c r="H969" s="28"/>
      <c r="I969" s="28"/>
      <c r="J969" s="29" t="n">
        <f aca="false">E969+F969+G969-H969-I969</f>
        <v>0</v>
      </c>
      <c r="K969" s="29" t="n">
        <f aca="false">ROUND(E969+F969+G969-H969-I969-J969,1)</f>
        <v>0</v>
      </c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160</v>
      </c>
      <c r="D970" s="18" t="s">
        <v>160</v>
      </c>
      <c r="E970" s="29" t="n">
        <f aca="false">J969</f>
        <v>0</v>
      </c>
      <c r="F970" s="28"/>
      <c r="G970" s="30" t="n">
        <v>0</v>
      </c>
      <c r="H970" s="28"/>
      <c r="I970" s="28"/>
      <c r="J970" s="29" t="n">
        <f aca="false">E970+F970+G970-H970-I970</f>
        <v>0</v>
      </c>
      <c r="K970" s="29" t="n">
        <f aca="false">ROUND(E970+F970+G970-H970-I970-J970,1)</f>
        <v>0</v>
      </c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160</v>
      </c>
      <c r="D971" s="18" t="s">
        <v>160</v>
      </c>
      <c r="E971" s="29" t="n">
        <f aca="false">J970</f>
        <v>0</v>
      </c>
      <c r="F971" s="28"/>
      <c r="G971" s="30" t="n">
        <v>0</v>
      </c>
      <c r="H971" s="28"/>
      <c r="I971" s="28"/>
      <c r="J971" s="29" t="n">
        <f aca="false">E971+F971+G971-H971-I971</f>
        <v>0</v>
      </c>
      <c r="K971" s="29" t="n">
        <f aca="false">ROUND(E971+F971+G971-H971-I971-J971,1)</f>
        <v>0</v>
      </c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160</v>
      </c>
      <c r="D972" s="18" t="s">
        <v>160</v>
      </c>
      <c r="E972" s="29" t="n">
        <f aca="false">J971</f>
        <v>0</v>
      </c>
      <c r="F972" s="28"/>
      <c r="G972" s="30" t="n">
        <v>0</v>
      </c>
      <c r="H972" s="28"/>
      <c r="I972" s="28"/>
      <c r="J972" s="29" t="n">
        <f aca="false">E972+F972+G972-H972-I972</f>
        <v>0</v>
      </c>
      <c r="K972" s="29" t="n">
        <f aca="false">ROUND(E972+F972+G972-H972-I972-J972,1)</f>
        <v>0</v>
      </c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160</v>
      </c>
      <c r="D973" s="18" t="s">
        <v>160</v>
      </c>
      <c r="E973" s="29" t="n">
        <f aca="false">J972</f>
        <v>0</v>
      </c>
      <c r="F973" s="28"/>
      <c r="G973" s="30" t="n">
        <v>0</v>
      </c>
      <c r="H973" s="28"/>
      <c r="I973" s="28"/>
      <c r="J973" s="29" t="n">
        <f aca="false">E973+F973+G973-H973-I973</f>
        <v>0</v>
      </c>
      <c r="K973" s="29" t="n">
        <f aca="false">ROUND(E973+F973+G973-H973-I973-J973,1)</f>
        <v>0</v>
      </c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160</v>
      </c>
      <c r="D974" s="18" t="s">
        <v>160</v>
      </c>
      <c r="E974" s="29" t="n">
        <f aca="false">J973</f>
        <v>0</v>
      </c>
      <c r="F974" s="28"/>
      <c r="G974" s="30" t="n">
        <v>0</v>
      </c>
      <c r="H974" s="28"/>
      <c r="I974" s="28"/>
      <c r="J974" s="29" t="n">
        <f aca="false">E974+F974+G974-H974-I974</f>
        <v>0</v>
      </c>
      <c r="K974" s="29" t="n">
        <f aca="false">ROUND(E974+F974+G974-H974-I974-J974,1)</f>
        <v>0</v>
      </c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160</v>
      </c>
      <c r="D975" s="18" t="s">
        <v>160</v>
      </c>
      <c r="E975" s="29" t="n">
        <f aca="false">J974</f>
        <v>0</v>
      </c>
      <c r="F975" s="28"/>
      <c r="G975" s="30" t="n">
        <v>0</v>
      </c>
      <c r="H975" s="28"/>
      <c r="I975" s="28"/>
      <c r="J975" s="29" t="n">
        <f aca="false">E975+F975+G975-H975-I975</f>
        <v>0</v>
      </c>
      <c r="K975" s="29" t="n">
        <f aca="false">ROUND(E975+F975+G975-H975-I975-J975,1)</f>
        <v>0</v>
      </c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160</v>
      </c>
      <c r="D976" s="18" t="s">
        <v>160</v>
      </c>
      <c r="E976" s="29" t="n">
        <f aca="false">J975</f>
        <v>0</v>
      </c>
      <c r="F976" s="28"/>
      <c r="G976" s="30" t="n">
        <v>0</v>
      </c>
      <c r="H976" s="28"/>
      <c r="I976" s="28"/>
      <c r="J976" s="29" t="n">
        <f aca="false">E976+F976+G976-H976-I976</f>
        <v>0</v>
      </c>
      <c r="K976" s="29" t="n">
        <f aca="false">ROUND(E976+F976+G976-H976-I976-J976,1)</f>
        <v>0</v>
      </c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160</v>
      </c>
      <c r="D977" s="18" t="s">
        <v>160</v>
      </c>
      <c r="E977" s="29" t="n">
        <f aca="false">J976</f>
        <v>0</v>
      </c>
      <c r="F977" s="28"/>
      <c r="G977" s="30" t="n">
        <v>0</v>
      </c>
      <c r="H977" s="28"/>
      <c r="I977" s="28"/>
      <c r="J977" s="29" t="n">
        <f aca="false">E977+F977+G977-H977-I977</f>
        <v>0</v>
      </c>
      <c r="K977" s="29" t="n">
        <f aca="false">ROUND(E977+F977+G977-H977-I977-J977,1)</f>
        <v>0</v>
      </c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160</v>
      </c>
      <c r="D978" s="18" t="s">
        <v>160</v>
      </c>
      <c r="E978" s="29" t="n">
        <f aca="false">J977</f>
        <v>0</v>
      </c>
      <c r="F978" s="28"/>
      <c r="G978" s="30" t="n">
        <v>0</v>
      </c>
      <c r="H978" s="28"/>
      <c r="I978" s="28"/>
      <c r="J978" s="29" t="n">
        <f aca="false">E978+F978+G978-H978-I978</f>
        <v>0</v>
      </c>
      <c r="K978" s="29" t="n">
        <f aca="false">ROUND(E978+F978+G978-H978-I978-J978,1)</f>
        <v>0</v>
      </c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160</v>
      </c>
      <c r="D979" s="18" t="s">
        <v>160</v>
      </c>
      <c r="E979" s="29" t="n">
        <f aca="false">J978</f>
        <v>0</v>
      </c>
      <c r="F979" s="28"/>
      <c r="G979" s="30" t="n">
        <v>0</v>
      </c>
      <c r="H979" s="28"/>
      <c r="I979" s="28"/>
      <c r="J979" s="29" t="n">
        <f aca="false">E979+F979+G979-H979-I979</f>
        <v>0</v>
      </c>
      <c r="K979" s="29" t="n">
        <f aca="false">ROUND(E979+F979+G979-H979-I979-J979,1)</f>
        <v>0</v>
      </c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160</v>
      </c>
      <c r="D980" s="18" t="s">
        <v>160</v>
      </c>
      <c r="E980" s="29" t="n">
        <f aca="false">J979</f>
        <v>0</v>
      </c>
      <c r="F980" s="28"/>
      <c r="G980" s="30" t="n">
        <v>0</v>
      </c>
      <c r="H980" s="28"/>
      <c r="I980" s="28"/>
      <c r="J980" s="29" t="n">
        <f aca="false">E980+F980+G980-H980-I980</f>
        <v>0</v>
      </c>
      <c r="K980" s="29" t="n">
        <f aca="false">ROUND(E980+F980+G980-H980-I980-J980,1)</f>
        <v>0</v>
      </c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160</v>
      </c>
      <c r="D981" s="18" t="s">
        <v>160</v>
      </c>
      <c r="E981" s="29" t="n">
        <f aca="false">J980</f>
        <v>0</v>
      </c>
      <c r="F981" s="28"/>
      <c r="G981" s="30" t="n">
        <v>0</v>
      </c>
      <c r="H981" s="28"/>
      <c r="I981" s="28"/>
      <c r="J981" s="29" t="n">
        <f aca="false">E981+F981+G981-H981-I981</f>
        <v>0</v>
      </c>
      <c r="K981" s="29" t="n">
        <f aca="false">ROUND(E981+F981+G981-H981-I981-J981,1)</f>
        <v>0</v>
      </c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160</v>
      </c>
      <c r="D982" s="18" t="s">
        <v>160</v>
      </c>
      <c r="E982" s="29" t="n">
        <f aca="false">J981</f>
        <v>0</v>
      </c>
      <c r="F982" s="28"/>
      <c r="G982" s="30" t="n">
        <v>0</v>
      </c>
      <c r="H982" s="28"/>
      <c r="I982" s="28"/>
      <c r="J982" s="29" t="n">
        <f aca="false">E982+F982+G982-H982-I982</f>
        <v>0</v>
      </c>
      <c r="K982" s="29" t="n">
        <f aca="false">ROUND(E982+F982+G982-H982-I982-J982,1)</f>
        <v>0</v>
      </c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160</v>
      </c>
      <c r="D983" s="18" t="s">
        <v>160</v>
      </c>
      <c r="E983" s="29" t="n">
        <f aca="false">J982</f>
        <v>0</v>
      </c>
      <c r="F983" s="28"/>
      <c r="G983" s="30" t="n">
        <v>0</v>
      </c>
      <c r="H983" s="28"/>
      <c r="I983" s="28"/>
      <c r="J983" s="29" t="n">
        <f aca="false">E983+F983+G983-H983-I983</f>
        <v>0</v>
      </c>
      <c r="K983" s="29" t="n">
        <f aca="false">ROUND(E983+F983+G983-H983-I983-J983,1)</f>
        <v>0</v>
      </c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160</v>
      </c>
      <c r="D984" s="18" t="s">
        <v>160</v>
      </c>
      <c r="E984" s="29" t="n">
        <f aca="false">J983</f>
        <v>0</v>
      </c>
      <c r="F984" s="28"/>
      <c r="G984" s="30" t="n">
        <v>0</v>
      </c>
      <c r="H984" s="28"/>
      <c r="I984" s="28"/>
      <c r="J984" s="29" t="n">
        <f aca="false">E984+F984+G984-H984-I984</f>
        <v>0</v>
      </c>
      <c r="K984" s="29" t="n">
        <f aca="false">ROUND(E984+F984+G984-H984-I984-J984,1)</f>
        <v>0</v>
      </c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160</v>
      </c>
      <c r="D985" s="18" t="s">
        <v>160</v>
      </c>
      <c r="E985" s="29" t="n">
        <f aca="false">J984</f>
        <v>0</v>
      </c>
      <c r="F985" s="28"/>
      <c r="G985" s="30" t="n">
        <v>0</v>
      </c>
      <c r="H985" s="28"/>
      <c r="I985" s="28"/>
      <c r="J985" s="29" t="n">
        <f aca="false">E985+F985+G985-H985-I985</f>
        <v>0</v>
      </c>
      <c r="K985" s="29" t="n">
        <f aca="false">ROUND(E985+F985+G985-H985-I985-J985,1)</f>
        <v>0</v>
      </c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160</v>
      </c>
      <c r="D986" s="18" t="s">
        <v>160</v>
      </c>
      <c r="E986" s="29" t="n">
        <f aca="false">J985</f>
        <v>0</v>
      </c>
      <c r="F986" s="28"/>
      <c r="G986" s="30" t="n">
        <v>0</v>
      </c>
      <c r="H986" s="28"/>
      <c r="I986" s="28"/>
      <c r="J986" s="29" t="n">
        <f aca="false">E986+F986+G986-H986-I986</f>
        <v>0</v>
      </c>
      <c r="K986" s="29" t="n">
        <f aca="false">ROUND(E986+F986+G986-H986-I986-J986,1)</f>
        <v>0</v>
      </c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160</v>
      </c>
      <c r="D987" s="18" t="s">
        <v>160</v>
      </c>
      <c r="E987" s="29" t="n">
        <f aca="false">J986</f>
        <v>0</v>
      </c>
      <c r="F987" s="28"/>
      <c r="G987" s="30" t="n">
        <v>0</v>
      </c>
      <c r="H987" s="28"/>
      <c r="I987" s="28"/>
      <c r="J987" s="29" t="n">
        <f aca="false">E987+F987+G987-H987-I987</f>
        <v>0</v>
      </c>
      <c r="K987" s="29" t="n">
        <f aca="false">ROUND(E987+F987+G987-H987-I987-J987,1)</f>
        <v>0</v>
      </c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160</v>
      </c>
      <c r="D988" s="18" t="s">
        <v>160</v>
      </c>
      <c r="E988" s="29" t="n">
        <f aca="false">J987</f>
        <v>0</v>
      </c>
      <c r="F988" s="28"/>
      <c r="G988" s="30" t="n">
        <v>0</v>
      </c>
      <c r="H988" s="28"/>
      <c r="I988" s="28"/>
      <c r="J988" s="29" t="n">
        <f aca="false">E988+F988+G988-H988-I988</f>
        <v>0</v>
      </c>
      <c r="K988" s="29" t="n">
        <f aca="false">ROUND(E988+F988+G988-H988-I988-J988,1)</f>
        <v>0</v>
      </c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160</v>
      </c>
      <c r="D989" s="18" t="s">
        <v>160</v>
      </c>
      <c r="E989" s="29" t="n">
        <f aca="false">J988</f>
        <v>0</v>
      </c>
      <c r="F989" s="28"/>
      <c r="G989" s="30" t="n">
        <v>0</v>
      </c>
      <c r="H989" s="28"/>
      <c r="I989" s="28"/>
      <c r="J989" s="29" t="n">
        <f aca="false">E989+F989+G989-H989-I989</f>
        <v>0</v>
      </c>
      <c r="K989" s="29" t="n">
        <f aca="false">ROUND(E989+F989+G989-H989-I989-J989,1)</f>
        <v>0</v>
      </c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160</v>
      </c>
      <c r="D990" s="18" t="s">
        <v>160</v>
      </c>
      <c r="E990" s="29" t="n">
        <f aca="false">J989</f>
        <v>0</v>
      </c>
      <c r="F990" s="28"/>
      <c r="G990" s="30" t="n">
        <v>0</v>
      </c>
      <c r="H990" s="28"/>
      <c r="I990" s="28"/>
      <c r="J990" s="29" t="n">
        <f aca="false">E990+F990+G990-H990-I990</f>
        <v>0</v>
      </c>
      <c r="K990" s="29" t="n">
        <f aca="false">ROUND(E990+F990+G990-H990-I990-J990,1)</f>
        <v>0</v>
      </c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160</v>
      </c>
      <c r="D991" s="18" t="s">
        <v>160</v>
      </c>
      <c r="E991" s="29" t="n">
        <f aca="false">J990</f>
        <v>0</v>
      </c>
      <c r="F991" s="28"/>
      <c r="G991" s="30" t="n">
        <v>0</v>
      </c>
      <c r="H991" s="28"/>
      <c r="I991" s="28"/>
      <c r="J991" s="29" t="n">
        <f aca="false">E991+F991+G991-H991-I991</f>
        <v>0</v>
      </c>
      <c r="K991" s="29" t="n">
        <f aca="false">ROUND(E991+F991+G991-H991-I991-J991,1)</f>
        <v>0</v>
      </c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160</v>
      </c>
      <c r="D992" s="18" t="s">
        <v>160</v>
      </c>
      <c r="E992" s="29" t="n">
        <f aca="false">J991</f>
        <v>0</v>
      </c>
      <c r="F992" s="28"/>
      <c r="G992" s="30" t="n">
        <v>0</v>
      </c>
      <c r="H992" s="28"/>
      <c r="I992" s="28"/>
      <c r="J992" s="29" t="n">
        <f aca="false">E992+F992+G992-H992-I992</f>
        <v>0</v>
      </c>
      <c r="K992" s="29" t="n">
        <f aca="false">ROUND(E992+F992+G992-H992-I992-J992,1)</f>
        <v>0</v>
      </c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160</v>
      </c>
      <c r="D993" s="18" t="s">
        <v>160</v>
      </c>
      <c r="E993" s="29" t="n">
        <f aca="false">J992</f>
        <v>0</v>
      </c>
      <c r="F993" s="28"/>
      <c r="G993" s="30" t="n">
        <v>0</v>
      </c>
      <c r="H993" s="28"/>
      <c r="I993" s="28"/>
      <c r="J993" s="29" t="n">
        <f aca="false">E993+F993+G993-H993-I993</f>
        <v>0</v>
      </c>
      <c r="K993" s="29" t="n">
        <f aca="false">ROUND(E993+F993+G993-H993-I993-J993,1)</f>
        <v>0</v>
      </c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160</v>
      </c>
      <c r="D994" s="18" t="s">
        <v>160</v>
      </c>
      <c r="E994" s="29" t="n">
        <f aca="false">J993</f>
        <v>0</v>
      </c>
      <c r="F994" s="28"/>
      <c r="G994" s="30" t="n">
        <v>0</v>
      </c>
      <c r="H994" s="28"/>
      <c r="I994" s="28"/>
      <c r="J994" s="29" t="n">
        <f aca="false">E994+F994+G994-H994-I994</f>
        <v>0</v>
      </c>
      <c r="K994" s="29" t="n">
        <f aca="false">ROUND(E994+F994+G994-H994-I994-J994,1)</f>
        <v>0</v>
      </c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160</v>
      </c>
      <c r="D995" s="18" t="s">
        <v>160</v>
      </c>
      <c r="E995" s="29" t="n">
        <f aca="false">J994</f>
        <v>0</v>
      </c>
      <c r="F995" s="28"/>
      <c r="G995" s="30" t="n">
        <v>0</v>
      </c>
      <c r="H995" s="28"/>
      <c r="I995" s="28"/>
      <c r="J995" s="29" t="n">
        <f aca="false">E995+F995+G995-H995-I995</f>
        <v>0</v>
      </c>
      <c r="K995" s="29" t="n">
        <f aca="false">ROUND(E995+F995+G995-H995-I995-J995,1)</f>
        <v>0</v>
      </c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160</v>
      </c>
      <c r="D996" s="18" t="s">
        <v>160</v>
      </c>
      <c r="E996" s="29" t="n">
        <f aca="false">J995</f>
        <v>0</v>
      </c>
      <c r="F996" s="28"/>
      <c r="G996" s="30" t="n">
        <v>0</v>
      </c>
      <c r="H996" s="28"/>
      <c r="I996" s="28"/>
      <c r="J996" s="29" t="n">
        <f aca="false">E996+F996+G996-H996-I996</f>
        <v>0</v>
      </c>
      <c r="K996" s="29" t="n">
        <f aca="false">ROUND(E996+F996+G996-H996-I996-J996,1)</f>
        <v>0</v>
      </c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160</v>
      </c>
      <c r="D997" s="18" t="s">
        <v>160</v>
      </c>
      <c r="E997" s="29" t="n">
        <f aca="false">J996</f>
        <v>0</v>
      </c>
      <c r="F997" s="28"/>
      <c r="G997" s="30" t="n">
        <v>0</v>
      </c>
      <c r="H997" s="28"/>
      <c r="I997" s="28"/>
      <c r="J997" s="29" t="n">
        <f aca="false">E997+F997+G997-H997-I997</f>
        <v>0</v>
      </c>
      <c r="K997" s="29" t="n">
        <f aca="false">ROUND(E997+F997+G997-H997-I997-J997,1)</f>
        <v>0</v>
      </c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160</v>
      </c>
      <c r="D998" s="18" t="s">
        <v>160</v>
      </c>
      <c r="E998" s="29" t="n">
        <f aca="false">J997</f>
        <v>0</v>
      </c>
      <c r="F998" s="28"/>
      <c r="G998" s="30" t="n">
        <v>0</v>
      </c>
      <c r="H998" s="28"/>
      <c r="I998" s="28"/>
      <c r="J998" s="29" t="n">
        <f aca="false">E998+F998+G998-H998-I998</f>
        <v>0</v>
      </c>
      <c r="K998" s="29" t="n">
        <f aca="false">ROUND(E998+F998+G998-H998-I998-J998,1)</f>
        <v>0</v>
      </c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160</v>
      </c>
      <c r="D999" s="18" t="s">
        <v>160</v>
      </c>
      <c r="E999" s="29" t="n">
        <f aca="false">J998</f>
        <v>0</v>
      </c>
      <c r="F999" s="28"/>
      <c r="G999" s="30" t="n">
        <v>0</v>
      </c>
      <c r="H999" s="28"/>
      <c r="I999" s="28"/>
      <c r="J999" s="29" t="n">
        <f aca="false">E999+F999+G999-H999-I999</f>
        <v>0</v>
      </c>
      <c r="K999" s="29" t="n">
        <f aca="false">ROUND(E999+F999+G999-H999-I999-J999,1)</f>
        <v>0</v>
      </c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160</v>
      </c>
      <c r="D1000" s="18" t="s">
        <v>160</v>
      </c>
      <c r="E1000" s="29" t="n">
        <f aca="false">J999</f>
        <v>0</v>
      </c>
      <c r="F1000" s="28"/>
      <c r="G1000" s="30" t="n">
        <v>0</v>
      </c>
      <c r="H1000" s="28"/>
      <c r="I1000" s="28"/>
      <c r="J1000" s="29" t="n">
        <f aca="false">E1000+F1000+G1000-H1000-I1000</f>
        <v>0</v>
      </c>
      <c r="K1000" s="29" t="n">
        <f aca="false">ROUND(E1000+F1000+G1000-H1000-I1000-J1000,1)</f>
        <v>0</v>
      </c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160</v>
      </c>
      <c r="D1001" s="18" t="s">
        <v>160</v>
      </c>
      <c r="E1001" s="29" t="n">
        <f aca="false">J1000</f>
        <v>0</v>
      </c>
      <c r="F1001" s="28"/>
      <c r="G1001" s="30" t="n">
        <v>0</v>
      </c>
      <c r="H1001" s="28"/>
      <c r="I1001" s="28"/>
      <c r="J1001" s="29" t="n">
        <f aca="false">E1001+F1001+G1001-H1001-I1001</f>
        <v>0</v>
      </c>
      <c r="K1001" s="29" t="n">
        <f aca="false">ROUND(E1001+F1001+G1001-H1001-I1001-J1001,1)</f>
        <v>0</v>
      </c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160</v>
      </c>
      <c r="D1002" s="18" t="s">
        <v>160</v>
      </c>
      <c r="E1002" s="29" t="n">
        <f aca="false">J1001</f>
        <v>0</v>
      </c>
      <c r="F1002" s="28"/>
      <c r="G1002" s="30" t="n">
        <v>0</v>
      </c>
      <c r="H1002" s="28"/>
      <c r="I1002" s="28"/>
      <c r="J1002" s="29" t="n">
        <f aca="false">E1002+F1002+G1002-H1002-I1002</f>
        <v>0</v>
      </c>
      <c r="K1002" s="29" t="n">
        <f aca="false">ROUND(E1002+F1002+G1002-H1002-I1002-J1002,1)</f>
        <v>0</v>
      </c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160</v>
      </c>
      <c r="D1003" s="18" t="s">
        <v>160</v>
      </c>
      <c r="E1003" s="29" t="n">
        <f aca="false">J1002</f>
        <v>0</v>
      </c>
      <c r="F1003" s="28"/>
      <c r="G1003" s="30" t="n">
        <v>0</v>
      </c>
      <c r="H1003" s="28"/>
      <c r="I1003" s="28"/>
      <c r="J1003" s="29" t="n">
        <f aca="false">E1003+F1003+G1003-H1003-I1003</f>
        <v>0</v>
      </c>
      <c r="K1003" s="29" t="n">
        <f aca="false">ROUND(E1003+F1003+G1003-H1003-I1003-J1003,1)</f>
        <v>0</v>
      </c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160</v>
      </c>
      <c r="D1004" s="18" t="s">
        <v>160</v>
      </c>
      <c r="E1004" s="29" t="n">
        <f aca="false">J1003</f>
        <v>0</v>
      </c>
      <c r="F1004" s="28"/>
      <c r="G1004" s="30" t="n">
        <v>0</v>
      </c>
      <c r="H1004" s="28"/>
      <c r="I1004" s="28"/>
      <c r="J1004" s="29" t="n">
        <f aca="false">E1004+F1004+G1004-H1004-I1004</f>
        <v>0</v>
      </c>
      <c r="K1004" s="29" t="n">
        <f aca="false">ROUND(E1004+F1004+G1004-H1004-I1004-J1004,1)</f>
        <v>0</v>
      </c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160</v>
      </c>
      <c r="D1005" s="18" t="s">
        <v>160</v>
      </c>
      <c r="E1005" s="29" t="n">
        <f aca="false">J1004</f>
        <v>0</v>
      </c>
      <c r="F1005" s="28"/>
      <c r="G1005" s="30" t="n">
        <v>0</v>
      </c>
      <c r="H1005" s="28"/>
      <c r="I1005" s="28"/>
      <c r="J1005" s="29" t="n">
        <f aca="false">E1005+F1005+G1005-H1005-I1005</f>
        <v>0</v>
      </c>
      <c r="K1005" s="29" t="n">
        <f aca="false">ROUND(E1005+F1005+G1005-H1005-I1005-J1005,1)</f>
        <v>0</v>
      </c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160</v>
      </c>
      <c r="D1006" s="18" t="s">
        <v>160</v>
      </c>
      <c r="E1006" s="29" t="n">
        <f aca="false">J1005</f>
        <v>0</v>
      </c>
      <c r="F1006" s="28"/>
      <c r="G1006" s="30" t="n">
        <v>0</v>
      </c>
      <c r="H1006" s="28"/>
      <c r="I1006" s="28"/>
      <c r="J1006" s="29" t="n">
        <f aca="false">E1006+F1006+G1006-H1006-I1006</f>
        <v>0</v>
      </c>
      <c r="K1006" s="29" t="n">
        <f aca="false">ROUND(E1006+F1006+G1006-H1006-I1006-J1006,1)</f>
        <v>0</v>
      </c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160</v>
      </c>
      <c r="D1007" s="18" t="s">
        <v>160</v>
      </c>
      <c r="E1007" s="29" t="n">
        <f aca="false">J1006</f>
        <v>0</v>
      </c>
      <c r="F1007" s="28"/>
      <c r="G1007" s="30" t="n">
        <v>0</v>
      </c>
      <c r="H1007" s="28"/>
      <c r="I1007" s="28"/>
      <c r="J1007" s="29" t="n">
        <f aca="false">E1007+F1007+G1007-H1007-I1007</f>
        <v>0</v>
      </c>
      <c r="K1007" s="29" t="n">
        <f aca="false">ROUND(E1007+F1007+G1007-H1007-I1007-J1007,1)</f>
        <v>0</v>
      </c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160</v>
      </c>
      <c r="D1008" s="18" t="s">
        <v>160</v>
      </c>
      <c r="E1008" s="29" t="n">
        <f aca="false">J1007</f>
        <v>0</v>
      </c>
      <c r="F1008" s="28"/>
      <c r="G1008" s="30" t="n">
        <v>0</v>
      </c>
      <c r="H1008" s="28"/>
      <c r="I1008" s="28"/>
      <c r="J1008" s="29" t="n">
        <f aca="false">E1008+F1008+G1008-H1008-I1008</f>
        <v>0</v>
      </c>
      <c r="K1008" s="29" t="n">
        <f aca="false">ROUND(E1008+F1008+G1008-H1008-I1008-J1008,1)</f>
        <v>0</v>
      </c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160</v>
      </c>
      <c r="D1009" s="18" t="s">
        <v>160</v>
      </c>
      <c r="E1009" s="29" t="n">
        <f aca="false">J1008</f>
        <v>0</v>
      </c>
      <c r="F1009" s="28"/>
      <c r="G1009" s="30" t="n">
        <v>0</v>
      </c>
      <c r="H1009" s="28"/>
      <c r="I1009" s="28"/>
      <c r="J1009" s="29" t="n">
        <f aca="false">E1009+F1009+G1009-H1009-I1009</f>
        <v>0</v>
      </c>
      <c r="K1009" s="29" t="n">
        <f aca="false">ROUND(E1009+F1009+G1009-H1009-I1009-J1009,1)</f>
        <v>0</v>
      </c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160</v>
      </c>
      <c r="D1010" s="18" t="s">
        <v>160</v>
      </c>
      <c r="E1010" s="29" t="n">
        <f aca="false">J1009</f>
        <v>0</v>
      </c>
      <c r="F1010" s="28"/>
      <c r="G1010" s="30" t="n">
        <v>0</v>
      </c>
      <c r="H1010" s="28"/>
      <c r="I1010" s="28"/>
      <c r="J1010" s="29" t="n">
        <f aca="false">E1010+F1010+G1010-H1010-I1010</f>
        <v>0</v>
      </c>
      <c r="K1010" s="29" t="n">
        <f aca="false">ROUND(E1010+F1010+G1010-H1010-I1010-J1010,1)</f>
        <v>0</v>
      </c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160</v>
      </c>
      <c r="D1011" s="18" t="s">
        <v>160</v>
      </c>
      <c r="E1011" s="29" t="n">
        <f aca="false">J1010</f>
        <v>0</v>
      </c>
      <c r="F1011" s="28"/>
      <c r="G1011" s="30" t="n">
        <v>0</v>
      </c>
      <c r="H1011" s="28"/>
      <c r="I1011" s="28"/>
      <c r="J1011" s="29" t="n">
        <f aca="false">E1011+F1011+G1011-H1011-I1011</f>
        <v>0</v>
      </c>
      <c r="K1011" s="29" t="n">
        <f aca="false">ROUND(E1011+F1011+G1011-H1011-I1011-J1011,1)</f>
        <v>0</v>
      </c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160</v>
      </c>
      <c r="D1012" s="18" t="s">
        <v>160</v>
      </c>
      <c r="E1012" s="29" t="n">
        <f aca="false">J1011</f>
        <v>0</v>
      </c>
      <c r="F1012" s="28"/>
      <c r="G1012" s="30" t="n">
        <v>0</v>
      </c>
      <c r="H1012" s="28"/>
      <c r="I1012" s="28"/>
      <c r="J1012" s="29" t="n">
        <f aca="false">E1012+F1012+G1012-H1012-I1012</f>
        <v>0</v>
      </c>
      <c r="K1012" s="29" t="n">
        <f aca="false">ROUND(E1012+F1012+G1012-H1012-I1012-J1012,1)</f>
        <v>0</v>
      </c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160</v>
      </c>
      <c r="D1013" s="18" t="s">
        <v>160</v>
      </c>
      <c r="E1013" s="29" t="n">
        <f aca="false">J1012</f>
        <v>0</v>
      </c>
      <c r="F1013" s="28"/>
      <c r="G1013" s="30" t="n">
        <v>0</v>
      </c>
      <c r="H1013" s="28"/>
      <c r="I1013" s="28"/>
      <c r="J1013" s="29" t="n">
        <f aca="false">E1013+F1013+G1013-H1013-I1013</f>
        <v>0</v>
      </c>
      <c r="K1013" s="29" t="n">
        <f aca="false">ROUND(E1013+F1013+G1013-H1013-I1013-J1013,1)</f>
        <v>0</v>
      </c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160</v>
      </c>
      <c r="D1014" s="18" t="s">
        <v>160</v>
      </c>
      <c r="E1014" s="29" t="n">
        <f aca="false">J1013</f>
        <v>0</v>
      </c>
      <c r="F1014" s="28"/>
      <c r="G1014" s="30" t="n">
        <v>0</v>
      </c>
      <c r="H1014" s="28"/>
      <c r="I1014" s="28"/>
      <c r="J1014" s="29" t="n">
        <f aca="false">E1014+F1014+G1014-H1014-I1014</f>
        <v>0</v>
      </c>
      <c r="K1014" s="29" t="n">
        <f aca="false">ROUND(E1014+F1014+G1014-H1014-I1014-J1014,1)</f>
        <v>0</v>
      </c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160</v>
      </c>
      <c r="D1015" s="18" t="s">
        <v>160</v>
      </c>
      <c r="E1015" s="29" t="n">
        <f aca="false">J1014</f>
        <v>0</v>
      </c>
      <c r="F1015" s="28"/>
      <c r="G1015" s="30" t="n">
        <v>0</v>
      </c>
      <c r="H1015" s="28"/>
      <c r="I1015" s="28"/>
      <c r="J1015" s="29" t="n">
        <f aca="false">E1015+F1015+G1015-H1015-I1015</f>
        <v>0</v>
      </c>
      <c r="K1015" s="29" t="n">
        <f aca="false">ROUND(E1015+F1015+G1015-H1015-I1015-J1015,1)</f>
        <v>0</v>
      </c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160</v>
      </c>
      <c r="D1016" s="18" t="s">
        <v>160</v>
      </c>
      <c r="E1016" s="29" t="n">
        <f aca="false">J1015</f>
        <v>0</v>
      </c>
      <c r="F1016" s="28"/>
      <c r="G1016" s="30" t="n">
        <v>0</v>
      </c>
      <c r="H1016" s="28"/>
      <c r="I1016" s="28"/>
      <c r="J1016" s="29" t="n">
        <f aca="false">E1016+F1016+G1016-H1016-I1016</f>
        <v>0</v>
      </c>
      <c r="K1016" s="29" t="n">
        <f aca="false">ROUND(E1016+F1016+G1016-H1016-I1016-J1016,1)</f>
        <v>0</v>
      </c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160</v>
      </c>
      <c r="D1017" s="18" t="s">
        <v>160</v>
      </c>
      <c r="E1017" s="29" t="n">
        <f aca="false">J1016</f>
        <v>0</v>
      </c>
      <c r="F1017" s="28"/>
      <c r="G1017" s="30" t="n">
        <v>0</v>
      </c>
      <c r="H1017" s="28"/>
      <c r="I1017" s="28"/>
      <c r="J1017" s="29" t="n">
        <f aca="false">E1017+F1017+G1017-H1017-I1017</f>
        <v>0</v>
      </c>
      <c r="K1017" s="29" t="n">
        <f aca="false">ROUND(E1017+F1017+G1017-H1017-I1017-J1017,1)</f>
        <v>0</v>
      </c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160</v>
      </c>
      <c r="D1018" s="18" t="s">
        <v>160</v>
      </c>
      <c r="E1018" s="29" t="n">
        <f aca="false">J1017</f>
        <v>0</v>
      </c>
      <c r="F1018" s="28"/>
      <c r="G1018" s="30" t="n">
        <v>0</v>
      </c>
      <c r="H1018" s="28"/>
      <c r="I1018" s="28"/>
      <c r="J1018" s="29" t="n">
        <f aca="false">E1018+F1018+G1018-H1018-I1018</f>
        <v>0</v>
      </c>
      <c r="K1018" s="29" t="n">
        <f aca="false">ROUND(E1018+F1018+G1018-H1018-I1018-J1018,1)</f>
        <v>0</v>
      </c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160</v>
      </c>
      <c r="D1019" s="18" t="s">
        <v>160</v>
      </c>
      <c r="E1019" s="29" t="n">
        <f aca="false">J1018</f>
        <v>0</v>
      </c>
      <c r="F1019" s="28"/>
      <c r="G1019" s="30" t="n">
        <v>0</v>
      </c>
      <c r="H1019" s="28"/>
      <c r="I1019" s="28"/>
      <c r="J1019" s="29" t="n">
        <f aca="false">E1019+F1019+G1019-H1019-I1019</f>
        <v>0</v>
      </c>
      <c r="K1019" s="29" t="n">
        <f aca="false">ROUND(E1019+F1019+G1019-H1019-I1019-J1019,1)</f>
        <v>0</v>
      </c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160</v>
      </c>
      <c r="D1020" s="18" t="s">
        <v>160</v>
      </c>
      <c r="E1020" s="29" t="n">
        <f aca="false">J1019</f>
        <v>0</v>
      </c>
      <c r="F1020" s="28"/>
      <c r="G1020" s="30" t="n">
        <v>0</v>
      </c>
      <c r="H1020" s="28"/>
      <c r="I1020" s="28"/>
      <c r="J1020" s="29" t="n">
        <f aca="false">E1020+F1020+G1020-H1020-I1020</f>
        <v>0</v>
      </c>
      <c r="K1020" s="29" t="n">
        <f aca="false">ROUND(E1020+F1020+G1020-H1020-I1020-J1020,1)</f>
        <v>0</v>
      </c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160</v>
      </c>
      <c r="D1021" s="18" t="s">
        <v>160</v>
      </c>
      <c r="E1021" s="29" t="n">
        <f aca="false">J1020</f>
        <v>0</v>
      </c>
      <c r="F1021" s="28"/>
      <c r="G1021" s="30" t="n">
        <v>0</v>
      </c>
      <c r="H1021" s="28"/>
      <c r="I1021" s="28"/>
      <c r="J1021" s="29" t="n">
        <f aca="false">E1021+F1021+G1021-H1021-I1021</f>
        <v>0</v>
      </c>
      <c r="K1021" s="29" t="n">
        <f aca="false">ROUND(E1021+F1021+G1021-H1021-I1021-J1021,1)</f>
        <v>0</v>
      </c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160</v>
      </c>
      <c r="D1022" s="18" t="s">
        <v>160</v>
      </c>
      <c r="E1022" s="29" t="n">
        <f aca="false">J1021</f>
        <v>0</v>
      </c>
      <c r="F1022" s="28"/>
      <c r="G1022" s="30" t="n">
        <v>0</v>
      </c>
      <c r="H1022" s="28"/>
      <c r="I1022" s="28"/>
      <c r="J1022" s="29" t="n">
        <f aca="false">E1022+F1022+G1022-H1022-I1022</f>
        <v>0</v>
      </c>
      <c r="K1022" s="29" t="n">
        <f aca="false">ROUND(E1022+F1022+G1022-H1022-I1022-J1022,1)</f>
        <v>0</v>
      </c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160</v>
      </c>
      <c r="D1023" s="18" t="s">
        <v>160</v>
      </c>
      <c r="E1023" s="29" t="n">
        <f aca="false">J1022</f>
        <v>0</v>
      </c>
      <c r="F1023" s="28"/>
      <c r="G1023" s="30" t="n">
        <v>0</v>
      </c>
      <c r="H1023" s="28"/>
      <c r="I1023" s="28"/>
      <c r="J1023" s="29" t="n">
        <f aca="false">E1023+F1023+G1023-H1023-I1023</f>
        <v>0</v>
      </c>
      <c r="K1023" s="29" t="n">
        <f aca="false">ROUND(E1023+F1023+G1023-H1023-I1023-J1023,1)</f>
        <v>0</v>
      </c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160</v>
      </c>
      <c r="D1024" s="18" t="s">
        <v>160</v>
      </c>
      <c r="E1024" s="29" t="n">
        <f aca="false">J1023</f>
        <v>0</v>
      </c>
      <c r="F1024" s="28"/>
      <c r="G1024" s="30" t="n">
        <v>0</v>
      </c>
      <c r="H1024" s="28"/>
      <c r="I1024" s="28"/>
      <c r="J1024" s="29" t="n">
        <f aca="false">E1024+F1024+G1024-H1024-I1024</f>
        <v>0</v>
      </c>
      <c r="K1024" s="29" t="n">
        <f aca="false">ROUND(E1024+F1024+G1024-H1024-I1024-J1024,1)</f>
        <v>0</v>
      </c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160</v>
      </c>
      <c r="D1025" s="18" t="s">
        <v>160</v>
      </c>
      <c r="E1025" s="29" t="n">
        <f aca="false">J1024</f>
        <v>0</v>
      </c>
      <c r="F1025" s="28"/>
      <c r="G1025" s="30" t="n">
        <v>0</v>
      </c>
      <c r="H1025" s="28"/>
      <c r="I1025" s="28"/>
      <c r="J1025" s="29" t="n">
        <f aca="false">E1025+F1025+G1025-H1025-I1025</f>
        <v>0</v>
      </c>
      <c r="K1025" s="29" t="n">
        <f aca="false">ROUND(E1025+F1025+G1025-H1025-I1025-J1025,1)</f>
        <v>0</v>
      </c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160</v>
      </c>
      <c r="D1026" s="18" t="s">
        <v>160</v>
      </c>
      <c r="E1026" s="29" t="n">
        <f aca="false">J1025</f>
        <v>0</v>
      </c>
      <c r="F1026" s="28"/>
      <c r="G1026" s="30" t="n">
        <v>0</v>
      </c>
      <c r="H1026" s="28"/>
      <c r="I1026" s="28"/>
      <c r="J1026" s="29" t="n">
        <f aca="false">E1026+F1026+G1026-H1026-I1026</f>
        <v>0</v>
      </c>
      <c r="K1026" s="29" t="n">
        <f aca="false">ROUND(E1026+F1026+G1026-H1026-I1026-J1026,1)</f>
        <v>0</v>
      </c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160</v>
      </c>
      <c r="D1027" s="18" t="s">
        <v>160</v>
      </c>
      <c r="E1027" s="29" t="n">
        <f aca="false">J1026</f>
        <v>0</v>
      </c>
      <c r="F1027" s="28"/>
      <c r="G1027" s="30" t="n">
        <v>0</v>
      </c>
      <c r="H1027" s="28"/>
      <c r="I1027" s="28"/>
      <c r="J1027" s="29" t="n">
        <f aca="false">E1027+F1027+G1027-H1027-I1027</f>
        <v>0</v>
      </c>
      <c r="K1027" s="29" t="n">
        <f aca="false">ROUND(E1027+F1027+G1027-H1027-I1027-J1027,1)</f>
        <v>0</v>
      </c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160</v>
      </c>
      <c r="D1028" s="18" t="s">
        <v>160</v>
      </c>
      <c r="E1028" s="29" t="n">
        <f aca="false">J1027</f>
        <v>0</v>
      </c>
      <c r="F1028" s="28"/>
      <c r="G1028" s="30" t="n">
        <v>0</v>
      </c>
      <c r="H1028" s="28"/>
      <c r="I1028" s="28"/>
      <c r="J1028" s="29" t="n">
        <f aca="false">E1028+F1028+G1028-H1028-I1028</f>
        <v>0</v>
      </c>
      <c r="K1028" s="29" t="n">
        <f aca="false">ROUND(E1028+F1028+G1028-H1028-I1028-J1028,1)</f>
        <v>0</v>
      </c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160</v>
      </c>
      <c r="D1029" s="18" t="s">
        <v>160</v>
      </c>
      <c r="E1029" s="29" t="n">
        <f aca="false">J1028</f>
        <v>0</v>
      </c>
      <c r="F1029" s="28"/>
      <c r="G1029" s="30" t="n">
        <v>0</v>
      </c>
      <c r="H1029" s="28"/>
      <c r="I1029" s="28"/>
      <c r="J1029" s="29" t="n">
        <f aca="false">E1029+F1029+G1029-H1029-I1029</f>
        <v>0</v>
      </c>
      <c r="K1029" s="29" t="n">
        <f aca="false">ROUND(E1029+F1029+G1029-H1029-I1029-J1029,1)</f>
        <v>0</v>
      </c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160</v>
      </c>
      <c r="D1030" s="18" t="s">
        <v>160</v>
      </c>
      <c r="E1030" s="29" t="n">
        <f aca="false">J1029</f>
        <v>0</v>
      </c>
      <c r="F1030" s="28"/>
      <c r="G1030" s="30" t="n">
        <v>0</v>
      </c>
      <c r="H1030" s="28"/>
      <c r="I1030" s="28"/>
      <c r="J1030" s="29" t="n">
        <f aca="false">E1030+F1030+G1030-H1030-I1030</f>
        <v>0</v>
      </c>
      <c r="K1030" s="29" t="n">
        <f aca="false">ROUND(E1030+F1030+G1030-H1030-I1030-J1030,1)</f>
        <v>0</v>
      </c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160</v>
      </c>
      <c r="D1031" s="18" t="s">
        <v>160</v>
      </c>
      <c r="E1031" s="29" t="n">
        <f aca="false">J1030</f>
        <v>0</v>
      </c>
      <c r="F1031" s="28"/>
      <c r="G1031" s="30" t="n">
        <v>0</v>
      </c>
      <c r="H1031" s="28"/>
      <c r="I1031" s="28"/>
      <c r="J1031" s="29" t="n">
        <f aca="false">E1031+F1031+G1031-H1031-I1031</f>
        <v>0</v>
      </c>
      <c r="K1031" s="29" t="n">
        <f aca="false">ROUND(E1031+F1031+G1031-H1031-I1031-J1031,1)</f>
        <v>0</v>
      </c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160</v>
      </c>
      <c r="D1032" s="18" t="s">
        <v>160</v>
      </c>
      <c r="E1032" s="29" t="n">
        <f aca="false">J1031</f>
        <v>0</v>
      </c>
      <c r="F1032" s="28"/>
      <c r="G1032" s="30" t="n">
        <v>0</v>
      </c>
      <c r="H1032" s="28"/>
      <c r="I1032" s="28"/>
      <c r="J1032" s="29" t="n">
        <f aca="false">E1032+F1032+G1032-H1032-I1032</f>
        <v>0</v>
      </c>
      <c r="K1032" s="29" t="n">
        <f aca="false">ROUND(E1032+F1032+G1032-H1032-I1032-J1032,1)</f>
        <v>0</v>
      </c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160</v>
      </c>
      <c r="D1033" s="18" t="s">
        <v>160</v>
      </c>
      <c r="E1033" s="29" t="n">
        <f aca="false">J1032</f>
        <v>0</v>
      </c>
      <c r="F1033" s="28"/>
      <c r="G1033" s="30" t="n">
        <v>0</v>
      </c>
      <c r="H1033" s="28"/>
      <c r="I1033" s="28"/>
      <c r="J1033" s="29" t="n">
        <f aca="false">E1033+F1033+G1033-H1033-I1033</f>
        <v>0</v>
      </c>
      <c r="K1033" s="29" t="n">
        <f aca="false">ROUND(E1033+F1033+G1033-H1033-I1033-J1033,1)</f>
        <v>0</v>
      </c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160</v>
      </c>
      <c r="D1034" s="18" t="s">
        <v>160</v>
      </c>
      <c r="E1034" s="29" t="n">
        <f aca="false">J1033</f>
        <v>0</v>
      </c>
      <c r="F1034" s="28"/>
      <c r="G1034" s="30" t="n">
        <v>0</v>
      </c>
      <c r="H1034" s="28"/>
      <c r="I1034" s="28"/>
      <c r="J1034" s="29" t="n">
        <f aca="false">E1034+F1034+G1034-H1034-I1034</f>
        <v>0</v>
      </c>
      <c r="K1034" s="29" t="n">
        <f aca="false">ROUND(E1034+F1034+G1034-H1034-I1034-J1034,1)</f>
        <v>0</v>
      </c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160</v>
      </c>
      <c r="D1035" s="18" t="s">
        <v>160</v>
      </c>
      <c r="E1035" s="29" t="n">
        <f aca="false">J1034</f>
        <v>0</v>
      </c>
      <c r="F1035" s="28"/>
      <c r="G1035" s="30" t="n">
        <v>0</v>
      </c>
      <c r="H1035" s="28"/>
      <c r="I1035" s="28"/>
      <c r="J1035" s="29" t="n">
        <f aca="false">E1035+F1035+G1035-H1035-I1035</f>
        <v>0</v>
      </c>
      <c r="K1035" s="29" t="n">
        <f aca="false">ROUND(E1035+F1035+G1035-H1035-I1035-J1035,1)</f>
        <v>0</v>
      </c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160</v>
      </c>
      <c r="D1036" s="18" t="s">
        <v>160</v>
      </c>
      <c r="E1036" s="29" t="n">
        <f aca="false">J1035</f>
        <v>0</v>
      </c>
      <c r="F1036" s="28"/>
      <c r="G1036" s="30" t="n">
        <v>0</v>
      </c>
      <c r="H1036" s="28"/>
      <c r="I1036" s="28"/>
      <c r="J1036" s="29" t="n">
        <f aca="false">E1036+F1036+G1036-H1036-I1036</f>
        <v>0</v>
      </c>
      <c r="K1036" s="29" t="n">
        <f aca="false">ROUND(E1036+F1036+G1036-H1036-I1036-J1036,1)</f>
        <v>0</v>
      </c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160</v>
      </c>
      <c r="D1037" s="18" t="s">
        <v>160</v>
      </c>
      <c r="E1037" s="29" t="n">
        <f aca="false">J1036</f>
        <v>0</v>
      </c>
      <c r="F1037" s="28"/>
      <c r="G1037" s="30" t="n">
        <v>0</v>
      </c>
      <c r="H1037" s="28"/>
      <c r="I1037" s="28"/>
      <c r="J1037" s="29" t="n">
        <f aca="false">E1037+F1037+G1037-H1037-I1037</f>
        <v>0</v>
      </c>
      <c r="K1037" s="29" t="n">
        <f aca="false">ROUND(E1037+F1037+G1037-H1037-I1037-J1037,1)</f>
        <v>0</v>
      </c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160</v>
      </c>
      <c r="D1038" s="18" t="s">
        <v>160</v>
      </c>
      <c r="E1038" s="29" t="n">
        <f aca="false">J1037</f>
        <v>0</v>
      </c>
      <c r="F1038" s="28"/>
      <c r="G1038" s="30" t="n">
        <v>0</v>
      </c>
      <c r="H1038" s="28"/>
      <c r="I1038" s="28"/>
      <c r="J1038" s="29" t="n">
        <f aca="false">E1038+F1038+G1038-H1038-I1038</f>
        <v>0</v>
      </c>
      <c r="K1038" s="29" t="n">
        <f aca="false">ROUND(E1038+F1038+G1038-H1038-I1038-J1038,1)</f>
        <v>0</v>
      </c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160</v>
      </c>
      <c r="D1039" s="18" t="s">
        <v>160</v>
      </c>
      <c r="E1039" s="29" t="n">
        <f aca="false">J1038</f>
        <v>0</v>
      </c>
      <c r="F1039" s="28"/>
      <c r="G1039" s="30" t="n">
        <v>0</v>
      </c>
      <c r="H1039" s="28"/>
      <c r="I1039" s="28"/>
      <c r="J1039" s="29" t="n">
        <f aca="false">E1039+F1039+G1039-H1039-I1039</f>
        <v>0</v>
      </c>
      <c r="K1039" s="29" t="n">
        <f aca="false">ROUND(E1039+F1039+G1039-H1039-I1039-J1039,1)</f>
        <v>0</v>
      </c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160</v>
      </c>
      <c r="D1040" s="18" t="s">
        <v>160</v>
      </c>
      <c r="E1040" s="29" t="n">
        <f aca="false">J1039</f>
        <v>0</v>
      </c>
      <c r="F1040" s="28"/>
      <c r="G1040" s="30" t="n">
        <v>0</v>
      </c>
      <c r="H1040" s="28"/>
      <c r="I1040" s="28"/>
      <c r="J1040" s="29" t="n">
        <f aca="false">E1040+F1040+G1040-H1040-I1040</f>
        <v>0</v>
      </c>
      <c r="K1040" s="29" t="n">
        <f aca="false">ROUND(E1040+F1040+G1040-H1040-I1040-J1040,1)</f>
        <v>0</v>
      </c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160</v>
      </c>
      <c r="D1041" s="18" t="s">
        <v>160</v>
      </c>
      <c r="E1041" s="29" t="n">
        <f aca="false">J1040</f>
        <v>0</v>
      </c>
      <c r="F1041" s="28"/>
      <c r="G1041" s="30" t="n">
        <v>0</v>
      </c>
      <c r="H1041" s="28"/>
      <c r="I1041" s="28"/>
      <c r="J1041" s="29" t="n">
        <f aca="false">E1041+F1041+G1041-H1041-I1041</f>
        <v>0</v>
      </c>
      <c r="K1041" s="29" t="n">
        <f aca="false">ROUND(E1041+F1041+G1041-H1041-I1041-J1041,1)</f>
        <v>0</v>
      </c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160</v>
      </c>
      <c r="D1042" s="18" t="s">
        <v>160</v>
      </c>
      <c r="E1042" s="29" t="n">
        <f aca="false">J1041</f>
        <v>0</v>
      </c>
      <c r="F1042" s="28"/>
      <c r="G1042" s="30" t="n">
        <v>0</v>
      </c>
      <c r="H1042" s="28"/>
      <c r="I1042" s="28"/>
      <c r="J1042" s="29" t="n">
        <f aca="false">E1042+F1042+G1042-H1042-I1042</f>
        <v>0</v>
      </c>
      <c r="K1042" s="29" t="n">
        <f aca="false">ROUND(E1042+F1042+G1042-H1042-I1042-J1042,1)</f>
        <v>0</v>
      </c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160</v>
      </c>
      <c r="D1043" s="18" t="s">
        <v>160</v>
      </c>
      <c r="E1043" s="29" t="n">
        <f aca="false">J1042</f>
        <v>0</v>
      </c>
      <c r="F1043" s="28"/>
      <c r="G1043" s="30" t="n">
        <v>0</v>
      </c>
      <c r="H1043" s="28"/>
      <c r="I1043" s="28"/>
      <c r="J1043" s="29" t="n">
        <f aca="false">E1043+F1043+G1043-H1043-I1043</f>
        <v>0</v>
      </c>
      <c r="K1043" s="29" t="n">
        <f aca="false">ROUND(E1043+F1043+G1043-H1043-I1043-J1043,1)</f>
        <v>0</v>
      </c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160</v>
      </c>
      <c r="D1044" s="18" t="s">
        <v>160</v>
      </c>
      <c r="E1044" s="29" t="n">
        <f aca="false">J1043</f>
        <v>0</v>
      </c>
      <c r="F1044" s="28"/>
      <c r="G1044" s="30" t="n">
        <v>0</v>
      </c>
      <c r="H1044" s="28"/>
      <c r="I1044" s="28"/>
      <c r="J1044" s="29" t="n">
        <f aca="false">E1044+F1044+G1044-H1044-I1044</f>
        <v>0</v>
      </c>
      <c r="K1044" s="29" t="n">
        <f aca="false">ROUND(E1044+F1044+G1044-H1044-I1044-J1044,1)</f>
        <v>0</v>
      </c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160</v>
      </c>
      <c r="D1045" s="18" t="s">
        <v>160</v>
      </c>
      <c r="E1045" s="29" t="n">
        <f aca="false">J1044</f>
        <v>0</v>
      </c>
      <c r="F1045" s="28"/>
      <c r="G1045" s="30" t="n">
        <v>0</v>
      </c>
      <c r="H1045" s="28"/>
      <c r="I1045" s="28"/>
      <c r="J1045" s="29" t="n">
        <f aca="false">E1045+F1045+G1045-H1045-I1045</f>
        <v>0</v>
      </c>
      <c r="K1045" s="29" t="n">
        <f aca="false">ROUND(E1045+F1045+G1045-H1045-I1045-J1045,1)</f>
        <v>0</v>
      </c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160</v>
      </c>
      <c r="D1046" s="18" t="s">
        <v>160</v>
      </c>
      <c r="E1046" s="29" t="n">
        <f aca="false">J1045</f>
        <v>0</v>
      </c>
      <c r="F1046" s="28"/>
      <c r="G1046" s="30" t="n">
        <v>0</v>
      </c>
      <c r="H1046" s="28"/>
      <c r="I1046" s="28"/>
      <c r="J1046" s="29" t="n">
        <f aca="false">E1046+F1046+G1046-H1046-I1046</f>
        <v>0</v>
      </c>
      <c r="K1046" s="29" t="n">
        <f aca="false">ROUND(E1046+F1046+G1046-H1046-I1046-J1046,1)</f>
        <v>0</v>
      </c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160</v>
      </c>
      <c r="D1047" s="18" t="s">
        <v>160</v>
      </c>
      <c r="E1047" s="29" t="n">
        <f aca="false">J1046</f>
        <v>0</v>
      </c>
      <c r="F1047" s="28"/>
      <c r="G1047" s="30" t="n">
        <v>0</v>
      </c>
      <c r="H1047" s="28"/>
      <c r="I1047" s="28"/>
      <c r="J1047" s="29" t="n">
        <f aca="false">E1047+F1047+G1047-H1047-I1047</f>
        <v>0</v>
      </c>
      <c r="K1047" s="29" t="n">
        <f aca="false">ROUND(E1047+F1047+G1047-H1047-I1047-J1047,1)</f>
        <v>0</v>
      </c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160</v>
      </c>
      <c r="D1048" s="18" t="s">
        <v>160</v>
      </c>
      <c r="E1048" s="29" t="n">
        <f aca="false">J1047</f>
        <v>0</v>
      </c>
      <c r="F1048" s="28"/>
      <c r="G1048" s="30" t="n">
        <v>0</v>
      </c>
      <c r="H1048" s="28"/>
      <c r="I1048" s="28"/>
      <c r="J1048" s="29" t="n">
        <f aca="false">E1048+F1048+G1048-H1048-I1048</f>
        <v>0</v>
      </c>
      <c r="K1048" s="29" t="n">
        <f aca="false">ROUND(E1048+F1048+G1048-H1048-I1048-J1048,1)</f>
        <v>0</v>
      </c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160</v>
      </c>
      <c r="D1049" s="18" t="s">
        <v>160</v>
      </c>
      <c r="E1049" s="29" t="n">
        <f aca="false">J1048</f>
        <v>0</v>
      </c>
      <c r="F1049" s="28"/>
      <c r="G1049" s="30" t="n">
        <v>0</v>
      </c>
      <c r="H1049" s="28"/>
      <c r="I1049" s="28"/>
      <c r="J1049" s="29" t="n">
        <f aca="false">E1049+F1049+G1049-H1049-I1049</f>
        <v>0</v>
      </c>
      <c r="K1049" s="29" t="n">
        <f aca="false">ROUND(E1049+F1049+G1049-H1049-I1049-J1049,1)</f>
        <v>0</v>
      </c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160</v>
      </c>
      <c r="D1050" s="18" t="s">
        <v>160</v>
      </c>
      <c r="E1050" s="29" t="n">
        <f aca="false">J1049</f>
        <v>0</v>
      </c>
      <c r="F1050" s="28"/>
      <c r="G1050" s="30" t="n">
        <v>0</v>
      </c>
      <c r="H1050" s="28"/>
      <c r="I1050" s="28"/>
      <c r="J1050" s="29" t="n">
        <f aca="false">E1050+F1050+G1050-H1050-I1050</f>
        <v>0</v>
      </c>
      <c r="K1050" s="29" t="n">
        <f aca="false">ROUND(E1050+F1050+G1050-H1050-I1050-J1050,1)</f>
        <v>0</v>
      </c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160</v>
      </c>
      <c r="D1051" s="18" t="s">
        <v>160</v>
      </c>
      <c r="E1051" s="29" t="n">
        <f aca="false">J1050</f>
        <v>0</v>
      </c>
      <c r="F1051" s="28"/>
      <c r="G1051" s="30" t="n">
        <v>0</v>
      </c>
      <c r="H1051" s="28"/>
      <c r="I1051" s="28"/>
      <c r="J1051" s="29" t="n">
        <f aca="false">E1051+F1051+G1051-H1051-I1051</f>
        <v>0</v>
      </c>
      <c r="K1051" s="29" t="n">
        <f aca="false">ROUND(E1051+F1051+G1051-H1051-I1051-J1051,1)</f>
        <v>0</v>
      </c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160</v>
      </c>
      <c r="D1052" s="18" t="s">
        <v>160</v>
      </c>
      <c r="E1052" s="29" t="n">
        <f aca="false">J1051</f>
        <v>0</v>
      </c>
      <c r="F1052" s="28"/>
      <c r="G1052" s="30" t="n">
        <v>0</v>
      </c>
      <c r="H1052" s="28"/>
      <c r="I1052" s="28"/>
      <c r="J1052" s="29" t="n">
        <f aca="false">E1052+F1052+G1052-H1052-I1052</f>
        <v>0</v>
      </c>
      <c r="K1052" s="29" t="n">
        <f aca="false">ROUND(E1052+F1052+G1052-H1052-I1052-J1052,1)</f>
        <v>0</v>
      </c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160</v>
      </c>
      <c r="D1053" s="18" t="s">
        <v>160</v>
      </c>
      <c r="E1053" s="29" t="n">
        <f aca="false">J1052</f>
        <v>0</v>
      </c>
      <c r="F1053" s="28"/>
      <c r="G1053" s="30" t="n">
        <v>0</v>
      </c>
      <c r="H1053" s="28"/>
      <c r="I1053" s="28"/>
      <c r="J1053" s="29" t="n">
        <f aca="false">E1053+F1053+G1053-H1053-I1053</f>
        <v>0</v>
      </c>
      <c r="K1053" s="29" t="n">
        <f aca="false">ROUND(E1053+F1053+G1053-H1053-I1053-J1053,1)</f>
        <v>0</v>
      </c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160</v>
      </c>
      <c r="D1054" s="18" t="s">
        <v>160</v>
      </c>
      <c r="E1054" s="29" t="n">
        <f aca="false">J1053</f>
        <v>0</v>
      </c>
      <c r="F1054" s="28"/>
      <c r="G1054" s="30" t="n">
        <v>0</v>
      </c>
      <c r="H1054" s="28"/>
      <c r="I1054" s="28"/>
      <c r="J1054" s="29" t="n">
        <f aca="false">E1054+F1054+G1054-H1054-I1054</f>
        <v>0</v>
      </c>
      <c r="K1054" s="29" t="n">
        <f aca="false">ROUND(E1054+F1054+G1054-H1054-I1054-J1054,1)</f>
        <v>0</v>
      </c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160</v>
      </c>
      <c r="D1055" s="18" t="s">
        <v>160</v>
      </c>
      <c r="E1055" s="29" t="n">
        <f aca="false">J1054</f>
        <v>0</v>
      </c>
      <c r="F1055" s="28"/>
      <c r="G1055" s="30" t="n">
        <v>0</v>
      </c>
      <c r="H1055" s="28"/>
      <c r="I1055" s="28"/>
      <c r="J1055" s="29" t="n">
        <f aca="false">E1055+F1055+G1055-H1055-I1055</f>
        <v>0</v>
      </c>
      <c r="K1055" s="29" t="n">
        <f aca="false">ROUND(E1055+F1055+G1055-H1055-I1055-J1055,1)</f>
        <v>0</v>
      </c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160</v>
      </c>
      <c r="D1056" s="18" t="s">
        <v>160</v>
      </c>
      <c r="E1056" s="29" t="n">
        <f aca="false">J1055</f>
        <v>0</v>
      </c>
      <c r="F1056" s="28"/>
      <c r="G1056" s="30" t="n">
        <v>0</v>
      </c>
      <c r="H1056" s="28"/>
      <c r="I1056" s="28"/>
      <c r="J1056" s="29" t="n">
        <f aca="false">E1056+F1056+G1056-H1056-I1056</f>
        <v>0</v>
      </c>
      <c r="K1056" s="29" t="n">
        <f aca="false">ROUND(E1056+F1056+G1056-H1056-I1056-J1056,1)</f>
        <v>0</v>
      </c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160</v>
      </c>
      <c r="D1057" s="18" t="s">
        <v>160</v>
      </c>
      <c r="E1057" s="29" t="n">
        <f aca="false">J1056</f>
        <v>0</v>
      </c>
      <c r="F1057" s="28"/>
      <c r="G1057" s="30" t="n">
        <v>0</v>
      </c>
      <c r="H1057" s="28"/>
      <c r="I1057" s="28"/>
      <c r="J1057" s="29" t="n">
        <f aca="false">E1057+F1057+G1057-H1057-I1057</f>
        <v>0</v>
      </c>
      <c r="K1057" s="29" t="n">
        <f aca="false">ROUND(E1057+F1057+G1057-H1057-I1057-J1057,1)</f>
        <v>0</v>
      </c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160</v>
      </c>
      <c r="D1058" s="18" t="s">
        <v>160</v>
      </c>
      <c r="E1058" s="29" t="n">
        <f aca="false">J1057</f>
        <v>0</v>
      </c>
      <c r="F1058" s="28"/>
      <c r="G1058" s="30" t="n">
        <v>0</v>
      </c>
      <c r="H1058" s="28"/>
      <c r="I1058" s="28"/>
      <c r="J1058" s="29" t="n">
        <f aca="false">E1058+F1058+G1058-H1058-I1058</f>
        <v>0</v>
      </c>
      <c r="K1058" s="29" t="n">
        <f aca="false">ROUND(E1058+F1058+G1058-H1058-I1058-J1058,1)</f>
        <v>0</v>
      </c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160</v>
      </c>
      <c r="D1059" s="18" t="s">
        <v>160</v>
      </c>
      <c r="E1059" s="29" t="n">
        <f aca="false">J1058</f>
        <v>0</v>
      </c>
      <c r="F1059" s="28"/>
      <c r="G1059" s="30" t="n">
        <v>0</v>
      </c>
      <c r="H1059" s="28"/>
      <c r="I1059" s="28"/>
      <c r="J1059" s="29" t="n">
        <f aca="false">E1059+F1059+G1059-H1059-I1059</f>
        <v>0</v>
      </c>
      <c r="K1059" s="29" t="n">
        <f aca="false">ROUND(E1059+F1059+G1059-H1059-I1059-J1059,1)</f>
        <v>0</v>
      </c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160</v>
      </c>
      <c r="D1060" s="18" t="s">
        <v>160</v>
      </c>
      <c r="E1060" s="29" t="n">
        <f aca="false">J1059</f>
        <v>0</v>
      </c>
      <c r="F1060" s="28"/>
      <c r="G1060" s="30" t="n">
        <v>0</v>
      </c>
      <c r="H1060" s="28"/>
      <c r="I1060" s="28"/>
      <c r="J1060" s="29" t="n">
        <f aca="false">E1060+F1060+G1060-H1060-I1060</f>
        <v>0</v>
      </c>
      <c r="K1060" s="29" t="n">
        <f aca="false">ROUND(E1060+F1060+G1060-H1060-I1060-J1060,1)</f>
        <v>0</v>
      </c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160</v>
      </c>
      <c r="D1061" s="18" t="s">
        <v>160</v>
      </c>
      <c r="E1061" s="29" t="n">
        <f aca="false">J1060</f>
        <v>0</v>
      </c>
      <c r="F1061" s="28"/>
      <c r="G1061" s="30" t="n">
        <v>0</v>
      </c>
      <c r="H1061" s="28"/>
      <c r="I1061" s="28"/>
      <c r="J1061" s="29" t="n">
        <f aca="false">E1061+F1061+G1061-H1061-I1061</f>
        <v>0</v>
      </c>
      <c r="K1061" s="29" t="n">
        <f aca="false">ROUND(E1061+F1061+G1061-H1061-I1061-J1061,1)</f>
        <v>0</v>
      </c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160</v>
      </c>
      <c r="D1062" s="18" t="s">
        <v>160</v>
      </c>
      <c r="E1062" s="29" t="n">
        <f aca="false">J1061</f>
        <v>0</v>
      </c>
      <c r="F1062" s="28"/>
      <c r="G1062" s="30" t="n">
        <v>0</v>
      </c>
      <c r="H1062" s="28"/>
      <c r="I1062" s="28"/>
      <c r="J1062" s="29" t="n">
        <f aca="false">E1062+F1062+G1062-H1062-I1062</f>
        <v>0</v>
      </c>
      <c r="K1062" s="29" t="n">
        <f aca="false">ROUND(E1062+F1062+G1062-H1062-I1062-J1062,1)</f>
        <v>0</v>
      </c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160</v>
      </c>
      <c r="D1063" s="18" t="s">
        <v>160</v>
      </c>
      <c r="E1063" s="29" t="n">
        <f aca="false">J1062</f>
        <v>0</v>
      </c>
      <c r="F1063" s="28"/>
      <c r="G1063" s="30" t="n">
        <v>0</v>
      </c>
      <c r="H1063" s="28"/>
      <c r="I1063" s="28"/>
      <c r="J1063" s="29" t="n">
        <f aca="false">E1063+F1063+G1063-H1063-I1063</f>
        <v>0</v>
      </c>
      <c r="K1063" s="29" t="n">
        <f aca="false">ROUND(E1063+F1063+G1063-H1063-I1063-J1063,1)</f>
        <v>0</v>
      </c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160</v>
      </c>
      <c r="D1064" s="18" t="s">
        <v>160</v>
      </c>
      <c r="E1064" s="29" t="n">
        <f aca="false">J1063</f>
        <v>0</v>
      </c>
      <c r="F1064" s="28"/>
      <c r="G1064" s="30" t="n">
        <v>0</v>
      </c>
      <c r="H1064" s="28"/>
      <c r="I1064" s="28"/>
      <c r="J1064" s="29" t="n">
        <f aca="false">E1064+F1064+G1064-H1064-I1064</f>
        <v>0</v>
      </c>
      <c r="K1064" s="29" t="n">
        <f aca="false">ROUND(E1064+F1064+G1064-H1064-I1064-J1064,1)</f>
        <v>0</v>
      </c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160</v>
      </c>
      <c r="D1065" s="18" t="s">
        <v>160</v>
      </c>
      <c r="E1065" s="29" t="n">
        <f aca="false">J1064</f>
        <v>0</v>
      </c>
      <c r="F1065" s="28"/>
      <c r="G1065" s="30" t="n">
        <v>0</v>
      </c>
      <c r="H1065" s="28"/>
      <c r="I1065" s="28"/>
      <c r="J1065" s="29" t="n">
        <f aca="false">E1065+F1065+G1065-H1065-I1065</f>
        <v>0</v>
      </c>
      <c r="K1065" s="29" t="n">
        <f aca="false">ROUND(E1065+F1065+G1065-H1065-I1065-J1065,1)</f>
        <v>0</v>
      </c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160</v>
      </c>
      <c r="D1066" s="18" t="s">
        <v>160</v>
      </c>
      <c r="E1066" s="29" t="n">
        <f aca="false">J1065</f>
        <v>0</v>
      </c>
      <c r="F1066" s="28"/>
      <c r="G1066" s="30" t="n">
        <v>0</v>
      </c>
      <c r="H1066" s="28"/>
      <c r="I1066" s="28"/>
      <c r="J1066" s="29" t="n">
        <f aca="false">E1066+F1066+G1066-H1066-I1066</f>
        <v>0</v>
      </c>
      <c r="K1066" s="29" t="n">
        <f aca="false">ROUND(E1066+F1066+G1066-H1066-I1066-J1066,1)</f>
        <v>0</v>
      </c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160</v>
      </c>
      <c r="D1067" s="18" t="s">
        <v>160</v>
      </c>
      <c r="E1067" s="29" t="n">
        <f aca="false">J1066</f>
        <v>0</v>
      </c>
      <c r="F1067" s="28"/>
      <c r="G1067" s="30" t="n">
        <v>0</v>
      </c>
      <c r="H1067" s="28"/>
      <c r="I1067" s="28"/>
      <c r="J1067" s="29" t="n">
        <f aca="false">E1067+F1067+G1067-H1067-I1067</f>
        <v>0</v>
      </c>
      <c r="K1067" s="29" t="n">
        <f aca="false">ROUND(E1067+F1067+G1067-H1067-I1067-J1067,1)</f>
        <v>0</v>
      </c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160</v>
      </c>
      <c r="D1068" s="18" t="s">
        <v>160</v>
      </c>
      <c r="E1068" s="29" t="n">
        <f aca="false">J1067</f>
        <v>0</v>
      </c>
      <c r="F1068" s="28"/>
      <c r="G1068" s="30" t="n">
        <v>0</v>
      </c>
      <c r="H1068" s="28"/>
      <c r="I1068" s="28"/>
      <c r="J1068" s="29" t="n">
        <f aca="false">E1068+F1068+G1068-H1068-I1068</f>
        <v>0</v>
      </c>
      <c r="K1068" s="29" t="n">
        <f aca="false">ROUND(E1068+F1068+G1068-H1068-I1068-J1068,1)</f>
        <v>0</v>
      </c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160</v>
      </c>
      <c r="D1069" s="18" t="s">
        <v>160</v>
      </c>
      <c r="E1069" s="29" t="n">
        <f aca="false">J1068</f>
        <v>0</v>
      </c>
      <c r="F1069" s="28"/>
      <c r="G1069" s="30" t="n">
        <v>0</v>
      </c>
      <c r="H1069" s="28"/>
      <c r="I1069" s="28"/>
      <c r="J1069" s="29" t="n">
        <f aca="false">E1069+F1069+G1069-H1069-I1069</f>
        <v>0</v>
      </c>
      <c r="K1069" s="29" t="n">
        <f aca="false">ROUND(E1069+F1069+G1069-H1069-I1069-J1069,1)</f>
        <v>0</v>
      </c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160</v>
      </c>
      <c r="D1070" s="18" t="s">
        <v>160</v>
      </c>
      <c r="E1070" s="29" t="n">
        <f aca="false">J1069</f>
        <v>0</v>
      </c>
      <c r="F1070" s="28"/>
      <c r="G1070" s="30" t="n">
        <v>0</v>
      </c>
      <c r="H1070" s="28"/>
      <c r="I1070" s="28"/>
      <c r="J1070" s="29" t="n">
        <f aca="false">E1070+F1070+G1070-H1070-I1070</f>
        <v>0</v>
      </c>
      <c r="K1070" s="29" t="n">
        <f aca="false">ROUND(E1070+F1070+G1070-H1070-I1070-J1070,1)</f>
        <v>0</v>
      </c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160</v>
      </c>
      <c r="D1071" s="18" t="s">
        <v>160</v>
      </c>
      <c r="E1071" s="29" t="n">
        <f aca="false">J1070</f>
        <v>0</v>
      </c>
      <c r="F1071" s="28"/>
      <c r="G1071" s="30" t="n">
        <v>0</v>
      </c>
      <c r="H1071" s="28"/>
      <c r="I1071" s="28"/>
      <c r="J1071" s="29" t="n">
        <f aca="false">E1071+F1071+G1071-H1071-I1071</f>
        <v>0</v>
      </c>
      <c r="K1071" s="29" t="n">
        <f aca="false">ROUND(E1071+F1071+G1071-H1071-I1071-J1071,1)</f>
        <v>0</v>
      </c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160</v>
      </c>
      <c r="D1072" s="18" t="s">
        <v>160</v>
      </c>
      <c r="E1072" s="29" t="n">
        <f aca="false">J1071</f>
        <v>0</v>
      </c>
      <c r="F1072" s="28"/>
      <c r="G1072" s="30" t="n">
        <v>0</v>
      </c>
      <c r="H1072" s="28"/>
      <c r="I1072" s="28"/>
      <c r="J1072" s="29" t="n">
        <f aca="false">E1072+F1072+G1072-H1072-I1072</f>
        <v>0</v>
      </c>
      <c r="K1072" s="29" t="n">
        <f aca="false">ROUND(E1072+F1072+G1072-H1072-I1072-J1072,1)</f>
        <v>0</v>
      </c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160</v>
      </c>
      <c r="D1073" s="18" t="s">
        <v>160</v>
      </c>
      <c r="E1073" s="29" t="n">
        <f aca="false">J1072</f>
        <v>0</v>
      </c>
      <c r="F1073" s="28"/>
      <c r="G1073" s="30" t="n">
        <v>0</v>
      </c>
      <c r="H1073" s="28"/>
      <c r="I1073" s="28"/>
      <c r="J1073" s="29" t="n">
        <f aca="false">E1073+F1073+G1073-H1073-I1073</f>
        <v>0</v>
      </c>
      <c r="K1073" s="29" t="n">
        <f aca="false">ROUND(E1073+F1073+G1073-H1073-I1073-J1073,1)</f>
        <v>0</v>
      </c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160</v>
      </c>
      <c r="D1074" s="18" t="s">
        <v>160</v>
      </c>
      <c r="E1074" s="29" t="n">
        <f aca="false">J1073</f>
        <v>0</v>
      </c>
      <c r="F1074" s="28"/>
      <c r="G1074" s="30" t="n">
        <v>0</v>
      </c>
      <c r="H1074" s="28"/>
      <c r="I1074" s="28"/>
      <c r="J1074" s="29" t="n">
        <f aca="false">E1074+F1074+G1074-H1074-I1074</f>
        <v>0</v>
      </c>
      <c r="K1074" s="29" t="n">
        <f aca="false">ROUND(E1074+F1074+G1074-H1074-I1074-J1074,1)</f>
        <v>0</v>
      </c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160</v>
      </c>
      <c r="D1075" s="18" t="s">
        <v>160</v>
      </c>
      <c r="E1075" s="29" t="n">
        <f aca="false">J1074</f>
        <v>0</v>
      </c>
      <c r="F1075" s="28"/>
      <c r="G1075" s="30" t="n">
        <v>0</v>
      </c>
      <c r="H1075" s="28"/>
      <c r="I1075" s="28"/>
      <c r="J1075" s="29" t="n">
        <f aca="false">E1075+F1075+G1075-H1075-I1075</f>
        <v>0</v>
      </c>
      <c r="K1075" s="29" t="n">
        <f aca="false">ROUND(E1075+F1075+G1075-H1075-I1075-J1075,1)</f>
        <v>0</v>
      </c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160</v>
      </c>
      <c r="D1076" s="18" t="s">
        <v>160</v>
      </c>
      <c r="E1076" s="29" t="n">
        <f aca="false">J1075</f>
        <v>0</v>
      </c>
      <c r="F1076" s="28"/>
      <c r="G1076" s="30" t="n">
        <v>0</v>
      </c>
      <c r="H1076" s="28"/>
      <c r="I1076" s="28"/>
      <c r="J1076" s="29" t="n">
        <f aca="false">E1076+F1076+G1076-H1076-I1076</f>
        <v>0</v>
      </c>
      <c r="K1076" s="29" t="n">
        <f aca="false">ROUND(E1076+F1076+G1076-H1076-I1076-J1076,1)</f>
        <v>0</v>
      </c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160</v>
      </c>
      <c r="D1077" s="18" t="s">
        <v>160</v>
      </c>
      <c r="E1077" s="29" t="n">
        <f aca="false">J1076</f>
        <v>0</v>
      </c>
      <c r="F1077" s="28"/>
      <c r="G1077" s="30" t="n">
        <v>0</v>
      </c>
      <c r="H1077" s="28"/>
      <c r="I1077" s="28"/>
      <c r="J1077" s="29" t="n">
        <f aca="false">E1077+F1077+G1077-H1077-I1077</f>
        <v>0</v>
      </c>
      <c r="K1077" s="29" t="n">
        <f aca="false">ROUND(E1077+F1077+G1077-H1077-I1077-J1077,1)</f>
        <v>0</v>
      </c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160</v>
      </c>
      <c r="D1078" s="18" t="s">
        <v>160</v>
      </c>
      <c r="E1078" s="29" t="n">
        <f aca="false">J1077</f>
        <v>0</v>
      </c>
      <c r="F1078" s="28"/>
      <c r="G1078" s="30" t="n">
        <v>0</v>
      </c>
      <c r="H1078" s="28"/>
      <c r="I1078" s="28"/>
      <c r="J1078" s="29" t="n">
        <f aca="false">E1078+F1078+G1078-H1078-I1078</f>
        <v>0</v>
      </c>
      <c r="K1078" s="29" t="n">
        <f aca="false">ROUND(E1078+F1078+G1078-H1078-I1078-J1078,1)</f>
        <v>0</v>
      </c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160</v>
      </c>
      <c r="D1079" s="18" t="s">
        <v>160</v>
      </c>
      <c r="E1079" s="29" t="n">
        <f aca="false">J1078</f>
        <v>0</v>
      </c>
      <c r="F1079" s="28"/>
      <c r="G1079" s="30" t="n">
        <v>0</v>
      </c>
      <c r="H1079" s="28"/>
      <c r="I1079" s="28"/>
      <c r="J1079" s="29" t="n">
        <f aca="false">E1079+F1079+G1079-H1079-I1079</f>
        <v>0</v>
      </c>
      <c r="K1079" s="29" t="n">
        <f aca="false">ROUND(E1079+F1079+G1079-H1079-I1079-J1079,1)</f>
        <v>0</v>
      </c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160</v>
      </c>
      <c r="D1080" s="18" t="s">
        <v>160</v>
      </c>
      <c r="E1080" s="29" t="n">
        <f aca="false">J1079</f>
        <v>0</v>
      </c>
      <c r="F1080" s="28"/>
      <c r="G1080" s="30" t="n">
        <v>0</v>
      </c>
      <c r="H1080" s="28"/>
      <c r="I1080" s="28"/>
      <c r="J1080" s="29" t="n">
        <f aca="false">E1080+F1080+G1080-H1080-I1080</f>
        <v>0</v>
      </c>
      <c r="K1080" s="29" t="n">
        <f aca="false">ROUND(E1080+F1080+G1080-H1080-I1080-J1080,1)</f>
        <v>0</v>
      </c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160</v>
      </c>
      <c r="D1081" s="18" t="s">
        <v>160</v>
      </c>
      <c r="E1081" s="29" t="n">
        <f aca="false">J1080</f>
        <v>0</v>
      </c>
      <c r="F1081" s="28"/>
      <c r="G1081" s="30" t="n">
        <v>0</v>
      </c>
      <c r="H1081" s="28"/>
      <c r="I1081" s="28"/>
      <c r="J1081" s="29" t="n">
        <f aca="false">E1081+F1081+G1081-H1081-I1081</f>
        <v>0</v>
      </c>
      <c r="K1081" s="29" t="n">
        <f aca="false">ROUND(E1081+F1081+G1081-H1081-I1081-J1081,1)</f>
        <v>0</v>
      </c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160</v>
      </c>
      <c r="D1082" s="18" t="s">
        <v>160</v>
      </c>
      <c r="E1082" s="29" t="n">
        <f aca="false">J1081</f>
        <v>0</v>
      </c>
      <c r="F1082" s="28"/>
      <c r="G1082" s="30" t="n">
        <v>0</v>
      </c>
      <c r="H1082" s="28"/>
      <c r="I1082" s="28"/>
      <c r="J1082" s="29" t="n">
        <f aca="false">E1082+F1082+G1082-H1082-I1082</f>
        <v>0</v>
      </c>
      <c r="K1082" s="29" t="n">
        <f aca="false">ROUND(E1082+F1082+G1082-H1082-I1082-J1082,1)</f>
        <v>0</v>
      </c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160</v>
      </c>
      <c r="D1083" s="18" t="s">
        <v>160</v>
      </c>
      <c r="E1083" s="29" t="n">
        <f aca="false">J1082</f>
        <v>0</v>
      </c>
      <c r="F1083" s="28"/>
      <c r="G1083" s="30" t="n">
        <v>0</v>
      </c>
      <c r="H1083" s="28"/>
      <c r="I1083" s="28"/>
      <c r="J1083" s="29" t="n">
        <f aca="false">E1083+F1083+G1083-H1083-I1083</f>
        <v>0</v>
      </c>
      <c r="K1083" s="29" t="n">
        <f aca="false">ROUND(E1083+F1083+G1083-H1083-I1083-J1083,1)</f>
        <v>0</v>
      </c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160</v>
      </c>
      <c r="D1084" s="18" t="s">
        <v>160</v>
      </c>
      <c r="E1084" s="29" t="n">
        <f aca="false">J1083</f>
        <v>0</v>
      </c>
      <c r="F1084" s="28"/>
      <c r="G1084" s="30" t="n">
        <v>0</v>
      </c>
      <c r="H1084" s="28"/>
      <c r="I1084" s="28"/>
      <c r="J1084" s="29" t="n">
        <f aca="false">E1084+F1084+G1084-H1084-I1084</f>
        <v>0</v>
      </c>
      <c r="K1084" s="29" t="n">
        <f aca="false">ROUND(E1084+F1084+G1084-H1084-I1084-J1084,1)</f>
        <v>0</v>
      </c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160</v>
      </c>
      <c r="D1085" s="18" t="s">
        <v>160</v>
      </c>
      <c r="E1085" s="29" t="n">
        <f aca="false">J1084</f>
        <v>0</v>
      </c>
      <c r="F1085" s="28"/>
      <c r="G1085" s="30" t="n">
        <v>0</v>
      </c>
      <c r="H1085" s="28"/>
      <c r="I1085" s="28"/>
      <c r="J1085" s="29" t="n">
        <f aca="false">E1085+F1085+G1085-H1085-I1085</f>
        <v>0</v>
      </c>
      <c r="K1085" s="29" t="n">
        <f aca="false">ROUND(E1085+F1085+G1085-H1085-I1085-J1085,1)</f>
        <v>0</v>
      </c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160</v>
      </c>
      <c r="D1086" s="18" t="s">
        <v>160</v>
      </c>
      <c r="E1086" s="29" t="n">
        <f aca="false">J1085</f>
        <v>0</v>
      </c>
      <c r="F1086" s="28"/>
      <c r="G1086" s="30" t="n">
        <v>0</v>
      </c>
      <c r="H1086" s="28"/>
      <c r="I1086" s="28"/>
      <c r="J1086" s="29" t="n">
        <f aca="false">E1086+F1086+G1086-H1086-I1086</f>
        <v>0</v>
      </c>
      <c r="K1086" s="29" t="n">
        <f aca="false">ROUND(E1086+F1086+G1086-H1086-I1086-J1086,1)</f>
        <v>0</v>
      </c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160</v>
      </c>
      <c r="D1087" s="18" t="s">
        <v>160</v>
      </c>
      <c r="E1087" s="29" t="n">
        <f aca="false">J1086</f>
        <v>0</v>
      </c>
      <c r="F1087" s="28"/>
      <c r="G1087" s="30" t="n">
        <v>0</v>
      </c>
      <c r="H1087" s="28"/>
      <c r="I1087" s="28"/>
      <c r="J1087" s="29" t="n">
        <f aca="false">E1087+F1087+G1087-H1087-I1087</f>
        <v>0</v>
      </c>
      <c r="K1087" s="29" t="n">
        <f aca="false">ROUND(E1087+F1087+G1087-H1087-I1087-J1087,1)</f>
        <v>0</v>
      </c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160</v>
      </c>
      <c r="D1088" s="18" t="s">
        <v>160</v>
      </c>
      <c r="E1088" s="29" t="n">
        <f aca="false">J1087</f>
        <v>0</v>
      </c>
      <c r="F1088" s="28"/>
      <c r="G1088" s="30" t="n">
        <v>0</v>
      </c>
      <c r="H1088" s="28"/>
      <c r="I1088" s="28"/>
      <c r="J1088" s="29" t="n">
        <f aca="false">E1088+F1088+G1088-H1088-I1088</f>
        <v>0</v>
      </c>
      <c r="K1088" s="29" t="n">
        <f aca="false">ROUND(E1088+F1088+G1088-H1088-I1088-J1088,1)</f>
        <v>0</v>
      </c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160</v>
      </c>
      <c r="D1089" s="18" t="s">
        <v>160</v>
      </c>
      <c r="E1089" s="29" t="n">
        <f aca="false">J1088</f>
        <v>0</v>
      </c>
      <c r="F1089" s="28"/>
      <c r="G1089" s="30" t="n">
        <v>0</v>
      </c>
      <c r="H1089" s="28"/>
      <c r="I1089" s="28"/>
      <c r="J1089" s="29" t="n">
        <f aca="false">E1089+F1089+G1089-H1089-I1089</f>
        <v>0</v>
      </c>
      <c r="K1089" s="29" t="n">
        <f aca="false">ROUND(E1089+F1089+G1089-H1089-I1089-J1089,1)</f>
        <v>0</v>
      </c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160</v>
      </c>
      <c r="D1090" s="18" t="s">
        <v>160</v>
      </c>
      <c r="E1090" s="29" t="n">
        <f aca="false">J1089</f>
        <v>0</v>
      </c>
      <c r="F1090" s="28"/>
      <c r="G1090" s="30" t="n">
        <v>0</v>
      </c>
      <c r="H1090" s="28"/>
      <c r="I1090" s="28"/>
      <c r="J1090" s="29" t="n">
        <f aca="false">E1090+F1090+G1090-H1090-I1090</f>
        <v>0</v>
      </c>
      <c r="K1090" s="29" t="n">
        <f aca="false">ROUND(E1090+F1090+G1090-H1090-I1090-J1090,1)</f>
        <v>0</v>
      </c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160</v>
      </c>
      <c r="D1091" s="18" t="s">
        <v>160</v>
      </c>
      <c r="E1091" s="29" t="n">
        <f aca="false">J1090</f>
        <v>0</v>
      </c>
      <c r="F1091" s="28"/>
      <c r="G1091" s="30" t="n">
        <v>0</v>
      </c>
      <c r="H1091" s="28"/>
      <c r="I1091" s="28"/>
      <c r="J1091" s="29" t="n">
        <f aca="false">E1091+F1091+G1091-H1091-I1091</f>
        <v>0</v>
      </c>
      <c r="K1091" s="29" t="n">
        <f aca="false">ROUND(E1091+F1091+G1091-H1091-I1091-J1091,1)</f>
        <v>0</v>
      </c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160</v>
      </c>
      <c r="D1092" s="18" t="s">
        <v>160</v>
      </c>
      <c r="E1092" s="29" t="n">
        <f aca="false">J1091</f>
        <v>0</v>
      </c>
      <c r="F1092" s="28"/>
      <c r="G1092" s="30" t="n">
        <v>0</v>
      </c>
      <c r="H1092" s="28"/>
      <c r="I1092" s="28"/>
      <c r="J1092" s="29" t="n">
        <f aca="false">E1092+F1092+G1092-H1092-I1092</f>
        <v>0</v>
      </c>
      <c r="K1092" s="29" t="n">
        <f aca="false">ROUND(E1092+F1092+G1092-H1092-I1092-J1092,1)</f>
        <v>0</v>
      </c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160</v>
      </c>
      <c r="D1093" s="18" t="s">
        <v>160</v>
      </c>
      <c r="E1093" s="29" t="n">
        <f aca="false">J1092</f>
        <v>0</v>
      </c>
      <c r="F1093" s="28"/>
      <c r="G1093" s="30" t="n">
        <v>0</v>
      </c>
      <c r="H1093" s="28"/>
      <c r="I1093" s="28"/>
      <c r="J1093" s="29" t="n">
        <f aca="false">E1093+F1093+G1093-H1093-I1093</f>
        <v>0</v>
      </c>
      <c r="K1093" s="29" t="n">
        <f aca="false">ROUND(E1093+F1093+G1093-H1093-I1093-J1093,1)</f>
        <v>0</v>
      </c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160</v>
      </c>
      <c r="D1094" s="18" t="s">
        <v>160</v>
      </c>
      <c r="E1094" s="29" t="n">
        <f aca="false">J1093</f>
        <v>0</v>
      </c>
      <c r="F1094" s="28"/>
      <c r="G1094" s="30" t="n">
        <v>0</v>
      </c>
      <c r="H1094" s="28"/>
      <c r="I1094" s="28"/>
      <c r="J1094" s="29" t="n">
        <f aca="false">E1094+F1094+G1094-H1094-I1094</f>
        <v>0</v>
      </c>
      <c r="K1094" s="29" t="n">
        <f aca="false">ROUND(E1094+F1094+G1094-H1094-I1094-J1094,1)</f>
        <v>0</v>
      </c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160</v>
      </c>
      <c r="D1095" s="18" t="s">
        <v>160</v>
      </c>
      <c r="E1095" s="29" t="n">
        <f aca="false">J1094</f>
        <v>0</v>
      </c>
      <c r="F1095" s="28"/>
      <c r="G1095" s="30" t="n">
        <v>0</v>
      </c>
      <c r="H1095" s="28"/>
      <c r="I1095" s="28"/>
      <c r="J1095" s="29" t="n">
        <f aca="false">E1095+F1095+G1095-H1095-I1095</f>
        <v>0</v>
      </c>
      <c r="K1095" s="29" t="n">
        <f aca="false">ROUND(E1095+F1095+G1095-H1095-I1095-J1095,1)</f>
        <v>0</v>
      </c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160</v>
      </c>
      <c r="D1096" s="18" t="s">
        <v>160</v>
      </c>
      <c r="E1096" s="29" t="n">
        <f aca="false">J1095</f>
        <v>0</v>
      </c>
      <c r="F1096" s="28"/>
      <c r="G1096" s="30" t="n">
        <v>0</v>
      </c>
      <c r="H1096" s="28"/>
      <c r="I1096" s="28"/>
      <c r="J1096" s="29" t="n">
        <f aca="false">E1096+F1096+G1096-H1096-I1096</f>
        <v>0</v>
      </c>
      <c r="K1096" s="29" t="n">
        <f aca="false">ROUND(E1096+F1096+G1096-H1096-I1096-J1096,1)</f>
        <v>0</v>
      </c>
    </row>
    <row r="1097" customFormat="false" ht="15" hidden="false" customHeight="false" outlineLevel="0" collapsed="false">
      <c r="A1097" s="25" t="n">
        <v>46023</v>
      </c>
      <c r="B1097" s="23" t="str">
        <f aca="false">IF(A1097="","",IF(A1097&lt;=profil!$B$9,"Realisasi","Rencana"))</f>
        <v>Rencana</v>
      </c>
      <c r="C1097" s="18" t="s">
        <v>161</v>
      </c>
      <c r="D1097" s="18" t="s">
        <v>161</v>
      </c>
      <c r="E1097" s="28"/>
      <c r="F1097" s="28"/>
      <c r="G1097" s="30" t="n">
        <v>0</v>
      </c>
      <c r="H1097" s="28"/>
      <c r="I1097" s="28"/>
      <c r="J1097" s="29" t="n">
        <f aca="false">E1097+F1097+G1097-H1097-I1097</f>
        <v>0</v>
      </c>
      <c r="K1097" s="29" t="n">
        <f aca="false">ROUND(E1097+F1097+G1097-H1097-I1097-J1097,1)</f>
        <v>0</v>
      </c>
    </row>
    <row r="1098" customFormat="false" ht="15" hidden="false" customHeight="false" outlineLevel="0" collapsed="false">
      <c r="A1098" s="25" t="n">
        <v>46024</v>
      </c>
      <c r="B1098" s="23" t="str">
        <f aca="false">IF(A1098="","",IF(A1098&lt;=profil!$B$9,"Realisasi","Rencana"))</f>
        <v>Rencana</v>
      </c>
      <c r="C1098" s="18" t="s">
        <v>161</v>
      </c>
      <c r="D1098" s="18" t="s">
        <v>161</v>
      </c>
      <c r="E1098" s="29" t="n">
        <f aca="false">J1097</f>
        <v>0</v>
      </c>
      <c r="F1098" s="28"/>
      <c r="G1098" s="30" t="n">
        <v>0</v>
      </c>
      <c r="H1098" s="28"/>
      <c r="I1098" s="28"/>
      <c r="J1098" s="29" t="n">
        <f aca="false">E1098+F1098+G1098-H1098-I1098</f>
        <v>0</v>
      </c>
      <c r="K1098" s="29" t="n">
        <f aca="false">ROUND(E1098+F1098+G1098-H1098-I1098-J1098,1)</f>
        <v>0</v>
      </c>
    </row>
    <row r="1099" customFormat="false" ht="15" hidden="false" customHeight="false" outlineLevel="0" collapsed="false">
      <c r="A1099" s="25" t="n">
        <v>46025</v>
      </c>
      <c r="B1099" s="23" t="str">
        <f aca="false">IF(A1099="","",IF(A1099&lt;=profil!$B$9,"Realisasi","Rencana"))</f>
        <v>Rencana</v>
      </c>
      <c r="C1099" s="18" t="s">
        <v>161</v>
      </c>
      <c r="D1099" s="18" t="s">
        <v>161</v>
      </c>
      <c r="E1099" s="29" t="n">
        <f aca="false">J1098</f>
        <v>0</v>
      </c>
      <c r="F1099" s="28"/>
      <c r="G1099" s="30" t="n">
        <v>0</v>
      </c>
      <c r="H1099" s="28"/>
      <c r="I1099" s="28"/>
      <c r="J1099" s="29" t="n">
        <f aca="false">E1099+F1099+G1099-H1099-I1099</f>
        <v>0</v>
      </c>
      <c r="K1099" s="29" t="n">
        <f aca="false">ROUND(E1099+F1099+G1099-H1099-I1099-J1099,1)</f>
        <v>0</v>
      </c>
    </row>
    <row r="1100" customFormat="false" ht="15" hidden="false" customHeight="false" outlineLevel="0" collapsed="false">
      <c r="A1100" s="25" t="n">
        <v>46026</v>
      </c>
      <c r="B1100" s="23" t="str">
        <f aca="false">IF(A1100="","",IF(A1100&lt;=profil!$B$9,"Realisasi","Rencana"))</f>
        <v>Rencana</v>
      </c>
      <c r="C1100" s="18" t="s">
        <v>161</v>
      </c>
      <c r="D1100" s="18" t="s">
        <v>161</v>
      </c>
      <c r="E1100" s="29" t="n">
        <f aca="false">J1099</f>
        <v>0</v>
      </c>
      <c r="F1100" s="28"/>
      <c r="G1100" s="30" t="n">
        <v>0</v>
      </c>
      <c r="H1100" s="28"/>
      <c r="I1100" s="28"/>
      <c r="J1100" s="29" t="n">
        <f aca="false">E1100+F1100+G1100-H1100-I1100</f>
        <v>0</v>
      </c>
      <c r="K1100" s="29" t="n">
        <f aca="false">ROUND(E1100+F1100+G1100-H1100-I1100-J1100,1)</f>
        <v>0</v>
      </c>
    </row>
    <row r="1101" customFormat="false" ht="15" hidden="false" customHeight="false" outlineLevel="0" collapsed="false">
      <c r="A1101" s="25" t="n">
        <v>46027</v>
      </c>
      <c r="B1101" s="23" t="str">
        <f aca="false">IF(A1101="","",IF(A1101&lt;=profil!$B$9,"Realisasi","Rencana"))</f>
        <v>Rencana</v>
      </c>
      <c r="C1101" s="18" t="s">
        <v>161</v>
      </c>
      <c r="D1101" s="18" t="s">
        <v>161</v>
      </c>
      <c r="E1101" s="29" t="n">
        <f aca="false">J1100</f>
        <v>0</v>
      </c>
      <c r="F1101" s="28"/>
      <c r="G1101" s="30" t="n">
        <v>0</v>
      </c>
      <c r="H1101" s="28"/>
      <c r="I1101" s="28"/>
      <c r="J1101" s="29" t="n">
        <f aca="false">E1101+F1101+G1101-H1101-I1101</f>
        <v>0</v>
      </c>
      <c r="K1101" s="29" t="n">
        <f aca="false">ROUND(E1101+F1101+G1101-H1101-I1101-J1101,1)</f>
        <v>0</v>
      </c>
    </row>
    <row r="1102" customFormat="false" ht="15" hidden="false" customHeight="false" outlineLevel="0" collapsed="false">
      <c r="A1102" s="25" t="n">
        <v>46028</v>
      </c>
      <c r="B1102" s="23" t="str">
        <f aca="false">IF(A1102="","",IF(A1102&lt;=profil!$B$9,"Realisasi","Rencana"))</f>
        <v>Rencana</v>
      </c>
      <c r="C1102" s="18" t="s">
        <v>161</v>
      </c>
      <c r="D1102" s="18" t="s">
        <v>161</v>
      </c>
      <c r="E1102" s="29" t="n">
        <f aca="false">J1101</f>
        <v>0</v>
      </c>
      <c r="F1102" s="28"/>
      <c r="G1102" s="30" t="n">
        <v>0</v>
      </c>
      <c r="H1102" s="28"/>
      <c r="I1102" s="28"/>
      <c r="J1102" s="29" t="n">
        <f aca="false">E1102+F1102+G1102-H1102-I1102</f>
        <v>0</v>
      </c>
      <c r="K1102" s="29" t="n">
        <f aca="false">ROUND(E1102+F1102+G1102-H1102-I1102-J1102,1)</f>
        <v>0</v>
      </c>
    </row>
    <row r="1103" customFormat="false" ht="15" hidden="false" customHeight="false" outlineLevel="0" collapsed="false">
      <c r="A1103" s="25" t="n">
        <v>46029</v>
      </c>
      <c r="B1103" s="23" t="str">
        <f aca="false">IF(A1103="","",IF(A1103&lt;=profil!$B$9,"Realisasi","Rencana"))</f>
        <v>Rencana</v>
      </c>
      <c r="C1103" s="18" t="s">
        <v>161</v>
      </c>
      <c r="D1103" s="18" t="s">
        <v>161</v>
      </c>
      <c r="E1103" s="29" t="n">
        <f aca="false">J1102</f>
        <v>0</v>
      </c>
      <c r="F1103" s="28"/>
      <c r="G1103" s="30" t="n">
        <v>0</v>
      </c>
      <c r="H1103" s="28"/>
      <c r="I1103" s="28"/>
      <c r="J1103" s="29" t="n">
        <f aca="false">E1103+F1103+G1103-H1103-I1103</f>
        <v>0</v>
      </c>
      <c r="K1103" s="29" t="n">
        <f aca="false">ROUND(E1103+F1103+G1103-H1103-I1103-J1103,1)</f>
        <v>0</v>
      </c>
    </row>
    <row r="1104" customFormat="false" ht="15" hidden="false" customHeight="false" outlineLevel="0" collapsed="false">
      <c r="A1104" s="25" t="n">
        <v>46030</v>
      </c>
      <c r="B1104" s="23" t="str">
        <f aca="false">IF(A1104="","",IF(A1104&lt;=profil!$B$9,"Realisasi","Rencana"))</f>
        <v>Rencana</v>
      </c>
      <c r="C1104" s="18" t="s">
        <v>161</v>
      </c>
      <c r="D1104" s="18" t="s">
        <v>161</v>
      </c>
      <c r="E1104" s="29" t="n">
        <f aca="false">J1103</f>
        <v>0</v>
      </c>
      <c r="F1104" s="28"/>
      <c r="G1104" s="30" t="n">
        <v>0</v>
      </c>
      <c r="H1104" s="28"/>
      <c r="I1104" s="28"/>
      <c r="J1104" s="29" t="n">
        <f aca="false">E1104+F1104+G1104-H1104-I1104</f>
        <v>0</v>
      </c>
      <c r="K1104" s="29" t="n">
        <f aca="false">ROUND(E1104+F1104+G1104-H1104-I1104-J1104,1)</f>
        <v>0</v>
      </c>
    </row>
    <row r="1105" customFormat="false" ht="15" hidden="false" customHeight="false" outlineLevel="0" collapsed="false">
      <c r="A1105" s="25" t="n">
        <v>46031</v>
      </c>
      <c r="B1105" s="23" t="str">
        <f aca="false">IF(A1105="","",IF(A1105&lt;=profil!$B$9,"Realisasi","Rencana"))</f>
        <v>Rencana</v>
      </c>
      <c r="C1105" s="18" t="s">
        <v>161</v>
      </c>
      <c r="D1105" s="18" t="s">
        <v>161</v>
      </c>
      <c r="E1105" s="29" t="n">
        <f aca="false">J1104</f>
        <v>0</v>
      </c>
      <c r="F1105" s="28"/>
      <c r="G1105" s="30" t="n">
        <v>0</v>
      </c>
      <c r="H1105" s="28"/>
      <c r="I1105" s="28"/>
      <c r="J1105" s="29" t="n">
        <f aca="false">E1105+F1105+G1105-H1105-I1105</f>
        <v>0</v>
      </c>
      <c r="K1105" s="29" t="n">
        <f aca="false">ROUND(E1105+F1105+G1105-H1105-I1105-J1105,1)</f>
        <v>0</v>
      </c>
    </row>
    <row r="1106" customFormat="false" ht="15" hidden="false" customHeight="false" outlineLevel="0" collapsed="false">
      <c r="A1106" s="25" t="n">
        <v>46032</v>
      </c>
      <c r="B1106" s="23" t="str">
        <f aca="false">IF(A1106="","",IF(A1106&lt;=profil!$B$9,"Realisasi","Rencana"))</f>
        <v>Rencana</v>
      </c>
      <c r="C1106" s="18" t="s">
        <v>161</v>
      </c>
      <c r="D1106" s="18" t="s">
        <v>161</v>
      </c>
      <c r="E1106" s="29" t="n">
        <f aca="false">J1105</f>
        <v>0</v>
      </c>
      <c r="F1106" s="28"/>
      <c r="G1106" s="30" t="n">
        <v>0</v>
      </c>
      <c r="H1106" s="28"/>
      <c r="I1106" s="28"/>
      <c r="J1106" s="29" t="n">
        <f aca="false">E1106+F1106+G1106-H1106-I1106</f>
        <v>0</v>
      </c>
      <c r="K1106" s="29" t="n">
        <f aca="false">ROUND(E1106+F1106+G1106-H1106-I1106-J1106,1)</f>
        <v>0</v>
      </c>
    </row>
    <row r="1107" customFormat="false" ht="15" hidden="false" customHeight="false" outlineLevel="0" collapsed="false">
      <c r="A1107" s="25" t="n">
        <v>46033</v>
      </c>
      <c r="B1107" s="23" t="str">
        <f aca="false">IF(A1107="","",IF(A1107&lt;=profil!$B$9,"Realisasi","Rencana"))</f>
        <v>Rencana</v>
      </c>
      <c r="C1107" s="18" t="s">
        <v>161</v>
      </c>
      <c r="D1107" s="18" t="s">
        <v>161</v>
      </c>
      <c r="E1107" s="29" t="n">
        <f aca="false">J1106</f>
        <v>0</v>
      </c>
      <c r="F1107" s="28"/>
      <c r="G1107" s="30" t="n">
        <v>0</v>
      </c>
      <c r="H1107" s="28"/>
      <c r="I1107" s="28"/>
      <c r="J1107" s="29" t="n">
        <f aca="false">E1107+F1107+G1107-H1107-I1107</f>
        <v>0</v>
      </c>
      <c r="K1107" s="29" t="n">
        <f aca="false">ROUND(E1107+F1107+G1107-H1107-I1107-J1107,1)</f>
        <v>0</v>
      </c>
    </row>
    <row r="1108" customFormat="false" ht="15" hidden="false" customHeight="false" outlineLevel="0" collapsed="false">
      <c r="A1108" s="25" t="n">
        <v>46034</v>
      </c>
      <c r="B1108" s="23" t="str">
        <f aca="false">IF(A1108="","",IF(A1108&lt;=profil!$B$9,"Realisasi","Rencana"))</f>
        <v>Rencana</v>
      </c>
      <c r="C1108" s="18" t="s">
        <v>161</v>
      </c>
      <c r="D1108" s="18" t="s">
        <v>161</v>
      </c>
      <c r="E1108" s="29" t="n">
        <f aca="false">J1107</f>
        <v>0</v>
      </c>
      <c r="F1108" s="28"/>
      <c r="G1108" s="30" t="n">
        <v>0</v>
      </c>
      <c r="H1108" s="28"/>
      <c r="I1108" s="28"/>
      <c r="J1108" s="29" t="n">
        <f aca="false">E1108+F1108+G1108-H1108-I1108</f>
        <v>0</v>
      </c>
      <c r="K1108" s="29" t="n">
        <f aca="false">ROUND(E1108+F1108+G1108-H1108-I1108-J1108,1)</f>
        <v>0</v>
      </c>
    </row>
    <row r="1109" customFormat="false" ht="15" hidden="false" customHeight="false" outlineLevel="0" collapsed="false">
      <c r="A1109" s="25" t="n">
        <v>46035</v>
      </c>
      <c r="B1109" s="23" t="str">
        <f aca="false">IF(A1109="","",IF(A1109&lt;=profil!$B$9,"Realisasi","Rencana"))</f>
        <v>Rencana</v>
      </c>
      <c r="C1109" s="18" t="s">
        <v>161</v>
      </c>
      <c r="D1109" s="18" t="s">
        <v>161</v>
      </c>
      <c r="E1109" s="29" t="n">
        <f aca="false">J1108</f>
        <v>0</v>
      </c>
      <c r="F1109" s="28"/>
      <c r="G1109" s="30" t="n">
        <v>0</v>
      </c>
      <c r="H1109" s="28"/>
      <c r="I1109" s="28"/>
      <c r="J1109" s="29" t="n">
        <f aca="false">E1109+F1109+G1109-H1109-I1109</f>
        <v>0</v>
      </c>
      <c r="K1109" s="29" t="n">
        <f aca="false">ROUND(E1109+F1109+G1109-H1109-I1109-J1109,1)</f>
        <v>0</v>
      </c>
    </row>
    <row r="1110" customFormat="false" ht="15" hidden="false" customHeight="false" outlineLevel="0" collapsed="false">
      <c r="A1110" s="25" t="n">
        <v>46036</v>
      </c>
      <c r="B1110" s="23" t="str">
        <f aca="false">IF(A1110="","",IF(A1110&lt;=profil!$B$9,"Realisasi","Rencana"))</f>
        <v>Rencana</v>
      </c>
      <c r="C1110" s="18" t="s">
        <v>161</v>
      </c>
      <c r="D1110" s="18" t="s">
        <v>161</v>
      </c>
      <c r="E1110" s="29" t="n">
        <f aca="false">J1109</f>
        <v>0</v>
      </c>
      <c r="F1110" s="28"/>
      <c r="G1110" s="30" t="n">
        <v>0</v>
      </c>
      <c r="H1110" s="28"/>
      <c r="I1110" s="28"/>
      <c r="J1110" s="29" t="n">
        <f aca="false">E1110+F1110+G1110-H1110-I1110</f>
        <v>0</v>
      </c>
      <c r="K1110" s="29" t="n">
        <f aca="false">ROUND(E1110+F1110+G1110-H1110-I1110-J1110,1)</f>
        <v>0</v>
      </c>
    </row>
    <row r="1111" customFormat="false" ht="15" hidden="false" customHeight="false" outlineLevel="0" collapsed="false">
      <c r="A1111" s="25" t="n">
        <v>46037</v>
      </c>
      <c r="B1111" s="23" t="str">
        <f aca="false">IF(A1111="","",IF(A1111&lt;=profil!$B$9,"Realisasi","Rencana"))</f>
        <v>Rencana</v>
      </c>
      <c r="C1111" s="18" t="s">
        <v>161</v>
      </c>
      <c r="D1111" s="18" t="s">
        <v>161</v>
      </c>
      <c r="E1111" s="29" t="n">
        <f aca="false">J1110</f>
        <v>0</v>
      </c>
      <c r="F1111" s="28"/>
      <c r="G1111" s="30" t="n">
        <v>0</v>
      </c>
      <c r="H1111" s="28"/>
      <c r="I1111" s="28"/>
      <c r="J1111" s="29" t="n">
        <f aca="false">E1111+F1111+G1111-H1111-I1111</f>
        <v>0</v>
      </c>
      <c r="K1111" s="29" t="n">
        <f aca="false">ROUND(E1111+F1111+G1111-H1111-I1111-J1111,1)</f>
        <v>0</v>
      </c>
    </row>
    <row r="1112" customFormat="false" ht="15" hidden="false" customHeight="false" outlineLevel="0" collapsed="false">
      <c r="A1112" s="25" t="n">
        <v>46038</v>
      </c>
      <c r="B1112" s="23" t="str">
        <f aca="false">IF(A1112="","",IF(A1112&lt;=profil!$B$9,"Realisasi","Rencana"))</f>
        <v>Rencana</v>
      </c>
      <c r="C1112" s="18" t="s">
        <v>161</v>
      </c>
      <c r="D1112" s="18" t="s">
        <v>161</v>
      </c>
      <c r="E1112" s="29" t="n">
        <f aca="false">J1111</f>
        <v>0</v>
      </c>
      <c r="F1112" s="28"/>
      <c r="G1112" s="30" t="n">
        <v>0</v>
      </c>
      <c r="H1112" s="28"/>
      <c r="I1112" s="28"/>
      <c r="J1112" s="29" t="n">
        <f aca="false">E1112+F1112+G1112-H1112-I1112</f>
        <v>0</v>
      </c>
      <c r="K1112" s="29" t="n">
        <f aca="false">ROUND(E1112+F1112+G1112-H1112-I1112-J1112,1)</f>
        <v>0</v>
      </c>
    </row>
    <row r="1113" customFormat="false" ht="15" hidden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      </c>
      <c r="C1113" s="18" t="s">
        <v>161</v>
      </c>
      <c r="D1113" s="18" t="s">
        <v>161</v>
      </c>
      <c r="E1113" s="29" t="n">
        <f aca="false">J1112</f>
        <v>0</v>
      </c>
      <c r="F1113" s="28"/>
      <c r="G1113" s="30" t="n">
        <v>0</v>
      </c>
      <c r="H1113" s="28"/>
      <c r="I1113" s="28"/>
      <c r="J1113" s="29" t="n">
        <f aca="false">E1113+F1113+G1113-H1113-I1113</f>
        <v>0</v>
      </c>
      <c r="K1113" s="29" t="n">
        <f aca="false">ROUND(E1113+F1113+G1113-H1113-I1113-J1113,1)</f>
        <v>0</v>
      </c>
    </row>
    <row r="1114" customFormat="false" ht="15" hidden="false" customHeight="false" outlineLevel="0" collapsed="false">
      <c r="A1114" s="25" t="n">
        <v>46040</v>
      </c>
      <c r="B1114" s="23" t="str">
        <f aca="false">IF(A1114="","",IF(A1114&lt;=profil!$B$9,"Realisasi","Rencana"))</f>
        <v>Rencana</v>
      </c>
      <c r="C1114" s="18" t="s">
        <v>161</v>
      </c>
      <c r="D1114" s="18" t="s">
        <v>161</v>
      </c>
      <c r="E1114" s="29" t="n">
        <f aca="false">J1113</f>
        <v>0</v>
      </c>
      <c r="F1114" s="28"/>
      <c r="G1114" s="30" t="n">
        <v>0</v>
      </c>
      <c r="H1114" s="28"/>
      <c r="I1114" s="28"/>
      <c r="J1114" s="29" t="n">
        <f aca="false">E1114+F1114+G1114-H1114-I1114</f>
        <v>0</v>
      </c>
      <c r="K1114" s="29" t="n">
        <f aca="false">ROUND(E1114+F1114+G1114-H1114-I1114-J1114,1)</f>
        <v>0</v>
      </c>
    </row>
    <row r="1115" customFormat="false" ht="15" hidden="false" customHeight="false" outlineLevel="0" collapsed="false">
      <c r="A1115" s="25" t="n">
        <v>46041</v>
      </c>
      <c r="B1115" s="23" t="str">
        <f aca="false">IF(A1115="","",IF(A1115&lt;=profil!$B$9,"Realisasi","Rencana"))</f>
        <v>Rencana</v>
      </c>
      <c r="C1115" s="18" t="s">
        <v>161</v>
      </c>
      <c r="D1115" s="18" t="s">
        <v>161</v>
      </c>
      <c r="E1115" s="29" t="n">
        <f aca="false">J1114</f>
        <v>0</v>
      </c>
      <c r="F1115" s="28"/>
      <c r="G1115" s="30" t="n">
        <v>0</v>
      </c>
      <c r="H1115" s="28"/>
      <c r="I1115" s="28"/>
      <c r="J1115" s="29" t="n">
        <f aca="false">E1115+F1115+G1115-H1115-I1115</f>
        <v>0</v>
      </c>
      <c r="K1115" s="29" t="n">
        <f aca="false">ROUND(E1115+F1115+G1115-H1115-I1115-J1115,1)</f>
        <v>0</v>
      </c>
    </row>
    <row r="1116" customFormat="false" ht="15" hidden="false" customHeight="false" outlineLevel="0" collapsed="false">
      <c r="A1116" s="25" t="n">
        <v>46042</v>
      </c>
      <c r="B1116" s="23" t="str">
        <f aca="false">IF(A1116="","",IF(A1116&lt;=profil!$B$9,"Realisasi","Rencana"))</f>
        <v>Rencana</v>
      </c>
      <c r="C1116" s="18" t="s">
        <v>161</v>
      </c>
      <c r="D1116" s="18" t="s">
        <v>161</v>
      </c>
      <c r="E1116" s="29" t="n">
        <f aca="false">J1115</f>
        <v>0</v>
      </c>
      <c r="F1116" s="28"/>
      <c r="G1116" s="30" t="n">
        <v>0</v>
      </c>
      <c r="H1116" s="28"/>
      <c r="I1116" s="28"/>
      <c r="J1116" s="29" t="n">
        <f aca="false">E1116+F1116+G1116-H1116-I1116</f>
        <v>0</v>
      </c>
      <c r="K1116" s="29" t="n">
        <f aca="false">ROUND(E1116+F1116+G1116-H1116-I1116-J1116,1)</f>
        <v>0</v>
      </c>
    </row>
    <row r="1117" customFormat="false" ht="15" hidden="false" customHeight="false" outlineLevel="0" collapsed="false">
      <c r="A1117" s="25" t="n">
        <v>46043</v>
      </c>
      <c r="B1117" s="23" t="str">
        <f aca="false">IF(A1117="","",IF(A1117&lt;=profil!$B$9,"Realisasi","Rencana"))</f>
        <v>Rencana</v>
      </c>
      <c r="C1117" s="18" t="s">
        <v>161</v>
      </c>
      <c r="D1117" s="18" t="s">
        <v>161</v>
      </c>
      <c r="E1117" s="29" t="n">
        <f aca="false">J1116</f>
        <v>0</v>
      </c>
      <c r="F1117" s="28"/>
      <c r="G1117" s="30" t="n">
        <v>0</v>
      </c>
      <c r="H1117" s="28"/>
      <c r="I1117" s="28"/>
      <c r="J1117" s="29" t="n">
        <f aca="false">E1117+F1117+G1117-H1117-I1117</f>
        <v>0</v>
      </c>
      <c r="K1117" s="29" t="n">
        <f aca="false">ROUND(E1117+F1117+G1117-H1117-I1117-J1117,1)</f>
        <v>0</v>
      </c>
    </row>
    <row r="1118" customFormat="false" ht="15" hidden="false" customHeight="false" outlineLevel="0" collapsed="false">
      <c r="A1118" s="25" t="n">
        <v>46044</v>
      </c>
      <c r="B1118" s="23" t="str">
        <f aca="false">IF(A1118="","",IF(A1118&lt;=profil!$B$9,"Realisasi","Rencana"))</f>
        <v>Rencana</v>
      </c>
      <c r="C1118" s="18" t="s">
        <v>161</v>
      </c>
      <c r="D1118" s="18" t="s">
        <v>161</v>
      </c>
      <c r="E1118" s="29" t="n">
        <f aca="false">J1117</f>
        <v>0</v>
      </c>
      <c r="F1118" s="28"/>
      <c r="G1118" s="30" t="n">
        <v>0</v>
      </c>
      <c r="H1118" s="28"/>
      <c r="I1118" s="28"/>
      <c r="J1118" s="29" t="n">
        <f aca="false">E1118+F1118+G1118-H1118-I1118</f>
        <v>0</v>
      </c>
      <c r="K1118" s="29" t="n">
        <f aca="false">ROUND(E1118+F1118+G1118-H1118-I1118-J1118,1)</f>
        <v>0</v>
      </c>
    </row>
    <row r="1119" customFormat="false" ht="15" hidden="false" customHeight="false" outlineLevel="0" collapsed="false">
      <c r="A1119" s="25" t="n">
        <v>46045</v>
      </c>
      <c r="B1119" s="23" t="str">
        <f aca="false">IF(A1119="","",IF(A1119&lt;=profil!$B$9,"Realisasi","Rencana"))</f>
        <v>Rencana</v>
      </c>
      <c r="C1119" s="18" t="s">
        <v>161</v>
      </c>
      <c r="D1119" s="18" t="s">
        <v>161</v>
      </c>
      <c r="E1119" s="29" t="n">
        <f aca="false">J1118</f>
        <v>0</v>
      </c>
      <c r="F1119" s="28"/>
      <c r="G1119" s="30" t="n">
        <v>0</v>
      </c>
      <c r="H1119" s="28"/>
      <c r="I1119" s="28"/>
      <c r="J1119" s="29" t="n">
        <f aca="false">E1119+F1119+G1119-H1119-I1119</f>
        <v>0</v>
      </c>
      <c r="K1119" s="29" t="n">
        <f aca="false">ROUND(E1119+F1119+G1119-H1119-I1119-J1119,1)</f>
        <v>0</v>
      </c>
    </row>
    <row r="1120" customFormat="false" ht="15" hidden="false" customHeight="false" outlineLevel="0" collapsed="false">
      <c r="A1120" s="25" t="n">
        <v>46046</v>
      </c>
      <c r="B1120" s="23" t="str">
        <f aca="false">IF(A1120="","",IF(A1120&lt;=profil!$B$9,"Realisasi","Rencana"))</f>
        <v>Rencana</v>
      </c>
      <c r="C1120" s="18" t="s">
        <v>161</v>
      </c>
      <c r="D1120" s="18" t="s">
        <v>161</v>
      </c>
      <c r="E1120" s="29" t="n">
        <f aca="false">J1119</f>
        <v>0</v>
      </c>
      <c r="F1120" s="28"/>
      <c r="G1120" s="30" t="n">
        <v>0</v>
      </c>
      <c r="H1120" s="28"/>
      <c r="I1120" s="28"/>
      <c r="J1120" s="29" t="n">
        <f aca="false">E1120+F1120+G1120-H1120-I1120</f>
        <v>0</v>
      </c>
      <c r="K1120" s="29" t="n">
        <f aca="false">ROUND(E1120+F1120+G1120-H1120-I1120-J1120,1)</f>
        <v>0</v>
      </c>
    </row>
    <row r="1121" customFormat="false" ht="15" hidden="false" customHeight="false" outlineLevel="0" collapsed="false">
      <c r="A1121" s="25" t="n">
        <v>46047</v>
      </c>
      <c r="B1121" s="23" t="str">
        <f aca="false">IF(A1121="","",IF(A1121&lt;=profil!$B$9,"Realisasi","Rencana"))</f>
        <v>Rencana</v>
      </c>
      <c r="C1121" s="18" t="s">
        <v>161</v>
      </c>
      <c r="D1121" s="18" t="s">
        <v>161</v>
      </c>
      <c r="E1121" s="29" t="n">
        <f aca="false">J1120</f>
        <v>0</v>
      </c>
      <c r="F1121" s="28"/>
      <c r="G1121" s="30" t="n">
        <v>0</v>
      </c>
      <c r="H1121" s="28"/>
      <c r="I1121" s="28"/>
      <c r="J1121" s="29" t="n">
        <f aca="false">E1121+F1121+G1121-H1121-I1121</f>
        <v>0</v>
      </c>
      <c r="K1121" s="29" t="n">
        <f aca="false">ROUND(E1121+F1121+G1121-H1121-I1121-J1121,1)</f>
        <v>0</v>
      </c>
    </row>
    <row r="1122" customFormat="false" ht="15" hidden="false" customHeight="false" outlineLevel="0" collapsed="false">
      <c r="A1122" s="25" t="n">
        <v>46048</v>
      </c>
      <c r="B1122" s="23" t="str">
        <f aca="false">IF(A1122="","",IF(A1122&lt;=profil!$B$9,"Realisasi","Rencana"))</f>
        <v>Rencana</v>
      </c>
      <c r="C1122" s="18" t="s">
        <v>161</v>
      </c>
      <c r="D1122" s="18" t="s">
        <v>161</v>
      </c>
      <c r="E1122" s="29" t="n">
        <f aca="false">J1121</f>
        <v>0</v>
      </c>
      <c r="F1122" s="28"/>
      <c r="G1122" s="30" t="n">
        <v>0</v>
      </c>
      <c r="H1122" s="28"/>
      <c r="I1122" s="28"/>
      <c r="J1122" s="29" t="n">
        <f aca="false">E1122+F1122+G1122-H1122-I1122</f>
        <v>0</v>
      </c>
      <c r="K1122" s="29" t="n">
        <f aca="false">ROUND(E1122+F1122+G1122-H1122-I1122-J1122,1)</f>
        <v>0</v>
      </c>
    </row>
    <row r="1123" customFormat="false" ht="15" hidden="false" customHeight="false" outlineLevel="0" collapsed="false">
      <c r="A1123" s="25" t="n">
        <v>46049</v>
      </c>
      <c r="B1123" s="23" t="str">
        <f aca="false">IF(A1123="","",IF(A1123&lt;=profil!$B$9,"Realisasi","Rencana"))</f>
        <v>Rencana</v>
      </c>
      <c r="C1123" s="18" t="s">
        <v>161</v>
      </c>
      <c r="D1123" s="18" t="s">
        <v>161</v>
      </c>
      <c r="E1123" s="29" t="n">
        <f aca="false">J1122</f>
        <v>0</v>
      </c>
      <c r="F1123" s="28"/>
      <c r="G1123" s="30" t="n">
        <v>0</v>
      </c>
      <c r="H1123" s="28"/>
      <c r="I1123" s="28"/>
      <c r="J1123" s="29" t="n">
        <f aca="false">E1123+F1123+G1123-H1123-I1123</f>
        <v>0</v>
      </c>
      <c r="K1123" s="29" t="n">
        <f aca="false">ROUND(E1123+F1123+G1123-H1123-I1123-J1123,1)</f>
        <v>0</v>
      </c>
    </row>
    <row r="1124" customFormat="false" ht="15" hidden="false" customHeight="false" outlineLevel="0" collapsed="false">
      <c r="A1124" s="25" t="n">
        <v>46050</v>
      </c>
      <c r="B1124" s="23" t="str">
        <f aca="false">IF(A1124="","",IF(A1124&lt;=profil!$B$9,"Realisasi","Rencana"))</f>
        <v>Rencana</v>
      </c>
      <c r="C1124" s="18" t="s">
        <v>161</v>
      </c>
      <c r="D1124" s="18" t="s">
        <v>161</v>
      </c>
      <c r="E1124" s="29" t="n">
        <f aca="false">J1123</f>
        <v>0</v>
      </c>
      <c r="F1124" s="28"/>
      <c r="G1124" s="30" t="n">
        <v>0</v>
      </c>
      <c r="H1124" s="28"/>
      <c r="I1124" s="28"/>
      <c r="J1124" s="29" t="n">
        <f aca="false">E1124+F1124+G1124-H1124-I1124</f>
        <v>0</v>
      </c>
      <c r="K1124" s="29" t="n">
        <f aca="false">ROUND(E1124+F1124+G1124-H1124-I1124-J1124,1)</f>
        <v>0</v>
      </c>
    </row>
    <row r="1125" customFormat="false" ht="15" hidden="false" customHeight="false" outlineLevel="0" collapsed="false">
      <c r="A1125" s="25" t="n">
        <v>46051</v>
      </c>
      <c r="B1125" s="23" t="str">
        <f aca="false">IF(A1125="","",IF(A1125&lt;=profil!$B$9,"Realisasi","Rencana"))</f>
        <v>Rencana</v>
      </c>
      <c r="C1125" s="18" t="s">
        <v>161</v>
      </c>
      <c r="D1125" s="18" t="s">
        <v>161</v>
      </c>
      <c r="E1125" s="29" t="n">
        <f aca="false">J1124</f>
        <v>0</v>
      </c>
      <c r="F1125" s="28"/>
      <c r="G1125" s="30" t="n">
        <v>0</v>
      </c>
      <c r="H1125" s="28"/>
      <c r="I1125" s="28"/>
      <c r="J1125" s="29" t="n">
        <f aca="false">E1125+F1125+G1125-H1125-I1125</f>
        <v>0</v>
      </c>
      <c r="K1125" s="29" t="n">
        <f aca="false">ROUND(E1125+F1125+G1125-H1125-I1125-J1125,1)</f>
        <v>0</v>
      </c>
    </row>
    <row r="1126" customFormat="false" ht="15" hidden="false" customHeight="false" outlineLevel="0" collapsed="false">
      <c r="A1126" s="25" t="n">
        <v>46052</v>
      </c>
      <c r="B1126" s="23" t="str">
        <f aca="false">IF(A1126="","",IF(A1126&lt;=profil!$B$9,"Realisasi","Rencana"))</f>
        <v>Rencana</v>
      </c>
      <c r="C1126" s="18" t="s">
        <v>161</v>
      </c>
      <c r="D1126" s="18" t="s">
        <v>161</v>
      </c>
      <c r="E1126" s="29" t="n">
        <f aca="false">J1125</f>
        <v>0</v>
      </c>
      <c r="F1126" s="28"/>
      <c r="G1126" s="30" t="n">
        <v>0</v>
      </c>
      <c r="H1126" s="28"/>
      <c r="I1126" s="28"/>
      <c r="J1126" s="29" t="n">
        <f aca="false">E1126+F1126+G1126-H1126-I1126</f>
        <v>0</v>
      </c>
      <c r="K1126" s="29" t="n">
        <f aca="false">ROUND(E1126+F1126+G1126-H1126-I1126-J1126,1)</f>
        <v>0</v>
      </c>
    </row>
    <row r="1127" customFormat="false" ht="15" hidden="false" customHeight="false" outlineLevel="0" collapsed="false">
      <c r="A1127" s="25" t="n">
        <v>46053</v>
      </c>
      <c r="B1127" s="23" t="str">
        <f aca="false">IF(A1127="","",IF(A1127&lt;=profil!$B$9,"Realisasi","Rencana"))</f>
        <v>Rencana</v>
      </c>
      <c r="C1127" s="18" t="s">
        <v>161</v>
      </c>
      <c r="D1127" s="18" t="s">
        <v>161</v>
      </c>
      <c r="E1127" s="29" t="n">
        <f aca="false">J1126</f>
        <v>0</v>
      </c>
      <c r="F1127" s="28"/>
      <c r="G1127" s="30" t="n">
        <v>0</v>
      </c>
      <c r="H1127" s="28"/>
      <c r="I1127" s="28"/>
      <c r="J1127" s="29" t="n">
        <f aca="false">E1127+F1127+G1127-H1127-I1127</f>
        <v>0</v>
      </c>
      <c r="K1127" s="29" t="n">
        <f aca="false">ROUND(E1127+F1127+G1127-H1127-I1127-J1127,1)</f>
        <v>0</v>
      </c>
    </row>
    <row r="1128" customFormat="false" ht="15" hidden="false" customHeight="false" outlineLevel="0" collapsed="false">
      <c r="A1128" s="25" t="n">
        <v>46054</v>
      </c>
      <c r="B1128" s="23" t="str">
        <f aca="false">IF(A1128="","",IF(A1128&lt;=profil!$B$9,"Realisasi","Rencana"))</f>
        <v>Rencana</v>
      </c>
      <c r="C1128" s="18" t="s">
        <v>161</v>
      </c>
      <c r="D1128" s="18" t="s">
        <v>161</v>
      </c>
      <c r="E1128" s="29" t="n">
        <f aca="false">J1127</f>
        <v>0</v>
      </c>
      <c r="F1128" s="28"/>
      <c r="G1128" s="30" t="n">
        <v>0</v>
      </c>
      <c r="H1128" s="28"/>
      <c r="I1128" s="28"/>
      <c r="J1128" s="29" t="n">
        <f aca="false">E1128+F1128+G1128-H1128-I1128</f>
        <v>0</v>
      </c>
      <c r="K1128" s="29" t="n">
        <f aca="false">ROUND(E1128+F1128+G1128-H1128-I1128-J1128,1)</f>
        <v>0</v>
      </c>
    </row>
    <row r="1129" customFormat="false" ht="15" hidden="false" customHeight="false" outlineLevel="0" collapsed="false">
      <c r="A1129" s="25" t="n">
        <v>46055</v>
      </c>
      <c r="B1129" s="23" t="str">
        <f aca="false">IF(A1129="","",IF(A1129&lt;=profil!$B$9,"Realisasi","Rencana"))</f>
        <v>Rencana</v>
      </c>
      <c r="C1129" s="18" t="s">
        <v>161</v>
      </c>
      <c r="D1129" s="18" t="s">
        <v>161</v>
      </c>
      <c r="E1129" s="29" t="n">
        <f aca="false">J1128</f>
        <v>0</v>
      </c>
      <c r="F1129" s="28"/>
      <c r="G1129" s="30" t="n">
        <v>0</v>
      </c>
      <c r="H1129" s="28"/>
      <c r="I1129" s="28"/>
      <c r="J1129" s="29" t="n">
        <f aca="false">E1129+F1129+G1129-H1129-I1129</f>
        <v>0</v>
      </c>
      <c r="K1129" s="29" t="n">
        <f aca="false">ROUND(E1129+F1129+G1129-H1129-I1129-J1129,1)</f>
        <v>0</v>
      </c>
    </row>
    <row r="1130" customFormat="false" ht="15" hidden="false" customHeight="false" outlineLevel="0" collapsed="false">
      <c r="A1130" s="25" t="n">
        <v>46056</v>
      </c>
      <c r="B1130" s="23" t="str">
        <f aca="false">IF(A1130="","",IF(A1130&lt;=profil!$B$9,"Realisasi","Rencana"))</f>
        <v>Rencana</v>
      </c>
      <c r="C1130" s="18" t="s">
        <v>161</v>
      </c>
      <c r="D1130" s="18" t="s">
        <v>161</v>
      </c>
      <c r="E1130" s="29" t="n">
        <f aca="false">J1129</f>
        <v>0</v>
      </c>
      <c r="F1130" s="28"/>
      <c r="G1130" s="30" t="n">
        <v>0</v>
      </c>
      <c r="H1130" s="28"/>
      <c r="I1130" s="28"/>
      <c r="J1130" s="29" t="n">
        <f aca="false">E1130+F1130+G1130-H1130-I1130</f>
        <v>0</v>
      </c>
      <c r="K1130" s="29" t="n">
        <f aca="false">ROUND(E1130+F1130+G1130-H1130-I1130-J1130,1)</f>
        <v>0</v>
      </c>
    </row>
    <row r="1131" customFormat="false" ht="15" hidden="false" customHeight="false" outlineLevel="0" collapsed="false">
      <c r="A1131" s="25" t="n">
        <v>46057</v>
      </c>
      <c r="B1131" s="23" t="str">
        <f aca="false">IF(A1131="","",IF(A1131&lt;=profil!$B$9,"Realisasi","Rencana"))</f>
        <v>Rencana</v>
      </c>
      <c r="C1131" s="18" t="s">
        <v>161</v>
      </c>
      <c r="D1131" s="18" t="s">
        <v>161</v>
      </c>
      <c r="E1131" s="29" t="n">
        <f aca="false">J1130</f>
        <v>0</v>
      </c>
      <c r="F1131" s="28"/>
      <c r="G1131" s="30" t="n">
        <v>0</v>
      </c>
      <c r="H1131" s="28"/>
      <c r="I1131" s="28"/>
      <c r="J1131" s="29" t="n">
        <f aca="false">E1131+F1131+G1131-H1131-I1131</f>
        <v>0</v>
      </c>
      <c r="K1131" s="29" t="n">
        <f aca="false">ROUND(E1131+F1131+G1131-H1131-I1131-J1131,1)</f>
        <v>0</v>
      </c>
    </row>
    <row r="1132" customFormat="false" ht="15" hidden="false" customHeight="false" outlineLevel="0" collapsed="false">
      <c r="A1132" s="25" t="n">
        <v>46058</v>
      </c>
      <c r="B1132" s="23" t="str">
        <f aca="false">IF(A1132="","",IF(A1132&lt;=profil!$B$9,"Realisasi","Rencana"))</f>
        <v>Rencana</v>
      </c>
      <c r="C1132" s="18" t="s">
        <v>161</v>
      </c>
      <c r="D1132" s="18" t="s">
        <v>161</v>
      </c>
      <c r="E1132" s="29" t="n">
        <f aca="false">J1131</f>
        <v>0</v>
      </c>
      <c r="F1132" s="28"/>
      <c r="G1132" s="30" t="n">
        <v>0</v>
      </c>
      <c r="H1132" s="28"/>
      <c r="I1132" s="28"/>
      <c r="J1132" s="29" t="n">
        <f aca="false">E1132+F1132+G1132-H1132-I1132</f>
        <v>0</v>
      </c>
      <c r="K1132" s="29" t="n">
        <f aca="false">ROUND(E1132+F1132+G1132-H1132-I1132-J1132,1)</f>
        <v>0</v>
      </c>
    </row>
    <row r="1133" customFormat="false" ht="15" hidden="false" customHeight="false" outlineLevel="0" collapsed="false">
      <c r="A1133" s="25" t="n">
        <v>46059</v>
      </c>
      <c r="B1133" s="23" t="str">
        <f aca="false">IF(A1133="","",IF(A1133&lt;=profil!$B$9,"Realisasi","Rencana"))</f>
        <v>Rencana</v>
      </c>
      <c r="C1133" s="18" t="s">
        <v>161</v>
      </c>
      <c r="D1133" s="18" t="s">
        <v>161</v>
      </c>
      <c r="E1133" s="29" t="n">
        <f aca="false">J1132</f>
        <v>0</v>
      </c>
      <c r="F1133" s="28"/>
      <c r="G1133" s="30" t="n">
        <v>0</v>
      </c>
      <c r="H1133" s="28"/>
      <c r="I1133" s="28"/>
      <c r="J1133" s="29" t="n">
        <f aca="false">E1133+F1133+G1133-H1133-I1133</f>
        <v>0</v>
      </c>
      <c r="K1133" s="29" t="n">
        <f aca="false">ROUND(E1133+F1133+G1133-H1133-I1133-J1133,1)</f>
        <v>0</v>
      </c>
    </row>
    <row r="1134" customFormat="false" ht="15" hidden="false" customHeight="false" outlineLevel="0" collapsed="false">
      <c r="A1134" s="25" t="n">
        <v>46060</v>
      </c>
      <c r="B1134" s="23" t="str">
        <f aca="false">IF(A1134="","",IF(A1134&lt;=profil!$B$9,"Realisasi","Rencana"))</f>
        <v>Rencana</v>
      </c>
      <c r="C1134" s="18" t="s">
        <v>161</v>
      </c>
      <c r="D1134" s="18" t="s">
        <v>161</v>
      </c>
      <c r="E1134" s="29" t="n">
        <f aca="false">J1133</f>
        <v>0</v>
      </c>
      <c r="F1134" s="28"/>
      <c r="G1134" s="30" t="n">
        <v>0</v>
      </c>
      <c r="H1134" s="28"/>
      <c r="I1134" s="28"/>
      <c r="J1134" s="29" t="n">
        <f aca="false">E1134+F1134+G1134-H1134-I1134</f>
        <v>0</v>
      </c>
      <c r="K1134" s="29" t="n">
        <f aca="false">ROUND(E1134+F1134+G1134-H1134-I1134-J1134,1)</f>
        <v>0</v>
      </c>
    </row>
    <row r="1135" customFormat="false" ht="15" hidden="false" customHeight="false" outlineLevel="0" collapsed="false">
      <c r="A1135" s="25" t="n">
        <v>46061</v>
      </c>
      <c r="B1135" s="23" t="str">
        <f aca="false">IF(A1135="","",IF(A1135&lt;=profil!$B$9,"Realisasi","Rencana"))</f>
        <v>Rencana</v>
      </c>
      <c r="C1135" s="18" t="s">
        <v>161</v>
      </c>
      <c r="D1135" s="18" t="s">
        <v>161</v>
      </c>
      <c r="E1135" s="29" t="n">
        <f aca="false">J1134</f>
        <v>0</v>
      </c>
      <c r="F1135" s="28"/>
      <c r="G1135" s="30" t="n">
        <v>0</v>
      </c>
      <c r="H1135" s="28"/>
      <c r="I1135" s="28"/>
      <c r="J1135" s="29" t="n">
        <f aca="false">E1135+F1135+G1135-H1135-I1135</f>
        <v>0</v>
      </c>
      <c r="K1135" s="29" t="n">
        <f aca="false">ROUND(E1135+F1135+G1135-H1135-I1135-J1135,1)</f>
        <v>0</v>
      </c>
    </row>
    <row r="1136" customFormat="false" ht="15" hidden="false" customHeight="false" outlineLevel="0" collapsed="false">
      <c r="A1136" s="25" t="n">
        <v>46062</v>
      </c>
      <c r="B1136" s="23" t="str">
        <f aca="false">IF(A1136="","",IF(A1136&lt;=profil!$B$9,"Realisasi","Rencana"))</f>
        <v>Rencana</v>
      </c>
      <c r="C1136" s="18" t="s">
        <v>161</v>
      </c>
      <c r="D1136" s="18" t="s">
        <v>161</v>
      </c>
      <c r="E1136" s="29" t="n">
        <f aca="false">J1135</f>
        <v>0</v>
      </c>
      <c r="F1136" s="28"/>
      <c r="G1136" s="30" t="n">
        <v>0</v>
      </c>
      <c r="H1136" s="28"/>
      <c r="I1136" s="28"/>
      <c r="J1136" s="29" t="n">
        <f aca="false">E1136+F1136+G1136-H1136-I1136</f>
        <v>0</v>
      </c>
      <c r="K1136" s="29" t="n">
        <f aca="false">ROUND(E1136+F1136+G1136-H1136-I1136-J1136,1)</f>
        <v>0</v>
      </c>
    </row>
    <row r="1137" customFormat="false" ht="15" hidden="false" customHeight="false" outlineLevel="0" collapsed="false">
      <c r="A1137" s="25" t="n">
        <v>46063</v>
      </c>
      <c r="B1137" s="23" t="str">
        <f aca="false">IF(A1137="","",IF(A1137&lt;=profil!$B$9,"Realisasi","Rencana"))</f>
        <v>Rencana</v>
      </c>
      <c r="C1137" s="18" t="s">
        <v>161</v>
      </c>
      <c r="D1137" s="18" t="s">
        <v>161</v>
      </c>
      <c r="E1137" s="29" t="n">
        <f aca="false">J1136</f>
        <v>0</v>
      </c>
      <c r="F1137" s="28"/>
      <c r="G1137" s="30" t="n">
        <v>0</v>
      </c>
      <c r="H1137" s="28"/>
      <c r="I1137" s="28"/>
      <c r="J1137" s="29" t="n">
        <f aca="false">E1137+F1137+G1137-H1137-I1137</f>
        <v>0</v>
      </c>
      <c r="K1137" s="29" t="n">
        <f aca="false">ROUND(E1137+F1137+G1137-H1137-I1137-J1137,1)</f>
        <v>0</v>
      </c>
    </row>
    <row r="1138" customFormat="false" ht="15" hidden="false" customHeight="false" outlineLevel="0" collapsed="false">
      <c r="A1138" s="25" t="n">
        <v>46064</v>
      </c>
      <c r="B1138" s="23" t="str">
        <f aca="false">IF(A1138="","",IF(A1138&lt;=profil!$B$9,"Realisasi","Rencana"))</f>
        <v>Rencana</v>
      </c>
      <c r="C1138" s="18" t="s">
        <v>161</v>
      </c>
      <c r="D1138" s="18" t="s">
        <v>161</v>
      </c>
      <c r="E1138" s="29" t="n">
        <f aca="false">J1137</f>
        <v>0</v>
      </c>
      <c r="F1138" s="28"/>
      <c r="G1138" s="30" t="n">
        <v>0</v>
      </c>
      <c r="H1138" s="28"/>
      <c r="I1138" s="28"/>
      <c r="J1138" s="29" t="n">
        <f aca="false">E1138+F1138+G1138-H1138-I1138</f>
        <v>0</v>
      </c>
      <c r="K1138" s="29" t="n">
        <f aca="false">ROUND(E1138+F1138+G1138-H1138-I1138-J1138,1)</f>
        <v>0</v>
      </c>
    </row>
    <row r="1139" customFormat="false" ht="15" hidden="false" customHeight="false" outlineLevel="0" collapsed="false">
      <c r="A1139" s="25" t="n">
        <v>46065</v>
      </c>
      <c r="B1139" s="23" t="str">
        <f aca="false">IF(A1139="","",IF(A1139&lt;=profil!$B$9,"Realisasi","Rencana"))</f>
        <v>Rencana</v>
      </c>
      <c r="C1139" s="18" t="s">
        <v>161</v>
      </c>
      <c r="D1139" s="18" t="s">
        <v>161</v>
      </c>
      <c r="E1139" s="29" t="n">
        <f aca="false">J1138</f>
        <v>0</v>
      </c>
      <c r="F1139" s="28"/>
      <c r="G1139" s="30" t="n">
        <v>0</v>
      </c>
      <c r="H1139" s="28"/>
      <c r="I1139" s="28"/>
      <c r="J1139" s="29" t="n">
        <f aca="false">E1139+F1139+G1139-H1139-I1139</f>
        <v>0</v>
      </c>
      <c r="K1139" s="29" t="n">
        <f aca="false">ROUND(E1139+F1139+G1139-H1139-I1139-J1139,1)</f>
        <v>0</v>
      </c>
    </row>
    <row r="1140" customFormat="false" ht="15" hidden="false" customHeight="false" outlineLevel="0" collapsed="false">
      <c r="A1140" s="25" t="n">
        <v>46066</v>
      </c>
      <c r="B1140" s="23" t="str">
        <f aca="false">IF(A1140="","",IF(A1140&lt;=profil!$B$9,"Realisasi","Rencana"))</f>
        <v>Rencana</v>
      </c>
      <c r="C1140" s="18" t="s">
        <v>161</v>
      </c>
      <c r="D1140" s="18" t="s">
        <v>161</v>
      </c>
      <c r="E1140" s="29" t="n">
        <f aca="false">J1139</f>
        <v>0</v>
      </c>
      <c r="F1140" s="28"/>
      <c r="G1140" s="30" t="n">
        <v>0</v>
      </c>
      <c r="H1140" s="28"/>
      <c r="I1140" s="28"/>
      <c r="J1140" s="29" t="n">
        <f aca="false">E1140+F1140+G1140-H1140-I1140</f>
        <v>0</v>
      </c>
      <c r="K1140" s="29" t="n">
        <f aca="false">ROUND(E1140+F1140+G1140-H1140-I1140-J1140,1)</f>
        <v>0</v>
      </c>
    </row>
    <row r="1141" customFormat="false" ht="15" hidden="false" customHeight="false" outlineLevel="0" collapsed="false">
      <c r="A1141" s="25" t="n">
        <v>46067</v>
      </c>
      <c r="B1141" s="23" t="str">
        <f aca="false">IF(A1141="","",IF(A1141&lt;=profil!$B$9,"Realisasi","Rencana"))</f>
        <v>Rencana</v>
      </c>
      <c r="C1141" s="18" t="s">
        <v>161</v>
      </c>
      <c r="D1141" s="18" t="s">
        <v>161</v>
      </c>
      <c r="E1141" s="29" t="n">
        <f aca="false">J1140</f>
        <v>0</v>
      </c>
      <c r="F1141" s="28"/>
      <c r="G1141" s="30" t="n">
        <v>0</v>
      </c>
      <c r="H1141" s="28"/>
      <c r="I1141" s="28"/>
      <c r="J1141" s="29" t="n">
        <f aca="false">E1141+F1141+G1141-H1141-I1141</f>
        <v>0</v>
      </c>
      <c r="K1141" s="29" t="n">
        <f aca="false">ROUND(E1141+F1141+G1141-H1141-I1141-J1141,1)</f>
        <v>0</v>
      </c>
    </row>
    <row r="1142" customFormat="false" ht="15" hidden="false" customHeight="false" outlineLevel="0" collapsed="false">
      <c r="A1142" s="25" t="n">
        <v>46068</v>
      </c>
      <c r="B1142" s="23" t="str">
        <f aca="false">IF(A1142="","",IF(A1142&lt;=profil!$B$9,"Realisasi","Rencana"))</f>
        <v>Rencana</v>
      </c>
      <c r="C1142" s="18" t="s">
        <v>161</v>
      </c>
      <c r="D1142" s="18" t="s">
        <v>161</v>
      </c>
      <c r="E1142" s="29" t="n">
        <f aca="false">J1141</f>
        <v>0</v>
      </c>
      <c r="F1142" s="28"/>
      <c r="G1142" s="30" t="n">
        <v>0</v>
      </c>
      <c r="H1142" s="28"/>
      <c r="I1142" s="28"/>
      <c r="J1142" s="29" t="n">
        <f aca="false">E1142+F1142+G1142-H1142-I1142</f>
        <v>0</v>
      </c>
      <c r="K1142" s="29" t="n">
        <f aca="false">ROUND(E1142+F1142+G1142-H1142-I1142-J1142,1)</f>
        <v>0</v>
      </c>
    </row>
    <row r="1143" customFormat="false" ht="15" hidden="false" customHeight="false" outlineLevel="0" collapsed="false">
      <c r="A1143" s="25" t="n">
        <v>46069</v>
      </c>
      <c r="B1143" s="23" t="str">
        <f aca="false">IF(A1143="","",IF(A1143&lt;=profil!$B$9,"Realisasi","Rencana"))</f>
        <v>Rencana</v>
      </c>
      <c r="C1143" s="18" t="s">
        <v>161</v>
      </c>
      <c r="D1143" s="18" t="s">
        <v>161</v>
      </c>
      <c r="E1143" s="29" t="n">
        <f aca="false">J1142</f>
        <v>0</v>
      </c>
      <c r="F1143" s="28"/>
      <c r="G1143" s="30" t="n">
        <v>0</v>
      </c>
      <c r="H1143" s="28"/>
      <c r="I1143" s="28"/>
      <c r="J1143" s="29" t="n">
        <f aca="false">E1143+F1143+G1143-H1143-I1143</f>
        <v>0</v>
      </c>
      <c r="K1143" s="29" t="n">
        <f aca="false">ROUND(E1143+F1143+G1143-H1143-I1143-J1143,1)</f>
        <v>0</v>
      </c>
    </row>
    <row r="1144" customFormat="false" ht="15" hidden="false" customHeight="false" outlineLevel="0" collapsed="false">
      <c r="A1144" s="25" t="n">
        <v>46070</v>
      </c>
      <c r="B1144" s="23" t="str">
        <f aca="false">IF(A1144="","",IF(A1144&lt;=profil!$B$9,"Realisasi","Rencana"))</f>
        <v>Rencana</v>
      </c>
      <c r="C1144" s="18" t="s">
        <v>161</v>
      </c>
      <c r="D1144" s="18" t="s">
        <v>161</v>
      </c>
      <c r="E1144" s="29" t="n">
        <f aca="false">J1143</f>
        <v>0</v>
      </c>
      <c r="F1144" s="28"/>
      <c r="G1144" s="30" t="n">
        <v>0</v>
      </c>
      <c r="H1144" s="28"/>
      <c r="I1144" s="28"/>
      <c r="J1144" s="29" t="n">
        <f aca="false">E1144+F1144+G1144-H1144-I1144</f>
        <v>0</v>
      </c>
      <c r="K1144" s="29" t="n">
        <f aca="false">ROUND(E1144+F1144+G1144-H1144-I1144-J1144,1)</f>
        <v>0</v>
      </c>
    </row>
    <row r="1145" customFormat="false" ht="15" hidden="false" customHeight="false" outlineLevel="0" collapsed="false">
      <c r="A1145" s="25" t="n">
        <v>46071</v>
      </c>
      <c r="B1145" s="23" t="str">
        <f aca="false">IF(A1145="","",IF(A1145&lt;=profil!$B$9,"Realisasi","Rencana"))</f>
        <v>Rencana</v>
      </c>
      <c r="C1145" s="18" t="s">
        <v>161</v>
      </c>
      <c r="D1145" s="18" t="s">
        <v>161</v>
      </c>
      <c r="E1145" s="29" t="n">
        <f aca="false">J1144</f>
        <v>0</v>
      </c>
      <c r="F1145" s="28"/>
      <c r="G1145" s="30" t="n">
        <v>0</v>
      </c>
      <c r="H1145" s="28"/>
      <c r="I1145" s="28"/>
      <c r="J1145" s="29" t="n">
        <f aca="false">E1145+F1145+G1145-H1145-I1145</f>
        <v>0</v>
      </c>
      <c r="K1145" s="29" t="n">
        <f aca="false">ROUND(E1145+F1145+G1145-H1145-I1145-J1145,1)</f>
        <v>0</v>
      </c>
    </row>
    <row r="1146" customFormat="false" ht="15" hidden="false" customHeight="false" outlineLevel="0" collapsed="false">
      <c r="A1146" s="25" t="n">
        <v>46072</v>
      </c>
      <c r="B1146" s="23" t="str">
        <f aca="false">IF(A1146="","",IF(A1146&lt;=profil!$B$9,"Realisasi","Rencana"))</f>
        <v>Rencana</v>
      </c>
      <c r="C1146" s="18" t="s">
        <v>161</v>
      </c>
      <c r="D1146" s="18" t="s">
        <v>161</v>
      </c>
      <c r="E1146" s="29" t="n">
        <f aca="false">J1145</f>
        <v>0</v>
      </c>
      <c r="F1146" s="28"/>
      <c r="G1146" s="30" t="n">
        <v>0</v>
      </c>
      <c r="H1146" s="28"/>
      <c r="I1146" s="28"/>
      <c r="J1146" s="29" t="n">
        <f aca="false">E1146+F1146+G1146-H1146-I1146</f>
        <v>0</v>
      </c>
      <c r="K1146" s="29" t="n">
        <f aca="false">ROUND(E1146+F1146+G1146-H1146-I1146-J1146,1)</f>
        <v>0</v>
      </c>
    </row>
    <row r="1147" customFormat="false" ht="15" hidden="false" customHeight="false" outlineLevel="0" collapsed="false">
      <c r="A1147" s="25" t="n">
        <v>46073</v>
      </c>
      <c r="B1147" s="23" t="str">
        <f aca="false">IF(A1147="","",IF(A1147&lt;=profil!$B$9,"Realisasi","Rencana"))</f>
        <v>Rencana</v>
      </c>
      <c r="C1147" s="18" t="s">
        <v>161</v>
      </c>
      <c r="D1147" s="18" t="s">
        <v>161</v>
      </c>
      <c r="E1147" s="29" t="n">
        <f aca="false">J1146</f>
        <v>0</v>
      </c>
      <c r="F1147" s="28"/>
      <c r="G1147" s="30" t="n">
        <v>0</v>
      </c>
      <c r="H1147" s="28"/>
      <c r="I1147" s="28"/>
      <c r="J1147" s="29" t="n">
        <f aca="false">E1147+F1147+G1147-H1147-I1147</f>
        <v>0</v>
      </c>
      <c r="K1147" s="29" t="n">
        <f aca="false">ROUND(E1147+F1147+G1147-H1147-I1147-J1147,1)</f>
        <v>0</v>
      </c>
    </row>
    <row r="1148" customFormat="false" ht="15" hidden="false" customHeight="false" outlineLevel="0" collapsed="false">
      <c r="A1148" s="25" t="n">
        <v>46074</v>
      </c>
      <c r="B1148" s="23" t="str">
        <f aca="false">IF(A1148="","",IF(A1148&lt;=profil!$B$9,"Realisasi","Rencana"))</f>
        <v>Rencana</v>
      </c>
      <c r="C1148" s="18" t="s">
        <v>161</v>
      </c>
      <c r="D1148" s="18" t="s">
        <v>161</v>
      </c>
      <c r="E1148" s="29" t="n">
        <f aca="false">J1147</f>
        <v>0</v>
      </c>
      <c r="F1148" s="28"/>
      <c r="G1148" s="30" t="n">
        <v>0</v>
      </c>
      <c r="H1148" s="28"/>
      <c r="I1148" s="28"/>
      <c r="J1148" s="29" t="n">
        <f aca="false">E1148+F1148+G1148-H1148-I1148</f>
        <v>0</v>
      </c>
      <c r="K1148" s="29" t="n">
        <f aca="false">ROUND(E1148+F1148+G1148-H1148-I1148-J1148,1)</f>
        <v>0</v>
      </c>
    </row>
    <row r="1149" customFormat="false" ht="15" hidden="false" customHeight="false" outlineLevel="0" collapsed="false">
      <c r="A1149" s="25" t="n">
        <v>46075</v>
      </c>
      <c r="B1149" s="23" t="str">
        <f aca="false">IF(A1149="","",IF(A1149&lt;=profil!$B$9,"Realisasi","Rencana"))</f>
        <v>Rencana</v>
      </c>
      <c r="C1149" s="18" t="s">
        <v>161</v>
      </c>
      <c r="D1149" s="18" t="s">
        <v>161</v>
      </c>
      <c r="E1149" s="29" t="n">
        <f aca="false">J1148</f>
        <v>0</v>
      </c>
      <c r="F1149" s="28"/>
      <c r="G1149" s="30" t="n">
        <v>0</v>
      </c>
      <c r="H1149" s="28"/>
      <c r="I1149" s="28"/>
      <c r="J1149" s="29" t="n">
        <f aca="false">E1149+F1149+G1149-H1149-I1149</f>
        <v>0</v>
      </c>
      <c r="K1149" s="29" t="n">
        <f aca="false">ROUND(E1149+F1149+G1149-H1149-I1149-J1149,1)</f>
        <v>0</v>
      </c>
    </row>
    <row r="1150" customFormat="false" ht="15" hidden="false" customHeight="false" outlineLevel="0" collapsed="false">
      <c r="A1150" s="25" t="n">
        <v>46076</v>
      </c>
      <c r="B1150" s="23" t="str">
        <f aca="false">IF(A1150="","",IF(A1150&lt;=profil!$B$9,"Realisasi","Rencana"))</f>
        <v>Rencana</v>
      </c>
      <c r="C1150" s="18" t="s">
        <v>161</v>
      </c>
      <c r="D1150" s="18" t="s">
        <v>161</v>
      </c>
      <c r="E1150" s="29" t="n">
        <f aca="false">J1149</f>
        <v>0</v>
      </c>
      <c r="F1150" s="28"/>
      <c r="G1150" s="30" t="n">
        <v>0</v>
      </c>
      <c r="H1150" s="28"/>
      <c r="I1150" s="28"/>
      <c r="J1150" s="29" t="n">
        <f aca="false">E1150+F1150+G1150-H1150-I1150</f>
        <v>0</v>
      </c>
      <c r="K1150" s="29" t="n">
        <f aca="false">ROUND(E1150+F1150+G1150-H1150-I1150-J1150,1)</f>
        <v>0</v>
      </c>
    </row>
    <row r="1151" customFormat="false" ht="15" hidden="false" customHeight="false" outlineLevel="0" collapsed="false">
      <c r="A1151" s="25" t="n">
        <v>46077</v>
      </c>
      <c r="B1151" s="23" t="str">
        <f aca="false">IF(A1151="","",IF(A1151&lt;=profil!$B$9,"Realisasi","Rencana"))</f>
        <v>Rencana</v>
      </c>
      <c r="C1151" s="18" t="s">
        <v>161</v>
      </c>
      <c r="D1151" s="18" t="s">
        <v>161</v>
      </c>
      <c r="E1151" s="29" t="n">
        <f aca="false">J1150</f>
        <v>0</v>
      </c>
      <c r="F1151" s="28"/>
      <c r="G1151" s="30" t="n">
        <v>0</v>
      </c>
      <c r="H1151" s="28"/>
      <c r="I1151" s="28"/>
      <c r="J1151" s="29" t="n">
        <f aca="false">E1151+F1151+G1151-H1151-I1151</f>
        <v>0</v>
      </c>
      <c r="K1151" s="29" t="n">
        <f aca="false">ROUND(E1151+F1151+G1151-H1151-I1151-J1151,1)</f>
        <v>0</v>
      </c>
    </row>
    <row r="1152" customFormat="false" ht="15" hidden="false" customHeight="false" outlineLevel="0" collapsed="false">
      <c r="A1152" s="25" t="n">
        <v>46078</v>
      </c>
      <c r="B1152" s="23" t="str">
        <f aca="false">IF(A1152="","",IF(A1152&lt;=profil!$B$9,"Realisasi","Rencana"))</f>
        <v>Rencana</v>
      </c>
      <c r="C1152" s="18" t="s">
        <v>161</v>
      </c>
      <c r="D1152" s="18" t="s">
        <v>161</v>
      </c>
      <c r="E1152" s="29" t="n">
        <f aca="false">J1151</f>
        <v>0</v>
      </c>
      <c r="F1152" s="28"/>
      <c r="G1152" s="30" t="n">
        <v>0</v>
      </c>
      <c r="H1152" s="28"/>
      <c r="I1152" s="28"/>
      <c r="J1152" s="29" t="n">
        <f aca="false">E1152+F1152+G1152-H1152-I1152</f>
        <v>0</v>
      </c>
      <c r="K1152" s="29" t="n">
        <f aca="false">ROUND(E1152+F1152+G1152-H1152-I1152-J1152,1)</f>
        <v>0</v>
      </c>
    </row>
    <row r="1153" customFormat="false" ht="15" hidden="false" customHeight="false" outlineLevel="0" collapsed="false">
      <c r="A1153" s="25" t="n">
        <v>46079</v>
      </c>
      <c r="B1153" s="23" t="str">
        <f aca="false">IF(A1153="","",IF(A1153&lt;=profil!$B$9,"Realisasi","Rencana"))</f>
        <v>Rencana</v>
      </c>
      <c r="C1153" s="18" t="s">
        <v>161</v>
      </c>
      <c r="D1153" s="18" t="s">
        <v>161</v>
      </c>
      <c r="E1153" s="29" t="n">
        <f aca="false">J1152</f>
        <v>0</v>
      </c>
      <c r="F1153" s="28"/>
      <c r="G1153" s="30" t="n">
        <v>0</v>
      </c>
      <c r="H1153" s="28"/>
      <c r="I1153" s="28"/>
      <c r="J1153" s="29" t="n">
        <f aca="false">E1153+F1153+G1153-H1153-I1153</f>
        <v>0</v>
      </c>
      <c r="K1153" s="29" t="n">
        <f aca="false">ROUND(E1153+F1153+G1153-H1153-I1153-J1153,1)</f>
        <v>0</v>
      </c>
    </row>
    <row r="1154" customFormat="false" ht="15" hidden="false" customHeight="false" outlineLevel="0" collapsed="false">
      <c r="A1154" s="25" t="n">
        <v>46080</v>
      </c>
      <c r="B1154" s="23" t="str">
        <f aca="false">IF(A1154="","",IF(A1154&lt;=profil!$B$9,"Realisasi","Rencana"))</f>
        <v>Rencana</v>
      </c>
      <c r="C1154" s="18" t="s">
        <v>161</v>
      </c>
      <c r="D1154" s="18" t="s">
        <v>161</v>
      </c>
      <c r="E1154" s="29" t="n">
        <f aca="false">J1153</f>
        <v>0</v>
      </c>
      <c r="F1154" s="28"/>
      <c r="G1154" s="30" t="n">
        <v>0</v>
      </c>
      <c r="H1154" s="28"/>
      <c r="I1154" s="28"/>
      <c r="J1154" s="29" t="n">
        <f aca="false">E1154+F1154+G1154-H1154-I1154</f>
        <v>0</v>
      </c>
      <c r="K1154" s="29" t="n">
        <f aca="false">ROUND(E1154+F1154+G1154-H1154-I1154-J1154,1)</f>
        <v>0</v>
      </c>
    </row>
    <row r="1155" customFormat="false" ht="15" hidden="false" customHeight="false" outlineLevel="0" collapsed="false">
      <c r="A1155" s="25" t="n">
        <v>46081</v>
      </c>
      <c r="B1155" s="23" t="str">
        <f aca="false">IF(A1155="","",IF(A1155&lt;=profil!$B$9,"Realisasi","Rencana"))</f>
        <v>Rencana</v>
      </c>
      <c r="C1155" s="18" t="s">
        <v>161</v>
      </c>
      <c r="D1155" s="18" t="s">
        <v>161</v>
      </c>
      <c r="E1155" s="29" t="n">
        <f aca="false">J1154</f>
        <v>0</v>
      </c>
      <c r="F1155" s="28"/>
      <c r="G1155" s="30" t="n">
        <v>0</v>
      </c>
      <c r="H1155" s="28"/>
      <c r="I1155" s="28"/>
      <c r="J1155" s="29" t="n">
        <f aca="false">E1155+F1155+G1155-H1155-I1155</f>
        <v>0</v>
      </c>
      <c r="K1155" s="29" t="n">
        <f aca="false">ROUND(E1155+F1155+G1155-H1155-I1155-J1155,1)</f>
        <v>0</v>
      </c>
    </row>
    <row r="1156" customFormat="false" ht="15" hidden="false" customHeight="false" outlineLevel="0" collapsed="false">
      <c r="A1156" s="25" t="n">
        <v>46082</v>
      </c>
      <c r="B1156" s="23" t="str">
        <f aca="false">IF(A1156="","",IF(A1156&lt;=profil!$B$9,"Realisasi","Rencana"))</f>
        <v>Rencana</v>
      </c>
      <c r="C1156" s="18" t="s">
        <v>161</v>
      </c>
      <c r="D1156" s="18" t="s">
        <v>161</v>
      </c>
      <c r="E1156" s="29" t="n">
        <f aca="false">J1155</f>
        <v>0</v>
      </c>
      <c r="F1156" s="28"/>
      <c r="G1156" s="30" t="n">
        <v>0</v>
      </c>
      <c r="H1156" s="28"/>
      <c r="I1156" s="28"/>
      <c r="J1156" s="29" t="n">
        <f aca="false">E1156+F1156+G1156-H1156-I1156</f>
        <v>0</v>
      </c>
      <c r="K1156" s="29" t="n">
        <f aca="false">ROUND(E1156+F1156+G1156-H1156-I1156-J1156,1)</f>
        <v>0</v>
      </c>
    </row>
    <row r="1157" customFormat="false" ht="15" hidden="false" customHeight="false" outlineLevel="0" collapsed="false">
      <c r="A1157" s="25" t="n">
        <v>46083</v>
      </c>
      <c r="B1157" s="23" t="str">
        <f aca="false">IF(A1157="","",IF(A1157&lt;=profil!$B$9,"Realisasi","Rencana"))</f>
        <v>Rencana</v>
      </c>
      <c r="C1157" s="18" t="s">
        <v>161</v>
      </c>
      <c r="D1157" s="18" t="s">
        <v>161</v>
      </c>
      <c r="E1157" s="29" t="n">
        <f aca="false">J1156</f>
        <v>0</v>
      </c>
      <c r="F1157" s="28"/>
      <c r="G1157" s="30" t="n">
        <v>0</v>
      </c>
      <c r="H1157" s="28"/>
      <c r="I1157" s="28"/>
      <c r="J1157" s="29" t="n">
        <f aca="false">E1157+F1157+G1157-H1157-I1157</f>
        <v>0</v>
      </c>
      <c r="K1157" s="29" t="n">
        <f aca="false">ROUND(E1157+F1157+G1157-H1157-I1157-J1157,1)</f>
        <v>0</v>
      </c>
    </row>
    <row r="1158" customFormat="false" ht="15" hidden="false" customHeight="false" outlineLevel="0" collapsed="false">
      <c r="A1158" s="25" t="n">
        <v>46084</v>
      </c>
      <c r="B1158" s="23" t="str">
        <f aca="false">IF(A1158="","",IF(A1158&lt;=profil!$B$9,"Realisasi","Rencana"))</f>
        <v>Rencana</v>
      </c>
      <c r="C1158" s="18" t="s">
        <v>161</v>
      </c>
      <c r="D1158" s="18" t="s">
        <v>161</v>
      </c>
      <c r="E1158" s="29" t="n">
        <f aca="false">J1157</f>
        <v>0</v>
      </c>
      <c r="F1158" s="28"/>
      <c r="G1158" s="30" t="n">
        <v>0</v>
      </c>
      <c r="H1158" s="28"/>
      <c r="I1158" s="28"/>
      <c r="J1158" s="29" t="n">
        <f aca="false">E1158+F1158+G1158-H1158-I1158</f>
        <v>0</v>
      </c>
      <c r="K1158" s="29" t="n">
        <f aca="false">ROUND(E1158+F1158+G1158-H1158-I1158-J1158,1)</f>
        <v>0</v>
      </c>
    </row>
    <row r="1159" customFormat="false" ht="15" hidden="false" customHeight="false" outlineLevel="0" collapsed="false">
      <c r="A1159" s="25" t="n">
        <v>46085</v>
      </c>
      <c r="B1159" s="23" t="str">
        <f aca="false">IF(A1159="","",IF(A1159&lt;=profil!$B$9,"Realisasi","Rencana"))</f>
        <v>Rencana</v>
      </c>
      <c r="C1159" s="18" t="s">
        <v>161</v>
      </c>
      <c r="D1159" s="18" t="s">
        <v>161</v>
      </c>
      <c r="E1159" s="29" t="n">
        <f aca="false">J1158</f>
        <v>0</v>
      </c>
      <c r="F1159" s="28"/>
      <c r="G1159" s="30" t="n">
        <v>0</v>
      </c>
      <c r="H1159" s="28"/>
      <c r="I1159" s="28"/>
      <c r="J1159" s="29" t="n">
        <f aca="false">E1159+F1159+G1159-H1159-I1159</f>
        <v>0</v>
      </c>
      <c r="K1159" s="29" t="n">
        <f aca="false">ROUND(E1159+F1159+G1159-H1159-I1159-J1159,1)</f>
        <v>0</v>
      </c>
    </row>
    <row r="1160" customFormat="false" ht="15" hidden="false" customHeight="false" outlineLevel="0" collapsed="false">
      <c r="A1160" s="25" t="n">
        <v>46086</v>
      </c>
      <c r="B1160" s="23" t="str">
        <f aca="false">IF(A1160="","",IF(A1160&lt;=profil!$B$9,"Realisasi","Rencana"))</f>
        <v>Rencana</v>
      </c>
      <c r="C1160" s="18" t="s">
        <v>161</v>
      </c>
      <c r="D1160" s="18" t="s">
        <v>161</v>
      </c>
      <c r="E1160" s="29" t="n">
        <f aca="false">J1159</f>
        <v>0</v>
      </c>
      <c r="F1160" s="28"/>
      <c r="G1160" s="30" t="n">
        <v>0</v>
      </c>
      <c r="H1160" s="28"/>
      <c r="I1160" s="28"/>
      <c r="J1160" s="29" t="n">
        <f aca="false">E1160+F1160+G1160-H1160-I1160</f>
        <v>0</v>
      </c>
      <c r="K1160" s="29" t="n">
        <f aca="false">ROUND(E1160+F1160+G1160-H1160-I1160-J1160,1)</f>
        <v>0</v>
      </c>
    </row>
    <row r="1161" customFormat="false" ht="15" hidden="false" customHeight="false" outlineLevel="0" collapsed="false">
      <c r="A1161" s="25" t="n">
        <v>46087</v>
      </c>
      <c r="B1161" s="23" t="str">
        <f aca="false">IF(A1161="","",IF(A1161&lt;=profil!$B$9,"Realisasi","Rencana"))</f>
        <v>Rencana</v>
      </c>
      <c r="C1161" s="18" t="s">
        <v>161</v>
      </c>
      <c r="D1161" s="18" t="s">
        <v>161</v>
      </c>
      <c r="E1161" s="29" t="n">
        <f aca="false">J1160</f>
        <v>0</v>
      </c>
      <c r="F1161" s="28"/>
      <c r="G1161" s="30" t="n">
        <v>0</v>
      </c>
      <c r="H1161" s="28"/>
      <c r="I1161" s="28"/>
      <c r="J1161" s="29" t="n">
        <f aca="false">E1161+F1161+G1161-H1161-I1161</f>
        <v>0</v>
      </c>
      <c r="K1161" s="29" t="n">
        <f aca="false">ROUND(E1161+F1161+G1161-H1161-I1161-J1161,1)</f>
        <v>0</v>
      </c>
    </row>
    <row r="1162" customFormat="false" ht="15" hidden="false" customHeight="false" outlineLevel="0" collapsed="false">
      <c r="A1162" s="25" t="n">
        <v>46088</v>
      </c>
      <c r="B1162" s="23" t="str">
        <f aca="false">IF(A1162="","",IF(A1162&lt;=profil!$B$9,"Realisasi","Rencana"))</f>
        <v>Rencana</v>
      </c>
      <c r="C1162" s="18" t="s">
        <v>161</v>
      </c>
      <c r="D1162" s="18" t="s">
        <v>161</v>
      </c>
      <c r="E1162" s="29" t="n">
        <f aca="false">J1161</f>
        <v>0</v>
      </c>
      <c r="F1162" s="28"/>
      <c r="G1162" s="30" t="n">
        <v>0</v>
      </c>
      <c r="H1162" s="28"/>
      <c r="I1162" s="28"/>
      <c r="J1162" s="29" t="n">
        <f aca="false">E1162+F1162+G1162-H1162-I1162</f>
        <v>0</v>
      </c>
      <c r="K1162" s="29" t="n">
        <f aca="false">ROUND(E1162+F1162+G1162-H1162-I1162-J1162,1)</f>
        <v>0</v>
      </c>
    </row>
    <row r="1163" customFormat="false" ht="15" hidden="false" customHeight="false" outlineLevel="0" collapsed="false">
      <c r="A1163" s="25" t="n">
        <v>46089</v>
      </c>
      <c r="B1163" s="23" t="str">
        <f aca="false">IF(A1163="","",IF(A1163&lt;=profil!$B$9,"Realisasi","Rencana"))</f>
        <v>Rencana</v>
      </c>
      <c r="C1163" s="18" t="s">
        <v>161</v>
      </c>
      <c r="D1163" s="18" t="s">
        <v>161</v>
      </c>
      <c r="E1163" s="29" t="n">
        <f aca="false">J1162</f>
        <v>0</v>
      </c>
      <c r="F1163" s="28"/>
      <c r="G1163" s="30" t="n">
        <v>0</v>
      </c>
      <c r="H1163" s="28"/>
      <c r="I1163" s="28"/>
      <c r="J1163" s="29" t="n">
        <f aca="false">E1163+F1163+G1163-H1163-I1163</f>
        <v>0</v>
      </c>
      <c r="K1163" s="29" t="n">
        <f aca="false">ROUND(E1163+F1163+G1163-H1163-I1163-J1163,1)</f>
        <v>0</v>
      </c>
    </row>
    <row r="1164" customFormat="false" ht="15" hidden="false" customHeight="false" outlineLevel="0" collapsed="false">
      <c r="A1164" s="25" t="n">
        <v>46090</v>
      </c>
      <c r="B1164" s="23" t="str">
        <f aca="false">IF(A1164="","",IF(A1164&lt;=profil!$B$9,"Realisasi","Rencana"))</f>
        <v>Rencana</v>
      </c>
      <c r="C1164" s="18" t="s">
        <v>161</v>
      </c>
      <c r="D1164" s="18" t="s">
        <v>161</v>
      </c>
      <c r="E1164" s="29" t="n">
        <f aca="false">J1163</f>
        <v>0</v>
      </c>
      <c r="F1164" s="28"/>
      <c r="G1164" s="30" t="n">
        <v>0</v>
      </c>
      <c r="H1164" s="28"/>
      <c r="I1164" s="28"/>
      <c r="J1164" s="29" t="n">
        <f aca="false">E1164+F1164+G1164-H1164-I1164</f>
        <v>0</v>
      </c>
      <c r="K1164" s="29" t="n">
        <f aca="false">ROUND(E1164+F1164+G1164-H1164-I1164-J1164,1)</f>
        <v>0</v>
      </c>
    </row>
    <row r="1165" customFormat="false" ht="15" hidden="false" customHeight="false" outlineLevel="0" collapsed="false">
      <c r="A1165" s="25" t="n">
        <v>46091</v>
      </c>
      <c r="B1165" s="23" t="str">
        <f aca="false">IF(A1165="","",IF(A1165&lt;=profil!$B$9,"Realisasi","Rencana"))</f>
        <v>Rencana</v>
      </c>
      <c r="C1165" s="18" t="s">
        <v>161</v>
      </c>
      <c r="D1165" s="18" t="s">
        <v>161</v>
      </c>
      <c r="E1165" s="29" t="n">
        <f aca="false">J1164</f>
        <v>0</v>
      </c>
      <c r="F1165" s="28"/>
      <c r="G1165" s="30" t="n">
        <v>0</v>
      </c>
      <c r="H1165" s="28"/>
      <c r="I1165" s="28"/>
      <c r="J1165" s="29" t="n">
        <f aca="false">E1165+F1165+G1165-H1165-I1165</f>
        <v>0</v>
      </c>
      <c r="K1165" s="29" t="n">
        <f aca="false">ROUND(E1165+F1165+G1165-H1165-I1165-J1165,1)</f>
        <v>0</v>
      </c>
    </row>
    <row r="1166" customFormat="false" ht="15" hidden="false" customHeight="false" outlineLevel="0" collapsed="false">
      <c r="A1166" s="25" t="n">
        <v>46092</v>
      </c>
      <c r="B1166" s="23" t="str">
        <f aca="false">IF(A1166="","",IF(A1166&lt;=profil!$B$9,"Realisasi","Rencana"))</f>
        <v>Rencana</v>
      </c>
      <c r="C1166" s="18" t="s">
        <v>161</v>
      </c>
      <c r="D1166" s="18" t="s">
        <v>161</v>
      </c>
      <c r="E1166" s="29" t="n">
        <f aca="false">J1165</f>
        <v>0</v>
      </c>
      <c r="F1166" s="28"/>
      <c r="G1166" s="30" t="n">
        <v>0</v>
      </c>
      <c r="H1166" s="28"/>
      <c r="I1166" s="28"/>
      <c r="J1166" s="29" t="n">
        <f aca="false">E1166+F1166+G1166-H1166-I1166</f>
        <v>0</v>
      </c>
      <c r="K1166" s="29" t="n">
        <f aca="false">ROUND(E1166+F1166+G1166-H1166-I1166-J1166,1)</f>
        <v>0</v>
      </c>
    </row>
    <row r="1167" customFormat="false" ht="15" hidden="false" customHeight="false" outlineLevel="0" collapsed="false">
      <c r="A1167" s="25" t="n">
        <v>46093</v>
      </c>
      <c r="B1167" s="23" t="str">
        <f aca="false">IF(A1167="","",IF(A1167&lt;=profil!$B$9,"Realisasi","Rencana"))</f>
        <v>Rencana</v>
      </c>
      <c r="C1167" s="18" t="s">
        <v>161</v>
      </c>
      <c r="D1167" s="18" t="s">
        <v>161</v>
      </c>
      <c r="E1167" s="29" t="n">
        <f aca="false">J1166</f>
        <v>0</v>
      </c>
      <c r="F1167" s="28"/>
      <c r="G1167" s="30" t="n">
        <v>0</v>
      </c>
      <c r="H1167" s="28"/>
      <c r="I1167" s="28"/>
      <c r="J1167" s="29" t="n">
        <f aca="false">E1167+F1167+G1167-H1167-I1167</f>
        <v>0</v>
      </c>
      <c r="K1167" s="29" t="n">
        <f aca="false">ROUND(E1167+F1167+G1167-H1167-I1167-J1167,1)</f>
        <v>0</v>
      </c>
    </row>
    <row r="1168" customFormat="false" ht="15" hidden="false" customHeight="false" outlineLevel="0" collapsed="false">
      <c r="A1168" s="25" t="n">
        <v>46094</v>
      </c>
      <c r="B1168" s="23" t="str">
        <f aca="false">IF(A1168="","",IF(A1168&lt;=profil!$B$9,"Realisasi","Rencana"))</f>
        <v>Rencana</v>
      </c>
      <c r="C1168" s="18" t="s">
        <v>161</v>
      </c>
      <c r="D1168" s="18" t="s">
        <v>161</v>
      </c>
      <c r="E1168" s="29" t="n">
        <f aca="false">J1167</f>
        <v>0</v>
      </c>
      <c r="F1168" s="28"/>
      <c r="G1168" s="30" t="n">
        <v>0</v>
      </c>
      <c r="H1168" s="28"/>
      <c r="I1168" s="28"/>
      <c r="J1168" s="29" t="n">
        <f aca="false">E1168+F1168+G1168-H1168-I1168</f>
        <v>0</v>
      </c>
      <c r="K1168" s="29" t="n">
        <f aca="false">ROUND(E1168+F1168+G1168-H1168-I1168-J1168,1)</f>
        <v>0</v>
      </c>
    </row>
    <row r="1169" customFormat="false" ht="15" hidden="false" customHeight="false" outlineLevel="0" collapsed="false">
      <c r="A1169" s="25" t="n">
        <v>46095</v>
      </c>
      <c r="B1169" s="23" t="str">
        <f aca="false">IF(A1169="","",IF(A1169&lt;=profil!$B$9,"Realisasi","Rencana"))</f>
        <v>Rencana</v>
      </c>
      <c r="C1169" s="18" t="s">
        <v>161</v>
      </c>
      <c r="D1169" s="18" t="s">
        <v>161</v>
      </c>
      <c r="E1169" s="29" t="n">
        <f aca="false">J1168</f>
        <v>0</v>
      </c>
      <c r="F1169" s="28"/>
      <c r="G1169" s="30" t="n">
        <v>0</v>
      </c>
      <c r="H1169" s="28"/>
      <c r="I1169" s="28"/>
      <c r="J1169" s="29" t="n">
        <f aca="false">E1169+F1169+G1169-H1169-I1169</f>
        <v>0</v>
      </c>
      <c r="K1169" s="29" t="n">
        <f aca="false">ROUND(E1169+F1169+G1169-H1169-I1169-J1169,1)</f>
        <v>0</v>
      </c>
    </row>
    <row r="1170" customFormat="false" ht="15" hidden="false" customHeight="false" outlineLevel="0" collapsed="false">
      <c r="A1170" s="25" t="n">
        <v>46096</v>
      </c>
      <c r="B1170" s="23" t="str">
        <f aca="false">IF(A1170="","",IF(A1170&lt;=profil!$B$9,"Realisasi","Rencana"))</f>
        <v>Rencana</v>
      </c>
      <c r="C1170" s="18" t="s">
        <v>161</v>
      </c>
      <c r="D1170" s="18" t="s">
        <v>161</v>
      </c>
      <c r="E1170" s="29" t="n">
        <f aca="false">J1169</f>
        <v>0</v>
      </c>
      <c r="F1170" s="28"/>
      <c r="G1170" s="30" t="n">
        <v>0</v>
      </c>
      <c r="H1170" s="28"/>
      <c r="I1170" s="28"/>
      <c r="J1170" s="29" t="n">
        <f aca="false">E1170+F1170+G1170-H1170-I1170</f>
        <v>0</v>
      </c>
      <c r="K1170" s="29" t="n">
        <f aca="false">ROUND(E1170+F1170+G1170-H1170-I1170-J1170,1)</f>
        <v>0</v>
      </c>
    </row>
    <row r="1171" customFormat="false" ht="15" hidden="false" customHeight="false" outlineLevel="0" collapsed="false">
      <c r="A1171" s="25" t="n">
        <v>46097</v>
      </c>
      <c r="B1171" s="23" t="str">
        <f aca="false">IF(A1171="","",IF(A1171&lt;=profil!$B$9,"Realisasi","Rencana"))</f>
        <v>Rencana</v>
      </c>
      <c r="C1171" s="18" t="s">
        <v>161</v>
      </c>
      <c r="D1171" s="18" t="s">
        <v>161</v>
      </c>
      <c r="E1171" s="29" t="n">
        <f aca="false">J1170</f>
        <v>0</v>
      </c>
      <c r="F1171" s="28"/>
      <c r="G1171" s="30" t="n">
        <v>0</v>
      </c>
      <c r="H1171" s="28"/>
      <c r="I1171" s="28"/>
      <c r="J1171" s="29" t="n">
        <f aca="false">E1171+F1171+G1171-H1171-I1171</f>
        <v>0</v>
      </c>
      <c r="K1171" s="29" t="n">
        <f aca="false">ROUND(E1171+F1171+G1171-H1171-I1171-J1171,1)</f>
        <v>0</v>
      </c>
    </row>
    <row r="1172" customFormat="false" ht="15" hidden="false" customHeight="false" outlineLevel="0" collapsed="false">
      <c r="A1172" s="25" t="n">
        <v>46098</v>
      </c>
      <c r="B1172" s="23" t="str">
        <f aca="false">IF(A1172="","",IF(A1172&lt;=profil!$B$9,"Realisasi","Rencana"))</f>
        <v>Rencana</v>
      </c>
      <c r="C1172" s="18" t="s">
        <v>161</v>
      </c>
      <c r="D1172" s="18" t="s">
        <v>161</v>
      </c>
      <c r="E1172" s="29" t="n">
        <f aca="false">J1171</f>
        <v>0</v>
      </c>
      <c r="F1172" s="28"/>
      <c r="G1172" s="30" t="n">
        <v>0</v>
      </c>
      <c r="H1172" s="28"/>
      <c r="I1172" s="28"/>
      <c r="J1172" s="29" t="n">
        <f aca="false">E1172+F1172+G1172-H1172-I1172</f>
        <v>0</v>
      </c>
      <c r="K1172" s="29" t="n">
        <f aca="false">ROUND(E1172+F1172+G1172-H1172-I1172-J1172,1)</f>
        <v>0</v>
      </c>
    </row>
    <row r="1173" customFormat="false" ht="15" hidden="false" customHeight="false" outlineLevel="0" collapsed="false">
      <c r="A1173" s="25" t="n">
        <v>46099</v>
      </c>
      <c r="B1173" s="23" t="str">
        <f aca="false">IF(A1173="","",IF(A1173&lt;=profil!$B$9,"Realisasi","Rencana"))</f>
        <v>Rencana</v>
      </c>
      <c r="C1173" s="18" t="s">
        <v>161</v>
      </c>
      <c r="D1173" s="18" t="s">
        <v>161</v>
      </c>
      <c r="E1173" s="29" t="n">
        <f aca="false">J1172</f>
        <v>0</v>
      </c>
      <c r="F1173" s="28"/>
      <c r="G1173" s="30" t="n">
        <v>0</v>
      </c>
      <c r="H1173" s="28"/>
      <c r="I1173" s="28"/>
      <c r="J1173" s="29" t="n">
        <f aca="false">E1173+F1173+G1173-H1173-I1173</f>
        <v>0</v>
      </c>
      <c r="K1173" s="29" t="n">
        <f aca="false">ROUND(E1173+F1173+G1173-H1173-I1173-J1173,1)</f>
        <v>0</v>
      </c>
    </row>
    <row r="1174" customFormat="false" ht="15" hidden="false" customHeight="false" outlineLevel="0" collapsed="false">
      <c r="A1174" s="25" t="n">
        <v>46100</v>
      </c>
      <c r="B1174" s="23" t="str">
        <f aca="false">IF(A1174="","",IF(A1174&lt;=profil!$B$9,"Realisasi","Rencana"))</f>
        <v>Rencana</v>
      </c>
      <c r="C1174" s="18" t="s">
        <v>161</v>
      </c>
      <c r="D1174" s="18" t="s">
        <v>161</v>
      </c>
      <c r="E1174" s="29" t="n">
        <f aca="false">J1173</f>
        <v>0</v>
      </c>
      <c r="F1174" s="28"/>
      <c r="G1174" s="30" t="n">
        <v>0</v>
      </c>
      <c r="H1174" s="28"/>
      <c r="I1174" s="28"/>
      <c r="J1174" s="29" t="n">
        <f aca="false">E1174+F1174+G1174-H1174-I1174</f>
        <v>0</v>
      </c>
      <c r="K1174" s="29" t="n">
        <f aca="false">ROUND(E1174+F1174+G1174-H1174-I1174-J1174,1)</f>
        <v>0</v>
      </c>
    </row>
    <row r="1175" customFormat="false" ht="15" hidden="false" customHeight="false" outlineLevel="0" collapsed="false">
      <c r="A1175" s="25" t="n">
        <v>46101</v>
      </c>
      <c r="B1175" s="23" t="str">
        <f aca="false">IF(A1175="","",IF(A1175&lt;=profil!$B$9,"Realisasi","Rencana"))</f>
        <v>Rencana</v>
      </c>
      <c r="C1175" s="18" t="s">
        <v>161</v>
      </c>
      <c r="D1175" s="18" t="s">
        <v>161</v>
      </c>
      <c r="E1175" s="29" t="n">
        <f aca="false">J1174</f>
        <v>0</v>
      </c>
      <c r="F1175" s="28"/>
      <c r="G1175" s="30" t="n">
        <v>0</v>
      </c>
      <c r="H1175" s="28"/>
      <c r="I1175" s="28"/>
      <c r="J1175" s="29" t="n">
        <f aca="false">E1175+F1175+G1175-H1175-I1175</f>
        <v>0</v>
      </c>
      <c r="K1175" s="29" t="n">
        <f aca="false">ROUND(E1175+F1175+G1175-H1175-I1175-J1175,1)</f>
        <v>0</v>
      </c>
    </row>
    <row r="1176" customFormat="false" ht="15" hidden="false" customHeight="false" outlineLevel="0" collapsed="false">
      <c r="A1176" s="25" t="n">
        <v>46102</v>
      </c>
      <c r="B1176" s="23" t="str">
        <f aca="false">IF(A1176="","",IF(A1176&lt;=profil!$B$9,"Realisasi","Rencana"))</f>
        <v>Rencana</v>
      </c>
      <c r="C1176" s="18" t="s">
        <v>161</v>
      </c>
      <c r="D1176" s="18" t="s">
        <v>161</v>
      </c>
      <c r="E1176" s="29" t="n">
        <f aca="false">J1175</f>
        <v>0</v>
      </c>
      <c r="F1176" s="28"/>
      <c r="G1176" s="30" t="n">
        <v>0</v>
      </c>
      <c r="H1176" s="28"/>
      <c r="I1176" s="28"/>
      <c r="J1176" s="29" t="n">
        <f aca="false">E1176+F1176+G1176-H1176-I1176</f>
        <v>0</v>
      </c>
      <c r="K1176" s="29" t="n">
        <f aca="false">ROUND(E1176+F1176+G1176-H1176-I1176-J1176,1)</f>
        <v>0</v>
      </c>
    </row>
    <row r="1177" customFormat="false" ht="15" hidden="false" customHeight="false" outlineLevel="0" collapsed="false">
      <c r="A1177" s="25" t="n">
        <v>46103</v>
      </c>
      <c r="B1177" s="23" t="str">
        <f aca="false">IF(A1177="","",IF(A1177&lt;=profil!$B$9,"Realisasi","Rencana"))</f>
        <v>Rencana</v>
      </c>
      <c r="C1177" s="18" t="s">
        <v>161</v>
      </c>
      <c r="D1177" s="18" t="s">
        <v>161</v>
      </c>
      <c r="E1177" s="29" t="n">
        <f aca="false">J1176</f>
        <v>0</v>
      </c>
      <c r="F1177" s="28"/>
      <c r="G1177" s="30" t="n">
        <v>0</v>
      </c>
      <c r="H1177" s="28"/>
      <c r="I1177" s="28"/>
      <c r="J1177" s="29" t="n">
        <f aca="false">E1177+F1177+G1177-H1177-I1177</f>
        <v>0</v>
      </c>
      <c r="K1177" s="29" t="n">
        <f aca="false">ROUND(E1177+F1177+G1177-H1177-I1177-J1177,1)</f>
        <v>0</v>
      </c>
    </row>
    <row r="1178" customFormat="false" ht="15" hidden="false" customHeight="false" outlineLevel="0" collapsed="false">
      <c r="A1178" s="25" t="n">
        <v>46104</v>
      </c>
      <c r="B1178" s="23" t="str">
        <f aca="false">IF(A1178="","",IF(A1178&lt;=profil!$B$9,"Realisasi","Rencana"))</f>
        <v>Rencana</v>
      </c>
      <c r="C1178" s="18" t="s">
        <v>161</v>
      </c>
      <c r="D1178" s="18" t="s">
        <v>161</v>
      </c>
      <c r="E1178" s="29" t="n">
        <f aca="false">J1177</f>
        <v>0</v>
      </c>
      <c r="F1178" s="28"/>
      <c r="G1178" s="30" t="n">
        <v>0</v>
      </c>
      <c r="H1178" s="28"/>
      <c r="I1178" s="28"/>
      <c r="J1178" s="29" t="n">
        <f aca="false">E1178+F1178+G1178-H1178-I1178</f>
        <v>0</v>
      </c>
      <c r="K1178" s="29" t="n">
        <f aca="false">ROUND(E1178+F1178+G1178-H1178-I1178-J1178,1)</f>
        <v>0</v>
      </c>
    </row>
    <row r="1179" customFormat="false" ht="15" hidden="false" customHeight="false" outlineLevel="0" collapsed="false">
      <c r="A1179" s="25" t="n">
        <v>46105</v>
      </c>
      <c r="B1179" s="23" t="str">
        <f aca="false">IF(A1179="","",IF(A1179&lt;=profil!$B$9,"Realisasi","Rencana"))</f>
        <v>Rencana</v>
      </c>
      <c r="C1179" s="18" t="s">
        <v>161</v>
      </c>
      <c r="D1179" s="18" t="s">
        <v>161</v>
      </c>
      <c r="E1179" s="29" t="n">
        <f aca="false">J1178</f>
        <v>0</v>
      </c>
      <c r="F1179" s="28"/>
      <c r="G1179" s="30" t="n">
        <v>0</v>
      </c>
      <c r="H1179" s="28"/>
      <c r="I1179" s="28"/>
      <c r="J1179" s="29" t="n">
        <f aca="false">E1179+F1179+G1179-H1179-I1179</f>
        <v>0</v>
      </c>
      <c r="K1179" s="29" t="n">
        <f aca="false">ROUND(E1179+F1179+G1179-H1179-I1179-J1179,1)</f>
        <v>0</v>
      </c>
    </row>
    <row r="1180" customFormat="false" ht="15" hidden="false" customHeight="false" outlineLevel="0" collapsed="false">
      <c r="A1180" s="25" t="n">
        <v>46106</v>
      </c>
      <c r="B1180" s="23" t="str">
        <f aca="false">IF(A1180="","",IF(A1180&lt;=profil!$B$9,"Realisasi","Rencana"))</f>
        <v>Rencana</v>
      </c>
      <c r="C1180" s="18" t="s">
        <v>161</v>
      </c>
      <c r="D1180" s="18" t="s">
        <v>161</v>
      </c>
      <c r="E1180" s="29" t="n">
        <f aca="false">J1179</f>
        <v>0</v>
      </c>
      <c r="F1180" s="28"/>
      <c r="G1180" s="30" t="n">
        <v>0</v>
      </c>
      <c r="H1180" s="28"/>
      <c r="I1180" s="28"/>
      <c r="J1180" s="29" t="n">
        <f aca="false">E1180+F1180+G1180-H1180-I1180</f>
        <v>0</v>
      </c>
      <c r="K1180" s="29" t="n">
        <f aca="false">ROUND(E1180+F1180+G1180-H1180-I1180-J1180,1)</f>
        <v>0</v>
      </c>
    </row>
    <row r="1181" customFormat="false" ht="15" hidden="false" customHeight="false" outlineLevel="0" collapsed="false">
      <c r="A1181" s="25" t="n">
        <v>46107</v>
      </c>
      <c r="B1181" s="23" t="str">
        <f aca="false">IF(A1181="","",IF(A1181&lt;=profil!$B$9,"Realisasi","Rencana"))</f>
        <v>Rencana</v>
      </c>
      <c r="C1181" s="18" t="s">
        <v>161</v>
      </c>
      <c r="D1181" s="18" t="s">
        <v>161</v>
      </c>
      <c r="E1181" s="29" t="n">
        <f aca="false">J1180</f>
        <v>0</v>
      </c>
      <c r="F1181" s="28"/>
      <c r="G1181" s="30" t="n">
        <v>0</v>
      </c>
      <c r="H1181" s="28"/>
      <c r="I1181" s="28"/>
      <c r="J1181" s="29" t="n">
        <f aca="false">E1181+F1181+G1181-H1181-I1181</f>
        <v>0</v>
      </c>
      <c r="K1181" s="29" t="n">
        <f aca="false">ROUND(E1181+F1181+G1181-H1181-I1181-J1181,1)</f>
        <v>0</v>
      </c>
    </row>
    <row r="1182" customFormat="false" ht="15" hidden="false" customHeight="false" outlineLevel="0" collapsed="false">
      <c r="A1182" s="25" t="n">
        <v>46108</v>
      </c>
      <c r="B1182" s="23" t="str">
        <f aca="false">IF(A1182="","",IF(A1182&lt;=profil!$B$9,"Realisasi","Rencana"))</f>
        <v>Rencana</v>
      </c>
      <c r="C1182" s="18" t="s">
        <v>161</v>
      </c>
      <c r="D1182" s="18" t="s">
        <v>161</v>
      </c>
      <c r="E1182" s="29" t="n">
        <f aca="false">J1181</f>
        <v>0</v>
      </c>
      <c r="F1182" s="28"/>
      <c r="G1182" s="30" t="n">
        <v>0</v>
      </c>
      <c r="H1182" s="28"/>
      <c r="I1182" s="28"/>
      <c r="J1182" s="29" t="n">
        <f aca="false">E1182+F1182+G1182-H1182-I1182</f>
        <v>0</v>
      </c>
      <c r="K1182" s="29" t="n">
        <f aca="false">ROUND(E1182+F1182+G1182-H1182-I1182-J1182,1)</f>
        <v>0</v>
      </c>
    </row>
    <row r="1183" customFormat="false" ht="15" hidden="false" customHeight="false" outlineLevel="0" collapsed="false">
      <c r="A1183" s="25" t="n">
        <v>46109</v>
      </c>
      <c r="B1183" s="23" t="str">
        <f aca="false">IF(A1183="","",IF(A1183&lt;=profil!$B$9,"Realisasi","Rencana"))</f>
        <v>Rencana</v>
      </c>
      <c r="C1183" s="18" t="s">
        <v>161</v>
      </c>
      <c r="D1183" s="18" t="s">
        <v>161</v>
      </c>
      <c r="E1183" s="29" t="n">
        <f aca="false">J1182</f>
        <v>0</v>
      </c>
      <c r="F1183" s="28"/>
      <c r="G1183" s="30" t="n">
        <v>0</v>
      </c>
      <c r="H1183" s="28"/>
      <c r="I1183" s="28"/>
      <c r="J1183" s="29" t="n">
        <f aca="false">E1183+F1183+G1183-H1183-I1183</f>
        <v>0</v>
      </c>
      <c r="K1183" s="29" t="n">
        <f aca="false">ROUND(E1183+F1183+G1183-H1183-I1183-J1183,1)</f>
        <v>0</v>
      </c>
    </row>
    <row r="1184" customFormat="false" ht="15" hidden="false" customHeight="false" outlineLevel="0" collapsed="false">
      <c r="A1184" s="25" t="n">
        <v>46110</v>
      </c>
      <c r="B1184" s="23" t="str">
        <f aca="false">IF(A1184="","",IF(A1184&lt;=profil!$B$9,"Realisasi","Rencana"))</f>
        <v>Rencana</v>
      </c>
      <c r="C1184" s="18" t="s">
        <v>161</v>
      </c>
      <c r="D1184" s="18" t="s">
        <v>161</v>
      </c>
      <c r="E1184" s="29" t="n">
        <f aca="false">J1183</f>
        <v>0</v>
      </c>
      <c r="F1184" s="28"/>
      <c r="G1184" s="30" t="n">
        <v>0</v>
      </c>
      <c r="H1184" s="28"/>
      <c r="I1184" s="28"/>
      <c r="J1184" s="29" t="n">
        <f aca="false">E1184+F1184+G1184-H1184-I1184</f>
        <v>0</v>
      </c>
      <c r="K1184" s="29" t="n">
        <f aca="false">ROUND(E1184+F1184+G1184-H1184-I1184-J1184,1)</f>
        <v>0</v>
      </c>
    </row>
    <row r="1185" customFormat="false" ht="15" hidden="false" customHeight="false" outlineLevel="0" collapsed="false">
      <c r="A1185" s="25" t="n">
        <v>46111</v>
      </c>
      <c r="B1185" s="23" t="str">
        <f aca="false">IF(A1185="","",IF(A1185&lt;=profil!$B$9,"Realisasi","Rencana"))</f>
        <v>Rencana</v>
      </c>
      <c r="C1185" s="18" t="s">
        <v>161</v>
      </c>
      <c r="D1185" s="18" t="s">
        <v>161</v>
      </c>
      <c r="E1185" s="29" t="n">
        <f aca="false">J1184</f>
        <v>0</v>
      </c>
      <c r="F1185" s="28"/>
      <c r="G1185" s="30" t="n">
        <v>0</v>
      </c>
      <c r="H1185" s="28"/>
      <c r="I1185" s="28"/>
      <c r="J1185" s="29" t="n">
        <f aca="false">E1185+F1185+G1185-H1185-I1185</f>
        <v>0</v>
      </c>
      <c r="K1185" s="29" t="n">
        <f aca="false">ROUND(E1185+F1185+G1185-H1185-I1185-J1185,1)</f>
        <v>0</v>
      </c>
    </row>
    <row r="1186" customFormat="false" ht="15" hidden="false" customHeight="false" outlineLevel="0" collapsed="false">
      <c r="A1186" s="25" t="n">
        <v>46112</v>
      </c>
      <c r="B1186" s="23" t="str">
        <f aca="false">IF(A1186="","",IF(A1186&lt;=profil!$B$9,"Realisasi","Rencana"))</f>
        <v>Rencana</v>
      </c>
      <c r="C1186" s="18" t="s">
        <v>161</v>
      </c>
      <c r="D1186" s="18" t="s">
        <v>161</v>
      </c>
      <c r="E1186" s="29" t="n">
        <f aca="false">J1185</f>
        <v>0</v>
      </c>
      <c r="F1186" s="28"/>
      <c r="G1186" s="30" t="n">
        <v>0</v>
      </c>
      <c r="H1186" s="28"/>
      <c r="I1186" s="28"/>
      <c r="J1186" s="29" t="n">
        <f aca="false">E1186+F1186+G1186-H1186-I1186</f>
        <v>0</v>
      </c>
      <c r="K1186" s="29" t="n">
        <f aca="false">ROUND(E1186+F1186+G1186-H1186-I1186-J1186,1)</f>
        <v>0</v>
      </c>
    </row>
    <row r="1187" customFormat="false" ht="15" hidden="false" customHeight="false" outlineLevel="0" collapsed="false">
      <c r="A1187" s="25" t="n">
        <v>46113</v>
      </c>
      <c r="B1187" s="23" t="str">
        <f aca="false">IF(A1187="","",IF(A1187&lt;=profil!$B$9,"Realisasi","Rencana"))</f>
        <v>Rencana</v>
      </c>
      <c r="C1187" s="18" t="s">
        <v>161</v>
      </c>
      <c r="D1187" s="18" t="s">
        <v>161</v>
      </c>
      <c r="E1187" s="29" t="n">
        <f aca="false">J1186</f>
        <v>0</v>
      </c>
      <c r="F1187" s="28"/>
      <c r="G1187" s="30" t="n">
        <v>0</v>
      </c>
      <c r="H1187" s="28"/>
      <c r="I1187" s="28"/>
      <c r="J1187" s="29" t="n">
        <f aca="false">E1187+F1187+G1187-H1187-I1187</f>
        <v>0</v>
      </c>
      <c r="K1187" s="29" t="n">
        <f aca="false">ROUND(E1187+F1187+G1187-H1187-I1187-J1187,1)</f>
        <v>0</v>
      </c>
    </row>
    <row r="1188" customFormat="false" ht="15" hidden="false" customHeight="false" outlineLevel="0" collapsed="false">
      <c r="A1188" s="25" t="n">
        <v>46114</v>
      </c>
      <c r="B1188" s="23" t="str">
        <f aca="false">IF(A1188="","",IF(A1188&lt;=profil!$B$9,"Realisasi","Rencana"))</f>
        <v>Rencana</v>
      </c>
      <c r="C1188" s="18" t="s">
        <v>161</v>
      </c>
      <c r="D1188" s="18" t="s">
        <v>161</v>
      </c>
      <c r="E1188" s="29" t="n">
        <f aca="false">J1187</f>
        <v>0</v>
      </c>
      <c r="F1188" s="28"/>
      <c r="G1188" s="30" t="n">
        <v>0</v>
      </c>
      <c r="H1188" s="28"/>
      <c r="I1188" s="28"/>
      <c r="J1188" s="29" t="n">
        <f aca="false">E1188+F1188+G1188-H1188-I1188</f>
        <v>0</v>
      </c>
      <c r="K1188" s="29" t="n">
        <f aca="false">ROUND(E1188+F1188+G1188-H1188-I1188-J1188,1)</f>
        <v>0</v>
      </c>
    </row>
    <row r="1189" customFormat="false" ht="15" hidden="false" customHeight="false" outlineLevel="0" collapsed="false">
      <c r="A1189" s="25" t="n">
        <v>46115</v>
      </c>
      <c r="B1189" s="23" t="str">
        <f aca="false">IF(A1189="","",IF(A1189&lt;=profil!$B$9,"Realisasi","Rencana"))</f>
        <v>Rencana</v>
      </c>
      <c r="C1189" s="18" t="s">
        <v>161</v>
      </c>
      <c r="D1189" s="18" t="s">
        <v>161</v>
      </c>
      <c r="E1189" s="29" t="n">
        <f aca="false">J1188</f>
        <v>0</v>
      </c>
      <c r="F1189" s="28"/>
      <c r="G1189" s="30" t="n">
        <v>0</v>
      </c>
      <c r="H1189" s="28"/>
      <c r="I1189" s="28"/>
      <c r="J1189" s="29" t="n">
        <f aca="false">E1189+F1189+G1189-H1189-I1189</f>
        <v>0</v>
      </c>
      <c r="K1189" s="29" t="n">
        <f aca="false">ROUND(E1189+F1189+G1189-H1189-I1189-J1189,1)</f>
        <v>0</v>
      </c>
    </row>
    <row r="1190" customFormat="false" ht="15" hidden="false" customHeight="false" outlineLevel="0" collapsed="false">
      <c r="A1190" s="25" t="n">
        <v>46116</v>
      </c>
      <c r="B1190" s="23" t="str">
        <f aca="false">IF(A1190="","",IF(A1190&lt;=profil!$B$9,"Realisasi","Rencana"))</f>
        <v>Rencana</v>
      </c>
      <c r="C1190" s="18" t="s">
        <v>161</v>
      </c>
      <c r="D1190" s="18" t="s">
        <v>161</v>
      </c>
      <c r="E1190" s="29" t="n">
        <f aca="false">J1189</f>
        <v>0</v>
      </c>
      <c r="F1190" s="28"/>
      <c r="G1190" s="30" t="n">
        <v>0</v>
      </c>
      <c r="H1190" s="28"/>
      <c r="I1190" s="28"/>
      <c r="J1190" s="29" t="n">
        <f aca="false">E1190+F1190+G1190-H1190-I1190</f>
        <v>0</v>
      </c>
      <c r="K1190" s="29" t="n">
        <f aca="false">ROUND(E1190+F1190+G1190-H1190-I1190-J1190,1)</f>
        <v>0</v>
      </c>
    </row>
    <row r="1191" customFormat="false" ht="15" hidden="false" customHeight="false" outlineLevel="0" collapsed="false">
      <c r="A1191" s="25" t="n">
        <v>46117</v>
      </c>
      <c r="B1191" s="23" t="str">
        <f aca="false">IF(A1191="","",IF(A1191&lt;=profil!$B$9,"Realisasi","Rencana"))</f>
        <v>Rencana</v>
      </c>
      <c r="C1191" s="18" t="s">
        <v>161</v>
      </c>
      <c r="D1191" s="18" t="s">
        <v>161</v>
      </c>
      <c r="E1191" s="29" t="n">
        <f aca="false">J1190</f>
        <v>0</v>
      </c>
      <c r="F1191" s="28"/>
      <c r="G1191" s="30" t="n">
        <v>0</v>
      </c>
      <c r="H1191" s="28"/>
      <c r="I1191" s="28"/>
      <c r="J1191" s="29" t="n">
        <f aca="false">E1191+F1191+G1191-H1191-I1191</f>
        <v>0</v>
      </c>
      <c r="K1191" s="29" t="n">
        <f aca="false">ROUND(E1191+F1191+G1191-H1191-I1191-J1191,1)</f>
        <v>0</v>
      </c>
    </row>
    <row r="1192" customFormat="false" ht="15" hidden="false" customHeight="false" outlineLevel="0" collapsed="false">
      <c r="A1192" s="25" t="n">
        <v>46118</v>
      </c>
      <c r="B1192" s="23" t="str">
        <f aca="false">IF(A1192="","",IF(A1192&lt;=profil!$B$9,"Realisasi","Rencana"))</f>
        <v>Rencana</v>
      </c>
      <c r="C1192" s="18" t="s">
        <v>161</v>
      </c>
      <c r="D1192" s="18" t="s">
        <v>161</v>
      </c>
      <c r="E1192" s="29" t="n">
        <f aca="false">J1191</f>
        <v>0</v>
      </c>
      <c r="F1192" s="28"/>
      <c r="G1192" s="30" t="n">
        <v>0</v>
      </c>
      <c r="H1192" s="28"/>
      <c r="I1192" s="28"/>
      <c r="J1192" s="29" t="n">
        <f aca="false">E1192+F1192+G1192-H1192-I1192</f>
        <v>0</v>
      </c>
      <c r="K1192" s="29" t="n">
        <f aca="false">ROUND(E1192+F1192+G1192-H1192-I1192-J1192,1)</f>
        <v>0</v>
      </c>
    </row>
    <row r="1193" customFormat="false" ht="15" hidden="false" customHeight="false" outlineLevel="0" collapsed="false">
      <c r="A1193" s="25" t="n">
        <v>46119</v>
      </c>
      <c r="B1193" s="23" t="str">
        <f aca="false">IF(A1193="","",IF(A1193&lt;=profil!$B$9,"Realisasi","Rencana"))</f>
        <v>Rencana</v>
      </c>
      <c r="C1193" s="18" t="s">
        <v>161</v>
      </c>
      <c r="D1193" s="18" t="s">
        <v>161</v>
      </c>
      <c r="E1193" s="29" t="n">
        <f aca="false">J1192</f>
        <v>0</v>
      </c>
      <c r="F1193" s="28"/>
      <c r="G1193" s="30" t="n">
        <v>0</v>
      </c>
      <c r="H1193" s="28"/>
      <c r="I1193" s="28"/>
      <c r="J1193" s="29" t="n">
        <f aca="false">E1193+F1193+G1193-H1193-I1193</f>
        <v>0</v>
      </c>
      <c r="K1193" s="29" t="n">
        <f aca="false">ROUND(E1193+F1193+G1193-H1193-I1193-J1193,1)</f>
        <v>0</v>
      </c>
    </row>
    <row r="1194" customFormat="false" ht="15" hidden="false" customHeight="false" outlineLevel="0" collapsed="false">
      <c r="A1194" s="25" t="n">
        <v>46120</v>
      </c>
      <c r="B1194" s="23" t="str">
        <f aca="false">IF(A1194="","",IF(A1194&lt;=profil!$B$9,"Realisasi","Rencana"))</f>
        <v>Rencana</v>
      </c>
      <c r="C1194" s="18" t="s">
        <v>161</v>
      </c>
      <c r="D1194" s="18" t="s">
        <v>161</v>
      </c>
      <c r="E1194" s="29" t="n">
        <f aca="false">J1193</f>
        <v>0</v>
      </c>
      <c r="F1194" s="28"/>
      <c r="G1194" s="30" t="n">
        <v>0</v>
      </c>
      <c r="H1194" s="28"/>
      <c r="I1194" s="28"/>
      <c r="J1194" s="29" t="n">
        <f aca="false">E1194+F1194+G1194-H1194-I1194</f>
        <v>0</v>
      </c>
      <c r="K1194" s="29" t="n">
        <f aca="false">ROUND(E1194+F1194+G1194-H1194-I1194-J1194,1)</f>
        <v>0</v>
      </c>
    </row>
    <row r="1195" customFormat="false" ht="15" hidden="false" customHeight="false" outlineLevel="0" collapsed="false">
      <c r="A1195" s="25" t="n">
        <v>46121</v>
      </c>
      <c r="B1195" s="23" t="str">
        <f aca="false">IF(A1195="","",IF(A1195&lt;=profil!$B$9,"Realisasi","Rencana"))</f>
        <v>Rencana</v>
      </c>
      <c r="C1195" s="18" t="s">
        <v>161</v>
      </c>
      <c r="D1195" s="18" t="s">
        <v>161</v>
      </c>
      <c r="E1195" s="29" t="n">
        <f aca="false">J1194</f>
        <v>0</v>
      </c>
      <c r="F1195" s="28"/>
      <c r="G1195" s="30" t="n">
        <v>0</v>
      </c>
      <c r="H1195" s="28"/>
      <c r="I1195" s="28"/>
      <c r="J1195" s="29" t="n">
        <f aca="false">E1195+F1195+G1195-H1195-I1195</f>
        <v>0</v>
      </c>
      <c r="K1195" s="29" t="n">
        <f aca="false">ROUND(E1195+F1195+G1195-H1195-I1195-J1195,1)</f>
        <v>0</v>
      </c>
    </row>
    <row r="1196" customFormat="false" ht="15" hidden="false" customHeight="false" outlineLevel="0" collapsed="false">
      <c r="A1196" s="25" t="n">
        <v>46122</v>
      </c>
      <c r="B1196" s="23" t="str">
        <f aca="false">IF(A1196="","",IF(A1196&lt;=profil!$B$9,"Realisasi","Rencana"))</f>
        <v>Rencana</v>
      </c>
      <c r="C1196" s="18" t="s">
        <v>161</v>
      </c>
      <c r="D1196" s="18" t="s">
        <v>161</v>
      </c>
      <c r="E1196" s="29" t="n">
        <f aca="false">J1195</f>
        <v>0</v>
      </c>
      <c r="F1196" s="28"/>
      <c r="G1196" s="30" t="n">
        <v>0</v>
      </c>
      <c r="H1196" s="28"/>
      <c r="I1196" s="28"/>
      <c r="J1196" s="29" t="n">
        <f aca="false">E1196+F1196+G1196-H1196-I1196</f>
        <v>0</v>
      </c>
      <c r="K1196" s="29" t="n">
        <f aca="false">ROUND(E1196+F1196+G1196-H1196-I1196-J1196,1)</f>
        <v>0</v>
      </c>
    </row>
    <row r="1197" customFormat="false" ht="15" hidden="false" customHeight="false" outlineLevel="0" collapsed="false">
      <c r="A1197" s="25" t="n">
        <v>46123</v>
      </c>
      <c r="B1197" s="23" t="str">
        <f aca="false">IF(A1197="","",IF(A1197&lt;=profil!$B$9,"Realisasi","Rencana"))</f>
        <v>Rencana</v>
      </c>
      <c r="C1197" s="18" t="s">
        <v>161</v>
      </c>
      <c r="D1197" s="18" t="s">
        <v>161</v>
      </c>
      <c r="E1197" s="29" t="n">
        <f aca="false">J1196</f>
        <v>0</v>
      </c>
      <c r="F1197" s="28"/>
      <c r="G1197" s="30" t="n">
        <v>0</v>
      </c>
      <c r="H1197" s="28"/>
      <c r="I1197" s="28"/>
      <c r="J1197" s="29" t="n">
        <f aca="false">E1197+F1197+G1197-H1197-I1197</f>
        <v>0</v>
      </c>
      <c r="K1197" s="29" t="n">
        <f aca="false">ROUND(E1197+F1197+G1197-H1197-I1197-J1197,1)</f>
        <v>0</v>
      </c>
    </row>
    <row r="1198" customFormat="false" ht="15" hidden="false" customHeight="false" outlineLevel="0" collapsed="false">
      <c r="A1198" s="25" t="n">
        <v>46124</v>
      </c>
      <c r="B1198" s="23" t="str">
        <f aca="false">IF(A1198="","",IF(A1198&lt;=profil!$B$9,"Realisasi","Rencana"))</f>
        <v>Rencana</v>
      </c>
      <c r="C1198" s="18" t="s">
        <v>161</v>
      </c>
      <c r="D1198" s="18" t="s">
        <v>161</v>
      </c>
      <c r="E1198" s="29" t="n">
        <f aca="false">J1197</f>
        <v>0</v>
      </c>
      <c r="F1198" s="28"/>
      <c r="G1198" s="30" t="n">
        <v>0</v>
      </c>
      <c r="H1198" s="28"/>
      <c r="I1198" s="28"/>
      <c r="J1198" s="29" t="n">
        <f aca="false">E1198+F1198+G1198-H1198-I1198</f>
        <v>0</v>
      </c>
      <c r="K1198" s="29" t="n">
        <f aca="false">ROUND(E1198+F1198+G1198-H1198-I1198-J1198,1)</f>
        <v>0</v>
      </c>
    </row>
    <row r="1199" customFormat="false" ht="15" hidden="false" customHeight="false" outlineLevel="0" collapsed="false">
      <c r="A1199" s="25" t="n">
        <v>46125</v>
      </c>
      <c r="B1199" s="23" t="str">
        <f aca="false">IF(A1199="","",IF(A1199&lt;=profil!$B$9,"Realisasi","Rencana"))</f>
        <v>Rencana</v>
      </c>
      <c r="C1199" s="18" t="s">
        <v>161</v>
      </c>
      <c r="D1199" s="18" t="s">
        <v>161</v>
      </c>
      <c r="E1199" s="29" t="n">
        <f aca="false">J1198</f>
        <v>0</v>
      </c>
      <c r="F1199" s="28"/>
      <c r="G1199" s="30" t="n">
        <v>0</v>
      </c>
      <c r="H1199" s="28"/>
      <c r="I1199" s="28"/>
      <c r="J1199" s="29" t="n">
        <f aca="false">E1199+F1199+G1199-H1199-I1199</f>
        <v>0</v>
      </c>
      <c r="K1199" s="29" t="n">
        <f aca="false">ROUND(E1199+F1199+G1199-H1199-I1199-J1199,1)</f>
        <v>0</v>
      </c>
    </row>
    <row r="1200" customFormat="false" ht="15" hidden="false" customHeight="false" outlineLevel="0" collapsed="false">
      <c r="A1200" s="25" t="n">
        <v>46126</v>
      </c>
      <c r="B1200" s="23" t="str">
        <f aca="false">IF(A1200="","",IF(A1200&lt;=profil!$B$9,"Realisasi","Rencana"))</f>
        <v>Rencana</v>
      </c>
      <c r="C1200" s="18" t="s">
        <v>161</v>
      </c>
      <c r="D1200" s="18" t="s">
        <v>161</v>
      </c>
      <c r="E1200" s="29" t="n">
        <f aca="false">J1199</f>
        <v>0</v>
      </c>
      <c r="F1200" s="28"/>
      <c r="G1200" s="30" t="n">
        <v>0</v>
      </c>
      <c r="H1200" s="28"/>
      <c r="I1200" s="28"/>
      <c r="J1200" s="29" t="n">
        <f aca="false">E1200+F1200+G1200-H1200-I1200</f>
        <v>0</v>
      </c>
      <c r="K1200" s="29" t="n">
        <f aca="false">ROUND(E1200+F1200+G1200-H1200-I1200-J1200,1)</f>
        <v>0</v>
      </c>
    </row>
    <row r="1201" customFormat="false" ht="15" hidden="false" customHeight="false" outlineLevel="0" collapsed="false">
      <c r="A1201" s="25" t="n">
        <v>46127</v>
      </c>
      <c r="B1201" s="23" t="str">
        <f aca="false">IF(A1201="","",IF(A1201&lt;=profil!$B$9,"Realisasi","Rencana"))</f>
        <v>Rencana</v>
      </c>
      <c r="C1201" s="18" t="s">
        <v>161</v>
      </c>
      <c r="D1201" s="18" t="s">
        <v>161</v>
      </c>
      <c r="E1201" s="29" t="n">
        <f aca="false">J1200</f>
        <v>0</v>
      </c>
      <c r="F1201" s="28"/>
      <c r="G1201" s="30" t="n">
        <v>0</v>
      </c>
      <c r="H1201" s="28"/>
      <c r="I1201" s="28"/>
      <c r="J1201" s="29" t="n">
        <f aca="false">E1201+F1201+G1201-H1201-I1201</f>
        <v>0</v>
      </c>
      <c r="K1201" s="29" t="n">
        <f aca="false">ROUND(E1201+F1201+G1201-H1201-I1201-J1201,1)</f>
        <v>0</v>
      </c>
    </row>
    <row r="1202" customFormat="false" ht="15" hidden="false" customHeight="false" outlineLevel="0" collapsed="false">
      <c r="A1202" s="25" t="n">
        <v>46128</v>
      </c>
      <c r="B1202" s="23" t="str">
        <f aca="false">IF(A1202="","",IF(A1202&lt;=profil!$B$9,"Realisasi","Rencana"))</f>
        <v>Rencana</v>
      </c>
      <c r="C1202" s="18" t="s">
        <v>161</v>
      </c>
      <c r="D1202" s="18" t="s">
        <v>161</v>
      </c>
      <c r="E1202" s="29" t="n">
        <f aca="false">J1201</f>
        <v>0</v>
      </c>
      <c r="F1202" s="28"/>
      <c r="G1202" s="30" t="n">
        <v>0</v>
      </c>
      <c r="H1202" s="28"/>
      <c r="I1202" s="28"/>
      <c r="J1202" s="29" t="n">
        <f aca="false">E1202+F1202+G1202-H1202-I1202</f>
        <v>0</v>
      </c>
      <c r="K1202" s="29" t="n">
        <f aca="false">ROUND(E1202+F1202+G1202-H1202-I1202-J1202,1)</f>
        <v>0</v>
      </c>
    </row>
    <row r="1203" customFormat="false" ht="15" hidden="false" customHeight="false" outlineLevel="0" collapsed="false">
      <c r="A1203" s="25" t="n">
        <v>46129</v>
      </c>
      <c r="B1203" s="23" t="str">
        <f aca="false">IF(A1203="","",IF(A1203&lt;=profil!$B$9,"Realisasi","Rencana"))</f>
        <v>Rencana</v>
      </c>
      <c r="C1203" s="18" t="s">
        <v>161</v>
      </c>
      <c r="D1203" s="18" t="s">
        <v>161</v>
      </c>
      <c r="E1203" s="29" t="n">
        <f aca="false">J1202</f>
        <v>0</v>
      </c>
      <c r="F1203" s="28"/>
      <c r="G1203" s="30" t="n">
        <v>0</v>
      </c>
      <c r="H1203" s="28"/>
      <c r="I1203" s="28"/>
      <c r="J1203" s="29" t="n">
        <f aca="false">E1203+F1203+G1203-H1203-I1203</f>
        <v>0</v>
      </c>
      <c r="K1203" s="29" t="n">
        <f aca="false">ROUND(E1203+F1203+G1203-H1203-I1203-J1203,1)</f>
        <v>0</v>
      </c>
    </row>
    <row r="1204" customFormat="false" ht="15" hidden="false" customHeight="false" outlineLevel="0" collapsed="false">
      <c r="A1204" s="25" t="n">
        <v>46130</v>
      </c>
      <c r="B1204" s="23" t="str">
        <f aca="false">IF(A1204="","",IF(A1204&lt;=profil!$B$9,"Realisasi","Rencana"))</f>
        <v>Rencana</v>
      </c>
      <c r="C1204" s="18" t="s">
        <v>161</v>
      </c>
      <c r="D1204" s="18" t="s">
        <v>161</v>
      </c>
      <c r="E1204" s="29" t="n">
        <f aca="false">J1203</f>
        <v>0</v>
      </c>
      <c r="F1204" s="28"/>
      <c r="G1204" s="30" t="n">
        <v>0</v>
      </c>
      <c r="H1204" s="28"/>
      <c r="I1204" s="28"/>
      <c r="J1204" s="29" t="n">
        <f aca="false">E1204+F1204+G1204-H1204-I1204</f>
        <v>0</v>
      </c>
      <c r="K1204" s="29" t="n">
        <f aca="false">ROUND(E1204+F1204+G1204-H1204-I1204-J1204,1)</f>
        <v>0</v>
      </c>
    </row>
    <row r="1205" customFormat="false" ht="15" hidden="false" customHeight="false" outlineLevel="0" collapsed="false">
      <c r="A1205" s="25" t="n">
        <v>46131</v>
      </c>
      <c r="B1205" s="23" t="str">
        <f aca="false">IF(A1205="","",IF(A1205&lt;=profil!$B$9,"Realisasi","Rencana"))</f>
        <v>Rencana</v>
      </c>
      <c r="C1205" s="18" t="s">
        <v>161</v>
      </c>
      <c r="D1205" s="18" t="s">
        <v>161</v>
      </c>
      <c r="E1205" s="29" t="n">
        <f aca="false">J1204</f>
        <v>0</v>
      </c>
      <c r="F1205" s="28"/>
      <c r="G1205" s="30" t="n">
        <v>0</v>
      </c>
      <c r="H1205" s="28"/>
      <c r="I1205" s="28"/>
      <c r="J1205" s="29" t="n">
        <f aca="false">E1205+F1205+G1205-H1205-I1205</f>
        <v>0</v>
      </c>
      <c r="K1205" s="29" t="n">
        <f aca="false">ROUND(E1205+F1205+G1205-H1205-I1205-J1205,1)</f>
        <v>0</v>
      </c>
    </row>
    <row r="1206" customFormat="false" ht="15" hidden="false" customHeight="false" outlineLevel="0" collapsed="false">
      <c r="A1206" s="25" t="n">
        <v>46132</v>
      </c>
      <c r="B1206" s="23" t="str">
        <f aca="false">IF(A1206="","",IF(A1206&lt;=profil!$B$9,"Realisasi","Rencana"))</f>
        <v>Rencana</v>
      </c>
      <c r="C1206" s="18" t="s">
        <v>161</v>
      </c>
      <c r="D1206" s="18" t="s">
        <v>161</v>
      </c>
      <c r="E1206" s="29" t="n">
        <f aca="false">J1205</f>
        <v>0</v>
      </c>
      <c r="F1206" s="28"/>
      <c r="G1206" s="30" t="n">
        <v>0</v>
      </c>
      <c r="H1206" s="28"/>
      <c r="I1206" s="28"/>
      <c r="J1206" s="29" t="n">
        <f aca="false">E1206+F1206+G1206-H1206-I1206</f>
        <v>0</v>
      </c>
      <c r="K1206" s="29" t="n">
        <f aca="false">ROUND(E1206+F1206+G1206-H1206-I1206-J1206,1)</f>
        <v>0</v>
      </c>
    </row>
    <row r="1207" customFormat="false" ht="15" hidden="false" customHeight="false" outlineLevel="0" collapsed="false">
      <c r="A1207" s="25" t="n">
        <v>46133</v>
      </c>
      <c r="B1207" s="23" t="str">
        <f aca="false">IF(A1207="","",IF(A1207&lt;=profil!$B$9,"Realisasi","Rencana"))</f>
        <v>Rencana</v>
      </c>
      <c r="C1207" s="18" t="s">
        <v>161</v>
      </c>
      <c r="D1207" s="18" t="s">
        <v>161</v>
      </c>
      <c r="E1207" s="29" t="n">
        <f aca="false">J1206</f>
        <v>0</v>
      </c>
      <c r="F1207" s="28"/>
      <c r="G1207" s="30" t="n">
        <v>0</v>
      </c>
      <c r="H1207" s="28"/>
      <c r="I1207" s="28"/>
      <c r="J1207" s="29" t="n">
        <f aca="false">E1207+F1207+G1207-H1207-I1207</f>
        <v>0</v>
      </c>
      <c r="K1207" s="29" t="n">
        <f aca="false">ROUND(E1207+F1207+G1207-H1207-I1207-J1207,1)</f>
        <v>0</v>
      </c>
    </row>
    <row r="1208" customFormat="false" ht="15" hidden="false" customHeight="false" outlineLevel="0" collapsed="false">
      <c r="A1208" s="25" t="n">
        <v>46134</v>
      </c>
      <c r="B1208" s="23" t="str">
        <f aca="false">IF(A1208="","",IF(A1208&lt;=profil!$B$9,"Realisasi","Rencana"))</f>
        <v>Rencana</v>
      </c>
      <c r="C1208" s="18" t="s">
        <v>161</v>
      </c>
      <c r="D1208" s="18" t="s">
        <v>161</v>
      </c>
      <c r="E1208" s="29" t="n">
        <f aca="false">J1207</f>
        <v>0</v>
      </c>
      <c r="F1208" s="28"/>
      <c r="G1208" s="30" t="n">
        <v>0</v>
      </c>
      <c r="H1208" s="28"/>
      <c r="I1208" s="28"/>
      <c r="J1208" s="29" t="n">
        <f aca="false">E1208+F1208+G1208-H1208-I1208</f>
        <v>0</v>
      </c>
      <c r="K1208" s="29" t="n">
        <f aca="false">ROUND(E1208+F1208+G1208-H1208-I1208-J1208,1)</f>
        <v>0</v>
      </c>
    </row>
    <row r="1209" customFormat="false" ht="15" hidden="false" customHeight="false" outlineLevel="0" collapsed="false">
      <c r="A1209" s="25" t="n">
        <v>46135</v>
      </c>
      <c r="B1209" s="23" t="str">
        <f aca="false">IF(A1209="","",IF(A1209&lt;=profil!$B$9,"Realisasi","Rencana"))</f>
        <v>Rencana</v>
      </c>
      <c r="C1209" s="18" t="s">
        <v>161</v>
      </c>
      <c r="D1209" s="18" t="s">
        <v>161</v>
      </c>
      <c r="E1209" s="29" t="n">
        <f aca="false">J1208</f>
        <v>0</v>
      </c>
      <c r="F1209" s="28"/>
      <c r="G1209" s="30" t="n">
        <v>0</v>
      </c>
      <c r="H1209" s="28"/>
      <c r="I1209" s="28"/>
      <c r="J1209" s="29" t="n">
        <f aca="false">E1209+F1209+G1209-H1209-I1209</f>
        <v>0</v>
      </c>
      <c r="K1209" s="29" t="n">
        <f aca="false">ROUND(E1209+F1209+G1209-H1209-I1209-J1209,1)</f>
        <v>0</v>
      </c>
    </row>
    <row r="1210" customFormat="false" ht="15" hidden="false" customHeight="false" outlineLevel="0" collapsed="false">
      <c r="A1210" s="25" t="n">
        <v>46136</v>
      </c>
      <c r="B1210" s="23" t="str">
        <f aca="false">IF(A1210="","",IF(A1210&lt;=profil!$B$9,"Realisasi","Rencana"))</f>
        <v>Rencana</v>
      </c>
      <c r="C1210" s="18" t="s">
        <v>161</v>
      </c>
      <c r="D1210" s="18" t="s">
        <v>161</v>
      </c>
      <c r="E1210" s="29" t="n">
        <f aca="false">J1209</f>
        <v>0</v>
      </c>
      <c r="F1210" s="28"/>
      <c r="G1210" s="30" t="n">
        <v>0</v>
      </c>
      <c r="H1210" s="28"/>
      <c r="I1210" s="28"/>
      <c r="J1210" s="29" t="n">
        <f aca="false">E1210+F1210+G1210-H1210-I1210</f>
        <v>0</v>
      </c>
      <c r="K1210" s="29" t="n">
        <f aca="false">ROUND(E1210+F1210+G1210-H1210-I1210-J1210,1)</f>
        <v>0</v>
      </c>
    </row>
    <row r="1211" customFormat="false" ht="15" hidden="false" customHeight="false" outlineLevel="0" collapsed="false">
      <c r="A1211" s="25" t="n">
        <v>46137</v>
      </c>
      <c r="B1211" s="23" t="str">
        <f aca="false">IF(A1211="","",IF(A1211&lt;=profil!$B$9,"Realisasi","Rencana"))</f>
        <v>Rencana</v>
      </c>
      <c r="C1211" s="18" t="s">
        <v>161</v>
      </c>
      <c r="D1211" s="18" t="s">
        <v>161</v>
      </c>
      <c r="E1211" s="29" t="n">
        <f aca="false">J1210</f>
        <v>0</v>
      </c>
      <c r="F1211" s="28"/>
      <c r="G1211" s="30" t="n">
        <v>0</v>
      </c>
      <c r="H1211" s="28"/>
      <c r="I1211" s="28"/>
      <c r="J1211" s="29" t="n">
        <f aca="false">E1211+F1211+G1211-H1211-I1211</f>
        <v>0</v>
      </c>
      <c r="K1211" s="29" t="n">
        <f aca="false">ROUND(E1211+F1211+G1211-H1211-I1211-J1211,1)</f>
        <v>0</v>
      </c>
    </row>
    <row r="1212" customFormat="false" ht="15" hidden="false" customHeight="false" outlineLevel="0" collapsed="false">
      <c r="A1212" s="25" t="n">
        <v>46138</v>
      </c>
      <c r="B1212" s="23" t="str">
        <f aca="false">IF(A1212="","",IF(A1212&lt;=profil!$B$9,"Realisasi","Rencana"))</f>
        <v>Rencana</v>
      </c>
      <c r="C1212" s="18" t="s">
        <v>161</v>
      </c>
      <c r="D1212" s="18" t="s">
        <v>161</v>
      </c>
      <c r="E1212" s="29" t="n">
        <f aca="false">J1211</f>
        <v>0</v>
      </c>
      <c r="F1212" s="28"/>
      <c r="G1212" s="30" t="n">
        <v>0</v>
      </c>
      <c r="H1212" s="28"/>
      <c r="I1212" s="28"/>
      <c r="J1212" s="29" t="n">
        <f aca="false">E1212+F1212+G1212-H1212-I1212</f>
        <v>0</v>
      </c>
      <c r="K1212" s="29" t="n">
        <f aca="false">ROUND(E1212+F1212+G1212-H1212-I1212-J1212,1)</f>
        <v>0</v>
      </c>
    </row>
    <row r="1213" customFormat="false" ht="15" hidden="false" customHeight="false" outlineLevel="0" collapsed="false">
      <c r="A1213" s="25" t="n">
        <v>46139</v>
      </c>
      <c r="B1213" s="23" t="str">
        <f aca="false">IF(A1213="","",IF(A1213&lt;=profil!$B$9,"Realisasi","Rencana"))</f>
        <v>Rencana</v>
      </c>
      <c r="C1213" s="18" t="s">
        <v>161</v>
      </c>
      <c r="D1213" s="18" t="s">
        <v>161</v>
      </c>
      <c r="E1213" s="29" t="n">
        <f aca="false">J1212</f>
        <v>0</v>
      </c>
      <c r="F1213" s="28"/>
      <c r="G1213" s="30" t="n">
        <v>0</v>
      </c>
      <c r="H1213" s="28"/>
      <c r="I1213" s="28"/>
      <c r="J1213" s="29" t="n">
        <f aca="false">E1213+F1213+G1213-H1213-I1213</f>
        <v>0</v>
      </c>
      <c r="K1213" s="29" t="n">
        <f aca="false">ROUND(E1213+F1213+G1213-H1213-I1213-J1213,1)</f>
        <v>0</v>
      </c>
    </row>
    <row r="1214" customFormat="false" ht="15" hidden="false" customHeight="false" outlineLevel="0" collapsed="false">
      <c r="A1214" s="25" t="n">
        <v>46140</v>
      </c>
      <c r="B1214" s="23" t="str">
        <f aca="false">IF(A1214="","",IF(A1214&lt;=profil!$B$9,"Realisasi","Rencana"))</f>
        <v>Rencana</v>
      </c>
      <c r="C1214" s="18" t="s">
        <v>161</v>
      </c>
      <c r="D1214" s="18" t="s">
        <v>161</v>
      </c>
      <c r="E1214" s="29" t="n">
        <f aca="false">J1213</f>
        <v>0</v>
      </c>
      <c r="F1214" s="28"/>
      <c r="G1214" s="30" t="n">
        <v>0</v>
      </c>
      <c r="H1214" s="28"/>
      <c r="I1214" s="28"/>
      <c r="J1214" s="29" t="n">
        <f aca="false">E1214+F1214+G1214-H1214-I1214</f>
        <v>0</v>
      </c>
      <c r="K1214" s="29" t="n">
        <f aca="false">ROUND(E1214+F1214+G1214-H1214-I1214-J1214,1)</f>
        <v>0</v>
      </c>
    </row>
    <row r="1215" customFormat="false" ht="15" hidden="false" customHeight="false" outlineLevel="0" collapsed="false">
      <c r="A1215" s="25" t="n">
        <v>46141</v>
      </c>
      <c r="B1215" s="23" t="str">
        <f aca="false">IF(A1215="","",IF(A1215&lt;=profil!$B$9,"Realisasi","Rencana"))</f>
        <v>Rencana</v>
      </c>
      <c r="C1215" s="18" t="s">
        <v>161</v>
      </c>
      <c r="D1215" s="18" t="s">
        <v>161</v>
      </c>
      <c r="E1215" s="29" t="n">
        <f aca="false">J1214</f>
        <v>0</v>
      </c>
      <c r="F1215" s="28"/>
      <c r="G1215" s="30" t="n">
        <v>0</v>
      </c>
      <c r="H1215" s="28"/>
      <c r="I1215" s="28"/>
      <c r="J1215" s="29" t="n">
        <f aca="false">E1215+F1215+G1215-H1215-I1215</f>
        <v>0</v>
      </c>
      <c r="K1215" s="29" t="n">
        <f aca="false">ROUND(E1215+F1215+G1215-H1215-I1215-J1215,1)</f>
        <v>0</v>
      </c>
    </row>
    <row r="1216" customFormat="false" ht="15" hidden="false" customHeight="false" outlineLevel="0" collapsed="false">
      <c r="A1216" s="25" t="n">
        <v>46142</v>
      </c>
      <c r="B1216" s="23" t="str">
        <f aca="false">IF(A1216="","",IF(A1216&lt;=profil!$B$9,"Realisasi","Rencana"))</f>
        <v>Rencana</v>
      </c>
      <c r="C1216" s="18" t="s">
        <v>161</v>
      </c>
      <c r="D1216" s="18" t="s">
        <v>161</v>
      </c>
      <c r="E1216" s="29" t="n">
        <f aca="false">J1215</f>
        <v>0</v>
      </c>
      <c r="F1216" s="28"/>
      <c r="G1216" s="30" t="n">
        <v>0</v>
      </c>
      <c r="H1216" s="28"/>
      <c r="I1216" s="28"/>
      <c r="J1216" s="29" t="n">
        <f aca="false">E1216+F1216+G1216-H1216-I1216</f>
        <v>0</v>
      </c>
      <c r="K1216" s="29" t="n">
        <f aca="false">ROUND(E1216+F1216+G1216-H1216-I1216-J1216,1)</f>
        <v>0</v>
      </c>
    </row>
    <row r="1217" customFormat="false" ht="15" hidden="false" customHeight="false" outlineLevel="0" collapsed="false">
      <c r="A1217" s="25" t="n">
        <v>46143</v>
      </c>
      <c r="B1217" s="23" t="str">
        <f aca="false">IF(A1217="","",IF(A1217&lt;=profil!$B$9,"Realisasi","Rencana"))</f>
        <v>Rencana</v>
      </c>
      <c r="C1217" s="18" t="s">
        <v>161</v>
      </c>
      <c r="D1217" s="18" t="s">
        <v>161</v>
      </c>
      <c r="E1217" s="29" t="n">
        <f aca="false">J1216</f>
        <v>0</v>
      </c>
      <c r="F1217" s="28"/>
      <c r="G1217" s="30" t="n">
        <v>0</v>
      </c>
      <c r="H1217" s="28"/>
      <c r="I1217" s="28"/>
      <c r="J1217" s="29" t="n">
        <f aca="false">E1217+F1217+G1217-H1217-I1217</f>
        <v>0</v>
      </c>
      <c r="K1217" s="29" t="n">
        <f aca="false">ROUND(E1217+F1217+G1217-H1217-I1217-J1217,1)</f>
        <v>0</v>
      </c>
    </row>
    <row r="1218" customFormat="false" ht="15" hidden="false" customHeight="false" outlineLevel="0" collapsed="false">
      <c r="A1218" s="25" t="n">
        <v>46144</v>
      </c>
      <c r="B1218" s="23" t="str">
        <f aca="false">IF(A1218="","",IF(A1218&lt;=profil!$B$9,"Realisasi","Rencana"))</f>
        <v>Rencana</v>
      </c>
      <c r="C1218" s="18" t="s">
        <v>161</v>
      </c>
      <c r="D1218" s="18" t="s">
        <v>161</v>
      </c>
      <c r="E1218" s="29" t="n">
        <f aca="false">J1217</f>
        <v>0</v>
      </c>
      <c r="F1218" s="28"/>
      <c r="G1218" s="30" t="n">
        <v>0</v>
      </c>
      <c r="H1218" s="28"/>
      <c r="I1218" s="28"/>
      <c r="J1218" s="29" t="n">
        <f aca="false">E1218+F1218+G1218-H1218-I1218</f>
        <v>0</v>
      </c>
      <c r="K1218" s="29" t="n">
        <f aca="false">ROUND(E1218+F1218+G1218-H1218-I1218-J1218,1)</f>
        <v>0</v>
      </c>
    </row>
    <row r="1219" customFormat="false" ht="15" hidden="false" customHeight="false" outlineLevel="0" collapsed="false">
      <c r="A1219" s="25" t="n">
        <v>46145</v>
      </c>
      <c r="B1219" s="23" t="str">
        <f aca="false">IF(A1219="","",IF(A1219&lt;=profil!$B$9,"Realisasi","Rencana"))</f>
        <v>Rencana</v>
      </c>
      <c r="C1219" s="18" t="s">
        <v>161</v>
      </c>
      <c r="D1219" s="18" t="s">
        <v>161</v>
      </c>
      <c r="E1219" s="29" t="n">
        <f aca="false">J1218</f>
        <v>0</v>
      </c>
      <c r="F1219" s="28"/>
      <c r="G1219" s="30" t="n">
        <v>0</v>
      </c>
      <c r="H1219" s="28"/>
      <c r="I1219" s="28"/>
      <c r="J1219" s="29" t="n">
        <f aca="false">E1219+F1219+G1219-H1219-I1219</f>
        <v>0</v>
      </c>
      <c r="K1219" s="29" t="n">
        <f aca="false">ROUND(E1219+F1219+G1219-H1219-I1219-J1219,1)</f>
        <v>0</v>
      </c>
    </row>
    <row r="1220" customFormat="false" ht="15" hidden="false" customHeight="false" outlineLevel="0" collapsed="false">
      <c r="A1220" s="25" t="n">
        <v>46146</v>
      </c>
      <c r="B1220" s="23" t="str">
        <f aca="false">IF(A1220="","",IF(A1220&lt;=profil!$B$9,"Realisasi","Rencana"))</f>
        <v>Rencana</v>
      </c>
      <c r="C1220" s="18" t="s">
        <v>161</v>
      </c>
      <c r="D1220" s="18" t="s">
        <v>161</v>
      </c>
      <c r="E1220" s="29" t="n">
        <f aca="false">J1219</f>
        <v>0</v>
      </c>
      <c r="F1220" s="28"/>
      <c r="G1220" s="30" t="n">
        <v>0</v>
      </c>
      <c r="H1220" s="28"/>
      <c r="I1220" s="28"/>
      <c r="J1220" s="29" t="n">
        <f aca="false">E1220+F1220+G1220-H1220-I1220</f>
        <v>0</v>
      </c>
      <c r="K1220" s="29" t="n">
        <f aca="false">ROUND(E1220+F1220+G1220-H1220-I1220-J1220,1)</f>
        <v>0</v>
      </c>
    </row>
    <row r="1221" customFormat="false" ht="15" hidden="false" customHeight="false" outlineLevel="0" collapsed="false">
      <c r="A1221" s="25" t="n">
        <v>46147</v>
      </c>
      <c r="B1221" s="23" t="str">
        <f aca="false">IF(A1221="","",IF(A1221&lt;=profil!$B$9,"Realisasi","Rencana"))</f>
        <v>Rencana</v>
      </c>
      <c r="C1221" s="18" t="s">
        <v>161</v>
      </c>
      <c r="D1221" s="18" t="s">
        <v>161</v>
      </c>
      <c r="E1221" s="29" t="n">
        <f aca="false">J1220</f>
        <v>0</v>
      </c>
      <c r="F1221" s="28"/>
      <c r="G1221" s="30" t="n">
        <v>0</v>
      </c>
      <c r="H1221" s="28"/>
      <c r="I1221" s="28"/>
      <c r="J1221" s="29" t="n">
        <f aca="false">E1221+F1221+G1221-H1221-I1221</f>
        <v>0</v>
      </c>
      <c r="K1221" s="29" t="n">
        <f aca="false">ROUND(E1221+F1221+G1221-H1221-I1221-J1221,1)</f>
        <v>0</v>
      </c>
    </row>
    <row r="1222" customFormat="false" ht="15" hidden="false" customHeight="false" outlineLevel="0" collapsed="false">
      <c r="A1222" s="25" t="n">
        <v>46148</v>
      </c>
      <c r="B1222" s="23" t="str">
        <f aca="false">IF(A1222="","",IF(A1222&lt;=profil!$B$9,"Realisasi","Rencana"))</f>
        <v>Rencana</v>
      </c>
      <c r="C1222" s="18" t="s">
        <v>161</v>
      </c>
      <c r="D1222" s="18" t="s">
        <v>161</v>
      </c>
      <c r="E1222" s="29" t="n">
        <f aca="false">J1221</f>
        <v>0</v>
      </c>
      <c r="F1222" s="28"/>
      <c r="G1222" s="30" t="n">
        <v>0</v>
      </c>
      <c r="H1222" s="28"/>
      <c r="I1222" s="28"/>
      <c r="J1222" s="29" t="n">
        <f aca="false">E1222+F1222+G1222-H1222-I1222</f>
        <v>0</v>
      </c>
      <c r="K1222" s="29" t="n">
        <f aca="false">ROUND(E1222+F1222+G1222-H1222-I1222-J1222,1)</f>
        <v>0</v>
      </c>
    </row>
    <row r="1223" customFormat="false" ht="15" hidden="false" customHeight="false" outlineLevel="0" collapsed="false">
      <c r="A1223" s="25" t="n">
        <v>46149</v>
      </c>
      <c r="B1223" s="23" t="str">
        <f aca="false">IF(A1223="","",IF(A1223&lt;=profil!$B$9,"Realisasi","Rencana"))</f>
        <v>Rencana</v>
      </c>
      <c r="C1223" s="18" t="s">
        <v>161</v>
      </c>
      <c r="D1223" s="18" t="s">
        <v>161</v>
      </c>
      <c r="E1223" s="29" t="n">
        <f aca="false">J1222</f>
        <v>0</v>
      </c>
      <c r="F1223" s="28"/>
      <c r="G1223" s="30" t="n">
        <v>0</v>
      </c>
      <c r="H1223" s="28"/>
      <c r="I1223" s="28"/>
      <c r="J1223" s="29" t="n">
        <f aca="false">E1223+F1223+G1223-H1223-I1223</f>
        <v>0</v>
      </c>
      <c r="K1223" s="29" t="n">
        <f aca="false">ROUND(E1223+F1223+G1223-H1223-I1223-J1223,1)</f>
        <v>0</v>
      </c>
    </row>
    <row r="1224" customFormat="false" ht="15" hidden="false" customHeight="false" outlineLevel="0" collapsed="false">
      <c r="A1224" s="25" t="n">
        <v>46150</v>
      </c>
      <c r="B1224" s="23" t="str">
        <f aca="false">IF(A1224="","",IF(A1224&lt;=profil!$B$9,"Realisasi","Rencana"))</f>
        <v>Rencana</v>
      </c>
      <c r="C1224" s="18" t="s">
        <v>161</v>
      </c>
      <c r="D1224" s="18" t="s">
        <v>161</v>
      </c>
      <c r="E1224" s="29" t="n">
        <f aca="false">J1223</f>
        <v>0</v>
      </c>
      <c r="F1224" s="28"/>
      <c r="G1224" s="30" t="n">
        <v>0</v>
      </c>
      <c r="H1224" s="28"/>
      <c r="I1224" s="28"/>
      <c r="J1224" s="29" t="n">
        <f aca="false">E1224+F1224+G1224-H1224-I1224</f>
        <v>0</v>
      </c>
      <c r="K1224" s="29" t="n">
        <f aca="false">ROUND(E1224+F1224+G1224-H1224-I1224-J1224,1)</f>
        <v>0</v>
      </c>
    </row>
    <row r="1225" customFormat="false" ht="15" hidden="false" customHeight="false" outlineLevel="0" collapsed="false">
      <c r="A1225" s="25" t="n">
        <v>46151</v>
      </c>
      <c r="B1225" s="23" t="str">
        <f aca="false">IF(A1225="","",IF(A1225&lt;=profil!$B$9,"Realisasi","Rencana"))</f>
        <v>Rencana</v>
      </c>
      <c r="C1225" s="18" t="s">
        <v>161</v>
      </c>
      <c r="D1225" s="18" t="s">
        <v>161</v>
      </c>
      <c r="E1225" s="29" t="n">
        <f aca="false">J1224</f>
        <v>0</v>
      </c>
      <c r="F1225" s="28"/>
      <c r="G1225" s="30" t="n">
        <v>0</v>
      </c>
      <c r="H1225" s="28"/>
      <c r="I1225" s="28"/>
      <c r="J1225" s="29" t="n">
        <f aca="false">E1225+F1225+G1225-H1225-I1225</f>
        <v>0</v>
      </c>
      <c r="K1225" s="29" t="n">
        <f aca="false">ROUND(E1225+F1225+G1225-H1225-I1225-J1225,1)</f>
        <v>0</v>
      </c>
    </row>
    <row r="1226" customFormat="false" ht="15" hidden="false" customHeight="false" outlineLevel="0" collapsed="false">
      <c r="A1226" s="25" t="n">
        <v>46152</v>
      </c>
      <c r="B1226" s="23" t="str">
        <f aca="false">IF(A1226="","",IF(A1226&lt;=profil!$B$9,"Realisasi","Rencana"))</f>
        <v>Rencana</v>
      </c>
      <c r="C1226" s="18" t="s">
        <v>161</v>
      </c>
      <c r="D1226" s="18" t="s">
        <v>161</v>
      </c>
      <c r="E1226" s="29" t="n">
        <f aca="false">J1225</f>
        <v>0</v>
      </c>
      <c r="F1226" s="28"/>
      <c r="G1226" s="30" t="n">
        <v>0</v>
      </c>
      <c r="H1226" s="28"/>
      <c r="I1226" s="28"/>
      <c r="J1226" s="29" t="n">
        <f aca="false">E1226+F1226+G1226-H1226-I1226</f>
        <v>0</v>
      </c>
      <c r="K1226" s="29" t="n">
        <f aca="false">ROUND(E1226+F1226+G1226-H1226-I1226-J1226,1)</f>
        <v>0</v>
      </c>
    </row>
    <row r="1227" customFormat="false" ht="15" hidden="false" customHeight="false" outlineLevel="0" collapsed="false">
      <c r="A1227" s="25" t="n">
        <v>46153</v>
      </c>
      <c r="B1227" s="23" t="str">
        <f aca="false">IF(A1227="","",IF(A1227&lt;=profil!$B$9,"Realisasi","Rencana"))</f>
        <v>Rencana</v>
      </c>
      <c r="C1227" s="18" t="s">
        <v>161</v>
      </c>
      <c r="D1227" s="18" t="s">
        <v>161</v>
      </c>
      <c r="E1227" s="29" t="n">
        <f aca="false">J1226</f>
        <v>0</v>
      </c>
      <c r="F1227" s="28"/>
      <c r="G1227" s="30" t="n">
        <v>0</v>
      </c>
      <c r="H1227" s="28"/>
      <c r="I1227" s="28"/>
      <c r="J1227" s="29" t="n">
        <f aca="false">E1227+F1227+G1227-H1227-I1227</f>
        <v>0</v>
      </c>
      <c r="K1227" s="29" t="n">
        <f aca="false">ROUND(E1227+F1227+G1227-H1227-I1227-J1227,1)</f>
        <v>0</v>
      </c>
    </row>
    <row r="1228" customFormat="false" ht="15" hidden="false" customHeight="false" outlineLevel="0" collapsed="false">
      <c r="A1228" s="25" t="n">
        <v>46154</v>
      </c>
      <c r="B1228" s="23" t="str">
        <f aca="false">IF(A1228="","",IF(A1228&lt;=profil!$B$9,"Realisasi","Rencana"))</f>
        <v>Rencana</v>
      </c>
      <c r="C1228" s="18" t="s">
        <v>161</v>
      </c>
      <c r="D1228" s="18" t="s">
        <v>161</v>
      </c>
      <c r="E1228" s="29" t="n">
        <f aca="false">J1227</f>
        <v>0</v>
      </c>
      <c r="F1228" s="28"/>
      <c r="G1228" s="30" t="n">
        <v>0</v>
      </c>
      <c r="H1228" s="28"/>
      <c r="I1228" s="28"/>
      <c r="J1228" s="29" t="n">
        <f aca="false">E1228+F1228+G1228-H1228-I1228</f>
        <v>0</v>
      </c>
      <c r="K1228" s="29" t="n">
        <f aca="false">ROUND(E1228+F1228+G1228-H1228-I1228-J1228,1)</f>
        <v>0</v>
      </c>
    </row>
    <row r="1229" customFormat="false" ht="15" hidden="false" customHeight="false" outlineLevel="0" collapsed="false">
      <c r="A1229" s="25" t="n">
        <v>46155</v>
      </c>
      <c r="B1229" s="23" t="str">
        <f aca="false">IF(A1229="","",IF(A1229&lt;=profil!$B$9,"Realisasi","Rencana"))</f>
        <v>Rencana</v>
      </c>
      <c r="C1229" s="18" t="s">
        <v>161</v>
      </c>
      <c r="D1229" s="18" t="s">
        <v>161</v>
      </c>
      <c r="E1229" s="29" t="n">
        <f aca="false">J1228</f>
        <v>0</v>
      </c>
      <c r="F1229" s="28"/>
      <c r="G1229" s="30" t="n">
        <v>0</v>
      </c>
      <c r="H1229" s="28"/>
      <c r="I1229" s="28"/>
      <c r="J1229" s="29" t="n">
        <f aca="false">E1229+F1229+G1229-H1229-I1229</f>
        <v>0</v>
      </c>
      <c r="K1229" s="29" t="n">
        <f aca="false">ROUND(E1229+F1229+G1229-H1229-I1229-J1229,1)</f>
        <v>0</v>
      </c>
    </row>
    <row r="1230" customFormat="false" ht="15" hidden="false" customHeight="false" outlineLevel="0" collapsed="false">
      <c r="A1230" s="25" t="n">
        <v>46156</v>
      </c>
      <c r="B1230" s="23" t="str">
        <f aca="false">IF(A1230="","",IF(A1230&lt;=profil!$B$9,"Realisasi","Rencana"))</f>
        <v>Rencana</v>
      </c>
      <c r="C1230" s="18" t="s">
        <v>161</v>
      </c>
      <c r="D1230" s="18" t="s">
        <v>161</v>
      </c>
      <c r="E1230" s="29" t="n">
        <f aca="false">J1229</f>
        <v>0</v>
      </c>
      <c r="F1230" s="28"/>
      <c r="G1230" s="30" t="n">
        <v>0</v>
      </c>
      <c r="H1230" s="28"/>
      <c r="I1230" s="28"/>
      <c r="J1230" s="29" t="n">
        <f aca="false">E1230+F1230+G1230-H1230-I1230</f>
        <v>0</v>
      </c>
      <c r="K1230" s="29" t="n">
        <f aca="false">ROUND(E1230+F1230+G1230-H1230-I1230-J1230,1)</f>
        <v>0</v>
      </c>
    </row>
    <row r="1231" customFormat="false" ht="15" hidden="false" customHeight="false" outlineLevel="0" collapsed="false">
      <c r="A1231" s="25" t="n">
        <v>46157</v>
      </c>
      <c r="B1231" s="23" t="str">
        <f aca="false">IF(A1231="","",IF(A1231&lt;=profil!$B$9,"Realisasi","Rencana"))</f>
        <v>Rencana</v>
      </c>
      <c r="C1231" s="18" t="s">
        <v>161</v>
      </c>
      <c r="D1231" s="18" t="s">
        <v>161</v>
      </c>
      <c r="E1231" s="29" t="n">
        <f aca="false">J1230</f>
        <v>0</v>
      </c>
      <c r="F1231" s="28"/>
      <c r="G1231" s="30" t="n">
        <v>0</v>
      </c>
      <c r="H1231" s="28"/>
      <c r="I1231" s="28"/>
      <c r="J1231" s="29" t="n">
        <f aca="false">E1231+F1231+G1231-H1231-I1231</f>
        <v>0</v>
      </c>
      <c r="K1231" s="29" t="n">
        <f aca="false">ROUND(E1231+F1231+G1231-H1231-I1231-J1231,1)</f>
        <v>0</v>
      </c>
    </row>
    <row r="1232" customFormat="false" ht="15" hidden="false" customHeight="false" outlineLevel="0" collapsed="false">
      <c r="A1232" s="25" t="n">
        <v>46158</v>
      </c>
      <c r="B1232" s="23" t="str">
        <f aca="false">IF(A1232="","",IF(A1232&lt;=profil!$B$9,"Realisasi","Rencana"))</f>
        <v>Rencana</v>
      </c>
      <c r="C1232" s="18" t="s">
        <v>161</v>
      </c>
      <c r="D1232" s="18" t="s">
        <v>161</v>
      </c>
      <c r="E1232" s="29" t="n">
        <f aca="false">J1231</f>
        <v>0</v>
      </c>
      <c r="F1232" s="28"/>
      <c r="G1232" s="30" t="n">
        <v>0</v>
      </c>
      <c r="H1232" s="28"/>
      <c r="I1232" s="28"/>
      <c r="J1232" s="29" t="n">
        <f aca="false">E1232+F1232+G1232-H1232-I1232</f>
        <v>0</v>
      </c>
      <c r="K1232" s="29" t="n">
        <f aca="false">ROUND(E1232+F1232+G1232-H1232-I1232-J1232,1)</f>
        <v>0</v>
      </c>
    </row>
    <row r="1233" customFormat="false" ht="15" hidden="false" customHeight="false" outlineLevel="0" collapsed="false">
      <c r="A1233" s="25" t="n">
        <v>46159</v>
      </c>
      <c r="B1233" s="23" t="str">
        <f aca="false">IF(A1233="","",IF(A1233&lt;=profil!$B$9,"Realisasi","Rencana"))</f>
        <v>Rencana</v>
      </c>
      <c r="C1233" s="18" t="s">
        <v>161</v>
      </c>
      <c r="D1233" s="18" t="s">
        <v>161</v>
      </c>
      <c r="E1233" s="29" t="n">
        <f aca="false">J1232</f>
        <v>0</v>
      </c>
      <c r="F1233" s="28"/>
      <c r="G1233" s="30" t="n">
        <v>0</v>
      </c>
      <c r="H1233" s="28"/>
      <c r="I1233" s="28"/>
      <c r="J1233" s="29" t="n">
        <f aca="false">E1233+F1233+G1233-H1233-I1233</f>
        <v>0</v>
      </c>
      <c r="K1233" s="29" t="n">
        <f aca="false">ROUND(E1233+F1233+G1233-H1233-I1233-J1233,1)</f>
        <v>0</v>
      </c>
    </row>
    <row r="1234" customFormat="false" ht="15" hidden="false" customHeight="false" outlineLevel="0" collapsed="false">
      <c r="A1234" s="25" t="n">
        <v>46160</v>
      </c>
      <c r="B1234" s="23" t="str">
        <f aca="false">IF(A1234="","",IF(A1234&lt;=profil!$B$9,"Realisasi","Rencana"))</f>
        <v>Rencana</v>
      </c>
      <c r="C1234" s="18" t="s">
        <v>161</v>
      </c>
      <c r="D1234" s="18" t="s">
        <v>161</v>
      </c>
      <c r="E1234" s="29" t="n">
        <f aca="false">J1233</f>
        <v>0</v>
      </c>
      <c r="F1234" s="28"/>
      <c r="G1234" s="30" t="n">
        <v>0</v>
      </c>
      <c r="H1234" s="28"/>
      <c r="I1234" s="28"/>
      <c r="J1234" s="29" t="n">
        <f aca="false">E1234+F1234+G1234-H1234-I1234</f>
        <v>0</v>
      </c>
      <c r="K1234" s="29" t="n">
        <f aca="false">ROUND(E1234+F1234+G1234-H1234-I1234-J1234,1)</f>
        <v>0</v>
      </c>
    </row>
    <row r="1235" customFormat="false" ht="15" hidden="false" customHeight="false" outlineLevel="0" collapsed="false">
      <c r="A1235" s="25" t="n">
        <v>46161</v>
      </c>
      <c r="B1235" s="23" t="str">
        <f aca="false">IF(A1235="","",IF(A1235&lt;=profil!$B$9,"Realisasi","Rencana"))</f>
        <v>Rencana</v>
      </c>
      <c r="C1235" s="18" t="s">
        <v>161</v>
      </c>
      <c r="D1235" s="18" t="s">
        <v>161</v>
      </c>
      <c r="E1235" s="29" t="n">
        <f aca="false">J1234</f>
        <v>0</v>
      </c>
      <c r="F1235" s="28"/>
      <c r="G1235" s="30" t="n">
        <v>0</v>
      </c>
      <c r="H1235" s="28"/>
      <c r="I1235" s="28"/>
      <c r="J1235" s="29" t="n">
        <f aca="false">E1235+F1235+G1235-H1235-I1235</f>
        <v>0</v>
      </c>
      <c r="K1235" s="29" t="n">
        <f aca="false">ROUND(E1235+F1235+G1235-H1235-I1235-J1235,1)</f>
        <v>0</v>
      </c>
    </row>
    <row r="1236" customFormat="false" ht="15" hidden="false" customHeight="false" outlineLevel="0" collapsed="false">
      <c r="A1236" s="25" t="n">
        <v>46162</v>
      </c>
      <c r="B1236" s="23" t="str">
        <f aca="false">IF(A1236="","",IF(A1236&lt;=profil!$B$9,"Realisasi","Rencana"))</f>
        <v>Rencana</v>
      </c>
      <c r="C1236" s="18" t="s">
        <v>161</v>
      </c>
      <c r="D1236" s="18" t="s">
        <v>161</v>
      </c>
      <c r="E1236" s="29" t="n">
        <f aca="false">J1235</f>
        <v>0</v>
      </c>
      <c r="F1236" s="28"/>
      <c r="G1236" s="30" t="n">
        <v>0</v>
      </c>
      <c r="H1236" s="28"/>
      <c r="I1236" s="28"/>
      <c r="J1236" s="29" t="n">
        <f aca="false">E1236+F1236+G1236-H1236-I1236</f>
        <v>0</v>
      </c>
      <c r="K1236" s="29" t="n">
        <f aca="false">ROUND(E1236+F1236+G1236-H1236-I1236-J1236,1)</f>
        <v>0</v>
      </c>
    </row>
    <row r="1237" customFormat="false" ht="15" hidden="false" customHeight="false" outlineLevel="0" collapsed="false">
      <c r="A1237" s="25" t="n">
        <v>46163</v>
      </c>
      <c r="B1237" s="23" t="str">
        <f aca="false">IF(A1237="","",IF(A1237&lt;=profil!$B$9,"Realisasi","Rencana"))</f>
        <v>Rencana</v>
      </c>
      <c r="C1237" s="18" t="s">
        <v>161</v>
      </c>
      <c r="D1237" s="18" t="s">
        <v>161</v>
      </c>
      <c r="E1237" s="29" t="n">
        <f aca="false">J1236</f>
        <v>0</v>
      </c>
      <c r="F1237" s="28"/>
      <c r="G1237" s="30" t="n">
        <v>0</v>
      </c>
      <c r="H1237" s="28"/>
      <c r="I1237" s="28"/>
      <c r="J1237" s="29" t="n">
        <f aca="false">E1237+F1237+G1237-H1237-I1237</f>
        <v>0</v>
      </c>
      <c r="K1237" s="29" t="n">
        <f aca="false">ROUND(E1237+F1237+G1237-H1237-I1237-J1237,1)</f>
        <v>0</v>
      </c>
    </row>
    <row r="1238" customFormat="false" ht="15" hidden="false" customHeight="false" outlineLevel="0" collapsed="false">
      <c r="A1238" s="25" t="n">
        <v>46164</v>
      </c>
      <c r="B1238" s="23" t="str">
        <f aca="false">IF(A1238="","",IF(A1238&lt;=profil!$B$9,"Realisasi","Rencana"))</f>
        <v>Rencana</v>
      </c>
      <c r="C1238" s="18" t="s">
        <v>161</v>
      </c>
      <c r="D1238" s="18" t="s">
        <v>161</v>
      </c>
      <c r="E1238" s="29" t="n">
        <f aca="false">J1237</f>
        <v>0</v>
      </c>
      <c r="F1238" s="28"/>
      <c r="G1238" s="30" t="n">
        <v>0</v>
      </c>
      <c r="H1238" s="28"/>
      <c r="I1238" s="28"/>
      <c r="J1238" s="29" t="n">
        <f aca="false">E1238+F1238+G1238-H1238-I1238</f>
        <v>0</v>
      </c>
      <c r="K1238" s="29" t="n">
        <f aca="false">ROUND(E1238+F1238+G1238-H1238-I1238-J1238,1)</f>
        <v>0</v>
      </c>
    </row>
    <row r="1239" customFormat="false" ht="15" hidden="false" customHeight="false" outlineLevel="0" collapsed="false">
      <c r="A1239" s="25" t="n">
        <v>46165</v>
      </c>
      <c r="B1239" s="23" t="str">
        <f aca="false">IF(A1239="","",IF(A1239&lt;=profil!$B$9,"Realisasi","Rencana"))</f>
        <v>Rencana</v>
      </c>
      <c r="C1239" s="18" t="s">
        <v>161</v>
      </c>
      <c r="D1239" s="18" t="s">
        <v>161</v>
      </c>
      <c r="E1239" s="29" t="n">
        <f aca="false">J1238</f>
        <v>0</v>
      </c>
      <c r="F1239" s="28"/>
      <c r="G1239" s="30" t="n">
        <v>0</v>
      </c>
      <c r="H1239" s="28"/>
      <c r="I1239" s="28"/>
      <c r="J1239" s="29" t="n">
        <f aca="false">E1239+F1239+G1239-H1239-I1239</f>
        <v>0</v>
      </c>
      <c r="K1239" s="29" t="n">
        <f aca="false">ROUND(E1239+F1239+G1239-H1239-I1239-J1239,1)</f>
        <v>0</v>
      </c>
    </row>
    <row r="1240" customFormat="false" ht="15" hidden="false" customHeight="false" outlineLevel="0" collapsed="false">
      <c r="A1240" s="25" t="n">
        <v>46166</v>
      </c>
      <c r="B1240" s="23" t="str">
        <f aca="false">IF(A1240="","",IF(A1240&lt;=profil!$B$9,"Realisasi","Rencana"))</f>
        <v>Rencana</v>
      </c>
      <c r="C1240" s="18" t="s">
        <v>161</v>
      </c>
      <c r="D1240" s="18" t="s">
        <v>161</v>
      </c>
      <c r="E1240" s="29" t="n">
        <f aca="false">J1239</f>
        <v>0</v>
      </c>
      <c r="F1240" s="28"/>
      <c r="G1240" s="30" t="n">
        <v>0</v>
      </c>
      <c r="H1240" s="28"/>
      <c r="I1240" s="28"/>
      <c r="J1240" s="29" t="n">
        <f aca="false">E1240+F1240+G1240-H1240-I1240</f>
        <v>0</v>
      </c>
      <c r="K1240" s="29" t="n">
        <f aca="false">ROUND(E1240+F1240+G1240-H1240-I1240-J1240,1)</f>
        <v>0</v>
      </c>
    </row>
    <row r="1241" customFormat="false" ht="15" hidden="false" customHeight="false" outlineLevel="0" collapsed="false">
      <c r="A1241" s="25" t="n">
        <v>46167</v>
      </c>
      <c r="B1241" s="23" t="str">
        <f aca="false">IF(A1241="","",IF(A1241&lt;=profil!$B$9,"Realisasi","Rencana"))</f>
        <v>Rencana</v>
      </c>
      <c r="C1241" s="18" t="s">
        <v>161</v>
      </c>
      <c r="D1241" s="18" t="s">
        <v>161</v>
      </c>
      <c r="E1241" s="29" t="n">
        <f aca="false">J1240</f>
        <v>0</v>
      </c>
      <c r="F1241" s="28"/>
      <c r="G1241" s="30" t="n">
        <v>0</v>
      </c>
      <c r="H1241" s="28"/>
      <c r="I1241" s="28"/>
      <c r="J1241" s="29" t="n">
        <f aca="false">E1241+F1241+G1241-H1241-I1241</f>
        <v>0</v>
      </c>
      <c r="K1241" s="29" t="n">
        <f aca="false">ROUND(E1241+F1241+G1241-H1241-I1241-J1241,1)</f>
        <v>0</v>
      </c>
    </row>
    <row r="1242" customFormat="false" ht="15" hidden="false" customHeight="false" outlineLevel="0" collapsed="false">
      <c r="A1242" s="25" t="n">
        <v>46168</v>
      </c>
      <c r="B1242" s="23" t="str">
        <f aca="false">IF(A1242="","",IF(A1242&lt;=profil!$B$9,"Realisasi","Rencana"))</f>
        <v>Rencana</v>
      </c>
      <c r="C1242" s="18" t="s">
        <v>161</v>
      </c>
      <c r="D1242" s="18" t="s">
        <v>161</v>
      </c>
      <c r="E1242" s="29" t="n">
        <f aca="false">J1241</f>
        <v>0</v>
      </c>
      <c r="F1242" s="28"/>
      <c r="G1242" s="30" t="n">
        <v>0</v>
      </c>
      <c r="H1242" s="28"/>
      <c r="I1242" s="28"/>
      <c r="J1242" s="29" t="n">
        <f aca="false">E1242+F1242+G1242-H1242-I1242</f>
        <v>0</v>
      </c>
      <c r="K1242" s="29" t="n">
        <f aca="false">ROUND(E1242+F1242+G1242-H1242-I1242-J1242,1)</f>
        <v>0</v>
      </c>
    </row>
    <row r="1243" customFormat="false" ht="15" hidden="false" customHeight="false" outlineLevel="0" collapsed="false">
      <c r="A1243" s="25" t="n">
        <v>46169</v>
      </c>
      <c r="B1243" s="23" t="str">
        <f aca="false">IF(A1243="","",IF(A1243&lt;=profil!$B$9,"Realisasi","Rencana"))</f>
        <v>Rencana</v>
      </c>
      <c r="C1243" s="18" t="s">
        <v>161</v>
      </c>
      <c r="D1243" s="18" t="s">
        <v>161</v>
      </c>
      <c r="E1243" s="29" t="n">
        <f aca="false">J1242</f>
        <v>0</v>
      </c>
      <c r="F1243" s="28"/>
      <c r="G1243" s="30" t="n">
        <v>0</v>
      </c>
      <c r="H1243" s="28"/>
      <c r="I1243" s="28"/>
      <c r="J1243" s="29" t="n">
        <f aca="false">E1243+F1243+G1243-H1243-I1243</f>
        <v>0</v>
      </c>
      <c r="K1243" s="29" t="n">
        <f aca="false">ROUND(E1243+F1243+G1243-H1243-I1243-J1243,1)</f>
        <v>0</v>
      </c>
    </row>
    <row r="1244" customFormat="false" ht="15" hidden="false" customHeight="false" outlineLevel="0" collapsed="false">
      <c r="A1244" s="25" t="n">
        <v>46170</v>
      </c>
      <c r="B1244" s="23" t="str">
        <f aca="false">IF(A1244="","",IF(A1244&lt;=profil!$B$9,"Realisasi","Rencana"))</f>
        <v>Rencana</v>
      </c>
      <c r="C1244" s="18" t="s">
        <v>161</v>
      </c>
      <c r="D1244" s="18" t="s">
        <v>161</v>
      </c>
      <c r="E1244" s="29" t="n">
        <f aca="false">J1243</f>
        <v>0</v>
      </c>
      <c r="F1244" s="28"/>
      <c r="G1244" s="30" t="n">
        <v>0</v>
      </c>
      <c r="H1244" s="28"/>
      <c r="I1244" s="28"/>
      <c r="J1244" s="29" t="n">
        <f aca="false">E1244+F1244+G1244-H1244-I1244</f>
        <v>0</v>
      </c>
      <c r="K1244" s="29" t="n">
        <f aca="false">ROUND(E1244+F1244+G1244-H1244-I1244-J1244,1)</f>
        <v>0</v>
      </c>
    </row>
    <row r="1245" customFormat="false" ht="15" hidden="false" customHeight="false" outlineLevel="0" collapsed="false">
      <c r="A1245" s="25" t="n">
        <v>46171</v>
      </c>
      <c r="B1245" s="23" t="str">
        <f aca="false">IF(A1245="","",IF(A1245&lt;=profil!$B$9,"Realisasi","Rencana"))</f>
        <v>Rencana</v>
      </c>
      <c r="C1245" s="18" t="s">
        <v>161</v>
      </c>
      <c r="D1245" s="18" t="s">
        <v>161</v>
      </c>
      <c r="E1245" s="29" t="n">
        <f aca="false">J1244</f>
        <v>0</v>
      </c>
      <c r="F1245" s="28"/>
      <c r="G1245" s="30" t="n">
        <v>0</v>
      </c>
      <c r="H1245" s="28"/>
      <c r="I1245" s="28"/>
      <c r="J1245" s="29" t="n">
        <f aca="false">E1245+F1245+G1245-H1245-I1245</f>
        <v>0</v>
      </c>
      <c r="K1245" s="29" t="n">
        <f aca="false">ROUND(E1245+F1245+G1245-H1245-I1245-J1245,1)</f>
        <v>0</v>
      </c>
    </row>
    <row r="1246" customFormat="false" ht="15" hidden="false" customHeight="false" outlineLevel="0" collapsed="false">
      <c r="A1246" s="25" t="n">
        <v>46172</v>
      </c>
      <c r="B1246" s="23" t="str">
        <f aca="false">IF(A1246="","",IF(A1246&lt;=profil!$B$9,"Realisasi","Rencana"))</f>
        <v>Rencana</v>
      </c>
      <c r="C1246" s="18" t="s">
        <v>161</v>
      </c>
      <c r="D1246" s="18" t="s">
        <v>161</v>
      </c>
      <c r="E1246" s="29" t="n">
        <f aca="false">J1245</f>
        <v>0</v>
      </c>
      <c r="F1246" s="28"/>
      <c r="G1246" s="30" t="n">
        <v>0</v>
      </c>
      <c r="H1246" s="28"/>
      <c r="I1246" s="28"/>
      <c r="J1246" s="29" t="n">
        <f aca="false">E1246+F1246+G1246-H1246-I1246</f>
        <v>0</v>
      </c>
      <c r="K1246" s="29" t="n">
        <f aca="false">ROUND(E1246+F1246+G1246-H1246-I1246-J1246,1)</f>
        <v>0</v>
      </c>
    </row>
    <row r="1247" customFormat="false" ht="15" hidden="false" customHeight="false" outlineLevel="0" collapsed="false">
      <c r="A1247" s="25" t="n">
        <v>46173</v>
      </c>
      <c r="B1247" s="23" t="str">
        <f aca="false">IF(A1247="","",IF(A1247&lt;=profil!$B$9,"Realisasi","Rencana"))</f>
        <v>Rencana</v>
      </c>
      <c r="C1247" s="18" t="s">
        <v>161</v>
      </c>
      <c r="D1247" s="18" t="s">
        <v>161</v>
      </c>
      <c r="E1247" s="29" t="n">
        <f aca="false">J1246</f>
        <v>0</v>
      </c>
      <c r="F1247" s="28"/>
      <c r="G1247" s="30" t="n">
        <v>0</v>
      </c>
      <c r="H1247" s="28"/>
      <c r="I1247" s="28"/>
      <c r="J1247" s="29" t="n">
        <f aca="false">E1247+F1247+G1247-H1247-I1247</f>
        <v>0</v>
      </c>
      <c r="K1247" s="29" t="n">
        <f aca="false">ROUND(E1247+F1247+G1247-H1247-I1247-J1247,1)</f>
        <v>0</v>
      </c>
    </row>
    <row r="1248" customFormat="false" ht="15" hidden="false" customHeight="false" outlineLevel="0" collapsed="false">
      <c r="A1248" s="25" t="n">
        <v>46174</v>
      </c>
      <c r="B1248" s="23" t="str">
        <f aca="false">IF(A1248="","",IF(A1248&lt;=profil!$B$9,"Realisasi","Rencana"))</f>
        <v>Rencana</v>
      </c>
      <c r="C1248" s="18" t="s">
        <v>161</v>
      </c>
      <c r="D1248" s="18" t="s">
        <v>161</v>
      </c>
      <c r="E1248" s="29" t="n">
        <f aca="false">J1247</f>
        <v>0</v>
      </c>
      <c r="F1248" s="28"/>
      <c r="G1248" s="30" t="n">
        <v>0</v>
      </c>
      <c r="H1248" s="28"/>
      <c r="I1248" s="28"/>
      <c r="J1248" s="29" t="n">
        <f aca="false">E1248+F1248+G1248-H1248-I1248</f>
        <v>0</v>
      </c>
      <c r="K1248" s="29" t="n">
        <f aca="false">ROUND(E1248+F1248+G1248-H1248-I1248-J1248,1)</f>
        <v>0</v>
      </c>
    </row>
    <row r="1249" customFormat="false" ht="15" hidden="false" customHeight="false" outlineLevel="0" collapsed="false">
      <c r="A1249" s="25" t="n">
        <v>46175</v>
      </c>
      <c r="B1249" s="23" t="str">
        <f aca="false">IF(A1249="","",IF(A1249&lt;=profil!$B$9,"Realisasi","Rencana"))</f>
        <v>Rencana</v>
      </c>
      <c r="C1249" s="18" t="s">
        <v>161</v>
      </c>
      <c r="D1249" s="18" t="s">
        <v>161</v>
      </c>
      <c r="E1249" s="29" t="n">
        <f aca="false">J1248</f>
        <v>0</v>
      </c>
      <c r="F1249" s="28"/>
      <c r="G1249" s="30" t="n">
        <v>0</v>
      </c>
      <c r="H1249" s="28"/>
      <c r="I1249" s="28"/>
      <c r="J1249" s="29" t="n">
        <f aca="false">E1249+F1249+G1249-H1249-I1249</f>
        <v>0</v>
      </c>
      <c r="K1249" s="29" t="n">
        <f aca="false">ROUND(E1249+F1249+G1249-H1249-I1249-J1249,1)</f>
        <v>0</v>
      </c>
    </row>
    <row r="1250" customFormat="false" ht="15" hidden="false" customHeight="false" outlineLevel="0" collapsed="false">
      <c r="A1250" s="25" t="n">
        <v>46176</v>
      </c>
      <c r="B1250" s="23" t="str">
        <f aca="false">IF(A1250="","",IF(A1250&lt;=profil!$B$9,"Realisasi","Rencana"))</f>
        <v>Rencana</v>
      </c>
      <c r="C1250" s="18" t="s">
        <v>161</v>
      </c>
      <c r="D1250" s="18" t="s">
        <v>161</v>
      </c>
      <c r="E1250" s="29" t="n">
        <f aca="false">J1249</f>
        <v>0</v>
      </c>
      <c r="F1250" s="28"/>
      <c r="G1250" s="30" t="n">
        <v>0</v>
      </c>
      <c r="H1250" s="28"/>
      <c r="I1250" s="28"/>
      <c r="J1250" s="29" t="n">
        <f aca="false">E1250+F1250+G1250-H1250-I1250</f>
        <v>0</v>
      </c>
      <c r="K1250" s="29" t="n">
        <f aca="false">ROUND(E1250+F1250+G1250-H1250-I1250-J1250,1)</f>
        <v>0</v>
      </c>
    </row>
    <row r="1251" customFormat="false" ht="15" hidden="false" customHeight="false" outlineLevel="0" collapsed="false">
      <c r="A1251" s="25" t="n">
        <v>46177</v>
      </c>
      <c r="B1251" s="23" t="str">
        <f aca="false">IF(A1251="","",IF(A1251&lt;=profil!$B$9,"Realisasi","Rencana"))</f>
        <v>Rencana</v>
      </c>
      <c r="C1251" s="18" t="s">
        <v>161</v>
      </c>
      <c r="D1251" s="18" t="s">
        <v>161</v>
      </c>
      <c r="E1251" s="29" t="n">
        <f aca="false">J1250</f>
        <v>0</v>
      </c>
      <c r="F1251" s="28"/>
      <c r="G1251" s="30" t="n">
        <v>0</v>
      </c>
      <c r="H1251" s="28"/>
      <c r="I1251" s="28"/>
      <c r="J1251" s="29" t="n">
        <f aca="false">E1251+F1251+G1251-H1251-I1251</f>
        <v>0</v>
      </c>
      <c r="K1251" s="29" t="n">
        <f aca="false">ROUND(E1251+F1251+G1251-H1251-I1251-J1251,1)</f>
        <v>0</v>
      </c>
    </row>
    <row r="1252" customFormat="false" ht="15" hidden="false" customHeight="false" outlineLevel="0" collapsed="false">
      <c r="A1252" s="25" t="n">
        <v>46178</v>
      </c>
      <c r="B1252" s="23" t="str">
        <f aca="false">IF(A1252="","",IF(A1252&lt;=profil!$B$9,"Realisasi","Rencana"))</f>
        <v>Rencana</v>
      </c>
      <c r="C1252" s="18" t="s">
        <v>161</v>
      </c>
      <c r="D1252" s="18" t="s">
        <v>161</v>
      </c>
      <c r="E1252" s="29" t="n">
        <f aca="false">J1251</f>
        <v>0</v>
      </c>
      <c r="F1252" s="28"/>
      <c r="G1252" s="30" t="n">
        <v>0</v>
      </c>
      <c r="H1252" s="28"/>
      <c r="I1252" s="28"/>
      <c r="J1252" s="29" t="n">
        <f aca="false">E1252+F1252+G1252-H1252-I1252</f>
        <v>0</v>
      </c>
      <c r="K1252" s="29" t="n">
        <f aca="false">ROUND(E1252+F1252+G1252-H1252-I1252-J1252,1)</f>
        <v>0</v>
      </c>
    </row>
    <row r="1253" customFormat="false" ht="15" hidden="false" customHeight="false" outlineLevel="0" collapsed="false">
      <c r="A1253" s="25" t="n">
        <v>46179</v>
      </c>
      <c r="B1253" s="23" t="str">
        <f aca="false">IF(A1253="","",IF(A1253&lt;=profil!$B$9,"Realisasi","Rencana"))</f>
        <v>Rencana</v>
      </c>
      <c r="C1253" s="18" t="s">
        <v>161</v>
      </c>
      <c r="D1253" s="18" t="s">
        <v>161</v>
      </c>
      <c r="E1253" s="29" t="n">
        <f aca="false">J1252</f>
        <v>0</v>
      </c>
      <c r="F1253" s="28"/>
      <c r="G1253" s="30" t="n">
        <v>0</v>
      </c>
      <c r="H1253" s="28"/>
      <c r="I1253" s="28"/>
      <c r="J1253" s="29" t="n">
        <f aca="false">E1253+F1253+G1253-H1253-I1253</f>
        <v>0</v>
      </c>
      <c r="K1253" s="29" t="n">
        <f aca="false">ROUND(E1253+F1253+G1253-H1253-I1253-J1253,1)</f>
        <v>0</v>
      </c>
    </row>
    <row r="1254" customFormat="false" ht="15" hidden="false" customHeight="false" outlineLevel="0" collapsed="false">
      <c r="A1254" s="25" t="n">
        <v>46180</v>
      </c>
      <c r="B1254" s="23" t="str">
        <f aca="false">IF(A1254="","",IF(A1254&lt;=profil!$B$9,"Realisasi","Rencana"))</f>
        <v>Rencana</v>
      </c>
      <c r="C1254" s="18" t="s">
        <v>161</v>
      </c>
      <c r="D1254" s="18" t="s">
        <v>161</v>
      </c>
      <c r="E1254" s="29" t="n">
        <f aca="false">J1253</f>
        <v>0</v>
      </c>
      <c r="F1254" s="28"/>
      <c r="G1254" s="30" t="n">
        <v>0</v>
      </c>
      <c r="H1254" s="28"/>
      <c r="I1254" s="28"/>
      <c r="J1254" s="29" t="n">
        <f aca="false">E1254+F1254+G1254-H1254-I1254</f>
        <v>0</v>
      </c>
      <c r="K1254" s="29" t="n">
        <f aca="false">ROUND(E1254+F1254+G1254-H1254-I1254-J1254,1)</f>
        <v>0</v>
      </c>
    </row>
    <row r="1255" customFormat="false" ht="15" hidden="false" customHeight="false" outlineLevel="0" collapsed="false">
      <c r="A1255" s="25" t="n">
        <v>46181</v>
      </c>
      <c r="B1255" s="23" t="str">
        <f aca="false">IF(A1255="","",IF(A1255&lt;=profil!$B$9,"Realisasi","Rencana"))</f>
        <v>Rencana</v>
      </c>
      <c r="C1255" s="18" t="s">
        <v>161</v>
      </c>
      <c r="D1255" s="18" t="s">
        <v>161</v>
      </c>
      <c r="E1255" s="29" t="n">
        <f aca="false">J1254</f>
        <v>0</v>
      </c>
      <c r="F1255" s="28"/>
      <c r="G1255" s="30" t="n">
        <v>0</v>
      </c>
      <c r="H1255" s="28"/>
      <c r="I1255" s="28"/>
      <c r="J1255" s="29" t="n">
        <f aca="false">E1255+F1255+G1255-H1255-I1255</f>
        <v>0</v>
      </c>
      <c r="K1255" s="29" t="n">
        <f aca="false">ROUND(E1255+F1255+G1255-H1255-I1255-J1255,1)</f>
        <v>0</v>
      </c>
    </row>
    <row r="1256" customFormat="false" ht="15" hidden="false" customHeight="false" outlineLevel="0" collapsed="false">
      <c r="A1256" s="25" t="n">
        <v>46182</v>
      </c>
      <c r="B1256" s="23" t="str">
        <f aca="false">IF(A1256="","",IF(A1256&lt;=profil!$B$9,"Realisasi","Rencana"))</f>
        <v>Rencana</v>
      </c>
      <c r="C1256" s="18" t="s">
        <v>161</v>
      </c>
      <c r="D1256" s="18" t="s">
        <v>161</v>
      </c>
      <c r="E1256" s="29" t="n">
        <f aca="false">J1255</f>
        <v>0</v>
      </c>
      <c r="F1256" s="28"/>
      <c r="G1256" s="30" t="n">
        <v>0</v>
      </c>
      <c r="H1256" s="28"/>
      <c r="I1256" s="28"/>
      <c r="J1256" s="29" t="n">
        <f aca="false">E1256+F1256+G1256-H1256-I1256</f>
        <v>0</v>
      </c>
      <c r="K1256" s="29" t="n">
        <f aca="false">ROUND(E1256+F1256+G1256-H1256-I1256-J1256,1)</f>
        <v>0</v>
      </c>
    </row>
    <row r="1257" customFormat="false" ht="15" hidden="false" customHeight="false" outlineLevel="0" collapsed="false">
      <c r="A1257" s="25" t="n">
        <v>46183</v>
      </c>
      <c r="B1257" s="23" t="str">
        <f aca="false">IF(A1257="","",IF(A1257&lt;=profil!$B$9,"Realisasi","Rencana"))</f>
        <v>Rencana</v>
      </c>
      <c r="C1257" s="18" t="s">
        <v>161</v>
      </c>
      <c r="D1257" s="18" t="s">
        <v>161</v>
      </c>
      <c r="E1257" s="29" t="n">
        <f aca="false">J1256</f>
        <v>0</v>
      </c>
      <c r="F1257" s="28"/>
      <c r="G1257" s="30" t="n">
        <v>0</v>
      </c>
      <c r="H1257" s="28"/>
      <c r="I1257" s="28"/>
      <c r="J1257" s="29" t="n">
        <f aca="false">E1257+F1257+G1257-H1257-I1257</f>
        <v>0</v>
      </c>
      <c r="K1257" s="29" t="n">
        <f aca="false">ROUND(E1257+F1257+G1257-H1257-I1257-J1257,1)</f>
        <v>0</v>
      </c>
    </row>
    <row r="1258" customFormat="false" ht="15" hidden="false" customHeight="false" outlineLevel="0" collapsed="false">
      <c r="A1258" s="25" t="n">
        <v>46184</v>
      </c>
      <c r="B1258" s="23" t="str">
        <f aca="false">IF(A1258="","",IF(A1258&lt;=profil!$B$9,"Realisasi","Rencana"))</f>
        <v>Rencana</v>
      </c>
      <c r="C1258" s="18" t="s">
        <v>161</v>
      </c>
      <c r="D1258" s="18" t="s">
        <v>161</v>
      </c>
      <c r="E1258" s="29" t="n">
        <f aca="false">J1257</f>
        <v>0</v>
      </c>
      <c r="F1258" s="28"/>
      <c r="G1258" s="30" t="n">
        <v>0</v>
      </c>
      <c r="H1258" s="28"/>
      <c r="I1258" s="28"/>
      <c r="J1258" s="29" t="n">
        <f aca="false">E1258+F1258+G1258-H1258-I1258</f>
        <v>0</v>
      </c>
      <c r="K1258" s="29" t="n">
        <f aca="false">ROUND(E1258+F1258+G1258-H1258-I1258-J1258,1)</f>
        <v>0</v>
      </c>
    </row>
    <row r="1259" customFormat="false" ht="15" hidden="false" customHeight="false" outlineLevel="0" collapsed="false">
      <c r="A1259" s="25" t="n">
        <v>46185</v>
      </c>
      <c r="B1259" s="23" t="str">
        <f aca="false">IF(A1259="","",IF(A1259&lt;=profil!$B$9,"Realisasi","Rencana"))</f>
        <v>Rencana</v>
      </c>
      <c r="C1259" s="18" t="s">
        <v>161</v>
      </c>
      <c r="D1259" s="18" t="s">
        <v>161</v>
      </c>
      <c r="E1259" s="29" t="n">
        <f aca="false">J1258</f>
        <v>0</v>
      </c>
      <c r="F1259" s="28"/>
      <c r="G1259" s="30" t="n">
        <v>0</v>
      </c>
      <c r="H1259" s="28"/>
      <c r="I1259" s="28"/>
      <c r="J1259" s="29" t="n">
        <f aca="false">E1259+F1259+G1259-H1259-I1259</f>
        <v>0</v>
      </c>
      <c r="K1259" s="29" t="n">
        <f aca="false">ROUND(E1259+F1259+G1259-H1259-I1259-J1259,1)</f>
        <v>0</v>
      </c>
    </row>
    <row r="1260" customFormat="false" ht="15" hidden="false" customHeight="false" outlineLevel="0" collapsed="false">
      <c r="A1260" s="25" t="n">
        <v>46186</v>
      </c>
      <c r="B1260" s="23" t="str">
        <f aca="false">IF(A1260="","",IF(A1260&lt;=profil!$B$9,"Realisasi","Rencana"))</f>
        <v>Rencana</v>
      </c>
      <c r="C1260" s="18" t="s">
        <v>161</v>
      </c>
      <c r="D1260" s="18" t="s">
        <v>161</v>
      </c>
      <c r="E1260" s="29" t="n">
        <f aca="false">J1259</f>
        <v>0</v>
      </c>
      <c r="F1260" s="28"/>
      <c r="G1260" s="30" t="n">
        <v>0</v>
      </c>
      <c r="H1260" s="28"/>
      <c r="I1260" s="28"/>
      <c r="J1260" s="29" t="n">
        <f aca="false">E1260+F1260+G1260-H1260-I1260</f>
        <v>0</v>
      </c>
      <c r="K1260" s="29" t="n">
        <f aca="false">ROUND(E1260+F1260+G1260-H1260-I1260-J1260,1)</f>
        <v>0</v>
      </c>
    </row>
    <row r="1261" customFormat="false" ht="15" hidden="false" customHeight="false" outlineLevel="0" collapsed="false">
      <c r="A1261" s="25" t="n">
        <v>46187</v>
      </c>
      <c r="B1261" s="23" t="str">
        <f aca="false">IF(A1261="","",IF(A1261&lt;=profil!$B$9,"Realisasi","Rencana"))</f>
        <v>Rencana</v>
      </c>
      <c r="C1261" s="18" t="s">
        <v>161</v>
      </c>
      <c r="D1261" s="18" t="s">
        <v>161</v>
      </c>
      <c r="E1261" s="29" t="n">
        <f aca="false">J1260</f>
        <v>0</v>
      </c>
      <c r="F1261" s="28"/>
      <c r="G1261" s="30" t="n">
        <v>0</v>
      </c>
      <c r="H1261" s="28"/>
      <c r="I1261" s="28"/>
      <c r="J1261" s="29" t="n">
        <f aca="false">E1261+F1261+G1261-H1261-I1261</f>
        <v>0</v>
      </c>
      <c r="K1261" s="29" t="n">
        <f aca="false">ROUND(E1261+F1261+G1261-H1261-I1261-J1261,1)</f>
        <v>0</v>
      </c>
    </row>
    <row r="1262" customFormat="false" ht="15" hidden="false" customHeight="false" outlineLevel="0" collapsed="false">
      <c r="A1262" s="25" t="n">
        <v>46188</v>
      </c>
      <c r="B1262" s="23" t="str">
        <f aca="false">IF(A1262="","",IF(A1262&lt;=profil!$B$9,"Realisasi","Rencana"))</f>
        <v>Rencana</v>
      </c>
      <c r="C1262" s="18" t="s">
        <v>161</v>
      </c>
      <c r="D1262" s="18" t="s">
        <v>161</v>
      </c>
      <c r="E1262" s="29" t="n">
        <f aca="false">J1261</f>
        <v>0</v>
      </c>
      <c r="F1262" s="28"/>
      <c r="G1262" s="30" t="n">
        <v>0</v>
      </c>
      <c r="H1262" s="28"/>
      <c r="I1262" s="28"/>
      <c r="J1262" s="29" t="n">
        <f aca="false">E1262+F1262+G1262-H1262-I1262</f>
        <v>0</v>
      </c>
      <c r="K1262" s="29" t="n">
        <f aca="false">ROUND(E1262+F1262+G1262-H1262-I1262-J1262,1)</f>
        <v>0</v>
      </c>
    </row>
    <row r="1263" customFormat="false" ht="15" hidden="false" customHeight="false" outlineLevel="0" collapsed="false">
      <c r="A1263" s="25" t="n">
        <v>46189</v>
      </c>
      <c r="B1263" s="23" t="str">
        <f aca="false">IF(A1263="","",IF(A1263&lt;=profil!$B$9,"Realisasi","Rencana"))</f>
        <v>Rencana</v>
      </c>
      <c r="C1263" s="18" t="s">
        <v>161</v>
      </c>
      <c r="D1263" s="18" t="s">
        <v>161</v>
      </c>
      <c r="E1263" s="29" t="n">
        <f aca="false">J1262</f>
        <v>0</v>
      </c>
      <c r="F1263" s="28"/>
      <c r="G1263" s="30" t="n">
        <v>0</v>
      </c>
      <c r="H1263" s="28"/>
      <c r="I1263" s="28"/>
      <c r="J1263" s="29" t="n">
        <f aca="false">E1263+F1263+G1263-H1263-I1263</f>
        <v>0</v>
      </c>
      <c r="K1263" s="29" t="n">
        <f aca="false">ROUND(E1263+F1263+G1263-H1263-I1263-J1263,1)</f>
        <v>0</v>
      </c>
    </row>
    <row r="1264" customFormat="false" ht="15" hidden="false" customHeight="false" outlineLevel="0" collapsed="false">
      <c r="A1264" s="25" t="n">
        <v>46190</v>
      </c>
      <c r="B1264" s="23" t="str">
        <f aca="false">IF(A1264="","",IF(A1264&lt;=profil!$B$9,"Realisasi","Rencana"))</f>
        <v>Rencana</v>
      </c>
      <c r="C1264" s="18" t="s">
        <v>161</v>
      </c>
      <c r="D1264" s="18" t="s">
        <v>161</v>
      </c>
      <c r="E1264" s="29" t="n">
        <f aca="false">J1263</f>
        <v>0</v>
      </c>
      <c r="F1264" s="28"/>
      <c r="G1264" s="30" t="n">
        <v>0</v>
      </c>
      <c r="H1264" s="28"/>
      <c r="I1264" s="28"/>
      <c r="J1264" s="29" t="n">
        <f aca="false">E1264+F1264+G1264-H1264-I1264</f>
        <v>0</v>
      </c>
      <c r="K1264" s="29" t="n">
        <f aca="false">ROUND(E1264+F1264+G1264-H1264-I1264-J1264,1)</f>
        <v>0</v>
      </c>
    </row>
    <row r="1265" customFormat="false" ht="15" hidden="false" customHeight="false" outlineLevel="0" collapsed="false">
      <c r="A1265" s="25" t="n">
        <v>46191</v>
      </c>
      <c r="B1265" s="23" t="str">
        <f aca="false">IF(A1265="","",IF(A1265&lt;=profil!$B$9,"Realisasi","Rencana"))</f>
        <v>Rencana</v>
      </c>
      <c r="C1265" s="18" t="s">
        <v>161</v>
      </c>
      <c r="D1265" s="18" t="s">
        <v>161</v>
      </c>
      <c r="E1265" s="29" t="n">
        <f aca="false">J1264</f>
        <v>0</v>
      </c>
      <c r="F1265" s="28"/>
      <c r="G1265" s="30" t="n">
        <v>0</v>
      </c>
      <c r="H1265" s="28"/>
      <c r="I1265" s="28"/>
      <c r="J1265" s="29" t="n">
        <f aca="false">E1265+F1265+G1265-H1265-I1265</f>
        <v>0</v>
      </c>
      <c r="K1265" s="29" t="n">
        <f aca="false">ROUND(E1265+F1265+G1265-H1265-I1265-J1265,1)</f>
        <v>0</v>
      </c>
    </row>
    <row r="1266" customFormat="false" ht="15" hidden="false" customHeight="false" outlineLevel="0" collapsed="false">
      <c r="A1266" s="25" t="n">
        <v>46192</v>
      </c>
      <c r="B1266" s="23" t="str">
        <f aca="false">IF(A1266="","",IF(A1266&lt;=profil!$B$9,"Realisasi","Rencana"))</f>
        <v>Rencana</v>
      </c>
      <c r="C1266" s="18" t="s">
        <v>161</v>
      </c>
      <c r="D1266" s="18" t="s">
        <v>161</v>
      </c>
      <c r="E1266" s="29" t="n">
        <f aca="false">J1265</f>
        <v>0</v>
      </c>
      <c r="F1266" s="28"/>
      <c r="G1266" s="30" t="n">
        <v>0</v>
      </c>
      <c r="H1266" s="28"/>
      <c r="I1266" s="28"/>
      <c r="J1266" s="29" t="n">
        <f aca="false">E1266+F1266+G1266-H1266-I1266</f>
        <v>0</v>
      </c>
      <c r="K1266" s="29" t="n">
        <f aca="false">ROUND(E1266+F1266+G1266-H1266-I1266-J1266,1)</f>
        <v>0</v>
      </c>
    </row>
    <row r="1267" customFormat="false" ht="15" hidden="false" customHeight="false" outlineLevel="0" collapsed="false">
      <c r="A1267" s="25" t="n">
        <v>46193</v>
      </c>
      <c r="B1267" s="23" t="str">
        <f aca="false">IF(A1267="","",IF(A1267&lt;=profil!$B$9,"Realisasi","Rencana"))</f>
        <v>Rencana</v>
      </c>
      <c r="C1267" s="18" t="s">
        <v>161</v>
      </c>
      <c r="D1267" s="18" t="s">
        <v>161</v>
      </c>
      <c r="E1267" s="29" t="n">
        <f aca="false">J1266</f>
        <v>0</v>
      </c>
      <c r="F1267" s="28"/>
      <c r="G1267" s="30" t="n">
        <v>0</v>
      </c>
      <c r="H1267" s="28"/>
      <c r="I1267" s="28"/>
      <c r="J1267" s="29" t="n">
        <f aca="false">E1267+F1267+G1267-H1267-I1267</f>
        <v>0</v>
      </c>
      <c r="K1267" s="29" t="n">
        <f aca="false">ROUND(E1267+F1267+G1267-H1267-I1267-J1267,1)</f>
        <v>0</v>
      </c>
    </row>
    <row r="1268" customFormat="false" ht="15" hidden="false" customHeight="false" outlineLevel="0" collapsed="false">
      <c r="A1268" s="25" t="n">
        <v>46194</v>
      </c>
      <c r="B1268" s="23" t="str">
        <f aca="false">IF(A1268="","",IF(A1268&lt;=profil!$B$9,"Realisasi","Rencana"))</f>
        <v>Rencana</v>
      </c>
      <c r="C1268" s="18" t="s">
        <v>161</v>
      </c>
      <c r="D1268" s="18" t="s">
        <v>161</v>
      </c>
      <c r="E1268" s="29" t="n">
        <f aca="false">J1267</f>
        <v>0</v>
      </c>
      <c r="F1268" s="28"/>
      <c r="G1268" s="30" t="n">
        <v>0</v>
      </c>
      <c r="H1268" s="28"/>
      <c r="I1268" s="28"/>
      <c r="J1268" s="29" t="n">
        <f aca="false">E1268+F1268+G1268-H1268-I1268</f>
        <v>0</v>
      </c>
      <c r="K1268" s="29" t="n">
        <f aca="false">ROUND(E1268+F1268+G1268-H1268-I1268-J1268,1)</f>
        <v>0</v>
      </c>
    </row>
    <row r="1269" customFormat="false" ht="15" hidden="false" customHeight="false" outlineLevel="0" collapsed="false">
      <c r="A1269" s="25" t="n">
        <v>46195</v>
      </c>
      <c r="B1269" s="23" t="str">
        <f aca="false">IF(A1269="","",IF(A1269&lt;=profil!$B$9,"Realisasi","Rencana"))</f>
        <v>Rencana</v>
      </c>
      <c r="C1269" s="18" t="s">
        <v>161</v>
      </c>
      <c r="D1269" s="18" t="s">
        <v>161</v>
      </c>
      <c r="E1269" s="29" t="n">
        <f aca="false">J1268</f>
        <v>0</v>
      </c>
      <c r="F1269" s="28"/>
      <c r="G1269" s="30" t="n">
        <v>0</v>
      </c>
      <c r="H1269" s="28"/>
      <c r="I1269" s="28"/>
      <c r="J1269" s="29" t="n">
        <f aca="false">E1269+F1269+G1269-H1269-I1269</f>
        <v>0</v>
      </c>
      <c r="K1269" s="29" t="n">
        <f aca="false">ROUND(E1269+F1269+G1269-H1269-I1269-J1269,1)</f>
        <v>0</v>
      </c>
    </row>
    <row r="1270" customFormat="false" ht="15" hidden="false" customHeight="false" outlineLevel="0" collapsed="false">
      <c r="A1270" s="25" t="n">
        <v>46196</v>
      </c>
      <c r="B1270" s="23" t="str">
        <f aca="false">IF(A1270="","",IF(A1270&lt;=profil!$B$9,"Realisasi","Rencana"))</f>
        <v>Rencana</v>
      </c>
      <c r="C1270" s="18" t="s">
        <v>161</v>
      </c>
      <c r="D1270" s="18" t="s">
        <v>161</v>
      </c>
      <c r="E1270" s="29" t="n">
        <f aca="false">J1269</f>
        <v>0</v>
      </c>
      <c r="F1270" s="28"/>
      <c r="G1270" s="30" t="n">
        <v>0</v>
      </c>
      <c r="H1270" s="28"/>
      <c r="I1270" s="28"/>
      <c r="J1270" s="29" t="n">
        <f aca="false">E1270+F1270+G1270-H1270-I1270</f>
        <v>0</v>
      </c>
      <c r="K1270" s="29" t="n">
        <f aca="false">ROUND(E1270+F1270+G1270-H1270-I1270-J1270,1)</f>
        <v>0</v>
      </c>
    </row>
    <row r="1271" customFormat="false" ht="15" hidden="false" customHeight="false" outlineLevel="0" collapsed="false">
      <c r="A1271" s="25" t="n">
        <v>46197</v>
      </c>
      <c r="B1271" s="23" t="str">
        <f aca="false">IF(A1271="","",IF(A1271&lt;=profil!$B$9,"Realisasi","Rencana"))</f>
        <v>Rencana</v>
      </c>
      <c r="C1271" s="18" t="s">
        <v>161</v>
      </c>
      <c r="D1271" s="18" t="s">
        <v>161</v>
      </c>
      <c r="E1271" s="29" t="n">
        <f aca="false">J1270</f>
        <v>0</v>
      </c>
      <c r="F1271" s="28"/>
      <c r="G1271" s="30" t="n">
        <v>0</v>
      </c>
      <c r="H1271" s="28"/>
      <c r="I1271" s="28"/>
      <c r="J1271" s="29" t="n">
        <f aca="false">E1271+F1271+G1271-H1271-I1271</f>
        <v>0</v>
      </c>
      <c r="K1271" s="29" t="n">
        <f aca="false">ROUND(E1271+F1271+G1271-H1271-I1271-J1271,1)</f>
        <v>0</v>
      </c>
    </row>
    <row r="1272" customFormat="false" ht="15" hidden="false" customHeight="false" outlineLevel="0" collapsed="false">
      <c r="A1272" s="25" t="n">
        <v>46198</v>
      </c>
      <c r="B1272" s="23" t="str">
        <f aca="false">IF(A1272="","",IF(A1272&lt;=profil!$B$9,"Realisasi","Rencana"))</f>
        <v>Rencana</v>
      </c>
      <c r="C1272" s="18" t="s">
        <v>161</v>
      </c>
      <c r="D1272" s="18" t="s">
        <v>161</v>
      </c>
      <c r="E1272" s="29" t="n">
        <f aca="false">J1271</f>
        <v>0</v>
      </c>
      <c r="F1272" s="28"/>
      <c r="G1272" s="30" t="n">
        <v>0</v>
      </c>
      <c r="H1272" s="28"/>
      <c r="I1272" s="28"/>
      <c r="J1272" s="29" t="n">
        <f aca="false">E1272+F1272+G1272-H1272-I1272</f>
        <v>0</v>
      </c>
      <c r="K1272" s="29" t="n">
        <f aca="false">ROUND(E1272+F1272+G1272-H1272-I1272-J1272,1)</f>
        <v>0</v>
      </c>
    </row>
    <row r="1273" customFormat="false" ht="15" hidden="false" customHeight="false" outlineLevel="0" collapsed="false">
      <c r="A1273" s="25" t="n">
        <v>46199</v>
      </c>
      <c r="B1273" s="23" t="str">
        <f aca="false">IF(A1273="","",IF(A1273&lt;=profil!$B$9,"Realisasi","Rencana"))</f>
        <v>Rencana</v>
      </c>
      <c r="C1273" s="18" t="s">
        <v>161</v>
      </c>
      <c r="D1273" s="18" t="s">
        <v>161</v>
      </c>
      <c r="E1273" s="29" t="n">
        <f aca="false">J1272</f>
        <v>0</v>
      </c>
      <c r="F1273" s="28"/>
      <c r="G1273" s="30" t="n">
        <v>0</v>
      </c>
      <c r="H1273" s="28"/>
      <c r="I1273" s="28"/>
      <c r="J1273" s="29" t="n">
        <f aca="false">E1273+F1273+G1273-H1273-I1273</f>
        <v>0</v>
      </c>
      <c r="K1273" s="29" t="n">
        <f aca="false">ROUND(E1273+F1273+G1273-H1273-I1273-J1273,1)</f>
        <v>0</v>
      </c>
    </row>
    <row r="1274" customFormat="false" ht="15" hidden="false" customHeight="false" outlineLevel="0" collapsed="false">
      <c r="A1274" s="25" t="n">
        <v>46200</v>
      </c>
      <c r="B1274" s="23" t="str">
        <f aca="false">IF(A1274="","",IF(A1274&lt;=profil!$B$9,"Realisasi","Rencana"))</f>
        <v>Rencana</v>
      </c>
      <c r="C1274" s="18" t="s">
        <v>161</v>
      </c>
      <c r="D1274" s="18" t="s">
        <v>161</v>
      </c>
      <c r="E1274" s="29" t="n">
        <f aca="false">J1273</f>
        <v>0</v>
      </c>
      <c r="F1274" s="28"/>
      <c r="G1274" s="30" t="n">
        <v>0</v>
      </c>
      <c r="H1274" s="28"/>
      <c r="I1274" s="28"/>
      <c r="J1274" s="29" t="n">
        <f aca="false">E1274+F1274+G1274-H1274-I1274</f>
        <v>0</v>
      </c>
      <c r="K1274" s="29" t="n">
        <f aca="false">ROUND(E1274+F1274+G1274-H1274-I1274-J1274,1)</f>
        <v>0</v>
      </c>
    </row>
    <row r="1275" customFormat="false" ht="15" hidden="false" customHeight="false" outlineLevel="0" collapsed="false">
      <c r="A1275" s="25" t="n">
        <v>46201</v>
      </c>
      <c r="B1275" s="23" t="str">
        <f aca="false">IF(A1275="","",IF(A1275&lt;=profil!$B$9,"Realisasi","Rencana"))</f>
        <v>Rencana</v>
      </c>
      <c r="C1275" s="18" t="s">
        <v>161</v>
      </c>
      <c r="D1275" s="18" t="s">
        <v>161</v>
      </c>
      <c r="E1275" s="29" t="n">
        <f aca="false">J1274</f>
        <v>0</v>
      </c>
      <c r="F1275" s="28"/>
      <c r="G1275" s="30" t="n">
        <v>0</v>
      </c>
      <c r="H1275" s="28"/>
      <c r="I1275" s="28"/>
      <c r="J1275" s="29" t="n">
        <f aca="false">E1275+F1275+G1275-H1275-I1275</f>
        <v>0</v>
      </c>
      <c r="K1275" s="29" t="n">
        <f aca="false">ROUND(E1275+F1275+G1275-H1275-I1275-J1275,1)</f>
        <v>0</v>
      </c>
    </row>
    <row r="1276" customFormat="false" ht="15" hidden="false" customHeight="false" outlineLevel="0" collapsed="false">
      <c r="A1276" s="25" t="n">
        <v>46202</v>
      </c>
      <c r="B1276" s="23" t="str">
        <f aca="false">IF(A1276="","",IF(A1276&lt;=profil!$B$9,"Realisasi","Rencana"))</f>
        <v>Rencana</v>
      </c>
      <c r="C1276" s="18" t="s">
        <v>161</v>
      </c>
      <c r="D1276" s="18" t="s">
        <v>161</v>
      </c>
      <c r="E1276" s="29" t="n">
        <f aca="false">J1275</f>
        <v>0</v>
      </c>
      <c r="F1276" s="28"/>
      <c r="G1276" s="30" t="n">
        <v>0</v>
      </c>
      <c r="H1276" s="28"/>
      <c r="I1276" s="28"/>
      <c r="J1276" s="29" t="n">
        <f aca="false">E1276+F1276+G1276-H1276-I1276</f>
        <v>0</v>
      </c>
      <c r="K1276" s="29" t="n">
        <f aca="false">ROUND(E1276+F1276+G1276-H1276-I1276-J1276,1)</f>
        <v>0</v>
      </c>
    </row>
    <row r="1277" customFormat="false" ht="15" hidden="false" customHeight="false" outlineLevel="0" collapsed="false">
      <c r="A1277" s="25" t="n">
        <v>46203</v>
      </c>
      <c r="B1277" s="23" t="str">
        <f aca="false">IF(A1277="","",IF(A1277&lt;=profil!$B$9,"Realisasi","Rencana"))</f>
        <v>Rencana</v>
      </c>
      <c r="C1277" s="18" t="s">
        <v>161</v>
      </c>
      <c r="D1277" s="18" t="s">
        <v>161</v>
      </c>
      <c r="E1277" s="29" t="n">
        <f aca="false">J1276</f>
        <v>0</v>
      </c>
      <c r="F1277" s="28"/>
      <c r="G1277" s="30" t="n">
        <v>0</v>
      </c>
      <c r="H1277" s="28"/>
      <c r="I1277" s="28"/>
      <c r="J1277" s="29" t="n">
        <f aca="false">E1277+F1277+G1277-H1277-I1277</f>
        <v>0</v>
      </c>
      <c r="K1277" s="29" t="n">
        <f aca="false">ROUND(E1277+F1277+G1277-H1277-I1277-J1277,1)</f>
        <v>0</v>
      </c>
    </row>
    <row r="1278" customFormat="false" ht="15" hidden="false" customHeight="false" outlineLevel="0" collapsed="false">
      <c r="A1278" s="25" t="n">
        <v>46204</v>
      </c>
      <c r="B1278" s="23" t="str">
        <f aca="false">IF(A1278="","",IF(A1278&lt;=profil!$B$9,"Realisasi","Rencana"))</f>
        <v>Rencana</v>
      </c>
      <c r="C1278" s="18" t="s">
        <v>161</v>
      </c>
      <c r="D1278" s="18" t="s">
        <v>161</v>
      </c>
      <c r="E1278" s="29" t="n">
        <f aca="false">J1277</f>
        <v>0</v>
      </c>
      <c r="F1278" s="28"/>
      <c r="G1278" s="30" t="n">
        <v>0</v>
      </c>
      <c r="H1278" s="28"/>
      <c r="I1278" s="28"/>
      <c r="J1278" s="29" t="n">
        <f aca="false">E1278+F1278+G1278-H1278-I1278</f>
        <v>0</v>
      </c>
      <c r="K1278" s="29" t="n">
        <f aca="false">ROUND(E1278+F1278+G1278-H1278-I1278-J1278,1)</f>
        <v>0</v>
      </c>
    </row>
    <row r="1279" customFormat="false" ht="15" hidden="false" customHeight="false" outlineLevel="0" collapsed="false">
      <c r="A1279" s="25" t="n">
        <v>46205</v>
      </c>
      <c r="B1279" s="23" t="str">
        <f aca="false">IF(A1279="","",IF(A1279&lt;=profil!$B$9,"Realisasi","Rencana"))</f>
        <v>Rencana</v>
      </c>
      <c r="C1279" s="18" t="s">
        <v>161</v>
      </c>
      <c r="D1279" s="18" t="s">
        <v>161</v>
      </c>
      <c r="E1279" s="29" t="n">
        <f aca="false">J1278</f>
        <v>0</v>
      </c>
      <c r="F1279" s="28"/>
      <c r="G1279" s="30" t="n">
        <v>0</v>
      </c>
      <c r="H1279" s="28"/>
      <c r="I1279" s="28"/>
      <c r="J1279" s="29" t="n">
        <f aca="false">E1279+F1279+G1279-H1279-I1279</f>
        <v>0</v>
      </c>
      <c r="K1279" s="29" t="n">
        <f aca="false">ROUND(E1279+F1279+G1279-H1279-I1279-J1279,1)</f>
        <v>0</v>
      </c>
    </row>
    <row r="1280" customFormat="false" ht="15" hidden="false" customHeight="false" outlineLevel="0" collapsed="false">
      <c r="A1280" s="25" t="n">
        <v>46206</v>
      </c>
      <c r="B1280" s="23" t="str">
        <f aca="false">IF(A1280="","",IF(A1280&lt;=profil!$B$9,"Realisasi","Rencana"))</f>
        <v>Rencana</v>
      </c>
      <c r="C1280" s="18" t="s">
        <v>161</v>
      </c>
      <c r="D1280" s="18" t="s">
        <v>161</v>
      </c>
      <c r="E1280" s="29" t="n">
        <f aca="false">J1279</f>
        <v>0</v>
      </c>
      <c r="F1280" s="28"/>
      <c r="G1280" s="30" t="n">
        <v>0</v>
      </c>
      <c r="H1280" s="28"/>
      <c r="I1280" s="28"/>
      <c r="J1280" s="29" t="n">
        <f aca="false">E1280+F1280+G1280-H1280-I1280</f>
        <v>0</v>
      </c>
      <c r="K1280" s="29" t="n">
        <f aca="false">ROUND(E1280+F1280+G1280-H1280-I1280-J1280,1)</f>
        <v>0</v>
      </c>
    </row>
    <row r="1281" customFormat="false" ht="15" hidden="false" customHeight="false" outlineLevel="0" collapsed="false">
      <c r="A1281" s="25" t="n">
        <v>46207</v>
      </c>
      <c r="B1281" s="23" t="str">
        <f aca="false">IF(A1281="","",IF(A1281&lt;=profil!$B$9,"Realisasi","Rencana"))</f>
        <v>Rencana</v>
      </c>
      <c r="C1281" s="18" t="s">
        <v>161</v>
      </c>
      <c r="D1281" s="18" t="s">
        <v>161</v>
      </c>
      <c r="E1281" s="29" t="n">
        <f aca="false">J1280</f>
        <v>0</v>
      </c>
      <c r="F1281" s="28"/>
      <c r="G1281" s="30" t="n">
        <v>0</v>
      </c>
      <c r="H1281" s="28"/>
      <c r="I1281" s="28"/>
      <c r="J1281" s="29" t="n">
        <f aca="false">E1281+F1281+G1281-H1281-I1281</f>
        <v>0</v>
      </c>
      <c r="K1281" s="29" t="n">
        <f aca="false">ROUND(E1281+F1281+G1281-H1281-I1281-J1281,1)</f>
        <v>0</v>
      </c>
    </row>
    <row r="1282" customFormat="false" ht="15" hidden="false" customHeight="false" outlineLevel="0" collapsed="false">
      <c r="A1282" s="25" t="n">
        <v>46208</v>
      </c>
      <c r="B1282" s="23" t="str">
        <f aca="false">IF(A1282="","",IF(A1282&lt;=profil!$B$9,"Realisasi","Rencana"))</f>
        <v>Rencana</v>
      </c>
      <c r="C1282" s="18" t="s">
        <v>161</v>
      </c>
      <c r="D1282" s="18" t="s">
        <v>161</v>
      </c>
      <c r="E1282" s="29" t="n">
        <f aca="false">J1281</f>
        <v>0</v>
      </c>
      <c r="F1282" s="28"/>
      <c r="G1282" s="30" t="n">
        <v>0</v>
      </c>
      <c r="H1282" s="28"/>
      <c r="I1282" s="28"/>
      <c r="J1282" s="29" t="n">
        <f aca="false">E1282+F1282+G1282-H1282-I1282</f>
        <v>0</v>
      </c>
      <c r="K1282" s="29" t="n">
        <f aca="false">ROUND(E1282+F1282+G1282-H1282-I1282-J1282,1)</f>
        <v>0</v>
      </c>
    </row>
    <row r="1283" customFormat="false" ht="15" hidden="false" customHeight="false" outlineLevel="0" collapsed="false">
      <c r="A1283" s="25" t="n">
        <v>46209</v>
      </c>
      <c r="B1283" s="23" t="str">
        <f aca="false">IF(A1283="","",IF(A1283&lt;=profil!$B$9,"Realisasi","Rencana"))</f>
        <v>Rencana</v>
      </c>
      <c r="C1283" s="18" t="s">
        <v>161</v>
      </c>
      <c r="D1283" s="18" t="s">
        <v>161</v>
      </c>
      <c r="E1283" s="29" t="n">
        <f aca="false">J1282</f>
        <v>0</v>
      </c>
      <c r="F1283" s="28"/>
      <c r="G1283" s="30" t="n">
        <v>0</v>
      </c>
      <c r="H1283" s="28"/>
      <c r="I1283" s="28"/>
      <c r="J1283" s="29" t="n">
        <f aca="false">E1283+F1283+G1283-H1283-I1283</f>
        <v>0</v>
      </c>
      <c r="K1283" s="29" t="n">
        <f aca="false">ROUND(E1283+F1283+G1283-H1283-I1283-J1283,1)</f>
        <v>0</v>
      </c>
    </row>
    <row r="1284" customFormat="false" ht="15" hidden="false" customHeight="false" outlineLevel="0" collapsed="false">
      <c r="A1284" s="25" t="n">
        <v>46210</v>
      </c>
      <c r="B1284" s="23" t="str">
        <f aca="false">IF(A1284="","",IF(A1284&lt;=profil!$B$9,"Realisasi","Rencana"))</f>
        <v>Rencana</v>
      </c>
      <c r="C1284" s="18" t="s">
        <v>161</v>
      </c>
      <c r="D1284" s="18" t="s">
        <v>161</v>
      </c>
      <c r="E1284" s="29" t="n">
        <f aca="false">J1283</f>
        <v>0</v>
      </c>
      <c r="F1284" s="28"/>
      <c r="G1284" s="30" t="n">
        <v>0</v>
      </c>
      <c r="H1284" s="28"/>
      <c r="I1284" s="28"/>
      <c r="J1284" s="29" t="n">
        <f aca="false">E1284+F1284+G1284-H1284-I1284</f>
        <v>0</v>
      </c>
      <c r="K1284" s="29" t="n">
        <f aca="false">ROUND(E1284+F1284+G1284-H1284-I1284-J1284,1)</f>
        <v>0</v>
      </c>
    </row>
    <row r="1285" customFormat="false" ht="15" hidden="false" customHeight="false" outlineLevel="0" collapsed="false">
      <c r="A1285" s="25" t="n">
        <v>46211</v>
      </c>
      <c r="B1285" s="23" t="str">
        <f aca="false">IF(A1285="","",IF(A1285&lt;=profil!$B$9,"Realisasi","Rencana"))</f>
        <v>Rencana</v>
      </c>
      <c r="C1285" s="18" t="s">
        <v>161</v>
      </c>
      <c r="D1285" s="18" t="s">
        <v>161</v>
      </c>
      <c r="E1285" s="29" t="n">
        <f aca="false">J1284</f>
        <v>0</v>
      </c>
      <c r="F1285" s="28"/>
      <c r="G1285" s="30" t="n">
        <v>0</v>
      </c>
      <c r="H1285" s="28"/>
      <c r="I1285" s="28"/>
      <c r="J1285" s="29" t="n">
        <f aca="false">E1285+F1285+G1285-H1285-I1285</f>
        <v>0</v>
      </c>
      <c r="K1285" s="29" t="n">
        <f aca="false">ROUND(E1285+F1285+G1285-H1285-I1285-J1285,1)</f>
        <v>0</v>
      </c>
    </row>
    <row r="1286" customFormat="false" ht="15" hidden="false" customHeight="false" outlineLevel="0" collapsed="false">
      <c r="A1286" s="25" t="n">
        <v>46212</v>
      </c>
      <c r="B1286" s="23" t="str">
        <f aca="false">IF(A1286="","",IF(A1286&lt;=profil!$B$9,"Realisasi","Rencana"))</f>
        <v>Rencana</v>
      </c>
      <c r="C1286" s="18" t="s">
        <v>161</v>
      </c>
      <c r="D1286" s="18" t="s">
        <v>161</v>
      </c>
      <c r="E1286" s="29" t="n">
        <f aca="false">J1285</f>
        <v>0</v>
      </c>
      <c r="F1286" s="28"/>
      <c r="G1286" s="30" t="n">
        <v>0</v>
      </c>
      <c r="H1286" s="28"/>
      <c r="I1286" s="28"/>
      <c r="J1286" s="29" t="n">
        <f aca="false">E1286+F1286+G1286-H1286-I1286</f>
        <v>0</v>
      </c>
      <c r="K1286" s="29" t="n">
        <f aca="false">ROUND(E1286+F1286+G1286-H1286-I1286-J1286,1)</f>
        <v>0</v>
      </c>
    </row>
    <row r="1287" customFormat="false" ht="15" hidden="false" customHeight="false" outlineLevel="0" collapsed="false">
      <c r="A1287" s="25" t="n">
        <v>46213</v>
      </c>
      <c r="B1287" s="23" t="str">
        <f aca="false">IF(A1287="","",IF(A1287&lt;=profil!$B$9,"Realisasi","Rencana"))</f>
        <v>Rencana</v>
      </c>
      <c r="C1287" s="18" t="s">
        <v>161</v>
      </c>
      <c r="D1287" s="18" t="s">
        <v>161</v>
      </c>
      <c r="E1287" s="29" t="n">
        <f aca="false">J1286</f>
        <v>0</v>
      </c>
      <c r="F1287" s="28"/>
      <c r="G1287" s="30" t="n">
        <v>0</v>
      </c>
      <c r="H1287" s="28"/>
      <c r="I1287" s="28"/>
      <c r="J1287" s="29" t="n">
        <f aca="false">E1287+F1287+G1287-H1287-I1287</f>
        <v>0</v>
      </c>
      <c r="K1287" s="29" t="n">
        <f aca="false">ROUND(E1287+F1287+G1287-H1287-I1287-J1287,1)</f>
        <v>0</v>
      </c>
    </row>
    <row r="1288" customFormat="false" ht="15" hidden="false" customHeight="false" outlineLevel="0" collapsed="false">
      <c r="A1288" s="25" t="n">
        <v>46214</v>
      </c>
      <c r="B1288" s="23" t="str">
        <f aca="false">IF(A1288="","",IF(A1288&lt;=profil!$B$9,"Realisasi","Rencana"))</f>
        <v>Rencana</v>
      </c>
      <c r="C1288" s="18" t="s">
        <v>161</v>
      </c>
      <c r="D1288" s="18" t="s">
        <v>161</v>
      </c>
      <c r="E1288" s="29" t="n">
        <f aca="false">J1287</f>
        <v>0</v>
      </c>
      <c r="F1288" s="28"/>
      <c r="G1288" s="30" t="n">
        <v>0</v>
      </c>
      <c r="H1288" s="28"/>
      <c r="I1288" s="28"/>
      <c r="J1288" s="29" t="n">
        <f aca="false">E1288+F1288+G1288-H1288-I1288</f>
        <v>0</v>
      </c>
      <c r="K1288" s="29" t="n">
        <f aca="false">ROUND(E1288+F1288+G1288-H1288-I1288-J1288,1)</f>
        <v>0</v>
      </c>
    </row>
    <row r="1289" customFormat="false" ht="15" hidden="false" customHeight="false" outlineLevel="0" collapsed="false">
      <c r="A1289" s="25" t="n">
        <v>46215</v>
      </c>
      <c r="B1289" s="23" t="str">
        <f aca="false">IF(A1289="","",IF(A1289&lt;=profil!$B$9,"Realisasi","Rencana"))</f>
        <v>Rencana</v>
      </c>
      <c r="C1289" s="18" t="s">
        <v>161</v>
      </c>
      <c r="D1289" s="18" t="s">
        <v>161</v>
      </c>
      <c r="E1289" s="29" t="n">
        <f aca="false">J1288</f>
        <v>0</v>
      </c>
      <c r="F1289" s="28"/>
      <c r="G1289" s="30" t="n">
        <v>0</v>
      </c>
      <c r="H1289" s="28"/>
      <c r="I1289" s="28"/>
      <c r="J1289" s="29" t="n">
        <f aca="false">E1289+F1289+G1289-H1289-I1289</f>
        <v>0</v>
      </c>
      <c r="K1289" s="29" t="n">
        <f aca="false">ROUND(E1289+F1289+G1289-H1289-I1289-J1289,1)</f>
        <v>0</v>
      </c>
    </row>
    <row r="1290" customFormat="false" ht="15" hidden="false" customHeight="false" outlineLevel="0" collapsed="false">
      <c r="A1290" s="25" t="n">
        <v>46216</v>
      </c>
      <c r="B1290" s="23" t="str">
        <f aca="false">IF(A1290="","",IF(A1290&lt;=profil!$B$9,"Realisasi","Rencana"))</f>
        <v>Rencana</v>
      </c>
      <c r="C1290" s="18" t="s">
        <v>161</v>
      </c>
      <c r="D1290" s="18" t="s">
        <v>161</v>
      </c>
      <c r="E1290" s="29" t="n">
        <f aca="false">J1289</f>
        <v>0</v>
      </c>
      <c r="F1290" s="28"/>
      <c r="G1290" s="30" t="n">
        <v>0</v>
      </c>
      <c r="H1290" s="28"/>
      <c r="I1290" s="28"/>
      <c r="J1290" s="29" t="n">
        <f aca="false">E1290+F1290+G1290-H1290-I1290</f>
        <v>0</v>
      </c>
      <c r="K1290" s="29" t="n">
        <f aca="false">ROUND(E1290+F1290+G1290-H1290-I1290-J1290,1)</f>
        <v>0</v>
      </c>
    </row>
    <row r="1291" customFormat="false" ht="15" hidden="false" customHeight="false" outlineLevel="0" collapsed="false">
      <c r="A1291" s="25" t="n">
        <v>46217</v>
      </c>
      <c r="B1291" s="23" t="str">
        <f aca="false">IF(A1291="","",IF(A1291&lt;=profil!$B$9,"Realisasi","Rencana"))</f>
        <v>Rencana</v>
      </c>
      <c r="C1291" s="18" t="s">
        <v>161</v>
      </c>
      <c r="D1291" s="18" t="s">
        <v>161</v>
      </c>
      <c r="E1291" s="29" t="n">
        <f aca="false">J1290</f>
        <v>0</v>
      </c>
      <c r="F1291" s="28"/>
      <c r="G1291" s="30" t="n">
        <v>0</v>
      </c>
      <c r="H1291" s="28"/>
      <c r="I1291" s="28"/>
      <c r="J1291" s="29" t="n">
        <f aca="false">E1291+F1291+G1291-H1291-I1291</f>
        <v>0</v>
      </c>
      <c r="K1291" s="29" t="n">
        <f aca="false">ROUND(E1291+F1291+G1291-H1291-I1291-J1291,1)</f>
        <v>0</v>
      </c>
    </row>
    <row r="1292" customFormat="false" ht="15" hidden="false" customHeight="false" outlineLevel="0" collapsed="false">
      <c r="A1292" s="25" t="n">
        <v>46218</v>
      </c>
      <c r="B1292" s="23" t="str">
        <f aca="false">IF(A1292="","",IF(A1292&lt;=profil!$B$9,"Realisasi","Rencana"))</f>
        <v>Rencana</v>
      </c>
      <c r="C1292" s="18" t="s">
        <v>161</v>
      </c>
      <c r="D1292" s="18" t="s">
        <v>161</v>
      </c>
      <c r="E1292" s="29" t="n">
        <f aca="false">J1291</f>
        <v>0</v>
      </c>
      <c r="F1292" s="28"/>
      <c r="G1292" s="30" t="n">
        <v>0</v>
      </c>
      <c r="H1292" s="28"/>
      <c r="I1292" s="28"/>
      <c r="J1292" s="29" t="n">
        <f aca="false">E1292+F1292+G1292-H1292-I1292</f>
        <v>0</v>
      </c>
      <c r="K1292" s="29" t="n">
        <f aca="false">ROUND(E1292+F1292+G1292-H1292-I1292-J1292,1)</f>
        <v>0</v>
      </c>
    </row>
    <row r="1293" customFormat="false" ht="15" hidden="false" customHeight="false" outlineLevel="0" collapsed="false">
      <c r="A1293" s="25" t="n">
        <v>46219</v>
      </c>
      <c r="B1293" s="23" t="str">
        <f aca="false">IF(A1293="","",IF(A1293&lt;=profil!$B$9,"Realisasi","Rencana"))</f>
        <v>Rencana</v>
      </c>
      <c r="C1293" s="18" t="s">
        <v>161</v>
      </c>
      <c r="D1293" s="18" t="s">
        <v>161</v>
      </c>
      <c r="E1293" s="29" t="n">
        <f aca="false">J1292</f>
        <v>0</v>
      </c>
      <c r="F1293" s="28"/>
      <c r="G1293" s="30" t="n">
        <v>0</v>
      </c>
      <c r="H1293" s="28"/>
      <c r="I1293" s="28"/>
      <c r="J1293" s="29" t="n">
        <f aca="false">E1293+F1293+G1293-H1293-I1293</f>
        <v>0</v>
      </c>
      <c r="K1293" s="29" t="n">
        <f aca="false">ROUND(E1293+F1293+G1293-H1293-I1293-J1293,1)</f>
        <v>0</v>
      </c>
    </row>
    <row r="1294" customFormat="false" ht="15" hidden="false" customHeight="false" outlineLevel="0" collapsed="false">
      <c r="A1294" s="25" t="n">
        <v>46220</v>
      </c>
      <c r="B1294" s="23" t="str">
        <f aca="false">IF(A1294="","",IF(A1294&lt;=profil!$B$9,"Realisasi","Rencana"))</f>
        <v>Rencana</v>
      </c>
      <c r="C1294" s="18" t="s">
        <v>161</v>
      </c>
      <c r="D1294" s="18" t="s">
        <v>161</v>
      </c>
      <c r="E1294" s="29" t="n">
        <f aca="false">J1293</f>
        <v>0</v>
      </c>
      <c r="F1294" s="28"/>
      <c r="G1294" s="30" t="n">
        <v>0</v>
      </c>
      <c r="H1294" s="28"/>
      <c r="I1294" s="28"/>
      <c r="J1294" s="29" t="n">
        <f aca="false">E1294+F1294+G1294-H1294-I1294</f>
        <v>0</v>
      </c>
      <c r="K1294" s="29" t="n">
        <f aca="false">ROUND(E1294+F1294+G1294-H1294-I1294-J1294,1)</f>
        <v>0</v>
      </c>
    </row>
    <row r="1295" customFormat="false" ht="15" hidden="false" customHeight="false" outlineLevel="0" collapsed="false">
      <c r="A1295" s="25" t="n">
        <v>46221</v>
      </c>
      <c r="B1295" s="23" t="str">
        <f aca="false">IF(A1295="","",IF(A1295&lt;=profil!$B$9,"Realisasi","Rencana"))</f>
        <v>Rencana</v>
      </c>
      <c r="C1295" s="18" t="s">
        <v>161</v>
      </c>
      <c r="D1295" s="18" t="s">
        <v>161</v>
      </c>
      <c r="E1295" s="29" t="n">
        <f aca="false">J1294</f>
        <v>0</v>
      </c>
      <c r="F1295" s="28"/>
      <c r="G1295" s="30" t="n">
        <v>0</v>
      </c>
      <c r="H1295" s="28"/>
      <c r="I1295" s="28"/>
      <c r="J1295" s="29" t="n">
        <f aca="false">E1295+F1295+G1295-H1295-I1295</f>
        <v>0</v>
      </c>
      <c r="K1295" s="29" t="n">
        <f aca="false">ROUND(E1295+F1295+G1295-H1295-I1295-J1295,1)</f>
        <v>0</v>
      </c>
    </row>
    <row r="1296" customFormat="false" ht="15" hidden="false" customHeight="false" outlineLevel="0" collapsed="false">
      <c r="A1296" s="25" t="n">
        <v>46222</v>
      </c>
      <c r="B1296" s="23" t="str">
        <f aca="false">IF(A1296="","",IF(A1296&lt;=profil!$B$9,"Realisasi","Rencana"))</f>
        <v>Rencana</v>
      </c>
      <c r="C1296" s="18" t="s">
        <v>161</v>
      </c>
      <c r="D1296" s="18" t="s">
        <v>161</v>
      </c>
      <c r="E1296" s="29" t="n">
        <f aca="false">J1295</f>
        <v>0</v>
      </c>
      <c r="F1296" s="28"/>
      <c r="G1296" s="30" t="n">
        <v>0</v>
      </c>
      <c r="H1296" s="28"/>
      <c r="I1296" s="28"/>
      <c r="J1296" s="29" t="n">
        <f aca="false">E1296+F1296+G1296-H1296-I1296</f>
        <v>0</v>
      </c>
      <c r="K1296" s="29" t="n">
        <f aca="false">ROUND(E1296+F1296+G1296-H1296-I1296-J1296,1)</f>
        <v>0</v>
      </c>
    </row>
    <row r="1297" customFormat="false" ht="15" hidden="false" customHeight="false" outlineLevel="0" collapsed="false">
      <c r="A1297" s="25" t="n">
        <v>46223</v>
      </c>
      <c r="B1297" s="23" t="str">
        <f aca="false">IF(A1297="","",IF(A1297&lt;=profil!$B$9,"Realisasi","Rencana"))</f>
        <v>Rencana</v>
      </c>
      <c r="C1297" s="18" t="s">
        <v>161</v>
      </c>
      <c r="D1297" s="18" t="s">
        <v>161</v>
      </c>
      <c r="E1297" s="29" t="n">
        <f aca="false">J1296</f>
        <v>0</v>
      </c>
      <c r="F1297" s="28"/>
      <c r="G1297" s="30" t="n">
        <v>0</v>
      </c>
      <c r="H1297" s="28"/>
      <c r="I1297" s="28"/>
      <c r="J1297" s="29" t="n">
        <f aca="false">E1297+F1297+G1297-H1297-I1297</f>
        <v>0</v>
      </c>
      <c r="K1297" s="29" t="n">
        <f aca="false">ROUND(E1297+F1297+G1297-H1297-I1297-J1297,1)</f>
        <v>0</v>
      </c>
    </row>
    <row r="1298" customFormat="false" ht="15" hidden="false" customHeight="false" outlineLevel="0" collapsed="false">
      <c r="A1298" s="25" t="n">
        <v>46224</v>
      </c>
      <c r="B1298" s="23" t="str">
        <f aca="false">IF(A1298="","",IF(A1298&lt;=profil!$B$9,"Realisasi","Rencana"))</f>
        <v>Rencana</v>
      </c>
      <c r="C1298" s="18" t="s">
        <v>161</v>
      </c>
      <c r="D1298" s="18" t="s">
        <v>161</v>
      </c>
      <c r="E1298" s="29" t="n">
        <f aca="false">J1297</f>
        <v>0</v>
      </c>
      <c r="F1298" s="28"/>
      <c r="G1298" s="30" t="n">
        <v>0</v>
      </c>
      <c r="H1298" s="28"/>
      <c r="I1298" s="28"/>
      <c r="J1298" s="29" t="n">
        <f aca="false">E1298+F1298+G1298-H1298-I1298</f>
        <v>0</v>
      </c>
      <c r="K1298" s="29" t="n">
        <f aca="false">ROUND(E1298+F1298+G1298-H1298-I1298-J1298,1)</f>
        <v>0</v>
      </c>
    </row>
    <row r="1299" customFormat="false" ht="15" hidden="false" customHeight="false" outlineLevel="0" collapsed="false">
      <c r="A1299" s="25" t="n">
        <v>46225</v>
      </c>
      <c r="B1299" s="23" t="str">
        <f aca="false">IF(A1299="","",IF(A1299&lt;=profil!$B$9,"Realisasi","Rencana"))</f>
        <v>Rencana</v>
      </c>
      <c r="C1299" s="18" t="s">
        <v>161</v>
      </c>
      <c r="D1299" s="18" t="s">
        <v>161</v>
      </c>
      <c r="E1299" s="29" t="n">
        <f aca="false">J1298</f>
        <v>0</v>
      </c>
      <c r="F1299" s="28"/>
      <c r="G1299" s="30" t="n">
        <v>0</v>
      </c>
      <c r="H1299" s="28"/>
      <c r="I1299" s="28"/>
      <c r="J1299" s="29" t="n">
        <f aca="false">E1299+F1299+G1299-H1299-I1299</f>
        <v>0</v>
      </c>
      <c r="K1299" s="29" t="n">
        <f aca="false">ROUND(E1299+F1299+G1299-H1299-I1299-J1299,1)</f>
        <v>0</v>
      </c>
    </row>
    <row r="1300" customFormat="false" ht="15" hidden="false" customHeight="false" outlineLevel="0" collapsed="false">
      <c r="A1300" s="25" t="n">
        <v>46226</v>
      </c>
      <c r="B1300" s="23" t="str">
        <f aca="false">IF(A1300="","",IF(A1300&lt;=profil!$B$9,"Realisasi","Rencana"))</f>
        <v>Rencana</v>
      </c>
      <c r="C1300" s="18" t="s">
        <v>161</v>
      </c>
      <c r="D1300" s="18" t="s">
        <v>161</v>
      </c>
      <c r="E1300" s="29" t="n">
        <f aca="false">J1299</f>
        <v>0</v>
      </c>
      <c r="F1300" s="28"/>
      <c r="G1300" s="30" t="n">
        <v>0</v>
      </c>
      <c r="H1300" s="28"/>
      <c r="I1300" s="28"/>
      <c r="J1300" s="29" t="n">
        <f aca="false">E1300+F1300+G1300-H1300-I1300</f>
        <v>0</v>
      </c>
      <c r="K1300" s="29" t="n">
        <f aca="false">ROUND(E1300+F1300+G1300-H1300-I1300-J1300,1)</f>
        <v>0</v>
      </c>
    </row>
    <row r="1301" customFormat="false" ht="15" hidden="false" customHeight="false" outlineLevel="0" collapsed="false">
      <c r="A1301" s="25" t="n">
        <v>46227</v>
      </c>
      <c r="B1301" s="23" t="str">
        <f aca="false">IF(A1301="","",IF(A1301&lt;=profil!$B$9,"Realisasi","Rencana"))</f>
        <v>Rencana</v>
      </c>
      <c r="C1301" s="18" t="s">
        <v>161</v>
      </c>
      <c r="D1301" s="18" t="s">
        <v>161</v>
      </c>
      <c r="E1301" s="29" t="n">
        <f aca="false">J1300</f>
        <v>0</v>
      </c>
      <c r="F1301" s="28"/>
      <c r="G1301" s="30" t="n">
        <v>0</v>
      </c>
      <c r="H1301" s="28"/>
      <c r="I1301" s="28"/>
      <c r="J1301" s="29" t="n">
        <f aca="false">E1301+F1301+G1301-H1301-I1301</f>
        <v>0</v>
      </c>
      <c r="K1301" s="29" t="n">
        <f aca="false">ROUND(E1301+F1301+G1301-H1301-I1301-J1301,1)</f>
        <v>0</v>
      </c>
    </row>
    <row r="1302" customFormat="false" ht="15" hidden="false" customHeight="false" outlineLevel="0" collapsed="false">
      <c r="A1302" s="25" t="n">
        <v>46228</v>
      </c>
      <c r="B1302" s="23" t="str">
        <f aca="false">IF(A1302="","",IF(A1302&lt;=profil!$B$9,"Realisasi","Rencana"))</f>
        <v>Rencana</v>
      </c>
      <c r="C1302" s="18" t="s">
        <v>161</v>
      </c>
      <c r="D1302" s="18" t="s">
        <v>161</v>
      </c>
      <c r="E1302" s="29" t="n">
        <f aca="false">J1301</f>
        <v>0</v>
      </c>
      <c r="F1302" s="28"/>
      <c r="G1302" s="30" t="n">
        <v>0</v>
      </c>
      <c r="H1302" s="28"/>
      <c r="I1302" s="28"/>
      <c r="J1302" s="29" t="n">
        <f aca="false">E1302+F1302+G1302-H1302-I1302</f>
        <v>0</v>
      </c>
      <c r="K1302" s="29" t="n">
        <f aca="false">ROUND(E1302+F1302+G1302-H1302-I1302-J1302,1)</f>
        <v>0</v>
      </c>
    </row>
    <row r="1303" customFormat="false" ht="15" hidden="false" customHeight="false" outlineLevel="0" collapsed="false">
      <c r="A1303" s="25" t="n">
        <v>46229</v>
      </c>
      <c r="B1303" s="23" t="str">
        <f aca="false">IF(A1303="","",IF(A1303&lt;=profil!$B$9,"Realisasi","Rencana"))</f>
        <v>Rencana</v>
      </c>
      <c r="C1303" s="18" t="s">
        <v>161</v>
      </c>
      <c r="D1303" s="18" t="s">
        <v>161</v>
      </c>
      <c r="E1303" s="29" t="n">
        <f aca="false">J1302</f>
        <v>0</v>
      </c>
      <c r="F1303" s="28"/>
      <c r="G1303" s="30" t="n">
        <v>0</v>
      </c>
      <c r="H1303" s="28"/>
      <c r="I1303" s="28"/>
      <c r="J1303" s="29" t="n">
        <f aca="false">E1303+F1303+G1303-H1303-I1303</f>
        <v>0</v>
      </c>
      <c r="K1303" s="29" t="n">
        <f aca="false">ROUND(E1303+F1303+G1303-H1303-I1303-J1303,1)</f>
        <v>0</v>
      </c>
    </row>
    <row r="1304" customFormat="false" ht="15" hidden="false" customHeight="false" outlineLevel="0" collapsed="false">
      <c r="A1304" s="25" t="n">
        <v>46230</v>
      </c>
      <c r="B1304" s="23" t="str">
        <f aca="false">IF(A1304="","",IF(A1304&lt;=profil!$B$9,"Realisasi","Rencana"))</f>
        <v>Rencana</v>
      </c>
      <c r="C1304" s="18" t="s">
        <v>161</v>
      </c>
      <c r="D1304" s="18" t="s">
        <v>161</v>
      </c>
      <c r="E1304" s="29" t="n">
        <f aca="false">J1303</f>
        <v>0</v>
      </c>
      <c r="F1304" s="28"/>
      <c r="G1304" s="30" t="n">
        <v>0</v>
      </c>
      <c r="H1304" s="28"/>
      <c r="I1304" s="28"/>
      <c r="J1304" s="29" t="n">
        <f aca="false">E1304+F1304+G1304-H1304-I1304</f>
        <v>0</v>
      </c>
      <c r="K1304" s="29" t="n">
        <f aca="false">ROUND(E1304+F1304+G1304-H1304-I1304-J1304,1)</f>
        <v>0</v>
      </c>
    </row>
    <row r="1305" customFormat="false" ht="15" hidden="false" customHeight="false" outlineLevel="0" collapsed="false">
      <c r="A1305" s="25" t="n">
        <v>46231</v>
      </c>
      <c r="B1305" s="23" t="str">
        <f aca="false">IF(A1305="","",IF(A1305&lt;=profil!$B$9,"Realisasi","Rencana"))</f>
        <v>Rencana</v>
      </c>
      <c r="C1305" s="18" t="s">
        <v>161</v>
      </c>
      <c r="D1305" s="18" t="s">
        <v>161</v>
      </c>
      <c r="E1305" s="29" t="n">
        <f aca="false">J1304</f>
        <v>0</v>
      </c>
      <c r="F1305" s="28"/>
      <c r="G1305" s="30" t="n">
        <v>0</v>
      </c>
      <c r="H1305" s="28"/>
      <c r="I1305" s="28"/>
      <c r="J1305" s="29" t="n">
        <f aca="false">E1305+F1305+G1305-H1305-I1305</f>
        <v>0</v>
      </c>
      <c r="K1305" s="29" t="n">
        <f aca="false">ROUND(E1305+F1305+G1305-H1305-I1305-J1305,1)</f>
        <v>0</v>
      </c>
    </row>
    <row r="1306" customFormat="false" ht="15" hidden="false" customHeight="false" outlineLevel="0" collapsed="false">
      <c r="A1306" s="25" t="n">
        <v>46232</v>
      </c>
      <c r="B1306" s="23" t="str">
        <f aca="false">IF(A1306="","",IF(A1306&lt;=profil!$B$9,"Realisasi","Rencana"))</f>
        <v>Rencana</v>
      </c>
      <c r="C1306" s="18" t="s">
        <v>161</v>
      </c>
      <c r="D1306" s="18" t="s">
        <v>161</v>
      </c>
      <c r="E1306" s="29" t="n">
        <f aca="false">J1305</f>
        <v>0</v>
      </c>
      <c r="F1306" s="28"/>
      <c r="G1306" s="30" t="n">
        <v>0</v>
      </c>
      <c r="H1306" s="28"/>
      <c r="I1306" s="28"/>
      <c r="J1306" s="29" t="n">
        <f aca="false">E1306+F1306+G1306-H1306-I1306</f>
        <v>0</v>
      </c>
      <c r="K1306" s="29" t="n">
        <f aca="false">ROUND(E1306+F1306+G1306-H1306-I1306-J1306,1)</f>
        <v>0</v>
      </c>
    </row>
    <row r="1307" customFormat="false" ht="15" hidden="false" customHeight="false" outlineLevel="0" collapsed="false">
      <c r="A1307" s="25" t="n">
        <v>46233</v>
      </c>
      <c r="B1307" s="23" t="str">
        <f aca="false">IF(A1307="","",IF(A1307&lt;=profil!$B$9,"Realisasi","Rencana"))</f>
        <v>Rencana</v>
      </c>
      <c r="C1307" s="18" t="s">
        <v>161</v>
      </c>
      <c r="D1307" s="18" t="s">
        <v>161</v>
      </c>
      <c r="E1307" s="29" t="n">
        <f aca="false">J1306</f>
        <v>0</v>
      </c>
      <c r="F1307" s="28"/>
      <c r="G1307" s="30" t="n">
        <v>0</v>
      </c>
      <c r="H1307" s="28"/>
      <c r="I1307" s="28"/>
      <c r="J1307" s="29" t="n">
        <f aca="false">E1307+F1307+G1307-H1307-I1307</f>
        <v>0</v>
      </c>
      <c r="K1307" s="29" t="n">
        <f aca="false">ROUND(E1307+F1307+G1307-H1307-I1307-J1307,1)</f>
        <v>0</v>
      </c>
    </row>
    <row r="1308" customFormat="false" ht="15" hidden="false" customHeight="false" outlineLevel="0" collapsed="false">
      <c r="A1308" s="25" t="n">
        <v>46234</v>
      </c>
      <c r="B1308" s="23" t="str">
        <f aca="false">IF(A1308="","",IF(A1308&lt;=profil!$B$9,"Realisasi","Rencana"))</f>
        <v>Rencana</v>
      </c>
      <c r="C1308" s="18" t="s">
        <v>161</v>
      </c>
      <c r="D1308" s="18" t="s">
        <v>161</v>
      </c>
      <c r="E1308" s="29" t="n">
        <f aca="false">J1307</f>
        <v>0</v>
      </c>
      <c r="F1308" s="28"/>
      <c r="G1308" s="30" t="n">
        <v>0</v>
      </c>
      <c r="H1308" s="28"/>
      <c r="I1308" s="28"/>
      <c r="J1308" s="29" t="n">
        <f aca="false">E1308+F1308+G1308-H1308-I1308</f>
        <v>0</v>
      </c>
      <c r="K1308" s="29" t="n">
        <f aca="false">ROUND(E1308+F1308+G1308-H1308-I1308-J1308,1)</f>
        <v>0</v>
      </c>
    </row>
    <row r="1309" customFormat="false" ht="15" hidden="false" customHeight="false" outlineLevel="0" collapsed="false">
      <c r="A1309" s="25" t="n">
        <v>46235</v>
      </c>
      <c r="B1309" s="23" t="str">
        <f aca="false">IF(A1309="","",IF(A1309&lt;=profil!$B$9,"Realisasi","Rencana"))</f>
        <v>Rencana</v>
      </c>
      <c r="C1309" s="18" t="s">
        <v>161</v>
      </c>
      <c r="D1309" s="18" t="s">
        <v>161</v>
      </c>
      <c r="E1309" s="29" t="n">
        <f aca="false">J1308</f>
        <v>0</v>
      </c>
      <c r="F1309" s="28"/>
      <c r="G1309" s="30" t="n">
        <v>0</v>
      </c>
      <c r="H1309" s="28"/>
      <c r="I1309" s="28"/>
      <c r="J1309" s="29" t="n">
        <f aca="false">E1309+F1309+G1309-H1309-I1309</f>
        <v>0</v>
      </c>
      <c r="K1309" s="29" t="n">
        <f aca="false">ROUND(E1309+F1309+G1309-H1309-I1309-J1309,1)</f>
        <v>0</v>
      </c>
    </row>
    <row r="1310" customFormat="false" ht="15" hidden="false" customHeight="false" outlineLevel="0" collapsed="false">
      <c r="A1310" s="25" t="n">
        <v>46236</v>
      </c>
      <c r="B1310" s="23" t="str">
        <f aca="false">IF(A1310="","",IF(A1310&lt;=profil!$B$9,"Realisasi","Rencana"))</f>
        <v>Rencana</v>
      </c>
      <c r="C1310" s="18" t="s">
        <v>161</v>
      </c>
      <c r="D1310" s="18" t="s">
        <v>161</v>
      </c>
      <c r="E1310" s="29" t="n">
        <f aca="false">J1309</f>
        <v>0</v>
      </c>
      <c r="F1310" s="28"/>
      <c r="G1310" s="30" t="n">
        <v>0</v>
      </c>
      <c r="H1310" s="28"/>
      <c r="I1310" s="28"/>
      <c r="J1310" s="29" t="n">
        <f aca="false">E1310+F1310+G1310-H1310-I1310</f>
        <v>0</v>
      </c>
      <c r="K1310" s="29" t="n">
        <f aca="false">ROUND(E1310+F1310+G1310-H1310-I1310-J1310,1)</f>
        <v>0</v>
      </c>
    </row>
    <row r="1311" customFormat="false" ht="15" hidden="false" customHeight="false" outlineLevel="0" collapsed="false">
      <c r="A1311" s="25" t="n">
        <v>46237</v>
      </c>
      <c r="B1311" s="23" t="str">
        <f aca="false">IF(A1311="","",IF(A1311&lt;=profil!$B$9,"Realisasi","Rencana"))</f>
        <v>Rencana</v>
      </c>
      <c r="C1311" s="18" t="s">
        <v>161</v>
      </c>
      <c r="D1311" s="18" t="s">
        <v>161</v>
      </c>
      <c r="E1311" s="29" t="n">
        <f aca="false">J1310</f>
        <v>0</v>
      </c>
      <c r="F1311" s="28"/>
      <c r="G1311" s="30" t="n">
        <v>0</v>
      </c>
      <c r="H1311" s="28"/>
      <c r="I1311" s="28"/>
      <c r="J1311" s="29" t="n">
        <f aca="false">E1311+F1311+G1311-H1311-I1311</f>
        <v>0</v>
      </c>
      <c r="K1311" s="29" t="n">
        <f aca="false">ROUND(E1311+F1311+G1311-H1311-I1311-J1311,1)</f>
        <v>0</v>
      </c>
    </row>
    <row r="1312" customFormat="false" ht="15" hidden="false" customHeight="false" outlineLevel="0" collapsed="false">
      <c r="A1312" s="25" t="n">
        <v>46238</v>
      </c>
      <c r="B1312" s="23" t="str">
        <f aca="false">IF(A1312="","",IF(A1312&lt;=profil!$B$9,"Realisasi","Rencana"))</f>
        <v>Rencana</v>
      </c>
      <c r="C1312" s="18" t="s">
        <v>161</v>
      </c>
      <c r="D1312" s="18" t="s">
        <v>161</v>
      </c>
      <c r="E1312" s="29" t="n">
        <f aca="false">J1311</f>
        <v>0</v>
      </c>
      <c r="F1312" s="28"/>
      <c r="G1312" s="30" t="n">
        <v>0</v>
      </c>
      <c r="H1312" s="28"/>
      <c r="I1312" s="28"/>
      <c r="J1312" s="29" t="n">
        <f aca="false">E1312+F1312+G1312-H1312-I1312</f>
        <v>0</v>
      </c>
      <c r="K1312" s="29" t="n">
        <f aca="false">ROUND(E1312+F1312+G1312-H1312-I1312-J1312,1)</f>
        <v>0</v>
      </c>
    </row>
    <row r="1313" customFormat="false" ht="15" hidden="false" customHeight="false" outlineLevel="0" collapsed="false">
      <c r="A1313" s="25" t="n">
        <v>46239</v>
      </c>
      <c r="B1313" s="23" t="str">
        <f aca="false">IF(A1313="","",IF(A1313&lt;=profil!$B$9,"Realisasi","Rencana"))</f>
        <v>Rencana</v>
      </c>
      <c r="C1313" s="18" t="s">
        <v>161</v>
      </c>
      <c r="D1313" s="18" t="s">
        <v>161</v>
      </c>
      <c r="E1313" s="29" t="n">
        <f aca="false">J1312</f>
        <v>0</v>
      </c>
      <c r="F1313" s="28"/>
      <c r="G1313" s="30" t="n">
        <v>0</v>
      </c>
      <c r="H1313" s="28"/>
      <c r="I1313" s="28"/>
      <c r="J1313" s="29" t="n">
        <f aca="false">E1313+F1313+G1313-H1313-I1313</f>
        <v>0</v>
      </c>
      <c r="K1313" s="29" t="n">
        <f aca="false">ROUND(E1313+F1313+G1313-H1313-I1313-J1313,1)</f>
        <v>0</v>
      </c>
    </row>
    <row r="1314" customFormat="false" ht="15" hidden="false" customHeight="false" outlineLevel="0" collapsed="false">
      <c r="A1314" s="25" t="n">
        <v>46240</v>
      </c>
      <c r="B1314" s="23" t="str">
        <f aca="false">IF(A1314="","",IF(A1314&lt;=profil!$B$9,"Realisasi","Rencana"))</f>
        <v>Rencana</v>
      </c>
      <c r="C1314" s="18" t="s">
        <v>161</v>
      </c>
      <c r="D1314" s="18" t="s">
        <v>161</v>
      </c>
      <c r="E1314" s="29" t="n">
        <f aca="false">J1313</f>
        <v>0</v>
      </c>
      <c r="F1314" s="28"/>
      <c r="G1314" s="30" t="n">
        <v>0</v>
      </c>
      <c r="H1314" s="28"/>
      <c r="I1314" s="28"/>
      <c r="J1314" s="29" t="n">
        <f aca="false">E1314+F1314+G1314-H1314-I1314</f>
        <v>0</v>
      </c>
      <c r="K1314" s="29" t="n">
        <f aca="false">ROUND(E1314+F1314+G1314-H1314-I1314-J1314,1)</f>
        <v>0</v>
      </c>
    </row>
    <row r="1315" customFormat="false" ht="15" hidden="false" customHeight="false" outlineLevel="0" collapsed="false">
      <c r="A1315" s="25" t="n">
        <v>46241</v>
      </c>
      <c r="B1315" s="23" t="str">
        <f aca="false">IF(A1315="","",IF(A1315&lt;=profil!$B$9,"Realisasi","Rencana"))</f>
        <v>Rencana</v>
      </c>
      <c r="C1315" s="18" t="s">
        <v>161</v>
      </c>
      <c r="D1315" s="18" t="s">
        <v>161</v>
      </c>
      <c r="E1315" s="29" t="n">
        <f aca="false">J1314</f>
        <v>0</v>
      </c>
      <c r="F1315" s="28"/>
      <c r="G1315" s="30" t="n">
        <v>0</v>
      </c>
      <c r="H1315" s="28"/>
      <c r="I1315" s="28"/>
      <c r="J1315" s="29" t="n">
        <f aca="false">E1315+F1315+G1315-H1315-I1315</f>
        <v>0</v>
      </c>
      <c r="K1315" s="29" t="n">
        <f aca="false">ROUND(E1315+F1315+G1315-H1315-I1315-J1315,1)</f>
        <v>0</v>
      </c>
    </row>
    <row r="1316" customFormat="false" ht="15" hidden="false" customHeight="false" outlineLevel="0" collapsed="false">
      <c r="A1316" s="25" t="n">
        <v>46242</v>
      </c>
      <c r="B1316" s="23" t="str">
        <f aca="false">IF(A1316="","",IF(A1316&lt;=profil!$B$9,"Realisasi","Rencana"))</f>
        <v>Rencana</v>
      </c>
      <c r="C1316" s="18" t="s">
        <v>161</v>
      </c>
      <c r="D1316" s="18" t="s">
        <v>161</v>
      </c>
      <c r="E1316" s="29" t="n">
        <f aca="false">J1315</f>
        <v>0</v>
      </c>
      <c r="F1316" s="28"/>
      <c r="G1316" s="30" t="n">
        <v>0</v>
      </c>
      <c r="H1316" s="28"/>
      <c r="I1316" s="28"/>
      <c r="J1316" s="29" t="n">
        <f aca="false">E1316+F1316+G1316-H1316-I1316</f>
        <v>0</v>
      </c>
      <c r="K1316" s="29" t="n">
        <f aca="false">ROUND(E1316+F1316+G1316-H1316-I1316-J1316,1)</f>
        <v>0</v>
      </c>
    </row>
    <row r="1317" customFormat="false" ht="15" hidden="false" customHeight="false" outlineLevel="0" collapsed="false">
      <c r="A1317" s="25" t="n">
        <v>46243</v>
      </c>
      <c r="B1317" s="23" t="str">
        <f aca="false">IF(A1317="","",IF(A1317&lt;=profil!$B$9,"Realisasi","Rencana"))</f>
        <v>Rencana</v>
      </c>
      <c r="C1317" s="18" t="s">
        <v>161</v>
      </c>
      <c r="D1317" s="18" t="s">
        <v>161</v>
      </c>
      <c r="E1317" s="29" t="n">
        <f aca="false">J1316</f>
        <v>0</v>
      </c>
      <c r="F1317" s="28"/>
      <c r="G1317" s="30" t="n">
        <v>0</v>
      </c>
      <c r="H1317" s="28"/>
      <c r="I1317" s="28"/>
      <c r="J1317" s="29" t="n">
        <f aca="false">E1317+F1317+G1317-H1317-I1317</f>
        <v>0</v>
      </c>
      <c r="K1317" s="29" t="n">
        <f aca="false">ROUND(E1317+F1317+G1317-H1317-I1317-J1317,1)</f>
        <v>0</v>
      </c>
    </row>
    <row r="1318" customFormat="false" ht="15" hidden="false" customHeight="false" outlineLevel="0" collapsed="false">
      <c r="A1318" s="25" t="n">
        <v>46244</v>
      </c>
      <c r="B1318" s="23" t="str">
        <f aca="false">IF(A1318="","",IF(A1318&lt;=profil!$B$9,"Realisasi","Rencana"))</f>
        <v>Rencana</v>
      </c>
      <c r="C1318" s="18" t="s">
        <v>161</v>
      </c>
      <c r="D1318" s="18" t="s">
        <v>161</v>
      </c>
      <c r="E1318" s="29" t="n">
        <f aca="false">J1317</f>
        <v>0</v>
      </c>
      <c r="F1318" s="28"/>
      <c r="G1318" s="30" t="n">
        <v>0</v>
      </c>
      <c r="H1318" s="28"/>
      <c r="I1318" s="28"/>
      <c r="J1318" s="29" t="n">
        <f aca="false">E1318+F1318+G1318-H1318-I1318</f>
        <v>0</v>
      </c>
      <c r="K1318" s="29" t="n">
        <f aca="false">ROUND(E1318+F1318+G1318-H1318-I1318-J1318,1)</f>
        <v>0</v>
      </c>
    </row>
    <row r="1319" customFormat="false" ht="15" hidden="false" customHeight="false" outlineLevel="0" collapsed="false">
      <c r="A1319" s="25" t="n">
        <v>46245</v>
      </c>
      <c r="B1319" s="23" t="str">
        <f aca="false">IF(A1319="","",IF(A1319&lt;=profil!$B$9,"Realisasi","Rencana"))</f>
        <v>Rencana</v>
      </c>
      <c r="C1319" s="18" t="s">
        <v>161</v>
      </c>
      <c r="D1319" s="18" t="s">
        <v>161</v>
      </c>
      <c r="E1319" s="29" t="n">
        <f aca="false">J1318</f>
        <v>0</v>
      </c>
      <c r="F1319" s="28"/>
      <c r="G1319" s="30" t="n">
        <v>0</v>
      </c>
      <c r="H1319" s="28"/>
      <c r="I1319" s="28"/>
      <c r="J1319" s="29" t="n">
        <f aca="false">E1319+F1319+G1319-H1319-I1319</f>
        <v>0</v>
      </c>
      <c r="K1319" s="29" t="n">
        <f aca="false">ROUND(E1319+F1319+G1319-H1319-I1319-J1319,1)</f>
        <v>0</v>
      </c>
    </row>
    <row r="1320" customFormat="false" ht="15" hidden="false" customHeight="false" outlineLevel="0" collapsed="false">
      <c r="A1320" s="25" t="n">
        <v>46246</v>
      </c>
      <c r="B1320" s="23" t="str">
        <f aca="false">IF(A1320="","",IF(A1320&lt;=profil!$B$9,"Realisasi","Rencana"))</f>
        <v>Rencana</v>
      </c>
      <c r="C1320" s="18" t="s">
        <v>161</v>
      </c>
      <c r="D1320" s="18" t="s">
        <v>161</v>
      </c>
      <c r="E1320" s="29" t="n">
        <f aca="false">J1319</f>
        <v>0</v>
      </c>
      <c r="F1320" s="28"/>
      <c r="G1320" s="30" t="n">
        <v>0</v>
      </c>
      <c r="H1320" s="28"/>
      <c r="I1320" s="28"/>
      <c r="J1320" s="29" t="n">
        <f aca="false">E1320+F1320+G1320-H1320-I1320</f>
        <v>0</v>
      </c>
      <c r="K1320" s="29" t="n">
        <f aca="false">ROUND(E1320+F1320+G1320-H1320-I1320-J1320,1)</f>
        <v>0</v>
      </c>
    </row>
    <row r="1321" customFormat="false" ht="15" hidden="false" customHeight="false" outlineLevel="0" collapsed="false">
      <c r="A1321" s="25" t="n">
        <v>46247</v>
      </c>
      <c r="B1321" s="23" t="str">
        <f aca="false">IF(A1321="","",IF(A1321&lt;=profil!$B$9,"Realisasi","Rencana"))</f>
        <v>Rencana</v>
      </c>
      <c r="C1321" s="18" t="s">
        <v>161</v>
      </c>
      <c r="D1321" s="18" t="s">
        <v>161</v>
      </c>
      <c r="E1321" s="29" t="n">
        <f aca="false">J1320</f>
        <v>0</v>
      </c>
      <c r="F1321" s="28"/>
      <c r="G1321" s="30" t="n">
        <v>0</v>
      </c>
      <c r="H1321" s="28"/>
      <c r="I1321" s="28"/>
      <c r="J1321" s="29" t="n">
        <f aca="false">E1321+F1321+G1321-H1321-I1321</f>
        <v>0</v>
      </c>
      <c r="K1321" s="29" t="n">
        <f aca="false">ROUND(E1321+F1321+G1321-H1321-I1321-J1321,1)</f>
        <v>0</v>
      </c>
    </row>
    <row r="1322" customFormat="false" ht="15" hidden="false" customHeight="false" outlineLevel="0" collapsed="false">
      <c r="A1322" s="25" t="n">
        <v>46248</v>
      </c>
      <c r="B1322" s="23" t="str">
        <f aca="false">IF(A1322="","",IF(A1322&lt;=profil!$B$9,"Realisasi","Rencana"))</f>
        <v>Rencana</v>
      </c>
      <c r="C1322" s="18" t="s">
        <v>161</v>
      </c>
      <c r="D1322" s="18" t="s">
        <v>161</v>
      </c>
      <c r="E1322" s="29" t="n">
        <f aca="false">J1321</f>
        <v>0</v>
      </c>
      <c r="F1322" s="28"/>
      <c r="G1322" s="30" t="n">
        <v>0</v>
      </c>
      <c r="H1322" s="28"/>
      <c r="I1322" s="28"/>
      <c r="J1322" s="29" t="n">
        <f aca="false">E1322+F1322+G1322-H1322-I1322</f>
        <v>0</v>
      </c>
      <c r="K1322" s="29" t="n">
        <f aca="false">ROUND(E1322+F1322+G1322-H1322-I1322-J1322,1)</f>
        <v>0</v>
      </c>
    </row>
    <row r="1323" customFormat="false" ht="15" hidden="false" customHeight="false" outlineLevel="0" collapsed="false">
      <c r="A1323" s="25" t="n">
        <v>46249</v>
      </c>
      <c r="B1323" s="23" t="str">
        <f aca="false">IF(A1323="","",IF(A1323&lt;=profil!$B$9,"Realisasi","Rencana"))</f>
        <v>Rencana</v>
      </c>
      <c r="C1323" s="18" t="s">
        <v>161</v>
      </c>
      <c r="D1323" s="18" t="s">
        <v>161</v>
      </c>
      <c r="E1323" s="29" t="n">
        <f aca="false">J1322</f>
        <v>0</v>
      </c>
      <c r="F1323" s="28"/>
      <c r="G1323" s="30" t="n">
        <v>0</v>
      </c>
      <c r="H1323" s="28"/>
      <c r="I1323" s="28"/>
      <c r="J1323" s="29" t="n">
        <f aca="false">E1323+F1323+G1323-H1323-I1323</f>
        <v>0</v>
      </c>
      <c r="K1323" s="29" t="n">
        <f aca="false">ROUND(E1323+F1323+G1323-H1323-I1323-J1323,1)</f>
        <v>0</v>
      </c>
    </row>
    <row r="1324" customFormat="false" ht="15" hidden="false" customHeight="false" outlineLevel="0" collapsed="false">
      <c r="A1324" s="25" t="n">
        <v>46250</v>
      </c>
      <c r="B1324" s="23" t="str">
        <f aca="false">IF(A1324="","",IF(A1324&lt;=profil!$B$9,"Realisasi","Rencana"))</f>
        <v>Rencana</v>
      </c>
      <c r="C1324" s="18" t="s">
        <v>161</v>
      </c>
      <c r="D1324" s="18" t="s">
        <v>161</v>
      </c>
      <c r="E1324" s="29" t="n">
        <f aca="false">J1323</f>
        <v>0</v>
      </c>
      <c r="F1324" s="28"/>
      <c r="G1324" s="30" t="n">
        <v>0</v>
      </c>
      <c r="H1324" s="28"/>
      <c r="I1324" s="28"/>
      <c r="J1324" s="29" t="n">
        <f aca="false">E1324+F1324+G1324-H1324-I1324</f>
        <v>0</v>
      </c>
      <c r="K1324" s="29" t="n">
        <f aca="false">ROUND(E1324+F1324+G1324-H1324-I1324-J1324,1)</f>
        <v>0</v>
      </c>
    </row>
    <row r="1325" customFormat="false" ht="15" hidden="false" customHeight="false" outlineLevel="0" collapsed="false">
      <c r="A1325" s="25" t="n">
        <v>46251</v>
      </c>
      <c r="B1325" s="23" t="str">
        <f aca="false">IF(A1325="","",IF(A1325&lt;=profil!$B$9,"Realisasi","Rencana"))</f>
        <v>Rencana</v>
      </c>
      <c r="C1325" s="18" t="s">
        <v>161</v>
      </c>
      <c r="D1325" s="18" t="s">
        <v>161</v>
      </c>
      <c r="E1325" s="29" t="n">
        <f aca="false">J1324</f>
        <v>0</v>
      </c>
      <c r="F1325" s="28"/>
      <c r="G1325" s="30" t="n">
        <v>0</v>
      </c>
      <c r="H1325" s="28"/>
      <c r="I1325" s="28"/>
      <c r="J1325" s="29" t="n">
        <f aca="false">E1325+F1325+G1325-H1325-I1325</f>
        <v>0</v>
      </c>
      <c r="K1325" s="29" t="n">
        <f aca="false">ROUND(E1325+F1325+G1325-H1325-I1325-J1325,1)</f>
        <v>0</v>
      </c>
    </row>
    <row r="1326" customFormat="false" ht="15" hidden="false" customHeight="false" outlineLevel="0" collapsed="false">
      <c r="A1326" s="25" t="n">
        <v>46252</v>
      </c>
      <c r="B1326" s="23" t="str">
        <f aca="false">IF(A1326="","",IF(A1326&lt;=profil!$B$9,"Realisasi","Rencana"))</f>
        <v>Rencana</v>
      </c>
      <c r="C1326" s="18" t="s">
        <v>161</v>
      </c>
      <c r="D1326" s="18" t="s">
        <v>161</v>
      </c>
      <c r="E1326" s="29" t="n">
        <f aca="false">J1325</f>
        <v>0</v>
      </c>
      <c r="F1326" s="28"/>
      <c r="G1326" s="30" t="n">
        <v>0</v>
      </c>
      <c r="H1326" s="28"/>
      <c r="I1326" s="28"/>
      <c r="J1326" s="29" t="n">
        <f aca="false">E1326+F1326+G1326-H1326-I1326</f>
        <v>0</v>
      </c>
      <c r="K1326" s="29" t="n">
        <f aca="false">ROUND(E1326+F1326+G1326-H1326-I1326-J1326,1)</f>
        <v>0</v>
      </c>
    </row>
    <row r="1327" customFormat="false" ht="15" hidden="false" customHeight="false" outlineLevel="0" collapsed="false">
      <c r="A1327" s="25" t="n">
        <v>46253</v>
      </c>
      <c r="B1327" s="23" t="str">
        <f aca="false">IF(A1327="","",IF(A1327&lt;=profil!$B$9,"Realisasi","Rencana"))</f>
        <v>Rencana</v>
      </c>
      <c r="C1327" s="18" t="s">
        <v>161</v>
      </c>
      <c r="D1327" s="18" t="s">
        <v>161</v>
      </c>
      <c r="E1327" s="29" t="n">
        <f aca="false">J1326</f>
        <v>0</v>
      </c>
      <c r="F1327" s="28"/>
      <c r="G1327" s="30" t="n">
        <v>0</v>
      </c>
      <c r="H1327" s="28"/>
      <c r="I1327" s="28"/>
      <c r="J1327" s="29" t="n">
        <f aca="false">E1327+F1327+G1327-H1327-I1327</f>
        <v>0</v>
      </c>
      <c r="K1327" s="29" t="n">
        <f aca="false">ROUND(E1327+F1327+G1327-H1327-I1327-J1327,1)</f>
        <v>0</v>
      </c>
    </row>
    <row r="1328" customFormat="false" ht="15" hidden="false" customHeight="false" outlineLevel="0" collapsed="false">
      <c r="A1328" s="25" t="n">
        <v>46254</v>
      </c>
      <c r="B1328" s="23" t="str">
        <f aca="false">IF(A1328="","",IF(A1328&lt;=profil!$B$9,"Realisasi","Rencana"))</f>
        <v>Rencana</v>
      </c>
      <c r="C1328" s="18" t="s">
        <v>161</v>
      </c>
      <c r="D1328" s="18" t="s">
        <v>161</v>
      </c>
      <c r="E1328" s="29" t="n">
        <f aca="false">J1327</f>
        <v>0</v>
      </c>
      <c r="F1328" s="28"/>
      <c r="G1328" s="30" t="n">
        <v>0</v>
      </c>
      <c r="H1328" s="28"/>
      <c r="I1328" s="28"/>
      <c r="J1328" s="29" t="n">
        <f aca="false">E1328+F1328+G1328-H1328-I1328</f>
        <v>0</v>
      </c>
      <c r="K1328" s="29" t="n">
        <f aca="false">ROUND(E1328+F1328+G1328-H1328-I1328-J1328,1)</f>
        <v>0</v>
      </c>
    </row>
    <row r="1329" customFormat="false" ht="15" hidden="false" customHeight="false" outlineLevel="0" collapsed="false">
      <c r="A1329" s="25" t="n">
        <v>46255</v>
      </c>
      <c r="B1329" s="23" t="str">
        <f aca="false">IF(A1329="","",IF(A1329&lt;=profil!$B$9,"Realisasi","Rencana"))</f>
        <v>Rencana</v>
      </c>
      <c r="C1329" s="18" t="s">
        <v>161</v>
      </c>
      <c r="D1329" s="18" t="s">
        <v>161</v>
      </c>
      <c r="E1329" s="29" t="n">
        <f aca="false">J1328</f>
        <v>0</v>
      </c>
      <c r="F1329" s="28"/>
      <c r="G1329" s="30" t="n">
        <v>0</v>
      </c>
      <c r="H1329" s="28"/>
      <c r="I1329" s="28"/>
      <c r="J1329" s="29" t="n">
        <f aca="false">E1329+F1329+G1329-H1329-I1329</f>
        <v>0</v>
      </c>
      <c r="K1329" s="29" t="n">
        <f aca="false">ROUND(E1329+F1329+G1329-H1329-I1329-J1329,1)</f>
        <v>0</v>
      </c>
    </row>
    <row r="1330" customFormat="false" ht="15" hidden="false" customHeight="false" outlineLevel="0" collapsed="false">
      <c r="A1330" s="25" t="n">
        <v>46256</v>
      </c>
      <c r="B1330" s="23" t="str">
        <f aca="false">IF(A1330="","",IF(A1330&lt;=profil!$B$9,"Realisasi","Rencana"))</f>
        <v>Rencana</v>
      </c>
      <c r="C1330" s="18" t="s">
        <v>161</v>
      </c>
      <c r="D1330" s="18" t="s">
        <v>161</v>
      </c>
      <c r="E1330" s="29" t="n">
        <f aca="false">J1329</f>
        <v>0</v>
      </c>
      <c r="F1330" s="28"/>
      <c r="G1330" s="30" t="n">
        <v>0</v>
      </c>
      <c r="H1330" s="28"/>
      <c r="I1330" s="28"/>
      <c r="J1330" s="29" t="n">
        <f aca="false">E1330+F1330+G1330-H1330-I1330</f>
        <v>0</v>
      </c>
      <c r="K1330" s="29" t="n">
        <f aca="false">ROUND(E1330+F1330+G1330-H1330-I1330-J1330,1)</f>
        <v>0</v>
      </c>
    </row>
    <row r="1331" customFormat="false" ht="15" hidden="false" customHeight="false" outlineLevel="0" collapsed="false">
      <c r="A1331" s="25" t="n">
        <v>46257</v>
      </c>
      <c r="B1331" s="23" t="str">
        <f aca="false">IF(A1331="","",IF(A1331&lt;=profil!$B$9,"Realisasi","Rencana"))</f>
        <v>Rencana</v>
      </c>
      <c r="C1331" s="18" t="s">
        <v>161</v>
      </c>
      <c r="D1331" s="18" t="s">
        <v>161</v>
      </c>
      <c r="E1331" s="29" t="n">
        <f aca="false">J1330</f>
        <v>0</v>
      </c>
      <c r="F1331" s="28"/>
      <c r="G1331" s="30" t="n">
        <v>0</v>
      </c>
      <c r="H1331" s="28"/>
      <c r="I1331" s="28"/>
      <c r="J1331" s="29" t="n">
        <f aca="false">E1331+F1331+G1331-H1331-I1331</f>
        <v>0</v>
      </c>
      <c r="K1331" s="29" t="n">
        <f aca="false">ROUND(E1331+F1331+G1331-H1331-I1331-J1331,1)</f>
        <v>0</v>
      </c>
    </row>
    <row r="1332" customFormat="false" ht="15" hidden="false" customHeight="false" outlineLevel="0" collapsed="false">
      <c r="A1332" s="25" t="n">
        <v>46258</v>
      </c>
      <c r="B1332" s="23" t="str">
        <f aca="false">IF(A1332="","",IF(A1332&lt;=profil!$B$9,"Realisasi","Rencana"))</f>
        <v>Rencana</v>
      </c>
      <c r="C1332" s="18" t="s">
        <v>161</v>
      </c>
      <c r="D1332" s="18" t="s">
        <v>161</v>
      </c>
      <c r="E1332" s="29" t="n">
        <f aca="false">J1331</f>
        <v>0</v>
      </c>
      <c r="F1332" s="28"/>
      <c r="G1332" s="30" t="n">
        <v>0</v>
      </c>
      <c r="H1332" s="28"/>
      <c r="I1332" s="28"/>
      <c r="J1332" s="29" t="n">
        <f aca="false">E1332+F1332+G1332-H1332-I1332</f>
        <v>0</v>
      </c>
      <c r="K1332" s="29" t="n">
        <f aca="false">ROUND(E1332+F1332+G1332-H1332-I1332-J1332,1)</f>
        <v>0</v>
      </c>
    </row>
    <row r="1333" customFormat="false" ht="15" hidden="false" customHeight="false" outlineLevel="0" collapsed="false">
      <c r="A1333" s="25" t="n">
        <v>46259</v>
      </c>
      <c r="B1333" s="23" t="str">
        <f aca="false">IF(A1333="","",IF(A1333&lt;=profil!$B$9,"Realisasi","Rencana"))</f>
        <v>Rencana</v>
      </c>
      <c r="C1333" s="18" t="s">
        <v>161</v>
      </c>
      <c r="D1333" s="18" t="s">
        <v>161</v>
      </c>
      <c r="E1333" s="29" t="n">
        <f aca="false">J1332</f>
        <v>0</v>
      </c>
      <c r="F1333" s="28"/>
      <c r="G1333" s="30" t="n">
        <v>0</v>
      </c>
      <c r="H1333" s="28"/>
      <c r="I1333" s="28"/>
      <c r="J1333" s="29" t="n">
        <f aca="false">E1333+F1333+G1333-H1333-I1333</f>
        <v>0</v>
      </c>
      <c r="K1333" s="29" t="n">
        <f aca="false">ROUND(E1333+F1333+G1333-H1333-I1333-J1333,1)</f>
        <v>0</v>
      </c>
    </row>
    <row r="1334" customFormat="false" ht="15" hidden="false" customHeight="false" outlineLevel="0" collapsed="false">
      <c r="A1334" s="25" t="n">
        <v>46260</v>
      </c>
      <c r="B1334" s="23" t="str">
        <f aca="false">IF(A1334="","",IF(A1334&lt;=profil!$B$9,"Realisasi","Rencana"))</f>
        <v>Rencana</v>
      </c>
      <c r="C1334" s="18" t="s">
        <v>161</v>
      </c>
      <c r="D1334" s="18" t="s">
        <v>161</v>
      </c>
      <c r="E1334" s="29" t="n">
        <f aca="false">J1333</f>
        <v>0</v>
      </c>
      <c r="F1334" s="28"/>
      <c r="G1334" s="30" t="n">
        <v>0</v>
      </c>
      <c r="H1334" s="28"/>
      <c r="I1334" s="28"/>
      <c r="J1334" s="29" t="n">
        <f aca="false">E1334+F1334+G1334-H1334-I1334</f>
        <v>0</v>
      </c>
      <c r="K1334" s="29" t="n">
        <f aca="false">ROUND(E1334+F1334+G1334-H1334-I1334-J1334,1)</f>
        <v>0</v>
      </c>
    </row>
    <row r="1335" customFormat="false" ht="15" hidden="false" customHeight="false" outlineLevel="0" collapsed="false">
      <c r="A1335" s="25" t="n">
        <v>46261</v>
      </c>
      <c r="B1335" s="23" t="str">
        <f aca="false">IF(A1335="","",IF(A1335&lt;=profil!$B$9,"Realisasi","Rencana"))</f>
        <v>Rencana</v>
      </c>
      <c r="C1335" s="18" t="s">
        <v>161</v>
      </c>
      <c r="D1335" s="18" t="s">
        <v>161</v>
      </c>
      <c r="E1335" s="29" t="n">
        <f aca="false">J1334</f>
        <v>0</v>
      </c>
      <c r="F1335" s="28"/>
      <c r="G1335" s="30" t="n">
        <v>0</v>
      </c>
      <c r="H1335" s="28"/>
      <c r="I1335" s="28"/>
      <c r="J1335" s="29" t="n">
        <f aca="false">E1335+F1335+G1335-H1335-I1335</f>
        <v>0</v>
      </c>
      <c r="K1335" s="29" t="n">
        <f aca="false">ROUND(E1335+F1335+G1335-H1335-I1335-J1335,1)</f>
        <v>0</v>
      </c>
    </row>
    <row r="1336" customFormat="false" ht="15" hidden="false" customHeight="false" outlineLevel="0" collapsed="false">
      <c r="A1336" s="25" t="n">
        <v>46262</v>
      </c>
      <c r="B1336" s="23" t="str">
        <f aca="false">IF(A1336="","",IF(A1336&lt;=profil!$B$9,"Realisasi","Rencana"))</f>
        <v>Rencana</v>
      </c>
      <c r="C1336" s="18" t="s">
        <v>161</v>
      </c>
      <c r="D1336" s="18" t="s">
        <v>161</v>
      </c>
      <c r="E1336" s="29" t="n">
        <f aca="false">J1335</f>
        <v>0</v>
      </c>
      <c r="F1336" s="28"/>
      <c r="G1336" s="30" t="n">
        <v>0</v>
      </c>
      <c r="H1336" s="28"/>
      <c r="I1336" s="28"/>
      <c r="J1336" s="29" t="n">
        <f aca="false">E1336+F1336+G1336-H1336-I1336</f>
        <v>0</v>
      </c>
      <c r="K1336" s="29" t="n">
        <f aca="false">ROUND(E1336+F1336+G1336-H1336-I1336-J1336,1)</f>
        <v>0</v>
      </c>
    </row>
    <row r="1337" customFormat="false" ht="15" hidden="false" customHeight="false" outlineLevel="0" collapsed="false">
      <c r="A1337" s="25" t="n">
        <v>46263</v>
      </c>
      <c r="B1337" s="23" t="str">
        <f aca="false">IF(A1337="","",IF(A1337&lt;=profil!$B$9,"Realisasi","Rencana"))</f>
        <v>Rencana</v>
      </c>
      <c r="C1337" s="18" t="s">
        <v>161</v>
      </c>
      <c r="D1337" s="18" t="s">
        <v>161</v>
      </c>
      <c r="E1337" s="29" t="n">
        <f aca="false">J1336</f>
        <v>0</v>
      </c>
      <c r="F1337" s="28"/>
      <c r="G1337" s="30" t="n">
        <v>0</v>
      </c>
      <c r="H1337" s="28"/>
      <c r="I1337" s="28"/>
      <c r="J1337" s="29" t="n">
        <f aca="false">E1337+F1337+G1337-H1337-I1337</f>
        <v>0</v>
      </c>
      <c r="K1337" s="29" t="n">
        <f aca="false">ROUND(E1337+F1337+G1337-H1337-I1337-J1337,1)</f>
        <v>0</v>
      </c>
    </row>
    <row r="1338" customFormat="false" ht="15" hidden="false" customHeight="false" outlineLevel="0" collapsed="false">
      <c r="A1338" s="25" t="n">
        <v>46264</v>
      </c>
      <c r="B1338" s="23" t="str">
        <f aca="false">IF(A1338="","",IF(A1338&lt;=profil!$B$9,"Realisasi","Rencana"))</f>
        <v>Rencana</v>
      </c>
      <c r="C1338" s="18" t="s">
        <v>161</v>
      </c>
      <c r="D1338" s="18" t="s">
        <v>161</v>
      </c>
      <c r="E1338" s="29" t="n">
        <f aca="false">J1337</f>
        <v>0</v>
      </c>
      <c r="F1338" s="28"/>
      <c r="G1338" s="30" t="n">
        <v>0</v>
      </c>
      <c r="H1338" s="28"/>
      <c r="I1338" s="28"/>
      <c r="J1338" s="29" t="n">
        <f aca="false">E1338+F1338+G1338-H1338-I1338</f>
        <v>0</v>
      </c>
      <c r="K1338" s="29" t="n">
        <f aca="false">ROUND(E1338+F1338+G1338-H1338-I1338-J1338,1)</f>
        <v>0</v>
      </c>
    </row>
    <row r="1339" customFormat="false" ht="15" hidden="false" customHeight="false" outlineLevel="0" collapsed="false">
      <c r="A1339" s="25" t="n">
        <v>46265</v>
      </c>
      <c r="B1339" s="23" t="str">
        <f aca="false">IF(A1339="","",IF(A1339&lt;=profil!$B$9,"Realisasi","Rencana"))</f>
        <v>Rencana</v>
      </c>
      <c r="C1339" s="18" t="s">
        <v>161</v>
      </c>
      <c r="D1339" s="18" t="s">
        <v>161</v>
      </c>
      <c r="E1339" s="29" t="n">
        <f aca="false">J1338</f>
        <v>0</v>
      </c>
      <c r="F1339" s="28"/>
      <c r="G1339" s="30" t="n">
        <v>0</v>
      </c>
      <c r="H1339" s="28"/>
      <c r="I1339" s="28"/>
      <c r="J1339" s="29" t="n">
        <f aca="false">E1339+F1339+G1339-H1339-I1339</f>
        <v>0</v>
      </c>
      <c r="K1339" s="29" t="n">
        <f aca="false">ROUND(E1339+F1339+G1339-H1339-I1339-J1339,1)</f>
        <v>0</v>
      </c>
    </row>
    <row r="1340" customFormat="false" ht="15" hidden="false" customHeight="false" outlineLevel="0" collapsed="false">
      <c r="A1340" s="25" t="n">
        <v>46266</v>
      </c>
      <c r="B1340" s="23" t="str">
        <f aca="false">IF(A1340="","",IF(A1340&lt;=profil!$B$9,"Realisasi","Rencana"))</f>
        <v>Rencana</v>
      </c>
      <c r="C1340" s="18" t="s">
        <v>161</v>
      </c>
      <c r="D1340" s="18" t="s">
        <v>161</v>
      </c>
      <c r="E1340" s="29" t="n">
        <f aca="false">J1339</f>
        <v>0</v>
      </c>
      <c r="F1340" s="28"/>
      <c r="G1340" s="30" t="n">
        <v>0</v>
      </c>
      <c r="H1340" s="28"/>
      <c r="I1340" s="28"/>
      <c r="J1340" s="29" t="n">
        <f aca="false">E1340+F1340+G1340-H1340-I1340</f>
        <v>0</v>
      </c>
      <c r="K1340" s="29" t="n">
        <f aca="false">ROUND(E1340+F1340+G1340-H1340-I1340-J1340,1)</f>
        <v>0</v>
      </c>
    </row>
    <row r="1341" customFormat="false" ht="15" hidden="false" customHeight="false" outlineLevel="0" collapsed="false">
      <c r="A1341" s="25" t="n">
        <v>46267</v>
      </c>
      <c r="B1341" s="23" t="str">
        <f aca="false">IF(A1341="","",IF(A1341&lt;=profil!$B$9,"Realisasi","Rencana"))</f>
        <v>Rencana</v>
      </c>
      <c r="C1341" s="18" t="s">
        <v>161</v>
      </c>
      <c r="D1341" s="18" t="s">
        <v>161</v>
      </c>
      <c r="E1341" s="29" t="n">
        <f aca="false">J1340</f>
        <v>0</v>
      </c>
      <c r="F1341" s="28"/>
      <c r="G1341" s="30" t="n">
        <v>0</v>
      </c>
      <c r="H1341" s="28"/>
      <c r="I1341" s="28"/>
      <c r="J1341" s="29" t="n">
        <f aca="false">E1341+F1341+G1341-H1341-I1341</f>
        <v>0</v>
      </c>
      <c r="K1341" s="29" t="n">
        <f aca="false">ROUND(E1341+F1341+G1341-H1341-I1341-J1341,1)</f>
        <v>0</v>
      </c>
    </row>
    <row r="1342" customFormat="false" ht="15" hidden="false" customHeight="false" outlineLevel="0" collapsed="false">
      <c r="A1342" s="25" t="n">
        <v>46268</v>
      </c>
      <c r="B1342" s="23" t="str">
        <f aca="false">IF(A1342="","",IF(A1342&lt;=profil!$B$9,"Realisasi","Rencana"))</f>
        <v>Rencana</v>
      </c>
      <c r="C1342" s="18" t="s">
        <v>161</v>
      </c>
      <c r="D1342" s="18" t="s">
        <v>161</v>
      </c>
      <c r="E1342" s="29" t="n">
        <f aca="false">J1341</f>
        <v>0</v>
      </c>
      <c r="F1342" s="28"/>
      <c r="G1342" s="30" t="n">
        <v>0</v>
      </c>
      <c r="H1342" s="28"/>
      <c r="I1342" s="28"/>
      <c r="J1342" s="29" t="n">
        <f aca="false">E1342+F1342+G1342-H1342-I1342</f>
        <v>0</v>
      </c>
      <c r="K1342" s="29" t="n">
        <f aca="false">ROUND(E1342+F1342+G1342-H1342-I1342-J1342,1)</f>
        <v>0</v>
      </c>
    </row>
    <row r="1343" customFormat="false" ht="15" hidden="false" customHeight="false" outlineLevel="0" collapsed="false">
      <c r="A1343" s="25" t="n">
        <v>46269</v>
      </c>
      <c r="B1343" s="23" t="str">
        <f aca="false">IF(A1343="","",IF(A1343&lt;=profil!$B$9,"Realisasi","Rencana"))</f>
        <v>Rencana</v>
      </c>
      <c r="C1343" s="18" t="s">
        <v>161</v>
      </c>
      <c r="D1343" s="18" t="s">
        <v>161</v>
      </c>
      <c r="E1343" s="29" t="n">
        <f aca="false">J1342</f>
        <v>0</v>
      </c>
      <c r="F1343" s="28"/>
      <c r="G1343" s="30" t="n">
        <v>0</v>
      </c>
      <c r="H1343" s="28"/>
      <c r="I1343" s="28"/>
      <c r="J1343" s="29" t="n">
        <f aca="false">E1343+F1343+G1343-H1343-I1343</f>
        <v>0</v>
      </c>
      <c r="K1343" s="29" t="n">
        <f aca="false">ROUND(E1343+F1343+G1343-H1343-I1343-J1343,1)</f>
        <v>0</v>
      </c>
    </row>
    <row r="1344" customFormat="false" ht="15" hidden="false" customHeight="false" outlineLevel="0" collapsed="false">
      <c r="A1344" s="25" t="n">
        <v>46270</v>
      </c>
      <c r="B1344" s="23" t="str">
        <f aca="false">IF(A1344="","",IF(A1344&lt;=profil!$B$9,"Realisasi","Rencana"))</f>
        <v>Rencana</v>
      </c>
      <c r="C1344" s="18" t="s">
        <v>161</v>
      </c>
      <c r="D1344" s="18" t="s">
        <v>161</v>
      </c>
      <c r="E1344" s="29" t="n">
        <f aca="false">J1343</f>
        <v>0</v>
      </c>
      <c r="F1344" s="28"/>
      <c r="G1344" s="30" t="n">
        <v>0</v>
      </c>
      <c r="H1344" s="28"/>
      <c r="I1344" s="28"/>
      <c r="J1344" s="29" t="n">
        <f aca="false">E1344+F1344+G1344-H1344-I1344</f>
        <v>0</v>
      </c>
      <c r="K1344" s="29" t="n">
        <f aca="false">ROUND(E1344+F1344+G1344-H1344-I1344-J1344,1)</f>
        <v>0</v>
      </c>
    </row>
    <row r="1345" customFormat="false" ht="15" hidden="false" customHeight="false" outlineLevel="0" collapsed="false">
      <c r="A1345" s="25" t="n">
        <v>46271</v>
      </c>
      <c r="B1345" s="23" t="str">
        <f aca="false">IF(A1345="","",IF(A1345&lt;=profil!$B$9,"Realisasi","Rencana"))</f>
        <v>Rencana</v>
      </c>
      <c r="C1345" s="18" t="s">
        <v>161</v>
      </c>
      <c r="D1345" s="18" t="s">
        <v>161</v>
      </c>
      <c r="E1345" s="29" t="n">
        <f aca="false">J1344</f>
        <v>0</v>
      </c>
      <c r="F1345" s="28"/>
      <c r="G1345" s="30" t="n">
        <v>0</v>
      </c>
      <c r="H1345" s="28"/>
      <c r="I1345" s="28"/>
      <c r="J1345" s="29" t="n">
        <f aca="false">E1345+F1345+G1345-H1345-I1345</f>
        <v>0</v>
      </c>
      <c r="K1345" s="29" t="n">
        <f aca="false">ROUND(E1345+F1345+G1345-H1345-I1345-J1345,1)</f>
        <v>0</v>
      </c>
    </row>
    <row r="1346" customFormat="false" ht="15" hidden="false" customHeight="false" outlineLevel="0" collapsed="false">
      <c r="A1346" s="25" t="n">
        <v>46272</v>
      </c>
      <c r="B1346" s="23" t="str">
        <f aca="false">IF(A1346="","",IF(A1346&lt;=profil!$B$9,"Realisasi","Rencana"))</f>
        <v>Rencana</v>
      </c>
      <c r="C1346" s="18" t="s">
        <v>161</v>
      </c>
      <c r="D1346" s="18" t="s">
        <v>161</v>
      </c>
      <c r="E1346" s="29" t="n">
        <f aca="false">J1345</f>
        <v>0</v>
      </c>
      <c r="F1346" s="28"/>
      <c r="G1346" s="30" t="n">
        <v>0</v>
      </c>
      <c r="H1346" s="28"/>
      <c r="I1346" s="28"/>
      <c r="J1346" s="29" t="n">
        <f aca="false">E1346+F1346+G1346-H1346-I1346</f>
        <v>0</v>
      </c>
      <c r="K1346" s="29" t="n">
        <f aca="false">ROUND(E1346+F1346+G1346-H1346-I1346-J1346,1)</f>
        <v>0</v>
      </c>
    </row>
    <row r="1347" customFormat="false" ht="15" hidden="false" customHeight="false" outlineLevel="0" collapsed="false">
      <c r="A1347" s="25" t="n">
        <v>46273</v>
      </c>
      <c r="B1347" s="23" t="str">
        <f aca="false">IF(A1347="","",IF(A1347&lt;=profil!$B$9,"Realisasi","Rencana"))</f>
        <v>Rencana</v>
      </c>
      <c r="C1347" s="18" t="s">
        <v>161</v>
      </c>
      <c r="D1347" s="18" t="s">
        <v>161</v>
      </c>
      <c r="E1347" s="29" t="n">
        <f aca="false">J1346</f>
        <v>0</v>
      </c>
      <c r="F1347" s="28"/>
      <c r="G1347" s="30" t="n">
        <v>0</v>
      </c>
      <c r="H1347" s="28"/>
      <c r="I1347" s="28"/>
      <c r="J1347" s="29" t="n">
        <f aca="false">E1347+F1347+G1347-H1347-I1347</f>
        <v>0</v>
      </c>
      <c r="K1347" s="29" t="n">
        <f aca="false">ROUND(E1347+F1347+G1347-H1347-I1347-J1347,1)</f>
        <v>0</v>
      </c>
    </row>
    <row r="1348" customFormat="false" ht="15" hidden="false" customHeight="false" outlineLevel="0" collapsed="false">
      <c r="A1348" s="25" t="n">
        <v>46274</v>
      </c>
      <c r="B1348" s="23" t="str">
        <f aca="false">IF(A1348="","",IF(A1348&lt;=profil!$B$9,"Realisasi","Rencana"))</f>
        <v>Rencana</v>
      </c>
      <c r="C1348" s="18" t="s">
        <v>161</v>
      </c>
      <c r="D1348" s="18" t="s">
        <v>161</v>
      </c>
      <c r="E1348" s="29" t="n">
        <f aca="false">J1347</f>
        <v>0</v>
      </c>
      <c r="F1348" s="28"/>
      <c r="G1348" s="30" t="n">
        <v>0</v>
      </c>
      <c r="H1348" s="28"/>
      <c r="I1348" s="28"/>
      <c r="J1348" s="29" t="n">
        <f aca="false">E1348+F1348+G1348-H1348-I1348</f>
        <v>0</v>
      </c>
      <c r="K1348" s="29" t="n">
        <f aca="false">ROUND(E1348+F1348+G1348-H1348-I1348-J1348,1)</f>
        <v>0</v>
      </c>
    </row>
    <row r="1349" customFormat="false" ht="15" hidden="false" customHeight="false" outlineLevel="0" collapsed="false">
      <c r="A1349" s="25" t="n">
        <v>46275</v>
      </c>
      <c r="B1349" s="23" t="str">
        <f aca="false">IF(A1349="","",IF(A1349&lt;=profil!$B$9,"Realisasi","Rencana"))</f>
        <v>Rencana</v>
      </c>
      <c r="C1349" s="18" t="s">
        <v>161</v>
      </c>
      <c r="D1349" s="18" t="s">
        <v>161</v>
      </c>
      <c r="E1349" s="29" t="n">
        <f aca="false">J1348</f>
        <v>0</v>
      </c>
      <c r="F1349" s="28"/>
      <c r="G1349" s="30" t="n">
        <v>0</v>
      </c>
      <c r="H1349" s="28"/>
      <c r="I1349" s="28"/>
      <c r="J1349" s="29" t="n">
        <f aca="false">E1349+F1349+G1349-H1349-I1349</f>
        <v>0</v>
      </c>
      <c r="K1349" s="29" t="n">
        <f aca="false">ROUND(E1349+F1349+G1349-H1349-I1349-J1349,1)</f>
        <v>0</v>
      </c>
    </row>
    <row r="1350" customFormat="false" ht="15" hidden="false" customHeight="false" outlineLevel="0" collapsed="false">
      <c r="A1350" s="25" t="n">
        <v>46276</v>
      </c>
      <c r="B1350" s="23" t="str">
        <f aca="false">IF(A1350="","",IF(A1350&lt;=profil!$B$9,"Realisasi","Rencana"))</f>
        <v>Rencana</v>
      </c>
      <c r="C1350" s="18" t="s">
        <v>161</v>
      </c>
      <c r="D1350" s="18" t="s">
        <v>161</v>
      </c>
      <c r="E1350" s="29" t="n">
        <f aca="false">J1349</f>
        <v>0</v>
      </c>
      <c r="F1350" s="28"/>
      <c r="G1350" s="30" t="n">
        <v>0</v>
      </c>
      <c r="H1350" s="28"/>
      <c r="I1350" s="28"/>
      <c r="J1350" s="29" t="n">
        <f aca="false">E1350+F1350+G1350-H1350-I1350</f>
        <v>0</v>
      </c>
      <c r="K1350" s="29" t="n">
        <f aca="false">ROUND(E1350+F1350+G1350-H1350-I1350-J1350,1)</f>
        <v>0</v>
      </c>
    </row>
    <row r="1351" customFormat="false" ht="15" hidden="false" customHeight="false" outlineLevel="0" collapsed="false">
      <c r="A1351" s="25" t="n">
        <v>46277</v>
      </c>
      <c r="B1351" s="23" t="str">
        <f aca="false">IF(A1351="","",IF(A1351&lt;=profil!$B$9,"Realisasi","Rencana"))</f>
        <v>Rencana</v>
      </c>
      <c r="C1351" s="18" t="s">
        <v>161</v>
      </c>
      <c r="D1351" s="18" t="s">
        <v>161</v>
      </c>
      <c r="E1351" s="29" t="n">
        <f aca="false">J1350</f>
        <v>0</v>
      </c>
      <c r="F1351" s="28"/>
      <c r="G1351" s="30" t="n">
        <v>0</v>
      </c>
      <c r="H1351" s="28"/>
      <c r="I1351" s="28"/>
      <c r="J1351" s="29" t="n">
        <f aca="false">E1351+F1351+G1351-H1351-I1351</f>
        <v>0</v>
      </c>
      <c r="K1351" s="29" t="n">
        <f aca="false">ROUND(E1351+F1351+G1351-H1351-I1351-J1351,1)</f>
        <v>0</v>
      </c>
    </row>
    <row r="1352" customFormat="false" ht="15" hidden="false" customHeight="false" outlineLevel="0" collapsed="false">
      <c r="A1352" s="25" t="n">
        <v>46278</v>
      </c>
      <c r="B1352" s="23" t="str">
        <f aca="false">IF(A1352="","",IF(A1352&lt;=profil!$B$9,"Realisasi","Rencana"))</f>
        <v>Rencana</v>
      </c>
      <c r="C1352" s="18" t="s">
        <v>161</v>
      </c>
      <c r="D1352" s="18" t="s">
        <v>161</v>
      </c>
      <c r="E1352" s="29" t="n">
        <f aca="false">J1351</f>
        <v>0</v>
      </c>
      <c r="F1352" s="28"/>
      <c r="G1352" s="30" t="n">
        <v>0</v>
      </c>
      <c r="H1352" s="28"/>
      <c r="I1352" s="28"/>
      <c r="J1352" s="29" t="n">
        <f aca="false">E1352+F1352+G1352-H1352-I1352</f>
        <v>0</v>
      </c>
      <c r="K1352" s="29" t="n">
        <f aca="false">ROUND(E1352+F1352+G1352-H1352-I1352-J1352,1)</f>
        <v>0</v>
      </c>
    </row>
    <row r="1353" customFormat="false" ht="15" hidden="false" customHeight="false" outlineLevel="0" collapsed="false">
      <c r="A1353" s="25" t="n">
        <v>46279</v>
      </c>
      <c r="B1353" s="23" t="str">
        <f aca="false">IF(A1353="","",IF(A1353&lt;=profil!$B$9,"Realisasi","Rencana"))</f>
        <v>Rencana</v>
      </c>
      <c r="C1353" s="18" t="s">
        <v>161</v>
      </c>
      <c r="D1353" s="18" t="s">
        <v>161</v>
      </c>
      <c r="E1353" s="29" t="n">
        <f aca="false">J1352</f>
        <v>0</v>
      </c>
      <c r="F1353" s="28"/>
      <c r="G1353" s="30" t="n">
        <v>0</v>
      </c>
      <c r="H1353" s="28"/>
      <c r="I1353" s="28"/>
      <c r="J1353" s="29" t="n">
        <f aca="false">E1353+F1353+G1353-H1353-I1353</f>
        <v>0</v>
      </c>
      <c r="K1353" s="29" t="n">
        <f aca="false">ROUND(E1353+F1353+G1353-H1353-I1353-J1353,1)</f>
        <v>0</v>
      </c>
    </row>
    <row r="1354" customFormat="false" ht="15" hidden="false" customHeight="false" outlineLevel="0" collapsed="false">
      <c r="A1354" s="25" t="n">
        <v>46280</v>
      </c>
      <c r="B1354" s="23" t="str">
        <f aca="false">IF(A1354="","",IF(A1354&lt;=profil!$B$9,"Realisasi","Rencana"))</f>
        <v>Rencana</v>
      </c>
      <c r="C1354" s="18" t="s">
        <v>161</v>
      </c>
      <c r="D1354" s="18" t="s">
        <v>161</v>
      </c>
      <c r="E1354" s="29" t="n">
        <f aca="false">J1353</f>
        <v>0</v>
      </c>
      <c r="F1354" s="28"/>
      <c r="G1354" s="30" t="n">
        <v>0</v>
      </c>
      <c r="H1354" s="28"/>
      <c r="I1354" s="28"/>
      <c r="J1354" s="29" t="n">
        <f aca="false">E1354+F1354+G1354-H1354-I1354</f>
        <v>0</v>
      </c>
      <c r="K1354" s="29" t="n">
        <f aca="false">ROUND(E1354+F1354+G1354-H1354-I1354-J1354,1)</f>
        <v>0</v>
      </c>
    </row>
    <row r="1355" customFormat="false" ht="15" hidden="false" customHeight="false" outlineLevel="0" collapsed="false">
      <c r="A1355" s="25" t="n">
        <v>46281</v>
      </c>
      <c r="B1355" s="23" t="str">
        <f aca="false">IF(A1355="","",IF(A1355&lt;=profil!$B$9,"Realisasi","Rencana"))</f>
        <v>Rencana</v>
      </c>
      <c r="C1355" s="18" t="s">
        <v>161</v>
      </c>
      <c r="D1355" s="18" t="s">
        <v>161</v>
      </c>
      <c r="E1355" s="29" t="n">
        <f aca="false">J1354</f>
        <v>0</v>
      </c>
      <c r="F1355" s="28"/>
      <c r="G1355" s="30" t="n">
        <v>0</v>
      </c>
      <c r="H1355" s="28"/>
      <c r="I1355" s="28"/>
      <c r="J1355" s="29" t="n">
        <f aca="false">E1355+F1355+G1355-H1355-I1355</f>
        <v>0</v>
      </c>
      <c r="K1355" s="29" t="n">
        <f aca="false">ROUND(E1355+F1355+G1355-H1355-I1355-J1355,1)</f>
        <v>0</v>
      </c>
    </row>
    <row r="1356" customFormat="false" ht="15" hidden="false" customHeight="false" outlineLevel="0" collapsed="false">
      <c r="A1356" s="25" t="n">
        <v>46282</v>
      </c>
      <c r="B1356" s="23" t="str">
        <f aca="false">IF(A1356="","",IF(A1356&lt;=profil!$B$9,"Realisasi","Rencana"))</f>
        <v>Rencana</v>
      </c>
      <c r="C1356" s="18" t="s">
        <v>161</v>
      </c>
      <c r="D1356" s="18" t="s">
        <v>161</v>
      </c>
      <c r="E1356" s="29" t="n">
        <f aca="false">J1355</f>
        <v>0</v>
      </c>
      <c r="F1356" s="28"/>
      <c r="G1356" s="30" t="n">
        <v>0</v>
      </c>
      <c r="H1356" s="28"/>
      <c r="I1356" s="28"/>
      <c r="J1356" s="29" t="n">
        <f aca="false">E1356+F1356+G1356-H1356-I1356</f>
        <v>0</v>
      </c>
      <c r="K1356" s="29" t="n">
        <f aca="false">ROUND(E1356+F1356+G1356-H1356-I1356-J1356,1)</f>
        <v>0</v>
      </c>
    </row>
    <row r="1357" customFormat="false" ht="15" hidden="false" customHeight="false" outlineLevel="0" collapsed="false">
      <c r="A1357" s="25" t="n">
        <v>46283</v>
      </c>
      <c r="B1357" s="23" t="str">
        <f aca="false">IF(A1357="","",IF(A1357&lt;=profil!$B$9,"Realisasi","Rencana"))</f>
        <v>Rencana</v>
      </c>
      <c r="C1357" s="18" t="s">
        <v>161</v>
      </c>
      <c r="D1357" s="18" t="s">
        <v>161</v>
      </c>
      <c r="E1357" s="29" t="n">
        <f aca="false">J1356</f>
        <v>0</v>
      </c>
      <c r="F1357" s="28"/>
      <c r="G1357" s="30" t="n">
        <v>0</v>
      </c>
      <c r="H1357" s="28"/>
      <c r="I1357" s="28"/>
      <c r="J1357" s="29" t="n">
        <f aca="false">E1357+F1357+G1357-H1357-I1357</f>
        <v>0</v>
      </c>
      <c r="K1357" s="29" t="n">
        <f aca="false">ROUND(E1357+F1357+G1357-H1357-I1357-J1357,1)</f>
        <v>0</v>
      </c>
    </row>
    <row r="1358" customFormat="false" ht="15" hidden="false" customHeight="false" outlineLevel="0" collapsed="false">
      <c r="A1358" s="25" t="n">
        <v>46284</v>
      </c>
      <c r="B1358" s="23" t="str">
        <f aca="false">IF(A1358="","",IF(A1358&lt;=profil!$B$9,"Realisasi","Rencana"))</f>
        <v>Rencana</v>
      </c>
      <c r="C1358" s="18" t="s">
        <v>161</v>
      </c>
      <c r="D1358" s="18" t="s">
        <v>161</v>
      </c>
      <c r="E1358" s="29" t="n">
        <f aca="false">J1357</f>
        <v>0</v>
      </c>
      <c r="F1358" s="28"/>
      <c r="G1358" s="30" t="n">
        <v>0</v>
      </c>
      <c r="H1358" s="28"/>
      <c r="I1358" s="28"/>
      <c r="J1358" s="29" t="n">
        <f aca="false">E1358+F1358+G1358-H1358-I1358</f>
        <v>0</v>
      </c>
      <c r="K1358" s="29" t="n">
        <f aca="false">ROUND(E1358+F1358+G1358-H1358-I1358-J1358,1)</f>
        <v>0</v>
      </c>
    </row>
    <row r="1359" customFormat="false" ht="15" hidden="false" customHeight="false" outlineLevel="0" collapsed="false">
      <c r="A1359" s="25" t="n">
        <v>46285</v>
      </c>
      <c r="B1359" s="23" t="str">
        <f aca="false">IF(A1359="","",IF(A1359&lt;=profil!$B$9,"Realisasi","Rencana"))</f>
        <v>Rencana</v>
      </c>
      <c r="C1359" s="18" t="s">
        <v>161</v>
      </c>
      <c r="D1359" s="18" t="s">
        <v>161</v>
      </c>
      <c r="E1359" s="29" t="n">
        <f aca="false">J1358</f>
        <v>0</v>
      </c>
      <c r="F1359" s="28"/>
      <c r="G1359" s="30" t="n">
        <v>0</v>
      </c>
      <c r="H1359" s="28"/>
      <c r="I1359" s="28"/>
      <c r="J1359" s="29" t="n">
        <f aca="false">E1359+F1359+G1359-H1359-I1359</f>
        <v>0</v>
      </c>
      <c r="K1359" s="29" t="n">
        <f aca="false">ROUND(E1359+F1359+G1359-H1359-I1359-J1359,1)</f>
        <v>0</v>
      </c>
    </row>
    <row r="1360" customFormat="false" ht="15" hidden="false" customHeight="false" outlineLevel="0" collapsed="false">
      <c r="A1360" s="25" t="n">
        <v>46286</v>
      </c>
      <c r="B1360" s="23" t="str">
        <f aca="false">IF(A1360="","",IF(A1360&lt;=profil!$B$9,"Realisasi","Rencana"))</f>
        <v>Rencana</v>
      </c>
      <c r="C1360" s="18" t="s">
        <v>161</v>
      </c>
      <c r="D1360" s="18" t="s">
        <v>161</v>
      </c>
      <c r="E1360" s="29" t="n">
        <f aca="false">J1359</f>
        <v>0</v>
      </c>
      <c r="F1360" s="28"/>
      <c r="G1360" s="30" t="n">
        <v>0</v>
      </c>
      <c r="H1360" s="28"/>
      <c r="I1360" s="28"/>
      <c r="J1360" s="29" t="n">
        <f aca="false">E1360+F1360+G1360-H1360-I1360</f>
        <v>0</v>
      </c>
      <c r="K1360" s="29" t="n">
        <f aca="false">ROUND(E1360+F1360+G1360-H1360-I1360-J1360,1)</f>
        <v>0</v>
      </c>
    </row>
    <row r="1361" customFormat="false" ht="15" hidden="false" customHeight="false" outlineLevel="0" collapsed="false">
      <c r="A1361" s="25" t="n">
        <v>46287</v>
      </c>
      <c r="B1361" s="23" t="str">
        <f aca="false">IF(A1361="","",IF(A1361&lt;=profil!$B$9,"Realisasi","Rencana"))</f>
        <v>Rencana</v>
      </c>
      <c r="C1361" s="18" t="s">
        <v>161</v>
      </c>
      <c r="D1361" s="18" t="s">
        <v>161</v>
      </c>
      <c r="E1361" s="29" t="n">
        <f aca="false">J1360</f>
        <v>0</v>
      </c>
      <c r="F1361" s="28"/>
      <c r="G1361" s="30" t="n">
        <v>0</v>
      </c>
      <c r="H1361" s="28"/>
      <c r="I1361" s="28"/>
      <c r="J1361" s="29" t="n">
        <f aca="false">E1361+F1361+G1361-H1361-I1361</f>
        <v>0</v>
      </c>
      <c r="K1361" s="29" t="n">
        <f aca="false">ROUND(E1361+F1361+G1361-H1361-I1361-J1361,1)</f>
        <v>0</v>
      </c>
    </row>
    <row r="1362" customFormat="false" ht="15" hidden="false" customHeight="false" outlineLevel="0" collapsed="false">
      <c r="A1362" s="25" t="n">
        <v>46288</v>
      </c>
      <c r="B1362" s="23" t="str">
        <f aca="false">IF(A1362="","",IF(A1362&lt;=profil!$B$9,"Realisasi","Rencana"))</f>
        <v>Rencana</v>
      </c>
      <c r="C1362" s="18" t="s">
        <v>161</v>
      </c>
      <c r="D1362" s="18" t="s">
        <v>161</v>
      </c>
      <c r="E1362" s="29" t="n">
        <f aca="false">J1361</f>
        <v>0</v>
      </c>
      <c r="F1362" s="28"/>
      <c r="G1362" s="30" t="n">
        <v>0</v>
      </c>
      <c r="H1362" s="28"/>
      <c r="I1362" s="28"/>
      <c r="J1362" s="29" t="n">
        <f aca="false">E1362+F1362+G1362-H1362-I1362</f>
        <v>0</v>
      </c>
      <c r="K1362" s="29" t="n">
        <f aca="false">ROUND(E1362+F1362+G1362-H1362-I1362-J1362,1)</f>
        <v>0</v>
      </c>
    </row>
    <row r="1363" customFormat="false" ht="15" hidden="false" customHeight="false" outlineLevel="0" collapsed="false">
      <c r="A1363" s="25" t="n">
        <v>46289</v>
      </c>
      <c r="B1363" s="23" t="str">
        <f aca="false">IF(A1363="","",IF(A1363&lt;=profil!$B$9,"Realisasi","Rencana"))</f>
        <v>Rencana</v>
      </c>
      <c r="C1363" s="18" t="s">
        <v>161</v>
      </c>
      <c r="D1363" s="18" t="s">
        <v>161</v>
      </c>
      <c r="E1363" s="29" t="n">
        <f aca="false">J1362</f>
        <v>0</v>
      </c>
      <c r="F1363" s="28"/>
      <c r="G1363" s="30" t="n">
        <v>0</v>
      </c>
      <c r="H1363" s="28"/>
      <c r="I1363" s="28"/>
      <c r="J1363" s="29" t="n">
        <f aca="false">E1363+F1363+G1363-H1363-I1363</f>
        <v>0</v>
      </c>
      <c r="K1363" s="29" t="n">
        <f aca="false">ROUND(E1363+F1363+G1363-H1363-I1363-J1363,1)</f>
        <v>0</v>
      </c>
    </row>
    <row r="1364" customFormat="false" ht="15" hidden="false" customHeight="false" outlineLevel="0" collapsed="false">
      <c r="A1364" s="25" t="n">
        <v>46290</v>
      </c>
      <c r="B1364" s="23" t="str">
        <f aca="false">IF(A1364="","",IF(A1364&lt;=profil!$B$9,"Realisasi","Rencana"))</f>
        <v>Rencana</v>
      </c>
      <c r="C1364" s="18" t="s">
        <v>161</v>
      </c>
      <c r="D1364" s="18" t="s">
        <v>161</v>
      </c>
      <c r="E1364" s="29" t="n">
        <f aca="false">J1363</f>
        <v>0</v>
      </c>
      <c r="F1364" s="28"/>
      <c r="G1364" s="30" t="n">
        <v>0</v>
      </c>
      <c r="H1364" s="28"/>
      <c r="I1364" s="28"/>
      <c r="J1364" s="29" t="n">
        <f aca="false">E1364+F1364+G1364-H1364-I1364</f>
        <v>0</v>
      </c>
      <c r="K1364" s="29" t="n">
        <f aca="false">ROUND(E1364+F1364+G1364-H1364-I1364-J1364,1)</f>
        <v>0</v>
      </c>
    </row>
    <row r="1365" customFormat="false" ht="15" hidden="false" customHeight="false" outlineLevel="0" collapsed="false">
      <c r="A1365" s="25" t="n">
        <v>46291</v>
      </c>
      <c r="B1365" s="23" t="str">
        <f aca="false">IF(A1365="","",IF(A1365&lt;=profil!$B$9,"Realisasi","Rencana"))</f>
        <v>Rencana</v>
      </c>
      <c r="C1365" s="18" t="s">
        <v>161</v>
      </c>
      <c r="D1365" s="18" t="s">
        <v>161</v>
      </c>
      <c r="E1365" s="29" t="n">
        <f aca="false">J1364</f>
        <v>0</v>
      </c>
      <c r="F1365" s="28"/>
      <c r="G1365" s="30" t="n">
        <v>0</v>
      </c>
      <c r="H1365" s="28"/>
      <c r="I1365" s="28"/>
      <c r="J1365" s="29" t="n">
        <f aca="false">E1365+F1365+G1365-H1365-I1365</f>
        <v>0</v>
      </c>
      <c r="K1365" s="29" t="n">
        <f aca="false">ROUND(E1365+F1365+G1365-H1365-I1365-J1365,1)</f>
        <v>0</v>
      </c>
    </row>
    <row r="1366" customFormat="false" ht="15" hidden="false" customHeight="false" outlineLevel="0" collapsed="false">
      <c r="A1366" s="25" t="n">
        <v>46292</v>
      </c>
      <c r="B1366" s="23" t="str">
        <f aca="false">IF(A1366="","",IF(A1366&lt;=profil!$B$9,"Realisasi","Rencana"))</f>
        <v>Rencana</v>
      </c>
      <c r="C1366" s="18" t="s">
        <v>161</v>
      </c>
      <c r="D1366" s="18" t="s">
        <v>161</v>
      </c>
      <c r="E1366" s="29" t="n">
        <f aca="false">J1365</f>
        <v>0</v>
      </c>
      <c r="F1366" s="28"/>
      <c r="G1366" s="30" t="n">
        <v>0</v>
      </c>
      <c r="H1366" s="28"/>
      <c r="I1366" s="28"/>
      <c r="J1366" s="29" t="n">
        <f aca="false">E1366+F1366+G1366-H1366-I1366</f>
        <v>0</v>
      </c>
      <c r="K1366" s="29" t="n">
        <f aca="false">ROUND(E1366+F1366+G1366-H1366-I1366-J1366,1)</f>
        <v>0</v>
      </c>
    </row>
    <row r="1367" customFormat="false" ht="15" hidden="false" customHeight="false" outlineLevel="0" collapsed="false">
      <c r="A1367" s="25" t="n">
        <v>46293</v>
      </c>
      <c r="B1367" s="23" t="str">
        <f aca="false">IF(A1367="","",IF(A1367&lt;=profil!$B$9,"Realisasi","Rencana"))</f>
        <v>Rencana</v>
      </c>
      <c r="C1367" s="18" t="s">
        <v>161</v>
      </c>
      <c r="D1367" s="18" t="s">
        <v>161</v>
      </c>
      <c r="E1367" s="29" t="n">
        <f aca="false">J1366</f>
        <v>0</v>
      </c>
      <c r="F1367" s="28"/>
      <c r="G1367" s="30" t="n">
        <v>0</v>
      </c>
      <c r="H1367" s="28"/>
      <c r="I1367" s="28"/>
      <c r="J1367" s="29" t="n">
        <f aca="false">E1367+F1367+G1367-H1367-I1367</f>
        <v>0</v>
      </c>
      <c r="K1367" s="29" t="n">
        <f aca="false">ROUND(E1367+F1367+G1367-H1367-I1367-J1367,1)</f>
        <v>0</v>
      </c>
    </row>
    <row r="1368" customFormat="false" ht="15" hidden="false" customHeight="false" outlineLevel="0" collapsed="false">
      <c r="A1368" s="25" t="n">
        <v>46294</v>
      </c>
      <c r="B1368" s="23" t="str">
        <f aca="false">IF(A1368="","",IF(A1368&lt;=profil!$B$9,"Realisasi","Rencana"))</f>
        <v>Rencana</v>
      </c>
      <c r="C1368" s="18" t="s">
        <v>161</v>
      </c>
      <c r="D1368" s="18" t="s">
        <v>161</v>
      </c>
      <c r="E1368" s="29" t="n">
        <f aca="false">J1367</f>
        <v>0</v>
      </c>
      <c r="F1368" s="28"/>
      <c r="G1368" s="30" t="n">
        <v>0</v>
      </c>
      <c r="H1368" s="28"/>
      <c r="I1368" s="28"/>
      <c r="J1368" s="29" t="n">
        <f aca="false">E1368+F1368+G1368-H1368-I1368</f>
        <v>0</v>
      </c>
      <c r="K1368" s="29" t="n">
        <f aca="false">ROUND(E1368+F1368+G1368-H1368-I1368-J1368,1)</f>
        <v>0</v>
      </c>
    </row>
    <row r="1369" customFormat="false" ht="15" hidden="false" customHeight="false" outlineLevel="0" collapsed="false">
      <c r="A1369" s="25" t="n">
        <v>46295</v>
      </c>
      <c r="B1369" s="23" t="str">
        <f aca="false">IF(A1369="","",IF(A1369&lt;=profil!$B$9,"Realisasi","Rencana"))</f>
        <v>Rencana</v>
      </c>
      <c r="C1369" s="18" t="s">
        <v>161</v>
      </c>
      <c r="D1369" s="18" t="s">
        <v>161</v>
      </c>
      <c r="E1369" s="29" t="n">
        <f aca="false">J1368</f>
        <v>0</v>
      </c>
      <c r="F1369" s="28"/>
      <c r="G1369" s="30" t="n">
        <v>0</v>
      </c>
      <c r="H1369" s="28"/>
      <c r="I1369" s="28"/>
      <c r="J1369" s="29" t="n">
        <f aca="false">E1369+F1369+G1369-H1369-I1369</f>
        <v>0</v>
      </c>
      <c r="K1369" s="29" t="n">
        <f aca="false">ROUND(E1369+F1369+G1369-H1369-I1369-J1369,1)</f>
        <v>0</v>
      </c>
    </row>
    <row r="1370" customFormat="false" ht="15" hidden="false" customHeight="false" outlineLevel="0" collapsed="false">
      <c r="A1370" s="25" t="n">
        <v>46296</v>
      </c>
      <c r="B1370" s="23" t="str">
        <f aca="false">IF(A1370="","",IF(A1370&lt;=profil!$B$9,"Realisasi","Rencana"))</f>
        <v>Rencana</v>
      </c>
      <c r="C1370" s="18" t="s">
        <v>161</v>
      </c>
      <c r="D1370" s="18" t="s">
        <v>161</v>
      </c>
      <c r="E1370" s="29" t="n">
        <f aca="false">J1369</f>
        <v>0</v>
      </c>
      <c r="F1370" s="28"/>
      <c r="G1370" s="30" t="n">
        <v>0</v>
      </c>
      <c r="H1370" s="28"/>
      <c r="I1370" s="28"/>
      <c r="J1370" s="29" t="n">
        <f aca="false">E1370+F1370+G1370-H1370-I1370</f>
        <v>0</v>
      </c>
      <c r="K1370" s="29" t="n">
        <f aca="false">ROUND(E1370+F1370+G1370-H1370-I1370-J1370,1)</f>
        <v>0</v>
      </c>
    </row>
    <row r="1371" customFormat="false" ht="15" hidden="false" customHeight="false" outlineLevel="0" collapsed="false">
      <c r="A1371" s="25" t="n">
        <v>46297</v>
      </c>
      <c r="B1371" s="23" t="str">
        <f aca="false">IF(A1371="","",IF(A1371&lt;=profil!$B$9,"Realisasi","Rencana"))</f>
        <v>Rencana</v>
      </c>
      <c r="C1371" s="18" t="s">
        <v>161</v>
      </c>
      <c r="D1371" s="18" t="s">
        <v>161</v>
      </c>
      <c r="E1371" s="29" t="n">
        <f aca="false">J1370</f>
        <v>0</v>
      </c>
      <c r="F1371" s="28"/>
      <c r="G1371" s="30" t="n">
        <v>0</v>
      </c>
      <c r="H1371" s="28"/>
      <c r="I1371" s="28"/>
      <c r="J1371" s="29" t="n">
        <f aca="false">E1371+F1371+G1371-H1371-I1371</f>
        <v>0</v>
      </c>
      <c r="K1371" s="29" t="n">
        <f aca="false">ROUND(E1371+F1371+G1371-H1371-I1371-J1371,1)</f>
        <v>0</v>
      </c>
    </row>
    <row r="1372" customFormat="false" ht="15" hidden="false" customHeight="false" outlineLevel="0" collapsed="false">
      <c r="A1372" s="25" t="n">
        <v>46298</v>
      </c>
      <c r="B1372" s="23" t="str">
        <f aca="false">IF(A1372="","",IF(A1372&lt;=profil!$B$9,"Realisasi","Rencana"))</f>
        <v>Rencana</v>
      </c>
      <c r="C1372" s="18" t="s">
        <v>161</v>
      </c>
      <c r="D1372" s="18" t="s">
        <v>161</v>
      </c>
      <c r="E1372" s="29" t="n">
        <f aca="false">J1371</f>
        <v>0</v>
      </c>
      <c r="F1372" s="28"/>
      <c r="G1372" s="30" t="n">
        <v>0</v>
      </c>
      <c r="H1372" s="28"/>
      <c r="I1372" s="28"/>
      <c r="J1372" s="29" t="n">
        <f aca="false">E1372+F1372+G1372-H1372-I1372</f>
        <v>0</v>
      </c>
      <c r="K1372" s="29" t="n">
        <f aca="false">ROUND(E1372+F1372+G1372-H1372-I1372-J1372,1)</f>
        <v>0</v>
      </c>
    </row>
    <row r="1373" customFormat="false" ht="15" hidden="false" customHeight="false" outlineLevel="0" collapsed="false">
      <c r="A1373" s="25" t="n">
        <v>46299</v>
      </c>
      <c r="B1373" s="23" t="str">
        <f aca="false">IF(A1373="","",IF(A1373&lt;=profil!$B$9,"Realisasi","Rencana"))</f>
        <v>Rencana</v>
      </c>
      <c r="C1373" s="18" t="s">
        <v>161</v>
      </c>
      <c r="D1373" s="18" t="s">
        <v>161</v>
      </c>
      <c r="E1373" s="29" t="n">
        <f aca="false">J1372</f>
        <v>0</v>
      </c>
      <c r="F1373" s="28"/>
      <c r="G1373" s="30" t="n">
        <v>0</v>
      </c>
      <c r="H1373" s="28"/>
      <c r="I1373" s="28"/>
      <c r="J1373" s="29" t="n">
        <f aca="false">E1373+F1373+G1373-H1373-I1373</f>
        <v>0</v>
      </c>
      <c r="K1373" s="29" t="n">
        <f aca="false">ROUND(E1373+F1373+G1373-H1373-I1373-J1373,1)</f>
        <v>0</v>
      </c>
    </row>
    <row r="1374" customFormat="false" ht="15" hidden="false" customHeight="false" outlineLevel="0" collapsed="false">
      <c r="A1374" s="25" t="n">
        <v>46300</v>
      </c>
      <c r="B1374" s="23" t="str">
        <f aca="false">IF(A1374="","",IF(A1374&lt;=profil!$B$9,"Realisasi","Rencana"))</f>
        <v>Rencana</v>
      </c>
      <c r="C1374" s="18" t="s">
        <v>161</v>
      </c>
      <c r="D1374" s="18" t="s">
        <v>161</v>
      </c>
      <c r="E1374" s="29" t="n">
        <f aca="false">J1373</f>
        <v>0</v>
      </c>
      <c r="F1374" s="28"/>
      <c r="G1374" s="30" t="n">
        <v>0</v>
      </c>
      <c r="H1374" s="28"/>
      <c r="I1374" s="28"/>
      <c r="J1374" s="29" t="n">
        <f aca="false">E1374+F1374+G1374-H1374-I1374</f>
        <v>0</v>
      </c>
      <c r="K1374" s="29" t="n">
        <f aca="false">ROUND(E1374+F1374+G1374-H1374-I1374-J1374,1)</f>
        <v>0</v>
      </c>
    </row>
    <row r="1375" customFormat="false" ht="15" hidden="false" customHeight="false" outlineLevel="0" collapsed="false">
      <c r="A1375" s="25" t="n">
        <v>46301</v>
      </c>
      <c r="B1375" s="23" t="str">
        <f aca="false">IF(A1375="","",IF(A1375&lt;=profil!$B$9,"Realisasi","Rencana"))</f>
        <v>Rencana</v>
      </c>
      <c r="C1375" s="18" t="s">
        <v>161</v>
      </c>
      <c r="D1375" s="18" t="s">
        <v>161</v>
      </c>
      <c r="E1375" s="29" t="n">
        <f aca="false">J1374</f>
        <v>0</v>
      </c>
      <c r="F1375" s="28"/>
      <c r="G1375" s="30" t="n">
        <v>0</v>
      </c>
      <c r="H1375" s="28"/>
      <c r="I1375" s="28"/>
      <c r="J1375" s="29" t="n">
        <f aca="false">E1375+F1375+G1375-H1375-I1375</f>
        <v>0</v>
      </c>
      <c r="K1375" s="29" t="n">
        <f aca="false">ROUND(E1375+F1375+G1375-H1375-I1375-J1375,1)</f>
        <v>0</v>
      </c>
    </row>
    <row r="1376" customFormat="false" ht="15" hidden="false" customHeight="false" outlineLevel="0" collapsed="false">
      <c r="A1376" s="25" t="n">
        <v>46302</v>
      </c>
      <c r="B1376" s="23" t="str">
        <f aca="false">IF(A1376="","",IF(A1376&lt;=profil!$B$9,"Realisasi","Rencana"))</f>
        <v>Rencana</v>
      </c>
      <c r="C1376" s="18" t="s">
        <v>161</v>
      </c>
      <c r="D1376" s="18" t="s">
        <v>161</v>
      </c>
      <c r="E1376" s="29" t="n">
        <f aca="false">J1375</f>
        <v>0</v>
      </c>
      <c r="F1376" s="28"/>
      <c r="G1376" s="30" t="n">
        <v>0</v>
      </c>
      <c r="H1376" s="28"/>
      <c r="I1376" s="28"/>
      <c r="J1376" s="29" t="n">
        <f aca="false">E1376+F1376+G1376-H1376-I1376</f>
        <v>0</v>
      </c>
      <c r="K1376" s="29" t="n">
        <f aca="false">ROUND(E1376+F1376+G1376-H1376-I1376-J1376,1)</f>
        <v>0</v>
      </c>
    </row>
    <row r="1377" customFormat="false" ht="15" hidden="false" customHeight="false" outlineLevel="0" collapsed="false">
      <c r="A1377" s="25" t="n">
        <v>46303</v>
      </c>
      <c r="B1377" s="23" t="str">
        <f aca="false">IF(A1377="","",IF(A1377&lt;=profil!$B$9,"Realisasi","Rencana"))</f>
        <v>Rencana</v>
      </c>
      <c r="C1377" s="18" t="s">
        <v>161</v>
      </c>
      <c r="D1377" s="18" t="s">
        <v>161</v>
      </c>
      <c r="E1377" s="29" t="n">
        <f aca="false">J1376</f>
        <v>0</v>
      </c>
      <c r="F1377" s="28"/>
      <c r="G1377" s="30" t="n">
        <v>0</v>
      </c>
      <c r="H1377" s="28"/>
      <c r="I1377" s="28"/>
      <c r="J1377" s="29" t="n">
        <f aca="false">E1377+F1377+G1377-H1377-I1377</f>
        <v>0</v>
      </c>
      <c r="K1377" s="29" t="n">
        <f aca="false">ROUND(E1377+F1377+G1377-H1377-I1377-J1377,1)</f>
        <v>0</v>
      </c>
    </row>
    <row r="1378" customFormat="false" ht="15" hidden="false" customHeight="false" outlineLevel="0" collapsed="false">
      <c r="A1378" s="25" t="n">
        <v>46304</v>
      </c>
      <c r="B1378" s="23" t="str">
        <f aca="false">IF(A1378="","",IF(A1378&lt;=profil!$B$9,"Realisasi","Rencana"))</f>
        <v>Rencana</v>
      </c>
      <c r="C1378" s="18" t="s">
        <v>161</v>
      </c>
      <c r="D1378" s="18" t="s">
        <v>161</v>
      </c>
      <c r="E1378" s="29" t="n">
        <f aca="false">J1377</f>
        <v>0</v>
      </c>
      <c r="F1378" s="28"/>
      <c r="G1378" s="30" t="n">
        <v>0</v>
      </c>
      <c r="H1378" s="28"/>
      <c r="I1378" s="28"/>
      <c r="J1378" s="29" t="n">
        <f aca="false">E1378+F1378+G1378-H1378-I1378</f>
        <v>0</v>
      </c>
      <c r="K1378" s="29" t="n">
        <f aca="false">ROUND(E1378+F1378+G1378-H1378-I1378-J1378,1)</f>
        <v>0</v>
      </c>
    </row>
    <row r="1379" customFormat="false" ht="15" hidden="false" customHeight="false" outlineLevel="0" collapsed="false">
      <c r="A1379" s="25" t="n">
        <v>46305</v>
      </c>
      <c r="B1379" s="23" t="str">
        <f aca="false">IF(A1379="","",IF(A1379&lt;=profil!$B$9,"Realisasi","Rencana"))</f>
        <v>Rencana</v>
      </c>
      <c r="C1379" s="18" t="s">
        <v>161</v>
      </c>
      <c r="D1379" s="18" t="s">
        <v>161</v>
      </c>
      <c r="E1379" s="29" t="n">
        <f aca="false">J1378</f>
        <v>0</v>
      </c>
      <c r="F1379" s="28"/>
      <c r="G1379" s="30" t="n">
        <v>0</v>
      </c>
      <c r="H1379" s="28"/>
      <c r="I1379" s="28"/>
      <c r="J1379" s="29" t="n">
        <f aca="false">E1379+F1379+G1379-H1379-I1379</f>
        <v>0</v>
      </c>
      <c r="K1379" s="29" t="n">
        <f aca="false">ROUND(E1379+F1379+G1379-H1379-I1379-J1379,1)</f>
        <v>0</v>
      </c>
    </row>
    <row r="1380" customFormat="false" ht="15" hidden="false" customHeight="false" outlineLevel="0" collapsed="false">
      <c r="A1380" s="25" t="n">
        <v>46306</v>
      </c>
      <c r="B1380" s="23" t="str">
        <f aca="false">IF(A1380="","",IF(A1380&lt;=profil!$B$9,"Realisasi","Rencana"))</f>
        <v>Rencana</v>
      </c>
      <c r="C1380" s="18" t="s">
        <v>161</v>
      </c>
      <c r="D1380" s="18" t="s">
        <v>161</v>
      </c>
      <c r="E1380" s="29" t="n">
        <f aca="false">J1379</f>
        <v>0</v>
      </c>
      <c r="F1380" s="28"/>
      <c r="G1380" s="30" t="n">
        <v>0</v>
      </c>
      <c r="H1380" s="28"/>
      <c r="I1380" s="28"/>
      <c r="J1380" s="29" t="n">
        <f aca="false">E1380+F1380+G1380-H1380-I1380</f>
        <v>0</v>
      </c>
      <c r="K1380" s="29" t="n">
        <f aca="false">ROUND(E1380+F1380+G1380-H1380-I1380-J1380,1)</f>
        <v>0</v>
      </c>
    </row>
    <row r="1381" customFormat="false" ht="15" hidden="false" customHeight="false" outlineLevel="0" collapsed="false">
      <c r="A1381" s="25" t="n">
        <v>46307</v>
      </c>
      <c r="B1381" s="23" t="str">
        <f aca="false">IF(A1381="","",IF(A1381&lt;=profil!$B$9,"Realisasi","Rencana"))</f>
        <v>Rencana</v>
      </c>
      <c r="C1381" s="18" t="s">
        <v>161</v>
      </c>
      <c r="D1381" s="18" t="s">
        <v>161</v>
      </c>
      <c r="E1381" s="29" t="n">
        <f aca="false">J1380</f>
        <v>0</v>
      </c>
      <c r="F1381" s="28"/>
      <c r="G1381" s="30" t="n">
        <v>0</v>
      </c>
      <c r="H1381" s="28"/>
      <c r="I1381" s="28"/>
      <c r="J1381" s="29" t="n">
        <f aca="false">E1381+F1381+G1381-H1381-I1381</f>
        <v>0</v>
      </c>
      <c r="K1381" s="29" t="n">
        <f aca="false">ROUND(E1381+F1381+G1381-H1381-I1381-J1381,1)</f>
        <v>0</v>
      </c>
    </row>
    <row r="1382" customFormat="false" ht="15" hidden="false" customHeight="false" outlineLevel="0" collapsed="false">
      <c r="A1382" s="25" t="n">
        <v>46308</v>
      </c>
      <c r="B1382" s="23" t="str">
        <f aca="false">IF(A1382="","",IF(A1382&lt;=profil!$B$9,"Realisasi","Rencana"))</f>
        <v>Rencana</v>
      </c>
      <c r="C1382" s="18" t="s">
        <v>161</v>
      </c>
      <c r="D1382" s="18" t="s">
        <v>161</v>
      </c>
      <c r="E1382" s="29" t="n">
        <f aca="false">J1381</f>
        <v>0</v>
      </c>
      <c r="F1382" s="28"/>
      <c r="G1382" s="30" t="n">
        <v>0</v>
      </c>
      <c r="H1382" s="28"/>
      <c r="I1382" s="28"/>
      <c r="J1382" s="29" t="n">
        <f aca="false">E1382+F1382+G1382-H1382-I1382</f>
        <v>0</v>
      </c>
      <c r="K1382" s="29" t="n">
        <f aca="false">ROUND(E1382+F1382+G1382-H1382-I1382-J1382,1)</f>
        <v>0</v>
      </c>
    </row>
    <row r="1383" customFormat="false" ht="15" hidden="false" customHeight="false" outlineLevel="0" collapsed="false">
      <c r="A1383" s="25" t="n">
        <v>46309</v>
      </c>
      <c r="B1383" s="23" t="str">
        <f aca="false">IF(A1383="","",IF(A1383&lt;=profil!$B$9,"Realisasi","Rencana"))</f>
        <v>Rencana</v>
      </c>
      <c r="C1383" s="18" t="s">
        <v>161</v>
      </c>
      <c r="D1383" s="18" t="s">
        <v>161</v>
      </c>
      <c r="E1383" s="29" t="n">
        <f aca="false">J1382</f>
        <v>0</v>
      </c>
      <c r="F1383" s="28"/>
      <c r="G1383" s="30" t="n">
        <v>0</v>
      </c>
      <c r="H1383" s="28"/>
      <c r="I1383" s="28"/>
      <c r="J1383" s="29" t="n">
        <f aca="false">E1383+F1383+G1383-H1383-I1383</f>
        <v>0</v>
      </c>
      <c r="K1383" s="29" t="n">
        <f aca="false">ROUND(E1383+F1383+G1383-H1383-I1383-J1383,1)</f>
        <v>0</v>
      </c>
    </row>
    <row r="1384" customFormat="false" ht="15" hidden="false" customHeight="false" outlineLevel="0" collapsed="false">
      <c r="A1384" s="25" t="n">
        <v>46310</v>
      </c>
      <c r="B1384" s="23" t="str">
        <f aca="false">IF(A1384="","",IF(A1384&lt;=profil!$B$9,"Realisasi","Rencana"))</f>
        <v>Rencana</v>
      </c>
      <c r="C1384" s="18" t="s">
        <v>161</v>
      </c>
      <c r="D1384" s="18" t="s">
        <v>161</v>
      </c>
      <c r="E1384" s="29" t="n">
        <f aca="false">J1383</f>
        <v>0</v>
      </c>
      <c r="F1384" s="28"/>
      <c r="G1384" s="30" t="n">
        <v>0</v>
      </c>
      <c r="H1384" s="28"/>
      <c r="I1384" s="28"/>
      <c r="J1384" s="29" t="n">
        <f aca="false">E1384+F1384+G1384-H1384-I1384</f>
        <v>0</v>
      </c>
      <c r="K1384" s="29" t="n">
        <f aca="false">ROUND(E1384+F1384+G1384-H1384-I1384-J1384,1)</f>
        <v>0</v>
      </c>
    </row>
    <row r="1385" customFormat="false" ht="15" hidden="false" customHeight="false" outlineLevel="0" collapsed="false">
      <c r="A1385" s="25" t="n">
        <v>46311</v>
      </c>
      <c r="B1385" s="23" t="str">
        <f aca="false">IF(A1385="","",IF(A1385&lt;=profil!$B$9,"Realisasi","Rencana"))</f>
        <v>Rencana</v>
      </c>
      <c r="C1385" s="18" t="s">
        <v>161</v>
      </c>
      <c r="D1385" s="18" t="s">
        <v>161</v>
      </c>
      <c r="E1385" s="29" t="n">
        <f aca="false">J1384</f>
        <v>0</v>
      </c>
      <c r="F1385" s="28"/>
      <c r="G1385" s="30" t="n">
        <v>0</v>
      </c>
      <c r="H1385" s="28"/>
      <c r="I1385" s="28"/>
      <c r="J1385" s="29" t="n">
        <f aca="false">E1385+F1385+G1385-H1385-I1385</f>
        <v>0</v>
      </c>
      <c r="K1385" s="29" t="n">
        <f aca="false">ROUND(E1385+F1385+G1385-H1385-I1385-J1385,1)</f>
        <v>0</v>
      </c>
    </row>
    <row r="1386" customFormat="false" ht="15" hidden="false" customHeight="false" outlineLevel="0" collapsed="false">
      <c r="A1386" s="25" t="n">
        <v>46312</v>
      </c>
      <c r="B1386" s="23" t="str">
        <f aca="false">IF(A1386="","",IF(A1386&lt;=profil!$B$9,"Realisasi","Rencana"))</f>
        <v>Rencana</v>
      </c>
      <c r="C1386" s="18" t="s">
        <v>161</v>
      </c>
      <c r="D1386" s="18" t="s">
        <v>161</v>
      </c>
      <c r="E1386" s="29" t="n">
        <f aca="false">J1385</f>
        <v>0</v>
      </c>
      <c r="F1386" s="28"/>
      <c r="G1386" s="30" t="n">
        <v>0</v>
      </c>
      <c r="H1386" s="28"/>
      <c r="I1386" s="28"/>
      <c r="J1386" s="29" t="n">
        <f aca="false">E1386+F1386+G1386-H1386-I1386</f>
        <v>0</v>
      </c>
      <c r="K1386" s="29" t="n">
        <f aca="false">ROUND(E1386+F1386+G1386-H1386-I1386-J1386,1)</f>
        <v>0</v>
      </c>
    </row>
    <row r="1387" customFormat="false" ht="15" hidden="false" customHeight="false" outlineLevel="0" collapsed="false">
      <c r="A1387" s="25" t="n">
        <v>46313</v>
      </c>
      <c r="B1387" s="23" t="str">
        <f aca="false">IF(A1387="","",IF(A1387&lt;=profil!$B$9,"Realisasi","Rencana"))</f>
        <v>Rencana</v>
      </c>
      <c r="C1387" s="18" t="s">
        <v>161</v>
      </c>
      <c r="D1387" s="18" t="s">
        <v>161</v>
      </c>
      <c r="E1387" s="29" t="n">
        <f aca="false">J1386</f>
        <v>0</v>
      </c>
      <c r="F1387" s="28"/>
      <c r="G1387" s="30" t="n">
        <v>0</v>
      </c>
      <c r="H1387" s="28"/>
      <c r="I1387" s="28"/>
      <c r="J1387" s="29" t="n">
        <f aca="false">E1387+F1387+G1387-H1387-I1387</f>
        <v>0</v>
      </c>
      <c r="K1387" s="29" t="n">
        <f aca="false">ROUND(E1387+F1387+G1387-H1387-I1387-J1387,1)</f>
        <v>0</v>
      </c>
    </row>
    <row r="1388" customFormat="false" ht="15" hidden="false" customHeight="false" outlineLevel="0" collapsed="false">
      <c r="A1388" s="25" t="n">
        <v>46314</v>
      </c>
      <c r="B1388" s="23" t="str">
        <f aca="false">IF(A1388="","",IF(A1388&lt;=profil!$B$9,"Realisasi","Rencana"))</f>
        <v>Rencana</v>
      </c>
      <c r="C1388" s="18" t="s">
        <v>161</v>
      </c>
      <c r="D1388" s="18" t="s">
        <v>161</v>
      </c>
      <c r="E1388" s="29" t="n">
        <f aca="false">J1387</f>
        <v>0</v>
      </c>
      <c r="F1388" s="28"/>
      <c r="G1388" s="30" t="n">
        <v>0</v>
      </c>
      <c r="H1388" s="28"/>
      <c r="I1388" s="28"/>
      <c r="J1388" s="29" t="n">
        <f aca="false">E1388+F1388+G1388-H1388-I1388</f>
        <v>0</v>
      </c>
      <c r="K1388" s="29" t="n">
        <f aca="false">ROUND(E1388+F1388+G1388-H1388-I1388-J1388,1)</f>
        <v>0</v>
      </c>
    </row>
    <row r="1389" customFormat="false" ht="15" hidden="false" customHeight="false" outlineLevel="0" collapsed="false">
      <c r="A1389" s="25" t="n">
        <v>46315</v>
      </c>
      <c r="B1389" s="23" t="str">
        <f aca="false">IF(A1389="","",IF(A1389&lt;=profil!$B$9,"Realisasi","Rencana"))</f>
        <v>Rencana</v>
      </c>
      <c r="C1389" s="18" t="s">
        <v>161</v>
      </c>
      <c r="D1389" s="18" t="s">
        <v>161</v>
      </c>
      <c r="E1389" s="29" t="n">
        <f aca="false">J1388</f>
        <v>0</v>
      </c>
      <c r="F1389" s="28"/>
      <c r="G1389" s="30" t="n">
        <v>0</v>
      </c>
      <c r="H1389" s="28"/>
      <c r="I1389" s="28"/>
      <c r="J1389" s="29" t="n">
        <f aca="false">E1389+F1389+G1389-H1389-I1389</f>
        <v>0</v>
      </c>
      <c r="K1389" s="29" t="n">
        <f aca="false">ROUND(E1389+F1389+G1389-H1389-I1389-J1389,1)</f>
        <v>0</v>
      </c>
    </row>
    <row r="1390" customFormat="false" ht="15" hidden="false" customHeight="false" outlineLevel="0" collapsed="false">
      <c r="A1390" s="25" t="n">
        <v>46316</v>
      </c>
      <c r="B1390" s="23" t="str">
        <f aca="false">IF(A1390="","",IF(A1390&lt;=profil!$B$9,"Realisasi","Rencana"))</f>
        <v>Rencana</v>
      </c>
      <c r="C1390" s="18" t="s">
        <v>161</v>
      </c>
      <c r="D1390" s="18" t="s">
        <v>161</v>
      </c>
      <c r="E1390" s="29" t="n">
        <f aca="false">J1389</f>
        <v>0</v>
      </c>
      <c r="F1390" s="28"/>
      <c r="G1390" s="30" t="n">
        <v>0</v>
      </c>
      <c r="H1390" s="28"/>
      <c r="I1390" s="28"/>
      <c r="J1390" s="29" t="n">
        <f aca="false">E1390+F1390+G1390-H1390-I1390</f>
        <v>0</v>
      </c>
      <c r="K1390" s="29" t="n">
        <f aca="false">ROUND(E1390+F1390+G1390-H1390-I1390-J1390,1)</f>
        <v>0</v>
      </c>
    </row>
    <row r="1391" customFormat="false" ht="15" hidden="false" customHeight="false" outlineLevel="0" collapsed="false">
      <c r="A1391" s="25" t="n">
        <v>46317</v>
      </c>
      <c r="B1391" s="23" t="str">
        <f aca="false">IF(A1391="","",IF(A1391&lt;=profil!$B$9,"Realisasi","Rencana"))</f>
        <v>Rencana</v>
      </c>
      <c r="C1391" s="18" t="s">
        <v>161</v>
      </c>
      <c r="D1391" s="18" t="s">
        <v>161</v>
      </c>
      <c r="E1391" s="29" t="n">
        <f aca="false">J1390</f>
        <v>0</v>
      </c>
      <c r="F1391" s="28"/>
      <c r="G1391" s="30" t="n">
        <v>0</v>
      </c>
      <c r="H1391" s="28"/>
      <c r="I1391" s="28"/>
      <c r="J1391" s="29" t="n">
        <f aca="false">E1391+F1391+G1391-H1391-I1391</f>
        <v>0</v>
      </c>
      <c r="K1391" s="29" t="n">
        <f aca="false">ROUND(E1391+F1391+G1391-H1391-I1391-J1391,1)</f>
        <v>0</v>
      </c>
    </row>
    <row r="1392" customFormat="false" ht="15" hidden="false" customHeight="false" outlineLevel="0" collapsed="false">
      <c r="A1392" s="25" t="n">
        <v>46318</v>
      </c>
      <c r="B1392" s="23" t="str">
        <f aca="false">IF(A1392="","",IF(A1392&lt;=profil!$B$9,"Realisasi","Rencana"))</f>
        <v>Rencana</v>
      </c>
      <c r="C1392" s="18" t="s">
        <v>161</v>
      </c>
      <c r="D1392" s="18" t="s">
        <v>161</v>
      </c>
      <c r="E1392" s="29" t="n">
        <f aca="false">J1391</f>
        <v>0</v>
      </c>
      <c r="F1392" s="28"/>
      <c r="G1392" s="30" t="n">
        <v>0</v>
      </c>
      <c r="H1392" s="28"/>
      <c r="I1392" s="28"/>
      <c r="J1392" s="29" t="n">
        <f aca="false">E1392+F1392+G1392-H1392-I1392</f>
        <v>0</v>
      </c>
      <c r="K1392" s="29" t="n">
        <f aca="false">ROUND(E1392+F1392+G1392-H1392-I1392-J1392,1)</f>
        <v>0</v>
      </c>
    </row>
    <row r="1393" customFormat="false" ht="15" hidden="false" customHeight="false" outlineLevel="0" collapsed="false">
      <c r="A1393" s="25" t="n">
        <v>46319</v>
      </c>
      <c r="B1393" s="23" t="str">
        <f aca="false">IF(A1393="","",IF(A1393&lt;=profil!$B$9,"Realisasi","Rencana"))</f>
        <v>Rencana</v>
      </c>
      <c r="C1393" s="18" t="s">
        <v>161</v>
      </c>
      <c r="D1393" s="18" t="s">
        <v>161</v>
      </c>
      <c r="E1393" s="29" t="n">
        <f aca="false">J1392</f>
        <v>0</v>
      </c>
      <c r="F1393" s="28"/>
      <c r="G1393" s="30" t="n">
        <v>0</v>
      </c>
      <c r="H1393" s="28"/>
      <c r="I1393" s="28"/>
      <c r="J1393" s="29" t="n">
        <f aca="false">E1393+F1393+G1393-H1393-I1393</f>
        <v>0</v>
      </c>
      <c r="K1393" s="29" t="n">
        <f aca="false">ROUND(E1393+F1393+G1393-H1393-I1393-J1393,1)</f>
        <v>0</v>
      </c>
    </row>
    <row r="1394" customFormat="false" ht="15" hidden="false" customHeight="false" outlineLevel="0" collapsed="false">
      <c r="A1394" s="25" t="n">
        <v>46320</v>
      </c>
      <c r="B1394" s="23" t="str">
        <f aca="false">IF(A1394="","",IF(A1394&lt;=profil!$B$9,"Realisasi","Rencana"))</f>
        <v>Rencana</v>
      </c>
      <c r="C1394" s="18" t="s">
        <v>161</v>
      </c>
      <c r="D1394" s="18" t="s">
        <v>161</v>
      </c>
      <c r="E1394" s="29" t="n">
        <f aca="false">J1393</f>
        <v>0</v>
      </c>
      <c r="F1394" s="28"/>
      <c r="G1394" s="30" t="n">
        <v>0</v>
      </c>
      <c r="H1394" s="28"/>
      <c r="I1394" s="28"/>
      <c r="J1394" s="29" t="n">
        <f aca="false">E1394+F1394+G1394-H1394-I1394</f>
        <v>0</v>
      </c>
      <c r="K1394" s="29" t="n">
        <f aca="false">ROUND(E1394+F1394+G1394-H1394-I1394-J1394,1)</f>
        <v>0</v>
      </c>
    </row>
    <row r="1395" customFormat="false" ht="15" hidden="false" customHeight="false" outlineLevel="0" collapsed="false">
      <c r="A1395" s="25" t="n">
        <v>46321</v>
      </c>
      <c r="B1395" s="23" t="str">
        <f aca="false">IF(A1395="","",IF(A1395&lt;=profil!$B$9,"Realisasi","Rencana"))</f>
        <v>Rencana</v>
      </c>
      <c r="C1395" s="18" t="s">
        <v>161</v>
      </c>
      <c r="D1395" s="18" t="s">
        <v>161</v>
      </c>
      <c r="E1395" s="29" t="n">
        <f aca="false">J1394</f>
        <v>0</v>
      </c>
      <c r="F1395" s="28"/>
      <c r="G1395" s="30" t="n">
        <v>0</v>
      </c>
      <c r="H1395" s="28"/>
      <c r="I1395" s="28"/>
      <c r="J1395" s="29" t="n">
        <f aca="false">E1395+F1395+G1395-H1395-I1395</f>
        <v>0</v>
      </c>
      <c r="K1395" s="29" t="n">
        <f aca="false">ROUND(E1395+F1395+G1395-H1395-I1395-J1395,1)</f>
        <v>0</v>
      </c>
    </row>
    <row r="1396" customFormat="false" ht="15" hidden="false" customHeight="false" outlineLevel="0" collapsed="false">
      <c r="A1396" s="25" t="n">
        <v>46322</v>
      </c>
      <c r="B1396" s="23" t="str">
        <f aca="false">IF(A1396="","",IF(A1396&lt;=profil!$B$9,"Realisasi","Rencana"))</f>
        <v>Rencana</v>
      </c>
      <c r="C1396" s="18" t="s">
        <v>161</v>
      </c>
      <c r="D1396" s="18" t="s">
        <v>161</v>
      </c>
      <c r="E1396" s="29" t="n">
        <f aca="false">J1395</f>
        <v>0</v>
      </c>
      <c r="F1396" s="28"/>
      <c r="G1396" s="30" t="n">
        <v>0</v>
      </c>
      <c r="H1396" s="28"/>
      <c r="I1396" s="28"/>
      <c r="J1396" s="29" t="n">
        <f aca="false">E1396+F1396+G1396-H1396-I1396</f>
        <v>0</v>
      </c>
      <c r="K1396" s="29" t="n">
        <f aca="false">ROUND(E1396+F1396+G1396-H1396-I1396-J1396,1)</f>
        <v>0</v>
      </c>
    </row>
    <row r="1397" customFormat="false" ht="15" hidden="false" customHeight="false" outlineLevel="0" collapsed="false">
      <c r="A1397" s="25" t="n">
        <v>46323</v>
      </c>
      <c r="B1397" s="23" t="str">
        <f aca="false">IF(A1397="","",IF(A1397&lt;=profil!$B$9,"Realisasi","Rencana"))</f>
        <v>Rencana</v>
      </c>
      <c r="C1397" s="18" t="s">
        <v>161</v>
      </c>
      <c r="D1397" s="18" t="s">
        <v>161</v>
      </c>
      <c r="E1397" s="29" t="n">
        <f aca="false">J1396</f>
        <v>0</v>
      </c>
      <c r="F1397" s="28"/>
      <c r="G1397" s="30" t="n">
        <v>0</v>
      </c>
      <c r="H1397" s="28"/>
      <c r="I1397" s="28"/>
      <c r="J1397" s="29" t="n">
        <f aca="false">E1397+F1397+G1397-H1397-I1397</f>
        <v>0</v>
      </c>
      <c r="K1397" s="29" t="n">
        <f aca="false">ROUND(E1397+F1397+G1397-H1397-I1397-J1397,1)</f>
        <v>0</v>
      </c>
    </row>
    <row r="1398" customFormat="false" ht="15" hidden="false" customHeight="false" outlineLevel="0" collapsed="false">
      <c r="A1398" s="25" t="n">
        <v>46324</v>
      </c>
      <c r="B1398" s="23" t="str">
        <f aca="false">IF(A1398="","",IF(A1398&lt;=profil!$B$9,"Realisasi","Rencana"))</f>
        <v>Rencana</v>
      </c>
      <c r="C1398" s="18" t="s">
        <v>161</v>
      </c>
      <c r="D1398" s="18" t="s">
        <v>161</v>
      </c>
      <c r="E1398" s="29" t="n">
        <f aca="false">J1397</f>
        <v>0</v>
      </c>
      <c r="F1398" s="28"/>
      <c r="G1398" s="30" t="n">
        <v>0</v>
      </c>
      <c r="H1398" s="28"/>
      <c r="I1398" s="28"/>
      <c r="J1398" s="29" t="n">
        <f aca="false">E1398+F1398+G1398-H1398-I1398</f>
        <v>0</v>
      </c>
      <c r="K1398" s="29" t="n">
        <f aca="false">ROUND(E1398+F1398+G1398-H1398-I1398-J1398,1)</f>
        <v>0</v>
      </c>
    </row>
    <row r="1399" customFormat="false" ht="15" hidden="false" customHeight="false" outlineLevel="0" collapsed="false">
      <c r="A1399" s="25" t="n">
        <v>46325</v>
      </c>
      <c r="B1399" s="23" t="str">
        <f aca="false">IF(A1399="","",IF(A1399&lt;=profil!$B$9,"Realisasi","Rencana"))</f>
        <v>Rencana</v>
      </c>
      <c r="C1399" s="18" t="s">
        <v>161</v>
      </c>
      <c r="D1399" s="18" t="s">
        <v>161</v>
      </c>
      <c r="E1399" s="29" t="n">
        <f aca="false">J1398</f>
        <v>0</v>
      </c>
      <c r="F1399" s="28"/>
      <c r="G1399" s="30" t="n">
        <v>0</v>
      </c>
      <c r="H1399" s="28"/>
      <c r="I1399" s="28"/>
      <c r="J1399" s="29" t="n">
        <f aca="false">E1399+F1399+G1399-H1399-I1399</f>
        <v>0</v>
      </c>
      <c r="K1399" s="29" t="n">
        <f aca="false">ROUND(E1399+F1399+G1399-H1399-I1399-J1399,1)</f>
        <v>0</v>
      </c>
    </row>
    <row r="1400" customFormat="false" ht="15" hidden="false" customHeight="false" outlineLevel="0" collapsed="false">
      <c r="A1400" s="25" t="n">
        <v>46326</v>
      </c>
      <c r="B1400" s="23" t="str">
        <f aca="false">IF(A1400="","",IF(A1400&lt;=profil!$B$9,"Realisasi","Rencana"))</f>
        <v>Rencana</v>
      </c>
      <c r="C1400" s="18" t="s">
        <v>161</v>
      </c>
      <c r="D1400" s="18" t="s">
        <v>161</v>
      </c>
      <c r="E1400" s="29" t="n">
        <f aca="false">J1399</f>
        <v>0</v>
      </c>
      <c r="F1400" s="28"/>
      <c r="G1400" s="30" t="n">
        <v>0</v>
      </c>
      <c r="H1400" s="28"/>
      <c r="I1400" s="28"/>
      <c r="J1400" s="29" t="n">
        <f aca="false">E1400+F1400+G1400-H1400-I1400</f>
        <v>0</v>
      </c>
      <c r="K1400" s="29" t="n">
        <f aca="false">ROUND(E1400+F1400+G1400-H1400-I1400-J1400,1)</f>
        <v>0</v>
      </c>
    </row>
    <row r="1401" customFormat="false" ht="15" hidden="false" customHeight="false" outlineLevel="0" collapsed="false">
      <c r="A1401" s="25" t="n">
        <v>46327</v>
      </c>
      <c r="B1401" s="23" t="str">
        <f aca="false">IF(A1401="","",IF(A1401&lt;=profil!$B$9,"Realisasi","Rencana"))</f>
        <v>Rencana</v>
      </c>
      <c r="C1401" s="18" t="s">
        <v>161</v>
      </c>
      <c r="D1401" s="18" t="s">
        <v>161</v>
      </c>
      <c r="E1401" s="29" t="n">
        <f aca="false">J1400</f>
        <v>0</v>
      </c>
      <c r="F1401" s="28"/>
      <c r="G1401" s="30" t="n">
        <v>0</v>
      </c>
      <c r="H1401" s="28"/>
      <c r="I1401" s="28"/>
      <c r="J1401" s="29" t="n">
        <f aca="false">E1401+F1401+G1401-H1401-I1401</f>
        <v>0</v>
      </c>
      <c r="K1401" s="29" t="n">
        <f aca="false">ROUND(E1401+F1401+G1401-H1401-I1401-J1401,1)</f>
        <v>0</v>
      </c>
    </row>
    <row r="1402" customFormat="false" ht="15" hidden="false" customHeight="false" outlineLevel="0" collapsed="false">
      <c r="A1402" s="25" t="n">
        <v>46328</v>
      </c>
      <c r="B1402" s="23" t="str">
        <f aca="false">IF(A1402="","",IF(A1402&lt;=profil!$B$9,"Realisasi","Rencana"))</f>
        <v>Rencana</v>
      </c>
      <c r="C1402" s="18" t="s">
        <v>161</v>
      </c>
      <c r="D1402" s="18" t="s">
        <v>161</v>
      </c>
      <c r="E1402" s="29" t="n">
        <f aca="false">J1401</f>
        <v>0</v>
      </c>
      <c r="F1402" s="28"/>
      <c r="G1402" s="30" t="n">
        <v>0</v>
      </c>
      <c r="H1402" s="28"/>
      <c r="I1402" s="28"/>
      <c r="J1402" s="29" t="n">
        <f aca="false">E1402+F1402+G1402-H1402-I1402</f>
        <v>0</v>
      </c>
      <c r="K1402" s="29" t="n">
        <f aca="false">ROUND(E1402+F1402+G1402-H1402-I1402-J1402,1)</f>
        <v>0</v>
      </c>
    </row>
    <row r="1403" customFormat="false" ht="15" hidden="false" customHeight="false" outlineLevel="0" collapsed="false">
      <c r="A1403" s="25" t="n">
        <v>46329</v>
      </c>
      <c r="B1403" s="23" t="str">
        <f aca="false">IF(A1403="","",IF(A1403&lt;=profil!$B$9,"Realisasi","Rencana"))</f>
        <v>Rencana</v>
      </c>
      <c r="C1403" s="18" t="s">
        <v>161</v>
      </c>
      <c r="D1403" s="18" t="s">
        <v>161</v>
      </c>
      <c r="E1403" s="29" t="n">
        <f aca="false">J1402</f>
        <v>0</v>
      </c>
      <c r="F1403" s="28"/>
      <c r="G1403" s="30" t="n">
        <v>0</v>
      </c>
      <c r="H1403" s="28"/>
      <c r="I1403" s="28"/>
      <c r="J1403" s="29" t="n">
        <f aca="false">E1403+F1403+G1403-H1403-I1403</f>
        <v>0</v>
      </c>
      <c r="K1403" s="29" t="n">
        <f aca="false">ROUND(E1403+F1403+G1403-H1403-I1403-J1403,1)</f>
        <v>0</v>
      </c>
    </row>
    <row r="1404" customFormat="false" ht="15" hidden="false" customHeight="false" outlineLevel="0" collapsed="false">
      <c r="A1404" s="25" t="n">
        <v>46330</v>
      </c>
      <c r="B1404" s="23" t="str">
        <f aca="false">IF(A1404="","",IF(A1404&lt;=profil!$B$9,"Realisasi","Rencana"))</f>
        <v>Rencana</v>
      </c>
      <c r="C1404" s="18" t="s">
        <v>161</v>
      </c>
      <c r="D1404" s="18" t="s">
        <v>161</v>
      </c>
      <c r="E1404" s="29" t="n">
        <f aca="false">J1403</f>
        <v>0</v>
      </c>
      <c r="F1404" s="28"/>
      <c r="G1404" s="30" t="n">
        <v>0</v>
      </c>
      <c r="H1404" s="28"/>
      <c r="I1404" s="28"/>
      <c r="J1404" s="29" t="n">
        <f aca="false">E1404+F1404+G1404-H1404-I1404</f>
        <v>0</v>
      </c>
      <c r="K1404" s="29" t="n">
        <f aca="false">ROUND(E1404+F1404+G1404-H1404-I1404-J1404,1)</f>
        <v>0</v>
      </c>
    </row>
    <row r="1405" customFormat="false" ht="15" hidden="false" customHeight="false" outlineLevel="0" collapsed="false">
      <c r="A1405" s="25" t="n">
        <v>46331</v>
      </c>
      <c r="B1405" s="23" t="str">
        <f aca="false">IF(A1405="","",IF(A1405&lt;=profil!$B$9,"Realisasi","Rencana"))</f>
        <v>Rencana</v>
      </c>
      <c r="C1405" s="18" t="s">
        <v>161</v>
      </c>
      <c r="D1405" s="18" t="s">
        <v>161</v>
      </c>
      <c r="E1405" s="29" t="n">
        <f aca="false">J1404</f>
        <v>0</v>
      </c>
      <c r="F1405" s="28"/>
      <c r="G1405" s="30" t="n">
        <v>0</v>
      </c>
      <c r="H1405" s="28"/>
      <c r="I1405" s="28"/>
      <c r="J1405" s="29" t="n">
        <f aca="false">E1405+F1405+G1405-H1405-I1405</f>
        <v>0</v>
      </c>
      <c r="K1405" s="29" t="n">
        <f aca="false">ROUND(E1405+F1405+G1405-H1405-I1405-J1405,1)</f>
        <v>0</v>
      </c>
    </row>
    <row r="1406" customFormat="false" ht="15" hidden="false" customHeight="false" outlineLevel="0" collapsed="false">
      <c r="A1406" s="25" t="n">
        <v>46332</v>
      </c>
      <c r="B1406" s="23" t="str">
        <f aca="false">IF(A1406="","",IF(A1406&lt;=profil!$B$9,"Realisasi","Rencana"))</f>
        <v>Rencana</v>
      </c>
      <c r="C1406" s="18" t="s">
        <v>161</v>
      </c>
      <c r="D1406" s="18" t="s">
        <v>161</v>
      </c>
      <c r="E1406" s="29" t="n">
        <f aca="false">J1405</f>
        <v>0</v>
      </c>
      <c r="F1406" s="28"/>
      <c r="G1406" s="30" t="n">
        <v>0</v>
      </c>
      <c r="H1406" s="28"/>
      <c r="I1406" s="28"/>
      <c r="J1406" s="29" t="n">
        <f aca="false">E1406+F1406+G1406-H1406-I1406</f>
        <v>0</v>
      </c>
      <c r="K1406" s="29" t="n">
        <f aca="false">ROUND(E1406+F1406+G1406-H1406-I1406-J1406,1)</f>
        <v>0</v>
      </c>
    </row>
    <row r="1407" customFormat="false" ht="15" hidden="false" customHeight="false" outlineLevel="0" collapsed="false">
      <c r="A1407" s="25" t="n">
        <v>46333</v>
      </c>
      <c r="B1407" s="23" t="str">
        <f aca="false">IF(A1407="","",IF(A1407&lt;=profil!$B$9,"Realisasi","Rencana"))</f>
        <v>Rencana</v>
      </c>
      <c r="C1407" s="18" t="s">
        <v>161</v>
      </c>
      <c r="D1407" s="18" t="s">
        <v>161</v>
      </c>
      <c r="E1407" s="29" t="n">
        <f aca="false">J1406</f>
        <v>0</v>
      </c>
      <c r="F1407" s="28"/>
      <c r="G1407" s="30" t="n">
        <v>0</v>
      </c>
      <c r="H1407" s="28"/>
      <c r="I1407" s="28"/>
      <c r="J1407" s="29" t="n">
        <f aca="false">E1407+F1407+G1407-H1407-I1407</f>
        <v>0</v>
      </c>
      <c r="K1407" s="29" t="n">
        <f aca="false">ROUND(E1407+F1407+G1407-H1407-I1407-J1407,1)</f>
        <v>0</v>
      </c>
    </row>
    <row r="1408" customFormat="false" ht="15" hidden="false" customHeight="false" outlineLevel="0" collapsed="false">
      <c r="A1408" s="25" t="n">
        <v>46334</v>
      </c>
      <c r="B1408" s="23" t="str">
        <f aca="false">IF(A1408="","",IF(A1408&lt;=profil!$B$9,"Realisasi","Rencana"))</f>
        <v>Rencana</v>
      </c>
      <c r="C1408" s="18" t="s">
        <v>161</v>
      </c>
      <c r="D1408" s="18" t="s">
        <v>161</v>
      </c>
      <c r="E1408" s="29" t="n">
        <f aca="false">J1407</f>
        <v>0</v>
      </c>
      <c r="F1408" s="28"/>
      <c r="G1408" s="30" t="n">
        <v>0</v>
      </c>
      <c r="H1408" s="28"/>
      <c r="I1408" s="28"/>
      <c r="J1408" s="29" t="n">
        <f aca="false">E1408+F1408+G1408-H1408-I1408</f>
        <v>0</v>
      </c>
      <c r="K1408" s="29" t="n">
        <f aca="false">ROUND(E1408+F1408+G1408-H1408-I1408-J1408,1)</f>
        <v>0</v>
      </c>
    </row>
    <row r="1409" customFormat="false" ht="15" hidden="false" customHeight="false" outlineLevel="0" collapsed="false">
      <c r="A1409" s="25" t="n">
        <v>46335</v>
      </c>
      <c r="B1409" s="23" t="str">
        <f aca="false">IF(A1409="","",IF(A1409&lt;=profil!$B$9,"Realisasi","Rencana"))</f>
        <v>Rencana</v>
      </c>
      <c r="C1409" s="18" t="s">
        <v>161</v>
      </c>
      <c r="D1409" s="18" t="s">
        <v>161</v>
      </c>
      <c r="E1409" s="29" t="n">
        <f aca="false">J1408</f>
        <v>0</v>
      </c>
      <c r="F1409" s="28"/>
      <c r="G1409" s="30" t="n">
        <v>0</v>
      </c>
      <c r="H1409" s="28"/>
      <c r="I1409" s="28"/>
      <c r="J1409" s="29" t="n">
        <f aca="false">E1409+F1409+G1409-H1409-I1409</f>
        <v>0</v>
      </c>
      <c r="K1409" s="29" t="n">
        <f aca="false">ROUND(E1409+F1409+G1409-H1409-I1409-J1409,1)</f>
        <v>0</v>
      </c>
    </row>
    <row r="1410" customFormat="false" ht="15" hidden="false" customHeight="false" outlineLevel="0" collapsed="false">
      <c r="A1410" s="25" t="n">
        <v>46336</v>
      </c>
      <c r="B1410" s="23" t="str">
        <f aca="false">IF(A1410="","",IF(A1410&lt;=profil!$B$9,"Realisasi","Rencana"))</f>
        <v>Rencana</v>
      </c>
      <c r="C1410" s="18" t="s">
        <v>161</v>
      </c>
      <c r="D1410" s="18" t="s">
        <v>161</v>
      </c>
      <c r="E1410" s="29" t="n">
        <f aca="false">J1409</f>
        <v>0</v>
      </c>
      <c r="F1410" s="28"/>
      <c r="G1410" s="30" t="n">
        <v>0</v>
      </c>
      <c r="H1410" s="28"/>
      <c r="I1410" s="28"/>
      <c r="J1410" s="29" t="n">
        <f aca="false">E1410+F1410+G1410-H1410-I1410</f>
        <v>0</v>
      </c>
      <c r="K1410" s="29" t="n">
        <f aca="false">ROUND(E1410+F1410+G1410-H1410-I1410-J1410,1)</f>
        <v>0</v>
      </c>
    </row>
    <row r="1411" customFormat="false" ht="15" hidden="false" customHeight="false" outlineLevel="0" collapsed="false">
      <c r="A1411" s="25" t="n">
        <v>46337</v>
      </c>
      <c r="B1411" s="23" t="str">
        <f aca="false">IF(A1411="","",IF(A1411&lt;=profil!$B$9,"Realisasi","Rencana"))</f>
        <v>Rencana</v>
      </c>
      <c r="C1411" s="18" t="s">
        <v>161</v>
      </c>
      <c r="D1411" s="18" t="s">
        <v>161</v>
      </c>
      <c r="E1411" s="29" t="n">
        <f aca="false">J1410</f>
        <v>0</v>
      </c>
      <c r="F1411" s="28"/>
      <c r="G1411" s="30" t="n">
        <v>0</v>
      </c>
      <c r="H1411" s="28"/>
      <c r="I1411" s="28"/>
      <c r="J1411" s="29" t="n">
        <f aca="false">E1411+F1411+G1411-H1411-I1411</f>
        <v>0</v>
      </c>
      <c r="K1411" s="29" t="n">
        <f aca="false">ROUND(E1411+F1411+G1411-H1411-I1411-J1411,1)</f>
        <v>0</v>
      </c>
    </row>
    <row r="1412" customFormat="false" ht="15" hidden="false" customHeight="false" outlineLevel="0" collapsed="false">
      <c r="A1412" s="25" t="n">
        <v>46338</v>
      </c>
      <c r="B1412" s="23" t="str">
        <f aca="false">IF(A1412="","",IF(A1412&lt;=profil!$B$9,"Realisasi","Rencana"))</f>
        <v>Rencana</v>
      </c>
      <c r="C1412" s="18" t="s">
        <v>161</v>
      </c>
      <c r="D1412" s="18" t="s">
        <v>161</v>
      </c>
      <c r="E1412" s="29" t="n">
        <f aca="false">J1411</f>
        <v>0</v>
      </c>
      <c r="F1412" s="28"/>
      <c r="G1412" s="30" t="n">
        <v>0</v>
      </c>
      <c r="H1412" s="28"/>
      <c r="I1412" s="28"/>
      <c r="J1412" s="29" t="n">
        <f aca="false">E1412+F1412+G1412-H1412-I1412</f>
        <v>0</v>
      </c>
      <c r="K1412" s="29" t="n">
        <f aca="false">ROUND(E1412+F1412+G1412-H1412-I1412-J1412,1)</f>
        <v>0</v>
      </c>
    </row>
    <row r="1413" customFormat="false" ht="15" hidden="false" customHeight="false" outlineLevel="0" collapsed="false">
      <c r="A1413" s="25" t="n">
        <v>46339</v>
      </c>
      <c r="B1413" s="23" t="str">
        <f aca="false">IF(A1413="","",IF(A1413&lt;=profil!$B$9,"Realisasi","Rencana"))</f>
        <v>Rencana</v>
      </c>
      <c r="C1413" s="18" t="s">
        <v>161</v>
      </c>
      <c r="D1413" s="18" t="s">
        <v>161</v>
      </c>
      <c r="E1413" s="29" t="n">
        <f aca="false">J1412</f>
        <v>0</v>
      </c>
      <c r="F1413" s="28"/>
      <c r="G1413" s="30" t="n">
        <v>0</v>
      </c>
      <c r="H1413" s="28"/>
      <c r="I1413" s="28"/>
      <c r="J1413" s="29" t="n">
        <f aca="false">E1413+F1413+G1413-H1413-I1413</f>
        <v>0</v>
      </c>
      <c r="K1413" s="29" t="n">
        <f aca="false">ROUND(E1413+F1413+G1413-H1413-I1413-J1413,1)</f>
        <v>0</v>
      </c>
    </row>
    <row r="1414" customFormat="false" ht="15" hidden="false" customHeight="false" outlineLevel="0" collapsed="false">
      <c r="A1414" s="25" t="n">
        <v>46340</v>
      </c>
      <c r="B1414" s="23" t="str">
        <f aca="false">IF(A1414="","",IF(A1414&lt;=profil!$B$9,"Realisasi","Rencana"))</f>
        <v>Rencana</v>
      </c>
      <c r="C1414" s="18" t="s">
        <v>161</v>
      </c>
      <c r="D1414" s="18" t="s">
        <v>161</v>
      </c>
      <c r="E1414" s="29" t="n">
        <f aca="false">J1413</f>
        <v>0</v>
      </c>
      <c r="F1414" s="28"/>
      <c r="G1414" s="30" t="n">
        <v>0</v>
      </c>
      <c r="H1414" s="28"/>
      <c r="I1414" s="28"/>
      <c r="J1414" s="29" t="n">
        <f aca="false">E1414+F1414+G1414-H1414-I1414</f>
        <v>0</v>
      </c>
      <c r="K1414" s="29" t="n">
        <f aca="false">ROUND(E1414+F1414+G1414-H1414-I1414-J1414,1)</f>
        <v>0</v>
      </c>
    </row>
    <row r="1415" customFormat="false" ht="15" hidden="false" customHeight="false" outlineLevel="0" collapsed="false">
      <c r="A1415" s="25" t="n">
        <v>46341</v>
      </c>
      <c r="B1415" s="23" t="str">
        <f aca="false">IF(A1415="","",IF(A1415&lt;=profil!$B$9,"Realisasi","Rencana"))</f>
        <v>Rencana</v>
      </c>
      <c r="C1415" s="18" t="s">
        <v>161</v>
      </c>
      <c r="D1415" s="18" t="s">
        <v>161</v>
      </c>
      <c r="E1415" s="29" t="n">
        <f aca="false">J1414</f>
        <v>0</v>
      </c>
      <c r="F1415" s="28"/>
      <c r="G1415" s="30" t="n">
        <v>0</v>
      </c>
      <c r="H1415" s="28"/>
      <c r="I1415" s="28"/>
      <c r="J1415" s="29" t="n">
        <f aca="false">E1415+F1415+G1415-H1415-I1415</f>
        <v>0</v>
      </c>
      <c r="K1415" s="29" t="n">
        <f aca="false">ROUND(E1415+F1415+G1415-H1415-I1415-J1415,1)</f>
        <v>0</v>
      </c>
    </row>
    <row r="1416" customFormat="false" ht="15" hidden="false" customHeight="false" outlineLevel="0" collapsed="false">
      <c r="A1416" s="25" t="n">
        <v>46342</v>
      </c>
      <c r="B1416" s="23" t="str">
        <f aca="false">IF(A1416="","",IF(A1416&lt;=profil!$B$9,"Realisasi","Rencana"))</f>
        <v>Rencana</v>
      </c>
      <c r="C1416" s="18" t="s">
        <v>161</v>
      </c>
      <c r="D1416" s="18" t="s">
        <v>161</v>
      </c>
      <c r="E1416" s="29" t="n">
        <f aca="false">J1415</f>
        <v>0</v>
      </c>
      <c r="F1416" s="28"/>
      <c r="G1416" s="30" t="n">
        <v>0</v>
      </c>
      <c r="H1416" s="28"/>
      <c r="I1416" s="28"/>
      <c r="J1416" s="29" t="n">
        <f aca="false">E1416+F1416+G1416-H1416-I1416</f>
        <v>0</v>
      </c>
      <c r="K1416" s="29" t="n">
        <f aca="false">ROUND(E1416+F1416+G1416-H1416-I1416-J1416,1)</f>
        <v>0</v>
      </c>
    </row>
    <row r="1417" customFormat="false" ht="15" hidden="false" customHeight="false" outlineLevel="0" collapsed="false">
      <c r="A1417" s="25" t="n">
        <v>46343</v>
      </c>
      <c r="B1417" s="23" t="str">
        <f aca="false">IF(A1417="","",IF(A1417&lt;=profil!$B$9,"Realisasi","Rencana"))</f>
        <v>Rencana</v>
      </c>
      <c r="C1417" s="18" t="s">
        <v>161</v>
      </c>
      <c r="D1417" s="18" t="s">
        <v>161</v>
      </c>
      <c r="E1417" s="29" t="n">
        <f aca="false">J1416</f>
        <v>0</v>
      </c>
      <c r="F1417" s="28"/>
      <c r="G1417" s="30" t="n">
        <v>0</v>
      </c>
      <c r="H1417" s="28"/>
      <c r="I1417" s="28"/>
      <c r="J1417" s="29" t="n">
        <f aca="false">E1417+F1417+G1417-H1417-I1417</f>
        <v>0</v>
      </c>
      <c r="K1417" s="29" t="n">
        <f aca="false">ROUND(E1417+F1417+G1417-H1417-I1417-J1417,1)</f>
        <v>0</v>
      </c>
    </row>
    <row r="1418" customFormat="false" ht="15" hidden="false" customHeight="false" outlineLevel="0" collapsed="false">
      <c r="A1418" s="25" t="n">
        <v>46344</v>
      </c>
      <c r="B1418" s="23" t="str">
        <f aca="false">IF(A1418="","",IF(A1418&lt;=profil!$B$9,"Realisasi","Rencana"))</f>
        <v>Rencana</v>
      </c>
      <c r="C1418" s="18" t="s">
        <v>161</v>
      </c>
      <c r="D1418" s="18" t="s">
        <v>161</v>
      </c>
      <c r="E1418" s="29" t="n">
        <f aca="false">J1417</f>
        <v>0</v>
      </c>
      <c r="F1418" s="28"/>
      <c r="G1418" s="30" t="n">
        <v>0</v>
      </c>
      <c r="H1418" s="28"/>
      <c r="I1418" s="28"/>
      <c r="J1418" s="29" t="n">
        <f aca="false">E1418+F1418+G1418-H1418-I1418</f>
        <v>0</v>
      </c>
      <c r="K1418" s="29" t="n">
        <f aca="false">ROUND(E1418+F1418+G1418-H1418-I1418-J1418,1)</f>
        <v>0</v>
      </c>
    </row>
    <row r="1419" customFormat="false" ht="15" hidden="false" customHeight="false" outlineLevel="0" collapsed="false">
      <c r="A1419" s="25" t="n">
        <v>46345</v>
      </c>
      <c r="B1419" s="23" t="str">
        <f aca="false">IF(A1419="","",IF(A1419&lt;=profil!$B$9,"Realisasi","Rencana"))</f>
        <v>Rencana</v>
      </c>
      <c r="C1419" s="18" t="s">
        <v>161</v>
      </c>
      <c r="D1419" s="18" t="s">
        <v>161</v>
      </c>
      <c r="E1419" s="29" t="n">
        <f aca="false">J1418</f>
        <v>0</v>
      </c>
      <c r="F1419" s="28"/>
      <c r="G1419" s="30" t="n">
        <v>0</v>
      </c>
      <c r="H1419" s="28"/>
      <c r="I1419" s="28"/>
      <c r="J1419" s="29" t="n">
        <f aca="false">E1419+F1419+G1419-H1419-I1419</f>
        <v>0</v>
      </c>
      <c r="K1419" s="29" t="n">
        <f aca="false">ROUND(E1419+F1419+G1419-H1419-I1419-J1419,1)</f>
        <v>0</v>
      </c>
    </row>
    <row r="1420" customFormat="false" ht="15" hidden="false" customHeight="false" outlineLevel="0" collapsed="false">
      <c r="A1420" s="25" t="n">
        <v>46346</v>
      </c>
      <c r="B1420" s="23" t="str">
        <f aca="false">IF(A1420="","",IF(A1420&lt;=profil!$B$9,"Realisasi","Rencana"))</f>
        <v>Rencana</v>
      </c>
      <c r="C1420" s="18" t="s">
        <v>161</v>
      </c>
      <c r="D1420" s="18" t="s">
        <v>161</v>
      </c>
      <c r="E1420" s="29" t="n">
        <f aca="false">J1419</f>
        <v>0</v>
      </c>
      <c r="F1420" s="28"/>
      <c r="G1420" s="30" t="n">
        <v>0</v>
      </c>
      <c r="H1420" s="28"/>
      <c r="I1420" s="28"/>
      <c r="J1420" s="29" t="n">
        <f aca="false">E1420+F1420+G1420-H1420-I1420</f>
        <v>0</v>
      </c>
      <c r="K1420" s="29" t="n">
        <f aca="false">ROUND(E1420+F1420+G1420-H1420-I1420-J1420,1)</f>
        <v>0</v>
      </c>
    </row>
    <row r="1421" customFormat="false" ht="15" hidden="false" customHeight="false" outlineLevel="0" collapsed="false">
      <c r="A1421" s="25" t="n">
        <v>46347</v>
      </c>
      <c r="B1421" s="23" t="str">
        <f aca="false">IF(A1421="","",IF(A1421&lt;=profil!$B$9,"Realisasi","Rencana"))</f>
        <v>Rencana</v>
      </c>
      <c r="C1421" s="18" t="s">
        <v>161</v>
      </c>
      <c r="D1421" s="18" t="s">
        <v>161</v>
      </c>
      <c r="E1421" s="29" t="n">
        <f aca="false">J1420</f>
        <v>0</v>
      </c>
      <c r="F1421" s="28"/>
      <c r="G1421" s="30" t="n">
        <v>0</v>
      </c>
      <c r="H1421" s="28"/>
      <c r="I1421" s="28"/>
      <c r="J1421" s="29" t="n">
        <f aca="false">E1421+F1421+G1421-H1421-I1421</f>
        <v>0</v>
      </c>
      <c r="K1421" s="29" t="n">
        <f aca="false">ROUND(E1421+F1421+G1421-H1421-I1421-J1421,1)</f>
        <v>0</v>
      </c>
    </row>
    <row r="1422" customFormat="false" ht="15" hidden="false" customHeight="false" outlineLevel="0" collapsed="false">
      <c r="A1422" s="25" t="n">
        <v>46348</v>
      </c>
      <c r="B1422" s="23" t="str">
        <f aca="false">IF(A1422="","",IF(A1422&lt;=profil!$B$9,"Realisasi","Rencana"))</f>
        <v>Rencana</v>
      </c>
      <c r="C1422" s="18" t="s">
        <v>161</v>
      </c>
      <c r="D1422" s="18" t="s">
        <v>161</v>
      </c>
      <c r="E1422" s="29" t="n">
        <f aca="false">J1421</f>
        <v>0</v>
      </c>
      <c r="F1422" s="28"/>
      <c r="G1422" s="30" t="n">
        <v>0</v>
      </c>
      <c r="H1422" s="28"/>
      <c r="I1422" s="28"/>
      <c r="J1422" s="29" t="n">
        <f aca="false">E1422+F1422+G1422-H1422-I1422</f>
        <v>0</v>
      </c>
      <c r="K1422" s="29" t="n">
        <f aca="false">ROUND(E1422+F1422+G1422-H1422-I1422-J1422,1)</f>
        <v>0</v>
      </c>
    </row>
    <row r="1423" customFormat="false" ht="15" hidden="false" customHeight="false" outlineLevel="0" collapsed="false">
      <c r="A1423" s="25" t="n">
        <v>46349</v>
      </c>
      <c r="B1423" s="23" t="str">
        <f aca="false">IF(A1423="","",IF(A1423&lt;=profil!$B$9,"Realisasi","Rencana"))</f>
        <v>Rencana</v>
      </c>
      <c r="C1423" s="18" t="s">
        <v>161</v>
      </c>
      <c r="D1423" s="18" t="s">
        <v>161</v>
      </c>
      <c r="E1423" s="29" t="n">
        <f aca="false">J1422</f>
        <v>0</v>
      </c>
      <c r="F1423" s="28"/>
      <c r="G1423" s="30" t="n">
        <v>0</v>
      </c>
      <c r="H1423" s="28"/>
      <c r="I1423" s="28"/>
      <c r="J1423" s="29" t="n">
        <f aca="false">E1423+F1423+G1423-H1423-I1423</f>
        <v>0</v>
      </c>
      <c r="K1423" s="29" t="n">
        <f aca="false">ROUND(E1423+F1423+G1423-H1423-I1423-J1423,1)</f>
        <v>0</v>
      </c>
    </row>
    <row r="1424" customFormat="false" ht="15" hidden="false" customHeight="false" outlineLevel="0" collapsed="false">
      <c r="A1424" s="25" t="n">
        <v>46350</v>
      </c>
      <c r="B1424" s="23" t="str">
        <f aca="false">IF(A1424="","",IF(A1424&lt;=profil!$B$9,"Realisasi","Rencana"))</f>
        <v>Rencana</v>
      </c>
      <c r="C1424" s="18" t="s">
        <v>161</v>
      </c>
      <c r="D1424" s="18" t="s">
        <v>161</v>
      </c>
      <c r="E1424" s="29" t="n">
        <f aca="false">J1423</f>
        <v>0</v>
      </c>
      <c r="F1424" s="28"/>
      <c r="G1424" s="30" t="n">
        <v>0</v>
      </c>
      <c r="H1424" s="28"/>
      <c r="I1424" s="28"/>
      <c r="J1424" s="29" t="n">
        <f aca="false">E1424+F1424+G1424-H1424-I1424</f>
        <v>0</v>
      </c>
      <c r="K1424" s="29" t="n">
        <f aca="false">ROUND(E1424+F1424+G1424-H1424-I1424-J1424,1)</f>
        <v>0</v>
      </c>
    </row>
    <row r="1425" customFormat="false" ht="15" hidden="false" customHeight="false" outlineLevel="0" collapsed="false">
      <c r="A1425" s="25" t="n">
        <v>46351</v>
      </c>
      <c r="B1425" s="23" t="str">
        <f aca="false">IF(A1425="","",IF(A1425&lt;=profil!$B$9,"Realisasi","Rencana"))</f>
        <v>Rencana</v>
      </c>
      <c r="C1425" s="18" t="s">
        <v>161</v>
      </c>
      <c r="D1425" s="18" t="s">
        <v>161</v>
      </c>
      <c r="E1425" s="29" t="n">
        <f aca="false">J1424</f>
        <v>0</v>
      </c>
      <c r="F1425" s="28"/>
      <c r="G1425" s="30" t="n">
        <v>0</v>
      </c>
      <c r="H1425" s="28"/>
      <c r="I1425" s="28"/>
      <c r="J1425" s="29" t="n">
        <f aca="false">E1425+F1425+G1425-H1425-I1425</f>
        <v>0</v>
      </c>
      <c r="K1425" s="29" t="n">
        <f aca="false">ROUND(E1425+F1425+G1425-H1425-I1425-J1425,1)</f>
        <v>0</v>
      </c>
    </row>
    <row r="1426" customFormat="false" ht="15" hidden="false" customHeight="false" outlineLevel="0" collapsed="false">
      <c r="A1426" s="25" t="n">
        <v>46352</v>
      </c>
      <c r="B1426" s="23" t="str">
        <f aca="false">IF(A1426="","",IF(A1426&lt;=profil!$B$9,"Realisasi","Rencana"))</f>
        <v>Rencana</v>
      </c>
      <c r="C1426" s="18" t="s">
        <v>161</v>
      </c>
      <c r="D1426" s="18" t="s">
        <v>161</v>
      </c>
      <c r="E1426" s="29" t="n">
        <f aca="false">J1425</f>
        <v>0</v>
      </c>
      <c r="F1426" s="28"/>
      <c r="G1426" s="30" t="n">
        <v>0</v>
      </c>
      <c r="H1426" s="28"/>
      <c r="I1426" s="28"/>
      <c r="J1426" s="29" t="n">
        <f aca="false">E1426+F1426+G1426-H1426-I1426</f>
        <v>0</v>
      </c>
      <c r="K1426" s="29" t="n">
        <f aca="false">ROUND(E1426+F1426+G1426-H1426-I1426-J1426,1)</f>
        <v>0</v>
      </c>
    </row>
    <row r="1427" customFormat="false" ht="15" hidden="false" customHeight="false" outlineLevel="0" collapsed="false">
      <c r="A1427" s="25" t="n">
        <v>46353</v>
      </c>
      <c r="B1427" s="23" t="str">
        <f aca="false">IF(A1427="","",IF(A1427&lt;=profil!$B$9,"Realisasi","Rencana"))</f>
        <v>Rencana</v>
      </c>
      <c r="C1427" s="18" t="s">
        <v>161</v>
      </c>
      <c r="D1427" s="18" t="s">
        <v>161</v>
      </c>
      <c r="E1427" s="29" t="n">
        <f aca="false">J1426</f>
        <v>0</v>
      </c>
      <c r="F1427" s="28"/>
      <c r="G1427" s="30" t="n">
        <v>0</v>
      </c>
      <c r="H1427" s="28"/>
      <c r="I1427" s="28"/>
      <c r="J1427" s="29" t="n">
        <f aca="false">E1427+F1427+G1427-H1427-I1427</f>
        <v>0</v>
      </c>
      <c r="K1427" s="29" t="n">
        <f aca="false">ROUND(E1427+F1427+G1427-H1427-I1427-J1427,1)</f>
        <v>0</v>
      </c>
    </row>
    <row r="1428" customFormat="false" ht="15" hidden="false" customHeight="false" outlineLevel="0" collapsed="false">
      <c r="A1428" s="25" t="n">
        <v>46354</v>
      </c>
      <c r="B1428" s="23" t="str">
        <f aca="false">IF(A1428="","",IF(A1428&lt;=profil!$B$9,"Realisasi","Rencana"))</f>
        <v>Rencana</v>
      </c>
      <c r="C1428" s="18" t="s">
        <v>161</v>
      </c>
      <c r="D1428" s="18" t="s">
        <v>161</v>
      </c>
      <c r="E1428" s="29" t="n">
        <f aca="false">J1427</f>
        <v>0</v>
      </c>
      <c r="F1428" s="28"/>
      <c r="G1428" s="30" t="n">
        <v>0</v>
      </c>
      <c r="H1428" s="28"/>
      <c r="I1428" s="28"/>
      <c r="J1428" s="29" t="n">
        <f aca="false">E1428+F1428+G1428-H1428-I1428</f>
        <v>0</v>
      </c>
      <c r="K1428" s="29" t="n">
        <f aca="false">ROUND(E1428+F1428+G1428-H1428-I1428-J1428,1)</f>
        <v>0</v>
      </c>
    </row>
    <row r="1429" customFormat="false" ht="15" hidden="false" customHeight="false" outlineLevel="0" collapsed="false">
      <c r="A1429" s="25" t="n">
        <v>46355</v>
      </c>
      <c r="B1429" s="23" t="str">
        <f aca="false">IF(A1429="","",IF(A1429&lt;=profil!$B$9,"Realisasi","Rencana"))</f>
        <v>Rencana</v>
      </c>
      <c r="C1429" s="18" t="s">
        <v>161</v>
      </c>
      <c r="D1429" s="18" t="s">
        <v>161</v>
      </c>
      <c r="E1429" s="29" t="n">
        <f aca="false">J1428</f>
        <v>0</v>
      </c>
      <c r="F1429" s="28"/>
      <c r="G1429" s="30" t="n">
        <v>0</v>
      </c>
      <c r="H1429" s="28"/>
      <c r="I1429" s="28"/>
      <c r="J1429" s="29" t="n">
        <f aca="false">E1429+F1429+G1429-H1429-I1429</f>
        <v>0</v>
      </c>
      <c r="K1429" s="29" t="n">
        <f aca="false">ROUND(E1429+F1429+G1429-H1429-I1429-J1429,1)</f>
        <v>0</v>
      </c>
    </row>
    <row r="1430" customFormat="false" ht="15" hidden="false" customHeight="false" outlineLevel="0" collapsed="false">
      <c r="A1430" s="25" t="n">
        <v>46356</v>
      </c>
      <c r="B1430" s="23" t="str">
        <f aca="false">IF(A1430="","",IF(A1430&lt;=profil!$B$9,"Realisasi","Rencana"))</f>
        <v>Rencana</v>
      </c>
      <c r="C1430" s="18" t="s">
        <v>161</v>
      </c>
      <c r="D1430" s="18" t="s">
        <v>161</v>
      </c>
      <c r="E1430" s="29" t="n">
        <f aca="false">J1429</f>
        <v>0</v>
      </c>
      <c r="F1430" s="28"/>
      <c r="G1430" s="30" t="n">
        <v>0</v>
      </c>
      <c r="H1430" s="28"/>
      <c r="I1430" s="28"/>
      <c r="J1430" s="29" t="n">
        <f aca="false">E1430+F1430+G1430-H1430-I1430</f>
        <v>0</v>
      </c>
      <c r="K1430" s="29" t="n">
        <f aca="false">ROUND(E1430+F1430+G1430-H1430-I1430-J1430,1)</f>
        <v>0</v>
      </c>
    </row>
    <row r="1431" customFormat="false" ht="15" hidden="false" customHeight="false" outlineLevel="0" collapsed="false">
      <c r="A1431" s="25" t="n">
        <v>46357</v>
      </c>
      <c r="B1431" s="23" t="str">
        <f aca="false">IF(A1431="","",IF(A1431&lt;=profil!$B$9,"Realisasi","Rencana"))</f>
        <v>Rencana</v>
      </c>
      <c r="C1431" s="18" t="s">
        <v>161</v>
      </c>
      <c r="D1431" s="18" t="s">
        <v>161</v>
      </c>
      <c r="E1431" s="29" t="n">
        <f aca="false">J1430</f>
        <v>0</v>
      </c>
      <c r="F1431" s="28"/>
      <c r="G1431" s="30" t="n">
        <v>0</v>
      </c>
      <c r="H1431" s="28"/>
      <c r="I1431" s="28"/>
      <c r="J1431" s="29" t="n">
        <f aca="false">E1431+F1431+G1431-H1431-I1431</f>
        <v>0</v>
      </c>
      <c r="K1431" s="29" t="n">
        <f aca="false">ROUND(E1431+F1431+G1431-H1431-I1431-J1431,1)</f>
        <v>0</v>
      </c>
    </row>
    <row r="1432" customFormat="false" ht="15" hidden="false" customHeight="false" outlineLevel="0" collapsed="false">
      <c r="A1432" s="25" t="n">
        <v>46358</v>
      </c>
      <c r="B1432" s="23" t="str">
        <f aca="false">IF(A1432="","",IF(A1432&lt;=profil!$B$9,"Realisasi","Rencana"))</f>
        <v>Rencana</v>
      </c>
      <c r="C1432" s="18" t="s">
        <v>161</v>
      </c>
      <c r="D1432" s="18" t="s">
        <v>161</v>
      </c>
      <c r="E1432" s="29" t="n">
        <f aca="false">J1431</f>
        <v>0</v>
      </c>
      <c r="F1432" s="28"/>
      <c r="G1432" s="30" t="n">
        <v>0</v>
      </c>
      <c r="H1432" s="28"/>
      <c r="I1432" s="28"/>
      <c r="J1432" s="29" t="n">
        <f aca="false">E1432+F1432+G1432-H1432-I1432</f>
        <v>0</v>
      </c>
      <c r="K1432" s="29" t="n">
        <f aca="false">ROUND(E1432+F1432+G1432-H1432-I1432-J1432,1)</f>
        <v>0</v>
      </c>
    </row>
    <row r="1433" customFormat="false" ht="15" hidden="false" customHeight="false" outlineLevel="0" collapsed="false">
      <c r="A1433" s="25" t="n">
        <v>46359</v>
      </c>
      <c r="B1433" s="23" t="str">
        <f aca="false">IF(A1433="","",IF(A1433&lt;=profil!$B$9,"Realisasi","Rencana"))</f>
        <v>Rencana</v>
      </c>
      <c r="C1433" s="18" t="s">
        <v>161</v>
      </c>
      <c r="D1433" s="18" t="s">
        <v>161</v>
      </c>
      <c r="E1433" s="29" t="n">
        <f aca="false">J1432</f>
        <v>0</v>
      </c>
      <c r="F1433" s="28"/>
      <c r="G1433" s="30" t="n">
        <v>0</v>
      </c>
      <c r="H1433" s="28"/>
      <c r="I1433" s="28"/>
      <c r="J1433" s="29" t="n">
        <f aca="false">E1433+F1433+G1433-H1433-I1433</f>
        <v>0</v>
      </c>
      <c r="K1433" s="29" t="n">
        <f aca="false">ROUND(E1433+F1433+G1433-H1433-I1433-J1433,1)</f>
        <v>0</v>
      </c>
    </row>
    <row r="1434" customFormat="false" ht="15" hidden="false" customHeight="false" outlineLevel="0" collapsed="false">
      <c r="A1434" s="25" t="n">
        <v>46360</v>
      </c>
      <c r="B1434" s="23" t="str">
        <f aca="false">IF(A1434="","",IF(A1434&lt;=profil!$B$9,"Realisasi","Rencana"))</f>
        <v>Rencana</v>
      </c>
      <c r="C1434" s="18" t="s">
        <v>161</v>
      </c>
      <c r="D1434" s="18" t="s">
        <v>161</v>
      </c>
      <c r="E1434" s="29" t="n">
        <f aca="false">J1433</f>
        <v>0</v>
      </c>
      <c r="F1434" s="28"/>
      <c r="G1434" s="30" t="n">
        <v>0</v>
      </c>
      <c r="H1434" s="28"/>
      <c r="I1434" s="28"/>
      <c r="J1434" s="29" t="n">
        <f aca="false">E1434+F1434+G1434-H1434-I1434</f>
        <v>0</v>
      </c>
      <c r="K1434" s="29" t="n">
        <f aca="false">ROUND(E1434+F1434+G1434-H1434-I1434-J1434,1)</f>
        <v>0</v>
      </c>
    </row>
    <row r="1435" customFormat="false" ht="15" hidden="false" customHeight="false" outlineLevel="0" collapsed="false">
      <c r="A1435" s="25" t="n">
        <v>46361</v>
      </c>
      <c r="B1435" s="23" t="str">
        <f aca="false">IF(A1435="","",IF(A1435&lt;=profil!$B$9,"Realisasi","Rencana"))</f>
        <v>Rencana</v>
      </c>
      <c r="C1435" s="18" t="s">
        <v>161</v>
      </c>
      <c r="D1435" s="18" t="s">
        <v>161</v>
      </c>
      <c r="E1435" s="29" t="n">
        <f aca="false">J1434</f>
        <v>0</v>
      </c>
      <c r="F1435" s="28"/>
      <c r="G1435" s="30" t="n">
        <v>0</v>
      </c>
      <c r="H1435" s="28"/>
      <c r="I1435" s="28"/>
      <c r="J1435" s="29" t="n">
        <f aca="false">E1435+F1435+G1435-H1435-I1435</f>
        <v>0</v>
      </c>
      <c r="K1435" s="29" t="n">
        <f aca="false">ROUND(E1435+F1435+G1435-H1435-I1435-J1435,1)</f>
        <v>0</v>
      </c>
    </row>
    <row r="1436" customFormat="false" ht="15" hidden="false" customHeight="false" outlineLevel="0" collapsed="false">
      <c r="A1436" s="25" t="n">
        <v>46362</v>
      </c>
      <c r="B1436" s="23" t="str">
        <f aca="false">IF(A1436="","",IF(A1436&lt;=profil!$B$9,"Realisasi","Rencana"))</f>
        <v>Rencana</v>
      </c>
      <c r="C1436" s="18" t="s">
        <v>161</v>
      </c>
      <c r="D1436" s="18" t="s">
        <v>161</v>
      </c>
      <c r="E1436" s="29" t="n">
        <f aca="false">J1435</f>
        <v>0</v>
      </c>
      <c r="F1436" s="28"/>
      <c r="G1436" s="30" t="n">
        <v>0</v>
      </c>
      <c r="H1436" s="28"/>
      <c r="I1436" s="28"/>
      <c r="J1436" s="29" t="n">
        <f aca="false">E1436+F1436+G1436-H1436-I1436</f>
        <v>0</v>
      </c>
      <c r="K1436" s="29" t="n">
        <f aca="false">ROUND(E1436+F1436+G1436-H1436-I1436-J1436,1)</f>
        <v>0</v>
      </c>
    </row>
    <row r="1437" customFormat="false" ht="15" hidden="false" customHeight="false" outlineLevel="0" collapsed="false">
      <c r="A1437" s="25" t="n">
        <v>46363</v>
      </c>
      <c r="B1437" s="23" t="str">
        <f aca="false">IF(A1437="","",IF(A1437&lt;=profil!$B$9,"Realisasi","Rencana"))</f>
        <v>Rencana</v>
      </c>
      <c r="C1437" s="18" t="s">
        <v>161</v>
      </c>
      <c r="D1437" s="18" t="s">
        <v>161</v>
      </c>
      <c r="E1437" s="29" t="n">
        <f aca="false">J1436</f>
        <v>0</v>
      </c>
      <c r="F1437" s="28"/>
      <c r="G1437" s="30" t="n">
        <v>0</v>
      </c>
      <c r="H1437" s="28"/>
      <c r="I1437" s="28"/>
      <c r="J1437" s="29" t="n">
        <f aca="false">E1437+F1437+G1437-H1437-I1437</f>
        <v>0</v>
      </c>
      <c r="K1437" s="29" t="n">
        <f aca="false">ROUND(E1437+F1437+G1437-H1437-I1437-J1437,1)</f>
        <v>0</v>
      </c>
    </row>
    <row r="1438" customFormat="false" ht="15" hidden="false" customHeight="false" outlineLevel="0" collapsed="false">
      <c r="A1438" s="25" t="n">
        <v>46364</v>
      </c>
      <c r="B1438" s="23" t="str">
        <f aca="false">IF(A1438="","",IF(A1438&lt;=profil!$B$9,"Realisasi","Rencana"))</f>
        <v>Rencana</v>
      </c>
      <c r="C1438" s="18" t="s">
        <v>161</v>
      </c>
      <c r="D1438" s="18" t="s">
        <v>161</v>
      </c>
      <c r="E1438" s="29" t="n">
        <f aca="false">J1437</f>
        <v>0</v>
      </c>
      <c r="F1438" s="28"/>
      <c r="G1438" s="30" t="n">
        <v>0</v>
      </c>
      <c r="H1438" s="28"/>
      <c r="I1438" s="28"/>
      <c r="J1438" s="29" t="n">
        <f aca="false">E1438+F1438+G1438-H1438-I1438</f>
        <v>0</v>
      </c>
      <c r="K1438" s="29" t="n">
        <f aca="false">ROUND(E1438+F1438+G1438-H1438-I1438-J1438,1)</f>
        <v>0</v>
      </c>
    </row>
    <row r="1439" customFormat="false" ht="15" hidden="false" customHeight="false" outlineLevel="0" collapsed="false">
      <c r="A1439" s="25" t="n">
        <v>46365</v>
      </c>
      <c r="B1439" s="23" t="str">
        <f aca="false">IF(A1439="","",IF(A1439&lt;=profil!$B$9,"Realisasi","Rencana"))</f>
        <v>Rencana</v>
      </c>
      <c r="C1439" s="18" t="s">
        <v>161</v>
      </c>
      <c r="D1439" s="18" t="s">
        <v>161</v>
      </c>
      <c r="E1439" s="29" t="n">
        <f aca="false">J1438</f>
        <v>0</v>
      </c>
      <c r="F1439" s="28"/>
      <c r="G1439" s="30" t="n">
        <v>0</v>
      </c>
      <c r="H1439" s="28"/>
      <c r="I1439" s="28"/>
      <c r="J1439" s="29" t="n">
        <f aca="false">E1439+F1439+G1439-H1439-I1439</f>
        <v>0</v>
      </c>
      <c r="K1439" s="29" t="n">
        <f aca="false">ROUND(E1439+F1439+G1439-H1439-I1439-J1439,1)</f>
        <v>0</v>
      </c>
    </row>
    <row r="1440" customFormat="false" ht="15" hidden="false" customHeight="false" outlineLevel="0" collapsed="false">
      <c r="A1440" s="25" t="n">
        <v>46366</v>
      </c>
      <c r="B1440" s="23" t="str">
        <f aca="false">IF(A1440="","",IF(A1440&lt;=profil!$B$9,"Realisasi","Rencana"))</f>
        <v>Rencana</v>
      </c>
      <c r="C1440" s="18" t="s">
        <v>161</v>
      </c>
      <c r="D1440" s="18" t="s">
        <v>161</v>
      </c>
      <c r="E1440" s="29" t="n">
        <f aca="false">J1439</f>
        <v>0</v>
      </c>
      <c r="F1440" s="28"/>
      <c r="G1440" s="30" t="n">
        <v>0</v>
      </c>
      <c r="H1440" s="28"/>
      <c r="I1440" s="28"/>
      <c r="J1440" s="29" t="n">
        <f aca="false">E1440+F1440+G1440-H1440-I1440</f>
        <v>0</v>
      </c>
      <c r="K1440" s="29" t="n">
        <f aca="false">ROUND(E1440+F1440+G1440-H1440-I1440-J1440,1)</f>
        <v>0</v>
      </c>
    </row>
    <row r="1441" customFormat="false" ht="15" hidden="false" customHeight="false" outlineLevel="0" collapsed="false">
      <c r="A1441" s="25" t="n">
        <v>46367</v>
      </c>
      <c r="B1441" s="23" t="str">
        <f aca="false">IF(A1441="","",IF(A1441&lt;=profil!$B$9,"Realisasi","Rencana"))</f>
        <v>Rencana</v>
      </c>
      <c r="C1441" s="18" t="s">
        <v>161</v>
      </c>
      <c r="D1441" s="18" t="s">
        <v>161</v>
      </c>
      <c r="E1441" s="29" t="n">
        <f aca="false">J1440</f>
        <v>0</v>
      </c>
      <c r="F1441" s="28"/>
      <c r="G1441" s="30" t="n">
        <v>0</v>
      </c>
      <c r="H1441" s="28"/>
      <c r="I1441" s="28"/>
      <c r="J1441" s="29" t="n">
        <f aca="false">E1441+F1441+G1441-H1441-I1441</f>
        <v>0</v>
      </c>
      <c r="K1441" s="29" t="n">
        <f aca="false">ROUND(E1441+F1441+G1441-H1441-I1441-J1441,1)</f>
        <v>0</v>
      </c>
    </row>
    <row r="1442" customFormat="false" ht="15" hidden="false" customHeight="false" outlineLevel="0" collapsed="false">
      <c r="A1442" s="25" t="n">
        <v>46368</v>
      </c>
      <c r="B1442" s="23" t="str">
        <f aca="false">IF(A1442="","",IF(A1442&lt;=profil!$B$9,"Realisasi","Rencana"))</f>
        <v>Rencana</v>
      </c>
      <c r="C1442" s="18" t="s">
        <v>161</v>
      </c>
      <c r="D1442" s="18" t="s">
        <v>161</v>
      </c>
      <c r="E1442" s="29" t="n">
        <f aca="false">J1441</f>
        <v>0</v>
      </c>
      <c r="F1442" s="28"/>
      <c r="G1442" s="30" t="n">
        <v>0</v>
      </c>
      <c r="H1442" s="28"/>
      <c r="I1442" s="28"/>
      <c r="J1442" s="29" t="n">
        <f aca="false">E1442+F1442+G1442-H1442-I1442</f>
        <v>0</v>
      </c>
      <c r="K1442" s="29" t="n">
        <f aca="false">ROUND(E1442+F1442+G1442-H1442-I1442-J1442,1)</f>
        <v>0</v>
      </c>
    </row>
    <row r="1443" customFormat="false" ht="15" hidden="false" customHeight="false" outlineLevel="0" collapsed="false">
      <c r="A1443" s="25" t="n">
        <v>46369</v>
      </c>
      <c r="B1443" s="23" t="str">
        <f aca="false">IF(A1443="","",IF(A1443&lt;=profil!$B$9,"Realisasi","Rencana"))</f>
        <v>Rencana</v>
      </c>
      <c r="C1443" s="18" t="s">
        <v>161</v>
      </c>
      <c r="D1443" s="18" t="s">
        <v>161</v>
      </c>
      <c r="E1443" s="29" t="n">
        <f aca="false">J1442</f>
        <v>0</v>
      </c>
      <c r="F1443" s="28"/>
      <c r="G1443" s="30" t="n">
        <v>0</v>
      </c>
      <c r="H1443" s="28"/>
      <c r="I1443" s="28"/>
      <c r="J1443" s="29" t="n">
        <f aca="false">E1443+F1443+G1443-H1443-I1443</f>
        <v>0</v>
      </c>
      <c r="K1443" s="29" t="n">
        <f aca="false">ROUND(E1443+F1443+G1443-H1443-I1443-J1443,1)</f>
        <v>0</v>
      </c>
    </row>
    <row r="1444" customFormat="false" ht="15" hidden="false" customHeight="false" outlineLevel="0" collapsed="false">
      <c r="A1444" s="25" t="n">
        <v>46370</v>
      </c>
      <c r="B1444" s="23" t="str">
        <f aca="false">IF(A1444="","",IF(A1444&lt;=profil!$B$9,"Realisasi","Rencana"))</f>
        <v>Rencana</v>
      </c>
      <c r="C1444" s="18" t="s">
        <v>161</v>
      </c>
      <c r="D1444" s="18" t="s">
        <v>161</v>
      </c>
      <c r="E1444" s="29" t="n">
        <f aca="false">J1443</f>
        <v>0</v>
      </c>
      <c r="F1444" s="28"/>
      <c r="G1444" s="30" t="n">
        <v>0</v>
      </c>
      <c r="H1444" s="28"/>
      <c r="I1444" s="28"/>
      <c r="J1444" s="29" t="n">
        <f aca="false">E1444+F1444+G1444-H1444-I1444</f>
        <v>0</v>
      </c>
      <c r="K1444" s="29" t="n">
        <f aca="false">ROUND(E1444+F1444+G1444-H1444-I1444-J1444,1)</f>
        <v>0</v>
      </c>
    </row>
    <row r="1445" customFormat="false" ht="15" hidden="false" customHeight="false" outlineLevel="0" collapsed="false">
      <c r="A1445" s="25" t="n">
        <v>46371</v>
      </c>
      <c r="B1445" s="23" t="str">
        <f aca="false">IF(A1445="","",IF(A1445&lt;=profil!$B$9,"Realisasi","Rencana"))</f>
        <v>Rencana</v>
      </c>
      <c r="C1445" s="18" t="s">
        <v>161</v>
      </c>
      <c r="D1445" s="18" t="s">
        <v>161</v>
      </c>
      <c r="E1445" s="29" t="n">
        <f aca="false">J1444</f>
        <v>0</v>
      </c>
      <c r="F1445" s="28"/>
      <c r="G1445" s="30" t="n">
        <v>0</v>
      </c>
      <c r="H1445" s="28"/>
      <c r="I1445" s="28"/>
      <c r="J1445" s="29" t="n">
        <f aca="false">E1445+F1445+G1445-H1445-I1445</f>
        <v>0</v>
      </c>
      <c r="K1445" s="29" t="n">
        <f aca="false">ROUND(E1445+F1445+G1445-H1445-I1445-J1445,1)</f>
        <v>0</v>
      </c>
    </row>
    <row r="1446" customFormat="false" ht="15" hidden="false" customHeight="false" outlineLevel="0" collapsed="false">
      <c r="A1446" s="25" t="n">
        <v>46372</v>
      </c>
      <c r="B1446" s="23" t="str">
        <f aca="false">IF(A1446="","",IF(A1446&lt;=profil!$B$9,"Realisasi","Rencana"))</f>
        <v>Rencana</v>
      </c>
      <c r="C1446" s="18" t="s">
        <v>161</v>
      </c>
      <c r="D1446" s="18" t="s">
        <v>161</v>
      </c>
      <c r="E1446" s="29" t="n">
        <f aca="false">J1445</f>
        <v>0</v>
      </c>
      <c r="F1446" s="28"/>
      <c r="G1446" s="30" t="n">
        <v>0</v>
      </c>
      <c r="H1446" s="28"/>
      <c r="I1446" s="28"/>
      <c r="J1446" s="29" t="n">
        <f aca="false">E1446+F1446+G1446-H1446-I1446</f>
        <v>0</v>
      </c>
      <c r="K1446" s="29" t="n">
        <f aca="false">ROUND(E1446+F1446+G1446-H1446-I1446-J1446,1)</f>
        <v>0</v>
      </c>
    </row>
    <row r="1447" customFormat="false" ht="15" hidden="false" customHeight="false" outlineLevel="0" collapsed="false">
      <c r="A1447" s="25" t="n">
        <v>46373</v>
      </c>
      <c r="B1447" s="23" t="str">
        <f aca="false">IF(A1447="","",IF(A1447&lt;=profil!$B$9,"Realisasi","Rencana"))</f>
        <v>Rencana</v>
      </c>
      <c r="C1447" s="18" t="s">
        <v>161</v>
      </c>
      <c r="D1447" s="18" t="s">
        <v>161</v>
      </c>
      <c r="E1447" s="29" t="n">
        <f aca="false">J1446</f>
        <v>0</v>
      </c>
      <c r="F1447" s="28"/>
      <c r="G1447" s="30" t="n">
        <v>0</v>
      </c>
      <c r="H1447" s="28"/>
      <c r="I1447" s="28"/>
      <c r="J1447" s="29" t="n">
        <f aca="false">E1447+F1447+G1447-H1447-I1447</f>
        <v>0</v>
      </c>
      <c r="K1447" s="29" t="n">
        <f aca="false">ROUND(E1447+F1447+G1447-H1447-I1447-J1447,1)</f>
        <v>0</v>
      </c>
    </row>
    <row r="1448" customFormat="false" ht="15" hidden="false" customHeight="false" outlineLevel="0" collapsed="false">
      <c r="A1448" s="25" t="n">
        <v>46374</v>
      </c>
      <c r="B1448" s="23" t="str">
        <f aca="false">IF(A1448="","",IF(A1448&lt;=profil!$B$9,"Realisasi","Rencana"))</f>
        <v>Rencana</v>
      </c>
      <c r="C1448" s="18" t="s">
        <v>161</v>
      </c>
      <c r="D1448" s="18" t="s">
        <v>161</v>
      </c>
      <c r="E1448" s="29" t="n">
        <f aca="false">J1447</f>
        <v>0</v>
      </c>
      <c r="F1448" s="28"/>
      <c r="G1448" s="30" t="n">
        <v>0</v>
      </c>
      <c r="H1448" s="28"/>
      <c r="I1448" s="28"/>
      <c r="J1448" s="29" t="n">
        <f aca="false">E1448+F1448+G1448-H1448-I1448</f>
        <v>0</v>
      </c>
      <c r="K1448" s="29" t="n">
        <f aca="false">ROUND(E1448+F1448+G1448-H1448-I1448-J1448,1)</f>
        <v>0</v>
      </c>
    </row>
    <row r="1449" customFormat="false" ht="15" hidden="false" customHeight="false" outlineLevel="0" collapsed="false">
      <c r="A1449" s="25" t="n">
        <v>46375</v>
      </c>
      <c r="B1449" s="23" t="str">
        <f aca="false">IF(A1449="","",IF(A1449&lt;=profil!$B$9,"Realisasi","Rencana"))</f>
        <v>Rencana</v>
      </c>
      <c r="C1449" s="18" t="s">
        <v>161</v>
      </c>
      <c r="D1449" s="18" t="s">
        <v>161</v>
      </c>
      <c r="E1449" s="29" t="n">
        <f aca="false">J1448</f>
        <v>0</v>
      </c>
      <c r="F1449" s="28"/>
      <c r="G1449" s="30" t="n">
        <v>0</v>
      </c>
      <c r="H1449" s="28"/>
      <c r="I1449" s="28"/>
      <c r="J1449" s="29" t="n">
        <f aca="false">E1449+F1449+G1449-H1449-I1449</f>
        <v>0</v>
      </c>
      <c r="K1449" s="29" t="n">
        <f aca="false">ROUND(E1449+F1449+G1449-H1449-I1449-J1449,1)</f>
        <v>0</v>
      </c>
    </row>
    <row r="1450" customFormat="false" ht="15" hidden="false" customHeight="false" outlineLevel="0" collapsed="false">
      <c r="A1450" s="25" t="n">
        <v>46376</v>
      </c>
      <c r="B1450" s="23" t="str">
        <f aca="false">IF(A1450="","",IF(A1450&lt;=profil!$B$9,"Realisasi","Rencana"))</f>
        <v>Rencana</v>
      </c>
      <c r="C1450" s="18" t="s">
        <v>161</v>
      </c>
      <c r="D1450" s="18" t="s">
        <v>161</v>
      </c>
      <c r="E1450" s="29" t="n">
        <f aca="false">J1449</f>
        <v>0</v>
      </c>
      <c r="F1450" s="28"/>
      <c r="G1450" s="30" t="n">
        <v>0</v>
      </c>
      <c r="H1450" s="28"/>
      <c r="I1450" s="28"/>
      <c r="J1450" s="29" t="n">
        <f aca="false">E1450+F1450+G1450-H1450-I1450</f>
        <v>0</v>
      </c>
      <c r="K1450" s="29" t="n">
        <f aca="false">ROUND(E1450+F1450+G1450-H1450-I1450-J1450,1)</f>
        <v>0</v>
      </c>
    </row>
    <row r="1451" customFormat="false" ht="15" hidden="false" customHeight="false" outlineLevel="0" collapsed="false">
      <c r="A1451" s="25" t="n">
        <v>46377</v>
      </c>
      <c r="B1451" s="23" t="str">
        <f aca="false">IF(A1451="","",IF(A1451&lt;=profil!$B$9,"Realisasi","Rencana"))</f>
        <v>Rencana</v>
      </c>
      <c r="C1451" s="18" t="s">
        <v>161</v>
      </c>
      <c r="D1451" s="18" t="s">
        <v>161</v>
      </c>
      <c r="E1451" s="29" t="n">
        <f aca="false">J1450</f>
        <v>0</v>
      </c>
      <c r="F1451" s="28"/>
      <c r="G1451" s="30" t="n">
        <v>0</v>
      </c>
      <c r="H1451" s="28"/>
      <c r="I1451" s="28"/>
      <c r="J1451" s="29" t="n">
        <f aca="false">E1451+F1451+G1451-H1451-I1451</f>
        <v>0</v>
      </c>
      <c r="K1451" s="29" t="n">
        <f aca="false">ROUND(E1451+F1451+G1451-H1451-I1451-J1451,1)</f>
        <v>0</v>
      </c>
    </row>
    <row r="1452" customFormat="false" ht="15" hidden="false" customHeight="false" outlineLevel="0" collapsed="false">
      <c r="A1452" s="25" t="n">
        <v>46378</v>
      </c>
      <c r="B1452" s="23" t="str">
        <f aca="false">IF(A1452="","",IF(A1452&lt;=profil!$B$9,"Realisasi","Rencana"))</f>
        <v>Rencana</v>
      </c>
      <c r="C1452" s="18" t="s">
        <v>161</v>
      </c>
      <c r="D1452" s="18" t="s">
        <v>161</v>
      </c>
      <c r="E1452" s="29" t="n">
        <f aca="false">J1451</f>
        <v>0</v>
      </c>
      <c r="F1452" s="28"/>
      <c r="G1452" s="30" t="n">
        <v>0</v>
      </c>
      <c r="H1452" s="28"/>
      <c r="I1452" s="28"/>
      <c r="J1452" s="29" t="n">
        <f aca="false">E1452+F1452+G1452-H1452-I1452</f>
        <v>0</v>
      </c>
      <c r="K1452" s="29" t="n">
        <f aca="false">ROUND(E1452+F1452+G1452-H1452-I1452-J1452,1)</f>
        <v>0</v>
      </c>
    </row>
    <row r="1453" customFormat="false" ht="15" hidden="false" customHeight="false" outlineLevel="0" collapsed="false">
      <c r="A1453" s="25" t="n">
        <v>46379</v>
      </c>
      <c r="B1453" s="23" t="str">
        <f aca="false">IF(A1453="","",IF(A1453&lt;=profil!$B$9,"Realisasi","Rencana"))</f>
        <v>Rencana</v>
      </c>
      <c r="C1453" s="18" t="s">
        <v>161</v>
      </c>
      <c r="D1453" s="18" t="s">
        <v>161</v>
      </c>
      <c r="E1453" s="29" t="n">
        <f aca="false">J1452</f>
        <v>0</v>
      </c>
      <c r="F1453" s="28"/>
      <c r="G1453" s="30" t="n">
        <v>0</v>
      </c>
      <c r="H1453" s="28"/>
      <c r="I1453" s="28"/>
      <c r="J1453" s="29" t="n">
        <f aca="false">E1453+F1453+G1453-H1453-I1453</f>
        <v>0</v>
      </c>
      <c r="K1453" s="29" t="n">
        <f aca="false">ROUND(E1453+F1453+G1453-H1453-I1453-J1453,1)</f>
        <v>0</v>
      </c>
    </row>
    <row r="1454" customFormat="false" ht="15" hidden="false" customHeight="false" outlineLevel="0" collapsed="false">
      <c r="A1454" s="25" t="n">
        <v>46380</v>
      </c>
      <c r="B1454" s="23" t="str">
        <f aca="false">IF(A1454="","",IF(A1454&lt;=profil!$B$9,"Realisasi","Rencana"))</f>
        <v>Rencana</v>
      </c>
      <c r="C1454" s="18" t="s">
        <v>161</v>
      </c>
      <c r="D1454" s="18" t="s">
        <v>161</v>
      </c>
      <c r="E1454" s="29" t="n">
        <f aca="false">J1453</f>
        <v>0</v>
      </c>
      <c r="F1454" s="28"/>
      <c r="G1454" s="30" t="n">
        <v>0</v>
      </c>
      <c r="H1454" s="28"/>
      <c r="I1454" s="28"/>
      <c r="J1454" s="29" t="n">
        <f aca="false">E1454+F1454+G1454-H1454-I1454</f>
        <v>0</v>
      </c>
      <c r="K1454" s="29" t="n">
        <f aca="false">ROUND(E1454+F1454+G1454-H1454-I1454-J1454,1)</f>
        <v>0</v>
      </c>
    </row>
    <row r="1455" customFormat="false" ht="15" hidden="false" customHeight="false" outlineLevel="0" collapsed="false">
      <c r="A1455" s="25" t="n">
        <v>46381</v>
      </c>
      <c r="B1455" s="23" t="str">
        <f aca="false">IF(A1455="","",IF(A1455&lt;=profil!$B$9,"Realisasi","Rencana"))</f>
        <v>Rencana</v>
      </c>
      <c r="C1455" s="18" t="s">
        <v>161</v>
      </c>
      <c r="D1455" s="18" t="s">
        <v>161</v>
      </c>
      <c r="E1455" s="29" t="n">
        <f aca="false">J1454</f>
        <v>0</v>
      </c>
      <c r="F1455" s="28"/>
      <c r="G1455" s="30" t="n">
        <v>0</v>
      </c>
      <c r="H1455" s="28"/>
      <c r="I1455" s="28"/>
      <c r="J1455" s="29" t="n">
        <f aca="false">E1455+F1455+G1455-H1455-I1455</f>
        <v>0</v>
      </c>
      <c r="K1455" s="29" t="n">
        <f aca="false">ROUND(E1455+F1455+G1455-H1455-I1455-J1455,1)</f>
        <v>0</v>
      </c>
    </row>
    <row r="1456" customFormat="false" ht="15" hidden="false" customHeight="false" outlineLevel="0" collapsed="false">
      <c r="A1456" s="25" t="n">
        <v>46382</v>
      </c>
      <c r="B1456" s="23" t="str">
        <f aca="false">IF(A1456="","",IF(A1456&lt;=profil!$B$9,"Realisasi","Rencana"))</f>
        <v>Rencana</v>
      </c>
      <c r="C1456" s="18" t="s">
        <v>161</v>
      </c>
      <c r="D1456" s="18" t="s">
        <v>161</v>
      </c>
      <c r="E1456" s="29" t="n">
        <f aca="false">J1455</f>
        <v>0</v>
      </c>
      <c r="F1456" s="28"/>
      <c r="G1456" s="30" t="n">
        <v>0</v>
      </c>
      <c r="H1456" s="28"/>
      <c r="I1456" s="28"/>
      <c r="J1456" s="29" t="n">
        <f aca="false">E1456+F1456+G1456-H1456-I1456</f>
        <v>0</v>
      </c>
      <c r="K1456" s="29" t="n">
        <f aca="false">ROUND(E1456+F1456+G1456-H1456-I1456-J1456,1)</f>
        <v>0</v>
      </c>
    </row>
    <row r="1457" customFormat="false" ht="15" hidden="false" customHeight="false" outlineLevel="0" collapsed="false">
      <c r="A1457" s="25" t="n">
        <v>46383</v>
      </c>
      <c r="B1457" s="23" t="str">
        <f aca="false">IF(A1457="","",IF(A1457&lt;=profil!$B$9,"Realisasi","Rencana"))</f>
        <v>Rencana</v>
      </c>
      <c r="C1457" s="18" t="s">
        <v>161</v>
      </c>
      <c r="D1457" s="18" t="s">
        <v>161</v>
      </c>
      <c r="E1457" s="29" t="n">
        <f aca="false">J1456</f>
        <v>0</v>
      </c>
      <c r="F1457" s="28"/>
      <c r="G1457" s="30" t="n">
        <v>0</v>
      </c>
      <c r="H1457" s="28"/>
      <c r="I1457" s="28"/>
      <c r="J1457" s="29" t="n">
        <f aca="false">E1457+F1457+G1457-H1457-I1457</f>
        <v>0</v>
      </c>
      <c r="K1457" s="29" t="n">
        <f aca="false">ROUND(E1457+F1457+G1457-H1457-I1457-J1457,1)</f>
        <v>0</v>
      </c>
    </row>
    <row r="1458" customFormat="false" ht="15" hidden="false" customHeight="false" outlineLevel="0" collapsed="false">
      <c r="A1458" s="25" t="n">
        <v>46384</v>
      </c>
      <c r="B1458" s="23" t="str">
        <f aca="false">IF(A1458="","",IF(A1458&lt;=profil!$B$9,"Realisasi","Rencana"))</f>
        <v>Rencana</v>
      </c>
      <c r="C1458" s="18" t="s">
        <v>161</v>
      </c>
      <c r="D1458" s="18" t="s">
        <v>161</v>
      </c>
      <c r="E1458" s="29" t="n">
        <f aca="false">J1457</f>
        <v>0</v>
      </c>
      <c r="F1458" s="28"/>
      <c r="G1458" s="30" t="n">
        <v>0</v>
      </c>
      <c r="H1458" s="28"/>
      <c r="I1458" s="28"/>
      <c r="J1458" s="29" t="n">
        <f aca="false">E1458+F1458+G1458-H1458-I1458</f>
        <v>0</v>
      </c>
      <c r="K1458" s="29" t="n">
        <f aca="false">ROUND(E1458+F1458+G1458-H1458-I1458-J1458,1)</f>
        <v>0</v>
      </c>
    </row>
    <row r="1459" customFormat="false" ht="15" hidden="false" customHeight="false" outlineLevel="0" collapsed="false">
      <c r="A1459" s="25" t="n">
        <v>46385</v>
      </c>
      <c r="B1459" s="23" t="str">
        <f aca="false">IF(A1459="","",IF(A1459&lt;=profil!$B$9,"Realisasi","Rencana"))</f>
        <v>Rencana</v>
      </c>
      <c r="C1459" s="18" t="s">
        <v>161</v>
      </c>
      <c r="D1459" s="18" t="s">
        <v>161</v>
      </c>
      <c r="E1459" s="29" t="n">
        <f aca="false">J1458</f>
        <v>0</v>
      </c>
      <c r="F1459" s="28"/>
      <c r="G1459" s="30" t="n">
        <v>0</v>
      </c>
      <c r="H1459" s="28"/>
      <c r="I1459" s="28"/>
      <c r="J1459" s="29" t="n">
        <f aca="false">E1459+F1459+G1459-H1459-I1459</f>
        <v>0</v>
      </c>
      <c r="K1459" s="29" t="n">
        <f aca="false">ROUND(E1459+F1459+G1459-H1459-I1459-J1459,1)</f>
        <v>0</v>
      </c>
    </row>
    <row r="1460" customFormat="false" ht="15" hidden="false" customHeight="false" outlineLevel="0" collapsed="false">
      <c r="A1460" s="25" t="n">
        <v>46386</v>
      </c>
      <c r="B1460" s="23" t="str">
        <f aca="false">IF(A1460="","",IF(A1460&lt;=profil!$B$9,"Realisasi","Rencana"))</f>
        <v>Rencana</v>
      </c>
      <c r="C1460" s="18" t="s">
        <v>161</v>
      </c>
      <c r="D1460" s="18" t="s">
        <v>161</v>
      </c>
      <c r="E1460" s="29" t="n">
        <f aca="false">J1459</f>
        <v>0</v>
      </c>
      <c r="F1460" s="28"/>
      <c r="G1460" s="30" t="n">
        <v>0</v>
      </c>
      <c r="H1460" s="28"/>
      <c r="I1460" s="28"/>
      <c r="J1460" s="29" t="n">
        <f aca="false">E1460+F1460+G1460-H1460-I1460</f>
        <v>0</v>
      </c>
      <c r="K1460" s="29" t="n">
        <f aca="false">ROUND(E1460+F1460+G1460-H1460-I1460-J1460,1)</f>
        <v>0</v>
      </c>
    </row>
    <row r="1461" customFormat="false" ht="15" hidden="false" customHeight="false" outlineLevel="0" collapsed="false">
      <c r="A1461" s="25" t="n">
        <v>46387</v>
      </c>
      <c r="B1461" s="23" t="str">
        <f aca="false">IF(A1461="","",IF(A1461&lt;=profil!$B$9,"Realisasi","Rencana"))</f>
        <v>Rencana</v>
      </c>
      <c r="C1461" s="18" t="s">
        <v>161</v>
      </c>
      <c r="D1461" s="18" t="s">
        <v>161</v>
      </c>
      <c r="E1461" s="29" t="n">
        <f aca="false">J1460</f>
        <v>0</v>
      </c>
      <c r="F1461" s="28"/>
      <c r="G1461" s="30" t="n">
        <v>0</v>
      </c>
      <c r="H1461" s="28"/>
      <c r="I1461" s="28"/>
      <c r="J1461" s="29" t="n">
        <f aca="false">E1461+F1461+G1461-H1461-I1461</f>
        <v>0</v>
      </c>
      <c r="K1461" s="29" t="n">
        <f aca="false">ROUND(E1461+F1461+G1461-H1461-I1461-J1461,1)</f>
        <v>0</v>
      </c>
    </row>
    <row r="1462" customFormat="false" ht="15" hidden="false" customHeight="false" outlineLevel="0" collapsed="false">
      <c r="A1462" s="25" t="n">
        <v>46023</v>
      </c>
      <c r="B1462" s="23" t="str">
        <f aca="false">IF(A1462="","",IF(A1462&lt;=profil!$B$9,"Realisasi","Rencana"))</f>
        <v>Rencana</v>
      </c>
      <c r="C1462" s="18" t="s">
        <v>162</v>
      </c>
      <c r="D1462" s="18" t="s">
        <v>163</v>
      </c>
      <c r="E1462" s="28"/>
      <c r="F1462" s="28"/>
      <c r="G1462" s="30" t="n">
        <v>0</v>
      </c>
      <c r="H1462" s="28"/>
      <c r="I1462" s="28"/>
      <c r="J1462" s="29" t="n">
        <f aca="false">E1462+F1462+G1462-H1462-I1462</f>
        <v>0</v>
      </c>
      <c r="K1462" s="29" t="n">
        <f aca="false">ROUND(E1462+F1462+G1462-H1462-I1462-J1462,1)</f>
        <v>0</v>
      </c>
    </row>
    <row r="1463" customFormat="false" ht="15" hidden="false" customHeight="false" outlineLevel="0" collapsed="false">
      <c r="A1463" s="25" t="n">
        <v>46024</v>
      </c>
      <c r="B1463" s="23" t="str">
        <f aca="false">IF(A1463="","",IF(A1463&lt;=profil!$B$9,"Realisasi","Rencana"))</f>
        <v>Rencana</v>
      </c>
      <c r="C1463" s="18" t="s">
        <v>162</v>
      </c>
      <c r="D1463" s="18" t="s">
        <v>163</v>
      </c>
      <c r="E1463" s="29" t="n">
        <f aca="false">J1462</f>
        <v>0</v>
      </c>
      <c r="F1463" s="28"/>
      <c r="G1463" s="30" t="n">
        <v>0</v>
      </c>
      <c r="H1463" s="28"/>
      <c r="I1463" s="28"/>
      <c r="J1463" s="29" t="n">
        <f aca="false">E1463+F1463+G1463-H1463-I1463</f>
        <v>0</v>
      </c>
      <c r="K1463" s="29" t="n">
        <f aca="false">ROUND(E1463+F1463+G1463-H1463-I1463-J1463,1)</f>
        <v>0</v>
      </c>
    </row>
    <row r="1464" customFormat="false" ht="15" hidden="false" customHeight="false" outlineLevel="0" collapsed="false">
      <c r="A1464" s="25" t="n">
        <v>46025</v>
      </c>
      <c r="B1464" s="23" t="str">
        <f aca="false">IF(A1464="","",IF(A1464&lt;=profil!$B$9,"Realisasi","Rencana"))</f>
        <v>Rencana</v>
      </c>
      <c r="C1464" s="18" t="s">
        <v>162</v>
      </c>
      <c r="D1464" s="18" t="s">
        <v>163</v>
      </c>
      <c r="E1464" s="29" t="n">
        <f aca="false">J1463</f>
        <v>0</v>
      </c>
      <c r="F1464" s="28"/>
      <c r="G1464" s="30" t="n">
        <v>0</v>
      </c>
      <c r="H1464" s="28"/>
      <c r="I1464" s="28"/>
      <c r="J1464" s="29" t="n">
        <f aca="false">E1464+F1464+G1464-H1464-I1464</f>
        <v>0</v>
      </c>
      <c r="K1464" s="29" t="n">
        <f aca="false">ROUND(E1464+F1464+G1464-H1464-I1464-J1464,1)</f>
        <v>0</v>
      </c>
    </row>
    <row r="1465" customFormat="false" ht="15" hidden="false" customHeight="false" outlineLevel="0" collapsed="false">
      <c r="A1465" s="25" t="n">
        <v>46026</v>
      </c>
      <c r="B1465" s="23" t="str">
        <f aca="false">IF(A1465="","",IF(A1465&lt;=profil!$B$9,"Realisasi","Rencana"))</f>
        <v>Rencana</v>
      </c>
      <c r="C1465" s="18" t="s">
        <v>162</v>
      </c>
      <c r="D1465" s="18" t="s">
        <v>163</v>
      </c>
      <c r="E1465" s="29" t="n">
        <f aca="false">J1464</f>
        <v>0</v>
      </c>
      <c r="F1465" s="28"/>
      <c r="G1465" s="30" t="n">
        <v>0</v>
      </c>
      <c r="H1465" s="28"/>
      <c r="I1465" s="28"/>
      <c r="J1465" s="29" t="n">
        <f aca="false">E1465+F1465+G1465-H1465-I1465</f>
        <v>0</v>
      </c>
      <c r="K1465" s="29" t="n">
        <f aca="false">ROUND(E1465+F1465+G1465-H1465-I1465-J1465,1)</f>
        <v>0</v>
      </c>
    </row>
    <row r="1466" customFormat="false" ht="15" hidden="false" customHeight="false" outlineLevel="0" collapsed="false">
      <c r="A1466" s="25" t="n">
        <v>46027</v>
      </c>
      <c r="B1466" s="23" t="str">
        <f aca="false">IF(A1466="","",IF(A1466&lt;=profil!$B$9,"Realisasi","Rencana"))</f>
        <v>Rencana</v>
      </c>
      <c r="C1466" s="18" t="s">
        <v>162</v>
      </c>
      <c r="D1466" s="18" t="s">
        <v>163</v>
      </c>
      <c r="E1466" s="29" t="n">
        <f aca="false">J1465</f>
        <v>0</v>
      </c>
      <c r="F1466" s="28"/>
      <c r="G1466" s="30" t="n">
        <v>0</v>
      </c>
      <c r="H1466" s="28"/>
      <c r="I1466" s="28"/>
      <c r="J1466" s="29" t="n">
        <f aca="false">E1466+F1466+G1466-H1466-I1466</f>
        <v>0</v>
      </c>
      <c r="K1466" s="29" t="n">
        <f aca="false">ROUND(E1466+F1466+G1466-H1466-I1466-J1466,1)</f>
        <v>0</v>
      </c>
    </row>
    <row r="1467" customFormat="false" ht="15" hidden="false" customHeight="false" outlineLevel="0" collapsed="false">
      <c r="A1467" s="25" t="n">
        <v>46028</v>
      </c>
      <c r="B1467" s="23" t="str">
        <f aca="false">IF(A1467="","",IF(A1467&lt;=profil!$B$9,"Realisasi","Rencana"))</f>
        <v>Rencana</v>
      </c>
      <c r="C1467" s="18" t="s">
        <v>162</v>
      </c>
      <c r="D1467" s="18" t="s">
        <v>163</v>
      </c>
      <c r="E1467" s="29" t="n">
        <f aca="false">J1466</f>
        <v>0</v>
      </c>
      <c r="F1467" s="28"/>
      <c r="G1467" s="30" t="n">
        <v>0</v>
      </c>
      <c r="H1467" s="28"/>
      <c r="I1467" s="28"/>
      <c r="J1467" s="29" t="n">
        <f aca="false">E1467+F1467+G1467-H1467-I1467</f>
        <v>0</v>
      </c>
      <c r="K1467" s="29" t="n">
        <f aca="false">ROUND(E1467+F1467+G1467-H1467-I1467-J1467,1)</f>
        <v>0</v>
      </c>
    </row>
    <row r="1468" customFormat="false" ht="15" hidden="false" customHeight="false" outlineLevel="0" collapsed="false">
      <c r="A1468" s="25" t="n">
        <v>46029</v>
      </c>
      <c r="B1468" s="23" t="str">
        <f aca="false">IF(A1468="","",IF(A1468&lt;=profil!$B$9,"Realisasi","Rencana"))</f>
        <v>Rencana</v>
      </c>
      <c r="C1468" s="18" t="s">
        <v>162</v>
      </c>
      <c r="D1468" s="18" t="s">
        <v>163</v>
      </c>
      <c r="E1468" s="29" t="n">
        <f aca="false">J1467</f>
        <v>0</v>
      </c>
      <c r="F1468" s="28"/>
      <c r="G1468" s="30" t="n">
        <v>0</v>
      </c>
      <c r="H1468" s="28"/>
      <c r="I1468" s="28"/>
      <c r="J1468" s="29" t="n">
        <f aca="false">E1468+F1468+G1468-H1468-I1468</f>
        <v>0</v>
      </c>
      <c r="K1468" s="29" t="n">
        <f aca="false">ROUND(E1468+F1468+G1468-H1468-I1468-J1468,1)</f>
        <v>0</v>
      </c>
    </row>
    <row r="1469" customFormat="false" ht="15" hidden="false" customHeight="false" outlineLevel="0" collapsed="false">
      <c r="A1469" s="25" t="n">
        <v>46030</v>
      </c>
      <c r="B1469" s="23" t="str">
        <f aca="false">IF(A1469="","",IF(A1469&lt;=profil!$B$9,"Realisasi","Rencana"))</f>
        <v>Rencana</v>
      </c>
      <c r="C1469" s="18" t="s">
        <v>162</v>
      </c>
      <c r="D1469" s="18" t="s">
        <v>163</v>
      </c>
      <c r="E1469" s="29" t="n">
        <f aca="false">J1468</f>
        <v>0</v>
      </c>
      <c r="F1469" s="28"/>
      <c r="G1469" s="30" t="n">
        <v>0</v>
      </c>
      <c r="H1469" s="28"/>
      <c r="I1469" s="28"/>
      <c r="J1469" s="29" t="n">
        <f aca="false">E1469+F1469+G1469-H1469-I1469</f>
        <v>0</v>
      </c>
      <c r="K1469" s="29" t="n">
        <f aca="false">ROUND(E1469+F1469+G1469-H1469-I1469-J1469,1)</f>
        <v>0</v>
      </c>
    </row>
    <row r="1470" customFormat="false" ht="15" hidden="false" customHeight="false" outlineLevel="0" collapsed="false">
      <c r="A1470" s="25" t="n">
        <v>46031</v>
      </c>
      <c r="B1470" s="23" t="str">
        <f aca="false">IF(A1470="","",IF(A1470&lt;=profil!$B$9,"Realisasi","Rencana"))</f>
        <v>Rencana</v>
      </c>
      <c r="C1470" s="18" t="s">
        <v>162</v>
      </c>
      <c r="D1470" s="18" t="s">
        <v>163</v>
      </c>
      <c r="E1470" s="29" t="n">
        <f aca="false">J1469</f>
        <v>0</v>
      </c>
      <c r="F1470" s="28"/>
      <c r="G1470" s="30" t="n">
        <v>0</v>
      </c>
      <c r="H1470" s="28"/>
      <c r="I1470" s="28"/>
      <c r="J1470" s="29" t="n">
        <f aca="false">E1470+F1470+G1470-H1470-I1470</f>
        <v>0</v>
      </c>
      <c r="K1470" s="29" t="n">
        <f aca="false">ROUND(E1470+F1470+G1470-H1470-I1470-J1470,1)</f>
        <v>0</v>
      </c>
    </row>
    <row r="1471" customFormat="false" ht="15" hidden="false" customHeight="false" outlineLevel="0" collapsed="false">
      <c r="A1471" s="25" t="n">
        <v>46032</v>
      </c>
      <c r="B1471" s="23" t="str">
        <f aca="false">IF(A1471="","",IF(A1471&lt;=profil!$B$9,"Realisasi","Rencana"))</f>
        <v>Rencana</v>
      </c>
      <c r="C1471" s="18" t="s">
        <v>162</v>
      </c>
      <c r="D1471" s="18" t="s">
        <v>163</v>
      </c>
      <c r="E1471" s="29" t="n">
        <f aca="false">J1470</f>
        <v>0</v>
      </c>
      <c r="F1471" s="28"/>
      <c r="G1471" s="30" t="n">
        <v>0</v>
      </c>
      <c r="H1471" s="28"/>
      <c r="I1471" s="28"/>
      <c r="J1471" s="29" t="n">
        <f aca="false">E1471+F1471+G1471-H1471-I1471</f>
        <v>0</v>
      </c>
      <c r="K1471" s="29" t="n">
        <f aca="false">ROUND(E1471+F1471+G1471-H1471-I1471-J1471,1)</f>
        <v>0</v>
      </c>
    </row>
    <row r="1472" customFormat="false" ht="15" hidden="false" customHeight="false" outlineLevel="0" collapsed="false">
      <c r="A1472" s="25" t="n">
        <v>46033</v>
      </c>
      <c r="B1472" s="23" t="str">
        <f aca="false">IF(A1472="","",IF(A1472&lt;=profil!$B$9,"Realisasi","Rencana"))</f>
        <v>Rencana</v>
      </c>
      <c r="C1472" s="18" t="s">
        <v>162</v>
      </c>
      <c r="D1472" s="18" t="s">
        <v>163</v>
      </c>
      <c r="E1472" s="29" t="n">
        <f aca="false">J1471</f>
        <v>0</v>
      </c>
      <c r="F1472" s="28"/>
      <c r="G1472" s="30" t="n">
        <v>0</v>
      </c>
      <c r="H1472" s="28"/>
      <c r="I1472" s="28"/>
      <c r="J1472" s="29" t="n">
        <f aca="false">E1472+F1472+G1472-H1472-I1472</f>
        <v>0</v>
      </c>
      <c r="K1472" s="29" t="n">
        <f aca="false">ROUND(E1472+F1472+G1472-H1472-I1472-J1472,1)</f>
        <v>0</v>
      </c>
    </row>
    <row r="1473" customFormat="false" ht="15" hidden="false" customHeight="false" outlineLevel="0" collapsed="false">
      <c r="A1473" s="25" t="n">
        <v>46034</v>
      </c>
      <c r="B1473" s="23" t="str">
        <f aca="false">IF(A1473="","",IF(A1473&lt;=profil!$B$9,"Realisasi","Rencana"))</f>
        <v>Rencana</v>
      </c>
      <c r="C1473" s="18" t="s">
        <v>162</v>
      </c>
      <c r="D1473" s="18" t="s">
        <v>163</v>
      </c>
      <c r="E1473" s="29" t="n">
        <f aca="false">J1472</f>
        <v>0</v>
      </c>
      <c r="F1473" s="28"/>
      <c r="G1473" s="30" t="n">
        <v>0</v>
      </c>
      <c r="H1473" s="28"/>
      <c r="I1473" s="28"/>
      <c r="J1473" s="29" t="n">
        <f aca="false">E1473+F1473+G1473-H1473-I1473</f>
        <v>0</v>
      </c>
      <c r="K1473" s="29" t="n">
        <f aca="false">ROUND(E1473+F1473+G1473-H1473-I1473-J1473,1)</f>
        <v>0</v>
      </c>
    </row>
    <row r="1474" customFormat="false" ht="15" hidden="false" customHeight="false" outlineLevel="0" collapsed="false">
      <c r="A1474" s="25" t="n">
        <v>46035</v>
      </c>
      <c r="B1474" s="23" t="str">
        <f aca="false">IF(A1474="","",IF(A1474&lt;=profil!$B$9,"Realisasi","Rencana"))</f>
        <v>Rencana</v>
      </c>
      <c r="C1474" s="18" t="s">
        <v>162</v>
      </c>
      <c r="D1474" s="18" t="s">
        <v>163</v>
      </c>
      <c r="E1474" s="29" t="n">
        <f aca="false">J1473</f>
        <v>0</v>
      </c>
      <c r="F1474" s="28"/>
      <c r="G1474" s="30" t="n">
        <v>0</v>
      </c>
      <c r="H1474" s="28"/>
      <c r="I1474" s="28"/>
      <c r="J1474" s="29" t="n">
        <f aca="false">E1474+F1474+G1474-H1474-I1474</f>
        <v>0</v>
      </c>
      <c r="K1474" s="29" t="n">
        <f aca="false">ROUND(E1474+F1474+G1474-H1474-I1474-J1474,1)</f>
        <v>0</v>
      </c>
    </row>
    <row r="1475" customFormat="false" ht="15" hidden="false" customHeight="false" outlineLevel="0" collapsed="false">
      <c r="A1475" s="25" t="n">
        <v>46036</v>
      </c>
      <c r="B1475" s="23" t="str">
        <f aca="false">IF(A1475="","",IF(A1475&lt;=profil!$B$9,"Realisasi","Rencana"))</f>
        <v>Rencana</v>
      </c>
      <c r="C1475" s="18" t="s">
        <v>162</v>
      </c>
      <c r="D1475" s="18" t="s">
        <v>163</v>
      </c>
      <c r="E1475" s="29" t="n">
        <f aca="false">J1474</f>
        <v>0</v>
      </c>
      <c r="F1475" s="28"/>
      <c r="G1475" s="30" t="n">
        <v>0</v>
      </c>
      <c r="H1475" s="28"/>
      <c r="I1475" s="28"/>
      <c r="J1475" s="29" t="n">
        <f aca="false">E1475+F1475+G1475-H1475-I1475</f>
        <v>0</v>
      </c>
      <c r="K1475" s="29" t="n">
        <f aca="false">ROUND(E1475+F1475+G1475-H1475-I1475-J1475,1)</f>
        <v>0</v>
      </c>
    </row>
    <row r="1476" customFormat="false" ht="15" hidden="false" customHeight="false" outlineLevel="0" collapsed="false">
      <c r="A1476" s="25" t="n">
        <v>46037</v>
      </c>
      <c r="B1476" s="23" t="str">
        <f aca="false">IF(A1476="","",IF(A1476&lt;=profil!$B$9,"Realisasi","Rencana"))</f>
        <v>Rencana</v>
      </c>
      <c r="C1476" s="18" t="s">
        <v>162</v>
      </c>
      <c r="D1476" s="18" t="s">
        <v>163</v>
      </c>
      <c r="E1476" s="29" t="n">
        <f aca="false">J1475</f>
        <v>0</v>
      </c>
      <c r="F1476" s="28"/>
      <c r="G1476" s="30" t="n">
        <v>0</v>
      </c>
      <c r="H1476" s="28"/>
      <c r="I1476" s="28"/>
      <c r="J1476" s="29" t="n">
        <f aca="false">E1476+F1476+G1476-H1476-I1476</f>
        <v>0</v>
      </c>
      <c r="K1476" s="29" t="n">
        <f aca="false">ROUND(E1476+F1476+G1476-H1476-I1476-J1476,1)</f>
        <v>0</v>
      </c>
    </row>
    <row r="1477" customFormat="false" ht="15" hidden="false" customHeight="false" outlineLevel="0" collapsed="false">
      <c r="A1477" s="25" t="n">
        <v>46038</v>
      </c>
      <c r="B1477" s="23" t="str">
        <f aca="false">IF(A1477="","",IF(A1477&lt;=profil!$B$9,"Realisasi","Rencana"))</f>
        <v>Rencana</v>
      </c>
      <c r="C1477" s="18" t="s">
        <v>162</v>
      </c>
      <c r="D1477" s="18" t="s">
        <v>163</v>
      </c>
      <c r="E1477" s="29" t="n">
        <f aca="false">J1476</f>
        <v>0</v>
      </c>
      <c r="F1477" s="28"/>
      <c r="G1477" s="30" t="n">
        <v>0</v>
      </c>
      <c r="H1477" s="28"/>
      <c r="I1477" s="28"/>
      <c r="J1477" s="29" t="n">
        <f aca="false">E1477+F1477+G1477-H1477-I1477</f>
        <v>0</v>
      </c>
      <c r="K1477" s="29" t="n">
        <f aca="false">ROUND(E1477+F1477+G1477-H1477-I1477-J1477,1)</f>
        <v>0</v>
      </c>
    </row>
    <row r="1478" customFormat="false" ht="15" hidden="false" customHeight="false" outlineLevel="0" collapsed="false">
      <c r="A1478" s="25" t="n">
        <v>46039</v>
      </c>
      <c r="B1478" s="23" t="str">
        <f aca="false">IF(A1478="","",IF(A1478&lt;=profil!$B$9,"Realisasi","Rencana"))</f>
        <v>Rencana</v>
      </c>
      <c r="C1478" s="18" t="s">
        <v>162</v>
      </c>
      <c r="D1478" s="18" t="s">
        <v>163</v>
      </c>
      <c r="E1478" s="29" t="n">
        <f aca="false">J1477</f>
        <v>0</v>
      </c>
      <c r="F1478" s="28"/>
      <c r="G1478" s="30" t="n">
        <v>0</v>
      </c>
      <c r="H1478" s="28"/>
      <c r="I1478" s="28"/>
      <c r="J1478" s="29" t="n">
        <f aca="false">E1478+F1478+G1478-H1478-I1478</f>
        <v>0</v>
      </c>
      <c r="K1478" s="29" t="n">
        <f aca="false">ROUND(E1478+F1478+G1478-H1478-I1478-J1478,1)</f>
        <v>0</v>
      </c>
    </row>
    <row r="1479" customFormat="false" ht="15" hidden="false" customHeight="false" outlineLevel="0" collapsed="false">
      <c r="A1479" s="25" t="n">
        <v>46040</v>
      </c>
      <c r="B1479" s="23" t="str">
        <f aca="false">IF(A1479="","",IF(A1479&lt;=profil!$B$9,"Realisasi","Rencana"))</f>
        <v>Rencana</v>
      </c>
      <c r="C1479" s="18" t="s">
        <v>162</v>
      </c>
      <c r="D1479" s="18" t="s">
        <v>163</v>
      </c>
      <c r="E1479" s="29" t="n">
        <f aca="false">J1478</f>
        <v>0</v>
      </c>
      <c r="F1479" s="28"/>
      <c r="G1479" s="30" t="n">
        <v>0</v>
      </c>
      <c r="H1479" s="28"/>
      <c r="I1479" s="28"/>
      <c r="J1479" s="29" t="n">
        <f aca="false">E1479+F1479+G1479-H1479-I1479</f>
        <v>0</v>
      </c>
      <c r="K1479" s="29" t="n">
        <f aca="false">ROUND(E1479+F1479+G1479-H1479-I1479-J1479,1)</f>
        <v>0</v>
      </c>
    </row>
    <row r="1480" customFormat="false" ht="15" hidden="false" customHeight="false" outlineLevel="0" collapsed="false">
      <c r="A1480" s="25" t="n">
        <v>46041</v>
      </c>
      <c r="B1480" s="23" t="str">
        <f aca="false">IF(A1480="","",IF(A1480&lt;=profil!$B$9,"Realisasi","Rencana"))</f>
        <v>Rencana</v>
      </c>
      <c r="C1480" s="18" t="s">
        <v>162</v>
      </c>
      <c r="D1480" s="18" t="s">
        <v>163</v>
      </c>
      <c r="E1480" s="29" t="n">
        <f aca="false">J1479</f>
        <v>0</v>
      </c>
      <c r="F1480" s="28"/>
      <c r="G1480" s="30" t="n">
        <v>0</v>
      </c>
      <c r="H1480" s="28"/>
      <c r="I1480" s="28"/>
      <c r="J1480" s="29" t="n">
        <f aca="false">E1480+F1480+G1480-H1480-I1480</f>
        <v>0</v>
      </c>
      <c r="K1480" s="29" t="n">
        <f aca="false">ROUND(E1480+F1480+G1480-H1480-I1480-J1480,1)</f>
        <v>0</v>
      </c>
    </row>
    <row r="1481" customFormat="false" ht="15" hidden="false" customHeight="false" outlineLevel="0" collapsed="false">
      <c r="A1481" s="25" t="n">
        <v>46042</v>
      </c>
      <c r="B1481" s="23" t="str">
        <f aca="false">IF(A1481="","",IF(A1481&lt;=profil!$B$9,"Realisasi","Rencana"))</f>
        <v>Rencana</v>
      </c>
      <c r="C1481" s="18" t="s">
        <v>162</v>
      </c>
      <c r="D1481" s="18" t="s">
        <v>163</v>
      </c>
      <c r="E1481" s="29" t="n">
        <f aca="false">J1480</f>
        <v>0</v>
      </c>
      <c r="F1481" s="28"/>
      <c r="G1481" s="30" t="n">
        <v>0</v>
      </c>
      <c r="H1481" s="28"/>
      <c r="I1481" s="28"/>
      <c r="J1481" s="29" t="n">
        <f aca="false">E1481+F1481+G1481-H1481-I1481</f>
        <v>0</v>
      </c>
      <c r="K1481" s="29" t="n">
        <f aca="false">ROUND(E1481+F1481+G1481-H1481-I1481-J1481,1)</f>
        <v>0</v>
      </c>
    </row>
    <row r="1482" customFormat="false" ht="15" hidden="false" customHeight="false" outlineLevel="0" collapsed="false">
      <c r="A1482" s="25" t="n">
        <v>46043</v>
      </c>
      <c r="B1482" s="23" t="str">
        <f aca="false">IF(A1482="","",IF(A1482&lt;=profil!$B$9,"Realisasi","Rencana"))</f>
        <v>Rencana</v>
      </c>
      <c r="C1482" s="18" t="s">
        <v>162</v>
      </c>
      <c r="D1482" s="18" t="s">
        <v>163</v>
      </c>
      <c r="E1482" s="29" t="n">
        <f aca="false">J1481</f>
        <v>0</v>
      </c>
      <c r="F1482" s="28"/>
      <c r="G1482" s="30" t="n">
        <v>0</v>
      </c>
      <c r="H1482" s="28"/>
      <c r="I1482" s="28"/>
      <c r="J1482" s="29" t="n">
        <f aca="false">E1482+F1482+G1482-H1482-I1482</f>
        <v>0</v>
      </c>
      <c r="K1482" s="29" t="n">
        <f aca="false">ROUND(E1482+F1482+G1482-H1482-I1482-J1482,1)</f>
        <v>0</v>
      </c>
    </row>
    <row r="1483" customFormat="false" ht="15" hidden="false" customHeight="false" outlineLevel="0" collapsed="false">
      <c r="A1483" s="25" t="n">
        <v>46044</v>
      </c>
      <c r="B1483" s="23" t="str">
        <f aca="false">IF(A1483="","",IF(A1483&lt;=profil!$B$9,"Realisasi","Rencana"))</f>
        <v>Rencana</v>
      </c>
      <c r="C1483" s="18" t="s">
        <v>162</v>
      </c>
      <c r="D1483" s="18" t="s">
        <v>163</v>
      </c>
      <c r="E1483" s="29" t="n">
        <f aca="false">J1482</f>
        <v>0</v>
      </c>
      <c r="F1483" s="28"/>
      <c r="G1483" s="30" t="n">
        <v>0</v>
      </c>
      <c r="H1483" s="28"/>
      <c r="I1483" s="28"/>
      <c r="J1483" s="29" t="n">
        <f aca="false">E1483+F1483+G1483-H1483-I1483</f>
        <v>0</v>
      </c>
      <c r="K1483" s="29" t="n">
        <f aca="false">ROUND(E1483+F1483+G1483-H1483-I1483-J1483,1)</f>
        <v>0</v>
      </c>
    </row>
    <row r="1484" customFormat="false" ht="15" hidden="false" customHeight="false" outlineLevel="0" collapsed="false">
      <c r="A1484" s="25" t="n">
        <v>46045</v>
      </c>
      <c r="B1484" s="23" t="str">
        <f aca="false">IF(A1484="","",IF(A1484&lt;=profil!$B$9,"Realisasi","Rencana"))</f>
        <v>Rencana</v>
      </c>
      <c r="C1484" s="18" t="s">
        <v>162</v>
      </c>
      <c r="D1484" s="18" t="s">
        <v>163</v>
      </c>
      <c r="E1484" s="29" t="n">
        <f aca="false">J1483</f>
        <v>0</v>
      </c>
      <c r="F1484" s="28"/>
      <c r="G1484" s="30" t="n">
        <v>0</v>
      </c>
      <c r="H1484" s="28"/>
      <c r="I1484" s="28"/>
      <c r="J1484" s="29" t="n">
        <f aca="false">E1484+F1484+G1484-H1484-I1484</f>
        <v>0</v>
      </c>
      <c r="K1484" s="29" t="n">
        <f aca="false">ROUND(E1484+F1484+G1484-H1484-I1484-J1484,1)</f>
        <v>0</v>
      </c>
    </row>
    <row r="1485" customFormat="false" ht="15" hidden="false" customHeight="false" outlineLevel="0" collapsed="false">
      <c r="A1485" s="25" t="n">
        <v>46046</v>
      </c>
      <c r="B1485" s="23" t="str">
        <f aca="false">IF(A1485="","",IF(A1485&lt;=profil!$B$9,"Realisasi","Rencana"))</f>
        <v>Rencana</v>
      </c>
      <c r="C1485" s="18" t="s">
        <v>162</v>
      </c>
      <c r="D1485" s="18" t="s">
        <v>163</v>
      </c>
      <c r="E1485" s="29" t="n">
        <f aca="false">J1484</f>
        <v>0</v>
      </c>
      <c r="F1485" s="28"/>
      <c r="G1485" s="30" t="n">
        <v>0</v>
      </c>
      <c r="H1485" s="28"/>
      <c r="I1485" s="28"/>
      <c r="J1485" s="29" t="n">
        <f aca="false">E1485+F1485+G1485-H1485-I1485</f>
        <v>0</v>
      </c>
      <c r="K1485" s="29" t="n">
        <f aca="false">ROUND(E1485+F1485+G1485-H1485-I1485-J1485,1)</f>
        <v>0</v>
      </c>
    </row>
    <row r="1486" customFormat="false" ht="15" hidden="false" customHeight="false" outlineLevel="0" collapsed="false">
      <c r="A1486" s="25" t="n">
        <v>46047</v>
      </c>
      <c r="B1486" s="23" t="str">
        <f aca="false">IF(A1486="","",IF(A1486&lt;=profil!$B$9,"Realisasi","Rencana"))</f>
        <v>Rencana</v>
      </c>
      <c r="C1486" s="18" t="s">
        <v>162</v>
      </c>
      <c r="D1486" s="18" t="s">
        <v>163</v>
      </c>
      <c r="E1486" s="29" t="n">
        <f aca="false">J1485</f>
        <v>0</v>
      </c>
      <c r="F1486" s="28"/>
      <c r="G1486" s="30" t="n">
        <v>0</v>
      </c>
      <c r="H1486" s="28"/>
      <c r="I1486" s="28"/>
      <c r="J1486" s="29" t="n">
        <f aca="false">E1486+F1486+G1486-H1486-I1486</f>
        <v>0</v>
      </c>
      <c r="K1486" s="29" t="n">
        <f aca="false">ROUND(E1486+F1486+G1486-H1486-I1486-J1486,1)</f>
        <v>0</v>
      </c>
    </row>
    <row r="1487" customFormat="false" ht="15" hidden="false" customHeight="false" outlineLevel="0" collapsed="false">
      <c r="A1487" s="25" t="n">
        <v>46048</v>
      </c>
      <c r="B1487" s="23" t="str">
        <f aca="false">IF(A1487="","",IF(A1487&lt;=profil!$B$9,"Realisasi","Rencana"))</f>
        <v>Rencana</v>
      </c>
      <c r="C1487" s="18" t="s">
        <v>162</v>
      </c>
      <c r="D1487" s="18" t="s">
        <v>163</v>
      </c>
      <c r="E1487" s="29" t="n">
        <f aca="false">J1486</f>
        <v>0</v>
      </c>
      <c r="F1487" s="28"/>
      <c r="G1487" s="30" t="n">
        <v>0</v>
      </c>
      <c r="H1487" s="28"/>
      <c r="I1487" s="28"/>
      <c r="J1487" s="29" t="n">
        <f aca="false">E1487+F1487+G1487-H1487-I1487</f>
        <v>0</v>
      </c>
      <c r="K1487" s="29" t="n">
        <f aca="false">ROUND(E1487+F1487+G1487-H1487-I1487-J1487,1)</f>
        <v>0</v>
      </c>
    </row>
    <row r="1488" customFormat="false" ht="15" hidden="false" customHeight="false" outlineLevel="0" collapsed="false">
      <c r="A1488" s="25" t="n">
        <v>46049</v>
      </c>
      <c r="B1488" s="23" t="str">
        <f aca="false">IF(A1488="","",IF(A1488&lt;=profil!$B$9,"Realisasi","Rencana"))</f>
        <v>Rencana</v>
      </c>
      <c r="C1488" s="18" t="s">
        <v>162</v>
      </c>
      <c r="D1488" s="18" t="s">
        <v>163</v>
      </c>
      <c r="E1488" s="29" t="n">
        <f aca="false">J1487</f>
        <v>0</v>
      </c>
      <c r="F1488" s="28"/>
      <c r="G1488" s="30" t="n">
        <v>0</v>
      </c>
      <c r="H1488" s="28"/>
      <c r="I1488" s="28"/>
      <c r="J1488" s="29" t="n">
        <f aca="false">E1488+F1488+G1488-H1488-I1488</f>
        <v>0</v>
      </c>
      <c r="K1488" s="29" t="n">
        <f aca="false">ROUND(E1488+F1488+G1488-H1488-I1488-J1488,1)</f>
        <v>0</v>
      </c>
    </row>
    <row r="1489" customFormat="false" ht="15" hidden="false" customHeight="false" outlineLevel="0" collapsed="false">
      <c r="A1489" s="25" t="n">
        <v>46050</v>
      </c>
      <c r="B1489" s="23" t="str">
        <f aca="false">IF(A1489="","",IF(A1489&lt;=profil!$B$9,"Realisasi","Rencana"))</f>
        <v>Rencana</v>
      </c>
      <c r="C1489" s="18" t="s">
        <v>162</v>
      </c>
      <c r="D1489" s="18" t="s">
        <v>163</v>
      </c>
      <c r="E1489" s="29" t="n">
        <f aca="false">J1488</f>
        <v>0</v>
      </c>
      <c r="F1489" s="28"/>
      <c r="G1489" s="30" t="n">
        <v>0</v>
      </c>
      <c r="H1489" s="28"/>
      <c r="I1489" s="28"/>
      <c r="J1489" s="29" t="n">
        <f aca="false">E1489+F1489+G1489-H1489-I1489</f>
        <v>0</v>
      </c>
      <c r="K1489" s="29" t="n">
        <f aca="false">ROUND(E1489+F1489+G1489-H1489-I1489-J1489,1)</f>
        <v>0</v>
      </c>
    </row>
    <row r="1490" customFormat="false" ht="15" hidden="false" customHeight="false" outlineLevel="0" collapsed="false">
      <c r="A1490" s="25" t="n">
        <v>46051</v>
      </c>
      <c r="B1490" s="23" t="str">
        <f aca="false">IF(A1490="","",IF(A1490&lt;=profil!$B$9,"Realisasi","Rencana"))</f>
        <v>Rencana</v>
      </c>
      <c r="C1490" s="18" t="s">
        <v>162</v>
      </c>
      <c r="D1490" s="18" t="s">
        <v>163</v>
      </c>
      <c r="E1490" s="29" t="n">
        <f aca="false">J1489</f>
        <v>0</v>
      </c>
      <c r="F1490" s="28"/>
      <c r="G1490" s="30" t="n">
        <v>0</v>
      </c>
      <c r="H1490" s="28"/>
      <c r="I1490" s="28"/>
      <c r="J1490" s="29" t="n">
        <f aca="false">E1490+F1490+G1490-H1490-I1490</f>
        <v>0</v>
      </c>
      <c r="K1490" s="29" t="n">
        <f aca="false">ROUND(E1490+F1490+G1490-H1490-I1490-J1490,1)</f>
        <v>0</v>
      </c>
    </row>
    <row r="1491" customFormat="false" ht="15" hidden="false" customHeight="false" outlineLevel="0" collapsed="false">
      <c r="A1491" s="25" t="n">
        <v>46052</v>
      </c>
      <c r="B1491" s="23" t="str">
        <f aca="false">IF(A1491="","",IF(A1491&lt;=profil!$B$9,"Realisasi","Rencana"))</f>
        <v>Rencana</v>
      </c>
      <c r="C1491" s="18" t="s">
        <v>162</v>
      </c>
      <c r="D1491" s="18" t="s">
        <v>163</v>
      </c>
      <c r="E1491" s="29" t="n">
        <f aca="false">J1490</f>
        <v>0</v>
      </c>
      <c r="F1491" s="28"/>
      <c r="G1491" s="30" t="n">
        <v>0</v>
      </c>
      <c r="H1491" s="28"/>
      <c r="I1491" s="28"/>
      <c r="J1491" s="29" t="n">
        <f aca="false">E1491+F1491+G1491-H1491-I1491</f>
        <v>0</v>
      </c>
      <c r="K1491" s="29" t="n">
        <f aca="false">ROUND(E1491+F1491+G1491-H1491-I1491-J1491,1)</f>
        <v>0</v>
      </c>
    </row>
    <row r="1492" customFormat="false" ht="15" hidden="false" customHeight="false" outlineLevel="0" collapsed="false">
      <c r="A1492" s="25" t="n">
        <v>46053</v>
      </c>
      <c r="B1492" s="23" t="str">
        <f aca="false">IF(A1492="","",IF(A1492&lt;=profil!$B$9,"Realisasi","Rencana"))</f>
        <v>Rencana</v>
      </c>
      <c r="C1492" s="18" t="s">
        <v>162</v>
      </c>
      <c r="D1492" s="18" t="s">
        <v>163</v>
      </c>
      <c r="E1492" s="29" t="n">
        <f aca="false">J1491</f>
        <v>0</v>
      </c>
      <c r="F1492" s="28"/>
      <c r="G1492" s="30" t="n">
        <v>0</v>
      </c>
      <c r="H1492" s="28"/>
      <c r="I1492" s="28"/>
      <c r="J1492" s="29" t="n">
        <f aca="false">E1492+F1492+G1492-H1492-I1492</f>
        <v>0</v>
      </c>
      <c r="K1492" s="29" t="n">
        <f aca="false">ROUND(E1492+F1492+G1492-H1492-I1492-J1492,1)</f>
        <v>0</v>
      </c>
    </row>
    <row r="1493" customFormat="false" ht="15" hidden="false" customHeight="false" outlineLevel="0" collapsed="false">
      <c r="A1493" s="25" t="n">
        <v>46054</v>
      </c>
      <c r="B1493" s="23" t="str">
        <f aca="false">IF(A1493="","",IF(A1493&lt;=profil!$B$9,"Realisasi","Rencana"))</f>
        <v>Rencana</v>
      </c>
      <c r="C1493" s="18" t="s">
        <v>162</v>
      </c>
      <c r="D1493" s="18" t="s">
        <v>163</v>
      </c>
      <c r="E1493" s="29" t="n">
        <f aca="false">J1492</f>
        <v>0</v>
      </c>
      <c r="F1493" s="28"/>
      <c r="G1493" s="30" t="n">
        <v>0</v>
      </c>
      <c r="H1493" s="28"/>
      <c r="I1493" s="28"/>
      <c r="J1493" s="29" t="n">
        <f aca="false">E1493+F1493+G1493-H1493-I1493</f>
        <v>0</v>
      </c>
      <c r="K1493" s="29" t="n">
        <f aca="false">ROUND(E1493+F1493+G1493-H1493-I1493-J1493,1)</f>
        <v>0</v>
      </c>
    </row>
    <row r="1494" customFormat="false" ht="15" hidden="false" customHeight="false" outlineLevel="0" collapsed="false">
      <c r="A1494" s="25" t="n">
        <v>46055</v>
      </c>
      <c r="B1494" s="23" t="str">
        <f aca="false">IF(A1494="","",IF(A1494&lt;=profil!$B$9,"Realisasi","Rencana"))</f>
        <v>Rencana</v>
      </c>
      <c r="C1494" s="18" t="s">
        <v>162</v>
      </c>
      <c r="D1494" s="18" t="s">
        <v>163</v>
      </c>
      <c r="E1494" s="29" t="n">
        <f aca="false">J1493</f>
        <v>0</v>
      </c>
      <c r="F1494" s="28"/>
      <c r="G1494" s="30" t="n">
        <v>0</v>
      </c>
      <c r="H1494" s="28"/>
      <c r="I1494" s="28"/>
      <c r="J1494" s="29" t="n">
        <f aca="false">E1494+F1494+G1494-H1494-I1494</f>
        <v>0</v>
      </c>
      <c r="K1494" s="29" t="n">
        <f aca="false">ROUND(E1494+F1494+G1494-H1494-I1494-J1494,1)</f>
        <v>0</v>
      </c>
    </row>
    <row r="1495" customFormat="false" ht="15" hidden="false" customHeight="false" outlineLevel="0" collapsed="false">
      <c r="A1495" s="25" t="n">
        <v>46056</v>
      </c>
      <c r="B1495" s="23" t="str">
        <f aca="false">IF(A1495="","",IF(A1495&lt;=profil!$B$9,"Realisasi","Rencana"))</f>
        <v>Rencana</v>
      </c>
      <c r="C1495" s="18" t="s">
        <v>162</v>
      </c>
      <c r="D1495" s="18" t="s">
        <v>163</v>
      </c>
      <c r="E1495" s="29" t="n">
        <f aca="false">J1494</f>
        <v>0</v>
      </c>
      <c r="F1495" s="28"/>
      <c r="G1495" s="30" t="n">
        <v>0</v>
      </c>
      <c r="H1495" s="28"/>
      <c r="I1495" s="28"/>
      <c r="J1495" s="29" t="n">
        <f aca="false">E1495+F1495+G1495-H1495-I1495</f>
        <v>0</v>
      </c>
      <c r="K1495" s="29" t="n">
        <f aca="false">ROUND(E1495+F1495+G1495-H1495-I1495-J1495,1)</f>
        <v>0</v>
      </c>
    </row>
    <row r="1496" customFormat="false" ht="15" hidden="false" customHeight="false" outlineLevel="0" collapsed="false">
      <c r="A1496" s="25" t="n">
        <v>46057</v>
      </c>
      <c r="B1496" s="23" t="str">
        <f aca="false">IF(A1496="","",IF(A1496&lt;=profil!$B$9,"Realisasi","Rencana"))</f>
        <v>Rencana</v>
      </c>
      <c r="C1496" s="18" t="s">
        <v>162</v>
      </c>
      <c r="D1496" s="18" t="s">
        <v>163</v>
      </c>
      <c r="E1496" s="29" t="n">
        <f aca="false">J1495</f>
        <v>0</v>
      </c>
      <c r="F1496" s="28"/>
      <c r="G1496" s="30" t="n">
        <v>0</v>
      </c>
      <c r="H1496" s="28"/>
      <c r="I1496" s="28"/>
      <c r="J1496" s="29" t="n">
        <f aca="false">E1496+F1496+G1496-H1496-I1496</f>
        <v>0</v>
      </c>
      <c r="K1496" s="29" t="n">
        <f aca="false">ROUND(E1496+F1496+G1496-H1496-I1496-J1496,1)</f>
        <v>0</v>
      </c>
    </row>
    <row r="1497" customFormat="false" ht="15" hidden="false" customHeight="false" outlineLevel="0" collapsed="false">
      <c r="A1497" s="25" t="n">
        <v>46058</v>
      </c>
      <c r="B1497" s="23" t="str">
        <f aca="false">IF(A1497="","",IF(A1497&lt;=profil!$B$9,"Realisasi","Rencana"))</f>
        <v>Rencana</v>
      </c>
      <c r="C1497" s="18" t="s">
        <v>162</v>
      </c>
      <c r="D1497" s="18" t="s">
        <v>163</v>
      </c>
      <c r="E1497" s="29" t="n">
        <f aca="false">J1496</f>
        <v>0</v>
      </c>
      <c r="F1497" s="28"/>
      <c r="G1497" s="30" t="n">
        <v>0</v>
      </c>
      <c r="H1497" s="28"/>
      <c r="I1497" s="28"/>
      <c r="J1497" s="29" t="n">
        <f aca="false">E1497+F1497+G1497-H1497-I1497</f>
        <v>0</v>
      </c>
      <c r="K1497" s="29" t="n">
        <f aca="false">ROUND(E1497+F1497+G1497-H1497-I1497-J1497,1)</f>
        <v>0</v>
      </c>
    </row>
    <row r="1498" customFormat="false" ht="15" hidden="false" customHeight="false" outlineLevel="0" collapsed="false">
      <c r="A1498" s="25" t="n">
        <v>46059</v>
      </c>
      <c r="B1498" s="23" t="str">
        <f aca="false">IF(A1498="","",IF(A1498&lt;=profil!$B$9,"Realisasi","Rencana"))</f>
        <v>Rencana</v>
      </c>
      <c r="C1498" s="18" t="s">
        <v>162</v>
      </c>
      <c r="D1498" s="18" t="s">
        <v>163</v>
      </c>
      <c r="E1498" s="29" t="n">
        <f aca="false">J1497</f>
        <v>0</v>
      </c>
      <c r="F1498" s="28"/>
      <c r="G1498" s="30" t="n">
        <v>0</v>
      </c>
      <c r="H1498" s="28"/>
      <c r="I1498" s="28"/>
      <c r="J1498" s="29" t="n">
        <f aca="false">E1498+F1498+G1498-H1498-I1498</f>
        <v>0</v>
      </c>
      <c r="K1498" s="29" t="n">
        <f aca="false">ROUND(E1498+F1498+G1498-H1498-I1498-J1498,1)</f>
        <v>0</v>
      </c>
    </row>
    <row r="1499" customFormat="false" ht="15" hidden="false" customHeight="false" outlineLevel="0" collapsed="false">
      <c r="A1499" s="25" t="n">
        <v>46060</v>
      </c>
      <c r="B1499" s="23" t="str">
        <f aca="false">IF(A1499="","",IF(A1499&lt;=profil!$B$9,"Realisasi","Rencana"))</f>
        <v>Rencana</v>
      </c>
      <c r="C1499" s="18" t="s">
        <v>162</v>
      </c>
      <c r="D1499" s="18" t="s">
        <v>163</v>
      </c>
      <c r="E1499" s="29" t="n">
        <f aca="false">J1498</f>
        <v>0</v>
      </c>
      <c r="F1499" s="28"/>
      <c r="G1499" s="30" t="n">
        <v>0</v>
      </c>
      <c r="H1499" s="28"/>
      <c r="I1499" s="28"/>
      <c r="J1499" s="29" t="n">
        <f aca="false">E1499+F1499+G1499-H1499-I1499</f>
        <v>0</v>
      </c>
      <c r="K1499" s="29" t="n">
        <f aca="false">ROUND(E1499+F1499+G1499-H1499-I1499-J1499,1)</f>
        <v>0</v>
      </c>
    </row>
    <row r="1500" customFormat="false" ht="15" hidden="false" customHeight="false" outlineLevel="0" collapsed="false">
      <c r="A1500" s="25" t="n">
        <v>46061</v>
      </c>
      <c r="B1500" s="23" t="str">
        <f aca="false">IF(A1500="","",IF(A1500&lt;=profil!$B$9,"Realisasi","Rencana"))</f>
        <v>Rencana</v>
      </c>
      <c r="C1500" s="18" t="s">
        <v>162</v>
      </c>
      <c r="D1500" s="18" t="s">
        <v>163</v>
      </c>
      <c r="E1500" s="29" t="n">
        <f aca="false">J1499</f>
        <v>0</v>
      </c>
      <c r="F1500" s="28"/>
      <c r="G1500" s="30" t="n">
        <v>0</v>
      </c>
      <c r="H1500" s="28"/>
      <c r="I1500" s="28"/>
      <c r="J1500" s="29" t="n">
        <f aca="false">E1500+F1500+G1500-H1500-I1500</f>
        <v>0</v>
      </c>
      <c r="K1500" s="29" t="n">
        <f aca="false">ROUND(E1500+F1500+G1500-H1500-I1500-J1500,1)</f>
        <v>0</v>
      </c>
    </row>
    <row r="1501" customFormat="false" ht="15" hidden="false" customHeight="false" outlineLevel="0" collapsed="false">
      <c r="A1501" s="25" t="n">
        <v>46062</v>
      </c>
      <c r="B1501" s="23" t="str">
        <f aca="false">IF(A1501="","",IF(A1501&lt;=profil!$B$9,"Realisasi","Rencana"))</f>
        <v>Rencana</v>
      </c>
      <c r="C1501" s="18" t="s">
        <v>162</v>
      </c>
      <c r="D1501" s="18" t="s">
        <v>163</v>
      </c>
      <c r="E1501" s="29" t="n">
        <f aca="false">J1500</f>
        <v>0</v>
      </c>
      <c r="F1501" s="28"/>
      <c r="G1501" s="30" t="n">
        <v>0</v>
      </c>
      <c r="H1501" s="28"/>
      <c r="I1501" s="28"/>
      <c r="J1501" s="29" t="n">
        <f aca="false">E1501+F1501+G1501-H1501-I1501</f>
        <v>0</v>
      </c>
      <c r="K1501" s="29" t="n">
        <f aca="false">ROUND(E1501+F1501+G1501-H1501-I1501-J1501,1)</f>
        <v>0</v>
      </c>
    </row>
    <row r="1502" customFormat="false" ht="15" hidden="false" customHeight="false" outlineLevel="0" collapsed="false">
      <c r="A1502" s="25" t="n">
        <v>46063</v>
      </c>
      <c r="B1502" s="23" t="str">
        <f aca="false">IF(A1502="","",IF(A1502&lt;=profil!$B$9,"Realisasi","Rencana"))</f>
        <v>Rencana</v>
      </c>
      <c r="C1502" s="18" t="s">
        <v>162</v>
      </c>
      <c r="D1502" s="18" t="s">
        <v>163</v>
      </c>
      <c r="E1502" s="29" t="n">
        <f aca="false">J1501</f>
        <v>0</v>
      </c>
      <c r="F1502" s="28"/>
      <c r="G1502" s="30" t="n">
        <v>0</v>
      </c>
      <c r="H1502" s="28"/>
      <c r="I1502" s="28"/>
      <c r="J1502" s="29" t="n">
        <f aca="false">E1502+F1502+G1502-H1502-I1502</f>
        <v>0</v>
      </c>
      <c r="K1502" s="29" t="n">
        <f aca="false">ROUND(E1502+F1502+G1502-H1502-I1502-J1502,1)</f>
        <v>0</v>
      </c>
    </row>
    <row r="1503" customFormat="false" ht="15" hidden="false" customHeight="false" outlineLevel="0" collapsed="false">
      <c r="A1503" s="25" t="n">
        <v>46064</v>
      </c>
      <c r="B1503" s="23" t="str">
        <f aca="false">IF(A1503="","",IF(A1503&lt;=profil!$B$9,"Realisasi","Rencana"))</f>
        <v>Rencana</v>
      </c>
      <c r="C1503" s="18" t="s">
        <v>162</v>
      </c>
      <c r="D1503" s="18" t="s">
        <v>163</v>
      </c>
      <c r="E1503" s="29" t="n">
        <f aca="false">J1502</f>
        <v>0</v>
      </c>
      <c r="F1503" s="28"/>
      <c r="G1503" s="30" t="n">
        <v>0</v>
      </c>
      <c r="H1503" s="28"/>
      <c r="I1503" s="28"/>
      <c r="J1503" s="29" t="n">
        <f aca="false">E1503+F1503+G1503-H1503-I1503</f>
        <v>0</v>
      </c>
      <c r="K1503" s="29" t="n">
        <f aca="false">ROUND(E1503+F1503+G1503-H1503-I1503-J1503,1)</f>
        <v>0</v>
      </c>
    </row>
    <row r="1504" customFormat="false" ht="15" hidden="false" customHeight="false" outlineLevel="0" collapsed="false">
      <c r="A1504" s="25" t="n">
        <v>46065</v>
      </c>
      <c r="B1504" s="23" t="str">
        <f aca="false">IF(A1504="","",IF(A1504&lt;=profil!$B$9,"Realisasi","Rencana"))</f>
        <v>Rencana</v>
      </c>
      <c r="C1504" s="18" t="s">
        <v>162</v>
      </c>
      <c r="D1504" s="18" t="s">
        <v>163</v>
      </c>
      <c r="E1504" s="29" t="n">
        <f aca="false">J1503</f>
        <v>0</v>
      </c>
      <c r="F1504" s="28"/>
      <c r="G1504" s="30" t="n">
        <v>0</v>
      </c>
      <c r="H1504" s="28"/>
      <c r="I1504" s="28"/>
      <c r="J1504" s="29" t="n">
        <f aca="false">E1504+F1504+G1504-H1504-I1504</f>
        <v>0</v>
      </c>
      <c r="K1504" s="29" t="n">
        <f aca="false">ROUND(E1504+F1504+G1504-H1504-I1504-J1504,1)</f>
        <v>0</v>
      </c>
    </row>
    <row r="1505" customFormat="false" ht="15" hidden="false" customHeight="false" outlineLevel="0" collapsed="false">
      <c r="A1505" s="25" t="n">
        <v>46066</v>
      </c>
      <c r="B1505" s="23" t="str">
        <f aca="false">IF(A1505="","",IF(A1505&lt;=profil!$B$9,"Realisasi","Rencana"))</f>
        <v>Rencana</v>
      </c>
      <c r="C1505" s="18" t="s">
        <v>162</v>
      </c>
      <c r="D1505" s="18" t="s">
        <v>163</v>
      </c>
      <c r="E1505" s="29" t="n">
        <f aca="false">J1504</f>
        <v>0</v>
      </c>
      <c r="F1505" s="28"/>
      <c r="G1505" s="30" t="n">
        <v>0</v>
      </c>
      <c r="H1505" s="28"/>
      <c r="I1505" s="28"/>
      <c r="J1505" s="29" t="n">
        <f aca="false">E1505+F1505+G1505-H1505-I1505</f>
        <v>0</v>
      </c>
      <c r="K1505" s="29" t="n">
        <f aca="false">ROUND(E1505+F1505+G1505-H1505-I1505-J1505,1)</f>
        <v>0</v>
      </c>
    </row>
    <row r="1506" customFormat="false" ht="15" hidden="false" customHeight="false" outlineLevel="0" collapsed="false">
      <c r="A1506" s="25" t="n">
        <v>46067</v>
      </c>
      <c r="B1506" s="23" t="str">
        <f aca="false">IF(A1506="","",IF(A1506&lt;=profil!$B$9,"Realisasi","Rencana"))</f>
        <v>Rencana</v>
      </c>
      <c r="C1506" s="18" t="s">
        <v>162</v>
      </c>
      <c r="D1506" s="18" t="s">
        <v>163</v>
      </c>
      <c r="E1506" s="29" t="n">
        <f aca="false">J1505</f>
        <v>0</v>
      </c>
      <c r="F1506" s="28"/>
      <c r="G1506" s="30" t="n">
        <v>0</v>
      </c>
      <c r="H1506" s="28"/>
      <c r="I1506" s="28"/>
      <c r="J1506" s="29" t="n">
        <f aca="false">E1506+F1506+G1506-H1506-I1506</f>
        <v>0</v>
      </c>
      <c r="K1506" s="29" t="n">
        <f aca="false">ROUND(E1506+F1506+G1506-H1506-I1506-J1506,1)</f>
        <v>0</v>
      </c>
    </row>
    <row r="1507" customFormat="false" ht="15" hidden="false" customHeight="false" outlineLevel="0" collapsed="false">
      <c r="A1507" s="25" t="n">
        <v>46068</v>
      </c>
      <c r="B1507" s="23" t="str">
        <f aca="false">IF(A1507="","",IF(A1507&lt;=profil!$B$9,"Realisasi","Rencana"))</f>
        <v>Rencana</v>
      </c>
      <c r="C1507" s="18" t="s">
        <v>162</v>
      </c>
      <c r="D1507" s="18" t="s">
        <v>163</v>
      </c>
      <c r="E1507" s="29" t="n">
        <f aca="false">J1506</f>
        <v>0</v>
      </c>
      <c r="F1507" s="28"/>
      <c r="G1507" s="30" t="n">
        <v>0</v>
      </c>
      <c r="H1507" s="28"/>
      <c r="I1507" s="28"/>
      <c r="J1507" s="29" t="n">
        <f aca="false">E1507+F1507+G1507-H1507-I1507</f>
        <v>0</v>
      </c>
      <c r="K1507" s="29" t="n">
        <f aca="false">ROUND(E1507+F1507+G1507-H1507-I1507-J1507,1)</f>
        <v>0</v>
      </c>
    </row>
    <row r="1508" customFormat="false" ht="15" hidden="false" customHeight="false" outlineLevel="0" collapsed="false">
      <c r="A1508" s="25" t="n">
        <v>46069</v>
      </c>
      <c r="B1508" s="23" t="str">
        <f aca="false">IF(A1508="","",IF(A1508&lt;=profil!$B$9,"Realisasi","Rencana"))</f>
        <v>Rencana</v>
      </c>
      <c r="C1508" s="18" t="s">
        <v>162</v>
      </c>
      <c r="D1508" s="18" t="s">
        <v>163</v>
      </c>
      <c r="E1508" s="29" t="n">
        <f aca="false">J1507</f>
        <v>0</v>
      </c>
      <c r="F1508" s="28"/>
      <c r="G1508" s="30" t="n">
        <v>0</v>
      </c>
      <c r="H1508" s="28"/>
      <c r="I1508" s="28"/>
      <c r="J1508" s="29" t="n">
        <f aca="false">E1508+F1508+G1508-H1508-I1508</f>
        <v>0</v>
      </c>
      <c r="K1508" s="29" t="n">
        <f aca="false">ROUND(E1508+F1508+G1508-H1508-I1508-J1508,1)</f>
        <v>0</v>
      </c>
    </row>
    <row r="1509" customFormat="false" ht="15" hidden="false" customHeight="false" outlineLevel="0" collapsed="false">
      <c r="A1509" s="25" t="n">
        <v>46070</v>
      </c>
      <c r="B1509" s="23" t="str">
        <f aca="false">IF(A1509="","",IF(A1509&lt;=profil!$B$9,"Realisasi","Rencana"))</f>
        <v>Rencana</v>
      </c>
      <c r="C1509" s="18" t="s">
        <v>162</v>
      </c>
      <c r="D1509" s="18" t="s">
        <v>163</v>
      </c>
      <c r="E1509" s="29" t="n">
        <f aca="false">J1508</f>
        <v>0</v>
      </c>
      <c r="F1509" s="28"/>
      <c r="G1509" s="30" t="n">
        <v>0</v>
      </c>
      <c r="H1509" s="28"/>
      <c r="I1509" s="28"/>
      <c r="J1509" s="29" t="n">
        <f aca="false">E1509+F1509+G1509-H1509-I1509</f>
        <v>0</v>
      </c>
      <c r="K1509" s="29" t="n">
        <f aca="false">ROUND(E1509+F1509+G1509-H1509-I1509-J1509,1)</f>
        <v>0</v>
      </c>
    </row>
    <row r="1510" customFormat="false" ht="15" hidden="false" customHeight="false" outlineLevel="0" collapsed="false">
      <c r="A1510" s="25" t="n">
        <v>46071</v>
      </c>
      <c r="B1510" s="23" t="str">
        <f aca="false">IF(A1510="","",IF(A1510&lt;=profil!$B$9,"Realisasi","Rencana"))</f>
        <v>Rencana</v>
      </c>
      <c r="C1510" s="18" t="s">
        <v>162</v>
      </c>
      <c r="D1510" s="18" t="s">
        <v>163</v>
      </c>
      <c r="E1510" s="29" t="n">
        <f aca="false">J1509</f>
        <v>0</v>
      </c>
      <c r="F1510" s="28"/>
      <c r="G1510" s="30" t="n">
        <v>0</v>
      </c>
      <c r="H1510" s="28"/>
      <c r="I1510" s="28"/>
      <c r="J1510" s="29" t="n">
        <f aca="false">E1510+F1510+G1510-H1510-I1510</f>
        <v>0</v>
      </c>
      <c r="K1510" s="29" t="n">
        <f aca="false">ROUND(E1510+F1510+G1510-H1510-I1510-J1510,1)</f>
        <v>0</v>
      </c>
    </row>
    <row r="1511" customFormat="false" ht="15" hidden="false" customHeight="false" outlineLevel="0" collapsed="false">
      <c r="A1511" s="25" t="n">
        <v>46072</v>
      </c>
      <c r="B1511" s="23" t="str">
        <f aca="false">IF(A1511="","",IF(A1511&lt;=profil!$B$9,"Realisasi","Rencana"))</f>
        <v>Rencana</v>
      </c>
      <c r="C1511" s="18" t="s">
        <v>162</v>
      </c>
      <c r="D1511" s="18" t="s">
        <v>163</v>
      </c>
      <c r="E1511" s="29" t="n">
        <f aca="false">J1510</f>
        <v>0</v>
      </c>
      <c r="F1511" s="28"/>
      <c r="G1511" s="30" t="n">
        <v>0</v>
      </c>
      <c r="H1511" s="28"/>
      <c r="I1511" s="28"/>
      <c r="J1511" s="29" t="n">
        <f aca="false">E1511+F1511+G1511-H1511-I1511</f>
        <v>0</v>
      </c>
      <c r="K1511" s="29" t="n">
        <f aca="false">ROUND(E1511+F1511+G1511-H1511-I1511-J1511,1)</f>
        <v>0</v>
      </c>
    </row>
    <row r="1512" customFormat="false" ht="15" hidden="false" customHeight="false" outlineLevel="0" collapsed="false">
      <c r="A1512" s="25" t="n">
        <v>46073</v>
      </c>
      <c r="B1512" s="23" t="str">
        <f aca="false">IF(A1512="","",IF(A1512&lt;=profil!$B$9,"Realisasi","Rencana"))</f>
        <v>Rencana</v>
      </c>
      <c r="C1512" s="18" t="s">
        <v>162</v>
      </c>
      <c r="D1512" s="18" t="s">
        <v>163</v>
      </c>
      <c r="E1512" s="29" t="n">
        <f aca="false">J1511</f>
        <v>0</v>
      </c>
      <c r="F1512" s="28"/>
      <c r="G1512" s="30" t="n">
        <v>0</v>
      </c>
      <c r="H1512" s="28"/>
      <c r="I1512" s="28"/>
      <c r="J1512" s="29" t="n">
        <f aca="false">E1512+F1512+G1512-H1512-I1512</f>
        <v>0</v>
      </c>
      <c r="K1512" s="29" t="n">
        <f aca="false">ROUND(E1512+F1512+G1512-H1512-I1512-J1512,1)</f>
        <v>0</v>
      </c>
    </row>
    <row r="1513" customFormat="false" ht="15" hidden="false" customHeight="false" outlineLevel="0" collapsed="false">
      <c r="A1513" s="25" t="n">
        <v>46074</v>
      </c>
      <c r="B1513" s="23" t="str">
        <f aca="false">IF(A1513="","",IF(A1513&lt;=profil!$B$9,"Realisasi","Rencana"))</f>
        <v>Rencana</v>
      </c>
      <c r="C1513" s="18" t="s">
        <v>162</v>
      </c>
      <c r="D1513" s="18" t="s">
        <v>163</v>
      </c>
      <c r="E1513" s="29" t="n">
        <f aca="false">J1512</f>
        <v>0</v>
      </c>
      <c r="F1513" s="28"/>
      <c r="G1513" s="30" t="n">
        <v>0</v>
      </c>
      <c r="H1513" s="28"/>
      <c r="I1513" s="28"/>
      <c r="J1513" s="29" t="n">
        <f aca="false">E1513+F1513+G1513-H1513-I1513</f>
        <v>0</v>
      </c>
      <c r="K1513" s="29" t="n">
        <f aca="false">ROUND(E1513+F1513+G1513-H1513-I1513-J1513,1)</f>
        <v>0</v>
      </c>
    </row>
    <row r="1514" customFormat="false" ht="15" hidden="false" customHeight="false" outlineLevel="0" collapsed="false">
      <c r="A1514" s="25" t="n">
        <v>46075</v>
      </c>
      <c r="B1514" s="23" t="str">
        <f aca="false">IF(A1514="","",IF(A1514&lt;=profil!$B$9,"Realisasi","Rencana"))</f>
        <v>Rencana</v>
      </c>
      <c r="C1514" s="18" t="s">
        <v>162</v>
      </c>
      <c r="D1514" s="18" t="s">
        <v>163</v>
      </c>
      <c r="E1514" s="29" t="n">
        <f aca="false">J1513</f>
        <v>0</v>
      </c>
      <c r="F1514" s="28"/>
      <c r="G1514" s="30" t="n">
        <v>0</v>
      </c>
      <c r="H1514" s="28"/>
      <c r="I1514" s="28"/>
      <c r="J1514" s="29" t="n">
        <f aca="false">E1514+F1514+G1514-H1514-I1514</f>
        <v>0</v>
      </c>
      <c r="K1514" s="29" t="n">
        <f aca="false">ROUND(E1514+F1514+G1514-H1514-I1514-J1514,1)</f>
        <v>0</v>
      </c>
    </row>
    <row r="1515" customFormat="false" ht="15" hidden="false" customHeight="false" outlineLevel="0" collapsed="false">
      <c r="A1515" s="25" t="n">
        <v>46076</v>
      </c>
      <c r="B1515" s="23" t="str">
        <f aca="false">IF(A1515="","",IF(A1515&lt;=profil!$B$9,"Realisasi","Rencana"))</f>
        <v>Rencana</v>
      </c>
      <c r="C1515" s="18" t="s">
        <v>162</v>
      </c>
      <c r="D1515" s="18" t="s">
        <v>163</v>
      </c>
      <c r="E1515" s="29" t="n">
        <f aca="false">J1514</f>
        <v>0</v>
      </c>
      <c r="F1515" s="28"/>
      <c r="G1515" s="30" t="n">
        <v>0</v>
      </c>
      <c r="H1515" s="28"/>
      <c r="I1515" s="28"/>
      <c r="J1515" s="29" t="n">
        <f aca="false">E1515+F1515+G1515-H1515-I1515</f>
        <v>0</v>
      </c>
      <c r="K1515" s="29" t="n">
        <f aca="false">ROUND(E1515+F1515+G1515-H1515-I1515-J1515,1)</f>
        <v>0</v>
      </c>
    </row>
    <row r="1516" customFormat="false" ht="15" hidden="false" customHeight="false" outlineLevel="0" collapsed="false">
      <c r="A1516" s="25" t="n">
        <v>46077</v>
      </c>
      <c r="B1516" s="23" t="str">
        <f aca="false">IF(A1516="","",IF(A1516&lt;=profil!$B$9,"Realisasi","Rencana"))</f>
        <v>Rencana</v>
      </c>
      <c r="C1516" s="18" t="s">
        <v>162</v>
      </c>
      <c r="D1516" s="18" t="s">
        <v>163</v>
      </c>
      <c r="E1516" s="29" t="n">
        <f aca="false">J1515</f>
        <v>0</v>
      </c>
      <c r="F1516" s="28"/>
      <c r="G1516" s="30" t="n">
        <v>0</v>
      </c>
      <c r="H1516" s="28"/>
      <c r="I1516" s="28"/>
      <c r="J1516" s="29" t="n">
        <f aca="false">E1516+F1516+G1516-H1516-I1516</f>
        <v>0</v>
      </c>
      <c r="K1516" s="29" t="n">
        <f aca="false">ROUND(E1516+F1516+G1516-H1516-I1516-J1516,1)</f>
        <v>0</v>
      </c>
    </row>
    <row r="1517" customFormat="false" ht="15" hidden="false" customHeight="false" outlineLevel="0" collapsed="false">
      <c r="A1517" s="25" t="n">
        <v>46078</v>
      </c>
      <c r="B1517" s="23" t="str">
        <f aca="false">IF(A1517="","",IF(A1517&lt;=profil!$B$9,"Realisasi","Rencana"))</f>
        <v>Rencana</v>
      </c>
      <c r="C1517" s="18" t="s">
        <v>162</v>
      </c>
      <c r="D1517" s="18" t="s">
        <v>163</v>
      </c>
      <c r="E1517" s="29" t="n">
        <f aca="false">J1516</f>
        <v>0</v>
      </c>
      <c r="F1517" s="28"/>
      <c r="G1517" s="30" t="n">
        <v>0</v>
      </c>
      <c r="H1517" s="28"/>
      <c r="I1517" s="28"/>
      <c r="J1517" s="29" t="n">
        <f aca="false">E1517+F1517+G1517-H1517-I1517</f>
        <v>0</v>
      </c>
      <c r="K1517" s="29" t="n">
        <f aca="false">ROUND(E1517+F1517+G1517-H1517-I1517-J1517,1)</f>
        <v>0</v>
      </c>
    </row>
    <row r="1518" customFormat="false" ht="15" hidden="false" customHeight="false" outlineLevel="0" collapsed="false">
      <c r="A1518" s="25" t="n">
        <v>46079</v>
      </c>
      <c r="B1518" s="23" t="str">
        <f aca="false">IF(A1518="","",IF(A1518&lt;=profil!$B$9,"Realisasi","Rencana"))</f>
        <v>Rencana</v>
      </c>
      <c r="C1518" s="18" t="s">
        <v>162</v>
      </c>
      <c r="D1518" s="18" t="s">
        <v>163</v>
      </c>
      <c r="E1518" s="29" t="n">
        <f aca="false">J1517</f>
        <v>0</v>
      </c>
      <c r="F1518" s="28"/>
      <c r="G1518" s="30" t="n">
        <v>0</v>
      </c>
      <c r="H1518" s="28"/>
      <c r="I1518" s="28"/>
      <c r="J1518" s="29" t="n">
        <f aca="false">E1518+F1518+G1518-H1518-I1518</f>
        <v>0</v>
      </c>
      <c r="K1518" s="29" t="n">
        <f aca="false">ROUND(E1518+F1518+G1518-H1518-I1518-J1518,1)</f>
        <v>0</v>
      </c>
    </row>
    <row r="1519" customFormat="false" ht="15" hidden="false" customHeight="false" outlineLevel="0" collapsed="false">
      <c r="A1519" s="25" t="n">
        <v>46080</v>
      </c>
      <c r="B1519" s="23" t="str">
        <f aca="false">IF(A1519="","",IF(A1519&lt;=profil!$B$9,"Realisasi","Rencana"))</f>
        <v>Rencana</v>
      </c>
      <c r="C1519" s="18" t="s">
        <v>162</v>
      </c>
      <c r="D1519" s="18" t="s">
        <v>163</v>
      </c>
      <c r="E1519" s="29" t="n">
        <f aca="false">J1518</f>
        <v>0</v>
      </c>
      <c r="F1519" s="28"/>
      <c r="G1519" s="30" t="n">
        <v>0</v>
      </c>
      <c r="H1519" s="28"/>
      <c r="I1519" s="28"/>
      <c r="J1519" s="29" t="n">
        <f aca="false">E1519+F1519+G1519-H1519-I1519</f>
        <v>0</v>
      </c>
      <c r="K1519" s="29" t="n">
        <f aca="false">ROUND(E1519+F1519+G1519-H1519-I1519-J1519,1)</f>
        <v>0</v>
      </c>
    </row>
    <row r="1520" customFormat="false" ht="15" hidden="false" customHeight="false" outlineLevel="0" collapsed="false">
      <c r="A1520" s="25" t="n">
        <v>46081</v>
      </c>
      <c r="B1520" s="23" t="str">
        <f aca="false">IF(A1520="","",IF(A1520&lt;=profil!$B$9,"Realisasi","Rencana"))</f>
        <v>Rencana</v>
      </c>
      <c r="C1520" s="18" t="s">
        <v>162</v>
      </c>
      <c r="D1520" s="18" t="s">
        <v>163</v>
      </c>
      <c r="E1520" s="29" t="n">
        <f aca="false">J1519</f>
        <v>0</v>
      </c>
      <c r="F1520" s="28"/>
      <c r="G1520" s="30" t="n">
        <v>0</v>
      </c>
      <c r="H1520" s="28"/>
      <c r="I1520" s="28"/>
      <c r="J1520" s="29" t="n">
        <f aca="false">E1520+F1520+G1520-H1520-I1520</f>
        <v>0</v>
      </c>
      <c r="K1520" s="29" t="n">
        <f aca="false">ROUND(E1520+F1520+G1520-H1520-I1520-J1520,1)</f>
        <v>0</v>
      </c>
    </row>
    <row r="1521" customFormat="false" ht="15" hidden="false" customHeight="false" outlineLevel="0" collapsed="false">
      <c r="A1521" s="25" t="n">
        <v>46082</v>
      </c>
      <c r="B1521" s="23" t="str">
        <f aca="false">IF(A1521="","",IF(A1521&lt;=profil!$B$9,"Realisasi","Rencana"))</f>
        <v>Rencana</v>
      </c>
      <c r="C1521" s="18" t="s">
        <v>162</v>
      </c>
      <c r="D1521" s="18" t="s">
        <v>163</v>
      </c>
      <c r="E1521" s="29" t="n">
        <f aca="false">J1520</f>
        <v>0</v>
      </c>
      <c r="F1521" s="28"/>
      <c r="G1521" s="30" t="n">
        <v>0</v>
      </c>
      <c r="H1521" s="28"/>
      <c r="I1521" s="28"/>
      <c r="J1521" s="29" t="n">
        <f aca="false">E1521+F1521+G1521-H1521-I1521</f>
        <v>0</v>
      </c>
      <c r="K1521" s="29" t="n">
        <f aca="false">ROUND(E1521+F1521+G1521-H1521-I1521-J1521,1)</f>
        <v>0</v>
      </c>
    </row>
    <row r="1522" customFormat="false" ht="15" hidden="false" customHeight="false" outlineLevel="0" collapsed="false">
      <c r="A1522" s="25" t="n">
        <v>46083</v>
      </c>
      <c r="B1522" s="23" t="str">
        <f aca="false">IF(A1522="","",IF(A1522&lt;=profil!$B$9,"Realisasi","Rencana"))</f>
        <v>Rencana</v>
      </c>
      <c r="C1522" s="18" t="s">
        <v>162</v>
      </c>
      <c r="D1522" s="18" t="s">
        <v>163</v>
      </c>
      <c r="E1522" s="29" t="n">
        <f aca="false">J1521</f>
        <v>0</v>
      </c>
      <c r="F1522" s="28"/>
      <c r="G1522" s="30" t="n">
        <v>0</v>
      </c>
      <c r="H1522" s="28"/>
      <c r="I1522" s="28"/>
      <c r="J1522" s="29" t="n">
        <f aca="false">E1522+F1522+G1522-H1522-I1522</f>
        <v>0</v>
      </c>
      <c r="K1522" s="29" t="n">
        <f aca="false">ROUND(E1522+F1522+G1522-H1522-I1522-J1522,1)</f>
        <v>0</v>
      </c>
    </row>
    <row r="1523" customFormat="false" ht="15" hidden="false" customHeight="false" outlineLevel="0" collapsed="false">
      <c r="A1523" s="25" t="n">
        <v>46084</v>
      </c>
      <c r="B1523" s="23" t="str">
        <f aca="false">IF(A1523="","",IF(A1523&lt;=profil!$B$9,"Realisasi","Rencana"))</f>
        <v>Rencana</v>
      </c>
      <c r="C1523" s="18" t="s">
        <v>162</v>
      </c>
      <c r="D1523" s="18" t="s">
        <v>163</v>
      </c>
      <c r="E1523" s="29" t="n">
        <f aca="false">J1522</f>
        <v>0</v>
      </c>
      <c r="F1523" s="28"/>
      <c r="G1523" s="30" t="n">
        <v>0</v>
      </c>
      <c r="H1523" s="28"/>
      <c r="I1523" s="28"/>
      <c r="J1523" s="29" t="n">
        <f aca="false">E1523+F1523+G1523-H1523-I1523</f>
        <v>0</v>
      </c>
      <c r="K1523" s="29" t="n">
        <f aca="false">ROUND(E1523+F1523+G1523-H1523-I1523-J1523,1)</f>
        <v>0</v>
      </c>
    </row>
    <row r="1524" customFormat="false" ht="15" hidden="false" customHeight="false" outlineLevel="0" collapsed="false">
      <c r="A1524" s="25" t="n">
        <v>46085</v>
      </c>
      <c r="B1524" s="23" t="str">
        <f aca="false">IF(A1524="","",IF(A1524&lt;=profil!$B$9,"Realisasi","Rencana"))</f>
        <v>Rencana</v>
      </c>
      <c r="C1524" s="18" t="s">
        <v>162</v>
      </c>
      <c r="D1524" s="18" t="s">
        <v>163</v>
      </c>
      <c r="E1524" s="29" t="n">
        <f aca="false">J1523</f>
        <v>0</v>
      </c>
      <c r="F1524" s="28"/>
      <c r="G1524" s="30" t="n">
        <v>0</v>
      </c>
      <c r="H1524" s="28"/>
      <c r="I1524" s="28"/>
      <c r="J1524" s="29" t="n">
        <f aca="false">E1524+F1524+G1524-H1524-I1524</f>
        <v>0</v>
      </c>
      <c r="K1524" s="29" t="n">
        <f aca="false">ROUND(E1524+F1524+G1524-H1524-I1524-J1524,1)</f>
        <v>0</v>
      </c>
    </row>
    <row r="1525" customFormat="false" ht="15" hidden="false" customHeight="false" outlineLevel="0" collapsed="false">
      <c r="A1525" s="25" t="n">
        <v>46086</v>
      </c>
      <c r="B1525" s="23" t="str">
        <f aca="false">IF(A1525="","",IF(A1525&lt;=profil!$B$9,"Realisasi","Rencana"))</f>
        <v>Rencana</v>
      </c>
      <c r="C1525" s="18" t="s">
        <v>162</v>
      </c>
      <c r="D1525" s="18" t="s">
        <v>163</v>
      </c>
      <c r="E1525" s="29" t="n">
        <f aca="false">J1524</f>
        <v>0</v>
      </c>
      <c r="F1525" s="28"/>
      <c r="G1525" s="30" t="n">
        <v>0</v>
      </c>
      <c r="H1525" s="28"/>
      <c r="I1525" s="28"/>
      <c r="J1525" s="29" t="n">
        <f aca="false">E1525+F1525+G1525-H1525-I1525</f>
        <v>0</v>
      </c>
      <c r="K1525" s="29" t="n">
        <f aca="false">ROUND(E1525+F1525+G1525-H1525-I1525-J1525,1)</f>
        <v>0</v>
      </c>
    </row>
    <row r="1526" customFormat="false" ht="15" hidden="false" customHeight="false" outlineLevel="0" collapsed="false">
      <c r="A1526" s="25" t="n">
        <v>46087</v>
      </c>
      <c r="B1526" s="23" t="str">
        <f aca="false">IF(A1526="","",IF(A1526&lt;=profil!$B$9,"Realisasi","Rencana"))</f>
        <v>Rencana</v>
      </c>
      <c r="C1526" s="18" t="s">
        <v>162</v>
      </c>
      <c r="D1526" s="18" t="s">
        <v>163</v>
      </c>
      <c r="E1526" s="29" t="n">
        <f aca="false">J1525</f>
        <v>0</v>
      </c>
      <c r="F1526" s="28"/>
      <c r="G1526" s="30" t="n">
        <v>0</v>
      </c>
      <c r="H1526" s="28"/>
      <c r="I1526" s="28"/>
      <c r="J1526" s="29" t="n">
        <f aca="false">E1526+F1526+G1526-H1526-I1526</f>
        <v>0</v>
      </c>
      <c r="K1526" s="29" t="n">
        <f aca="false">ROUND(E1526+F1526+G1526-H1526-I1526-J1526,1)</f>
        <v>0</v>
      </c>
    </row>
    <row r="1527" customFormat="false" ht="15" hidden="false" customHeight="false" outlineLevel="0" collapsed="false">
      <c r="A1527" s="25" t="n">
        <v>46088</v>
      </c>
      <c r="B1527" s="23" t="str">
        <f aca="false">IF(A1527="","",IF(A1527&lt;=profil!$B$9,"Realisasi","Rencana"))</f>
        <v>Rencana</v>
      </c>
      <c r="C1527" s="18" t="s">
        <v>162</v>
      </c>
      <c r="D1527" s="18" t="s">
        <v>163</v>
      </c>
      <c r="E1527" s="29" t="n">
        <f aca="false">J1526</f>
        <v>0</v>
      </c>
      <c r="F1527" s="28"/>
      <c r="G1527" s="30" t="n">
        <v>0</v>
      </c>
      <c r="H1527" s="28"/>
      <c r="I1527" s="28"/>
      <c r="J1527" s="29" t="n">
        <f aca="false">E1527+F1527+G1527-H1527-I1527</f>
        <v>0</v>
      </c>
      <c r="K1527" s="29" t="n">
        <f aca="false">ROUND(E1527+F1527+G1527-H1527-I1527-J1527,1)</f>
        <v>0</v>
      </c>
    </row>
    <row r="1528" customFormat="false" ht="15" hidden="false" customHeight="false" outlineLevel="0" collapsed="false">
      <c r="A1528" s="25" t="n">
        <v>46089</v>
      </c>
      <c r="B1528" s="23" t="str">
        <f aca="false">IF(A1528="","",IF(A1528&lt;=profil!$B$9,"Realisasi","Rencana"))</f>
        <v>Rencana</v>
      </c>
      <c r="C1528" s="18" t="s">
        <v>162</v>
      </c>
      <c r="D1528" s="18" t="s">
        <v>163</v>
      </c>
      <c r="E1528" s="29" t="n">
        <f aca="false">J1527</f>
        <v>0</v>
      </c>
      <c r="F1528" s="28"/>
      <c r="G1528" s="30" t="n">
        <v>0</v>
      </c>
      <c r="H1528" s="28"/>
      <c r="I1528" s="28"/>
      <c r="J1528" s="29" t="n">
        <f aca="false">E1528+F1528+G1528-H1528-I1528</f>
        <v>0</v>
      </c>
      <c r="K1528" s="29" t="n">
        <f aca="false">ROUND(E1528+F1528+G1528-H1528-I1528-J1528,1)</f>
        <v>0</v>
      </c>
    </row>
    <row r="1529" customFormat="false" ht="15" hidden="false" customHeight="false" outlineLevel="0" collapsed="false">
      <c r="A1529" s="25" t="n">
        <v>46090</v>
      </c>
      <c r="B1529" s="23" t="str">
        <f aca="false">IF(A1529="","",IF(A1529&lt;=profil!$B$9,"Realisasi","Rencana"))</f>
        <v>Rencana</v>
      </c>
      <c r="C1529" s="18" t="s">
        <v>162</v>
      </c>
      <c r="D1529" s="18" t="s">
        <v>163</v>
      </c>
      <c r="E1529" s="29" t="n">
        <f aca="false">J1528</f>
        <v>0</v>
      </c>
      <c r="F1529" s="28"/>
      <c r="G1529" s="30" t="n">
        <v>0</v>
      </c>
      <c r="H1529" s="28"/>
      <c r="I1529" s="28"/>
      <c r="J1529" s="29" t="n">
        <f aca="false">E1529+F1529+G1529-H1529-I1529</f>
        <v>0</v>
      </c>
      <c r="K1529" s="29" t="n">
        <f aca="false">ROUND(E1529+F1529+G1529-H1529-I1529-J1529,1)</f>
        <v>0</v>
      </c>
    </row>
    <row r="1530" customFormat="false" ht="15" hidden="false" customHeight="false" outlineLevel="0" collapsed="false">
      <c r="A1530" s="25" t="n">
        <v>46091</v>
      </c>
      <c r="B1530" s="23" t="str">
        <f aca="false">IF(A1530="","",IF(A1530&lt;=profil!$B$9,"Realisasi","Rencana"))</f>
        <v>Rencana</v>
      </c>
      <c r="C1530" s="18" t="s">
        <v>162</v>
      </c>
      <c r="D1530" s="18" t="s">
        <v>163</v>
      </c>
      <c r="E1530" s="29" t="n">
        <f aca="false">J1529</f>
        <v>0</v>
      </c>
      <c r="F1530" s="28"/>
      <c r="G1530" s="30" t="n">
        <v>0</v>
      </c>
      <c r="H1530" s="28"/>
      <c r="I1530" s="28"/>
      <c r="J1530" s="29" t="n">
        <f aca="false">E1530+F1530+G1530-H1530-I1530</f>
        <v>0</v>
      </c>
      <c r="K1530" s="29" t="n">
        <f aca="false">ROUND(E1530+F1530+G1530-H1530-I1530-J1530,1)</f>
        <v>0</v>
      </c>
    </row>
    <row r="1531" customFormat="false" ht="15" hidden="false" customHeight="false" outlineLevel="0" collapsed="false">
      <c r="A1531" s="25" t="n">
        <v>46092</v>
      </c>
      <c r="B1531" s="23" t="str">
        <f aca="false">IF(A1531="","",IF(A1531&lt;=profil!$B$9,"Realisasi","Rencana"))</f>
        <v>Rencana</v>
      </c>
      <c r="C1531" s="18" t="s">
        <v>162</v>
      </c>
      <c r="D1531" s="18" t="s">
        <v>163</v>
      </c>
      <c r="E1531" s="29" t="n">
        <f aca="false">J1530</f>
        <v>0</v>
      </c>
      <c r="F1531" s="28"/>
      <c r="G1531" s="30" t="n">
        <v>0</v>
      </c>
      <c r="H1531" s="28"/>
      <c r="I1531" s="28"/>
      <c r="J1531" s="29" t="n">
        <f aca="false">E1531+F1531+G1531-H1531-I1531</f>
        <v>0</v>
      </c>
      <c r="K1531" s="29" t="n">
        <f aca="false">ROUND(E1531+F1531+G1531-H1531-I1531-J1531,1)</f>
        <v>0</v>
      </c>
    </row>
    <row r="1532" customFormat="false" ht="15" hidden="false" customHeight="false" outlineLevel="0" collapsed="false">
      <c r="A1532" s="25" t="n">
        <v>46093</v>
      </c>
      <c r="B1532" s="23" t="str">
        <f aca="false">IF(A1532="","",IF(A1532&lt;=profil!$B$9,"Realisasi","Rencana"))</f>
        <v>Rencana</v>
      </c>
      <c r="C1532" s="18" t="s">
        <v>162</v>
      </c>
      <c r="D1532" s="18" t="s">
        <v>163</v>
      </c>
      <c r="E1532" s="29" t="n">
        <f aca="false">J1531</f>
        <v>0</v>
      </c>
      <c r="F1532" s="28"/>
      <c r="G1532" s="30" t="n">
        <v>0</v>
      </c>
      <c r="H1532" s="28"/>
      <c r="I1532" s="28"/>
      <c r="J1532" s="29" t="n">
        <f aca="false">E1532+F1532+G1532-H1532-I1532</f>
        <v>0</v>
      </c>
      <c r="K1532" s="29" t="n">
        <f aca="false">ROUND(E1532+F1532+G1532-H1532-I1532-J1532,1)</f>
        <v>0</v>
      </c>
    </row>
    <row r="1533" customFormat="false" ht="15" hidden="false" customHeight="false" outlineLevel="0" collapsed="false">
      <c r="A1533" s="25" t="n">
        <v>46094</v>
      </c>
      <c r="B1533" s="23" t="str">
        <f aca="false">IF(A1533="","",IF(A1533&lt;=profil!$B$9,"Realisasi","Rencana"))</f>
        <v>Rencana</v>
      </c>
      <c r="C1533" s="18" t="s">
        <v>162</v>
      </c>
      <c r="D1533" s="18" t="s">
        <v>163</v>
      </c>
      <c r="E1533" s="29" t="n">
        <f aca="false">J1532</f>
        <v>0</v>
      </c>
      <c r="F1533" s="28"/>
      <c r="G1533" s="30" t="n">
        <v>0</v>
      </c>
      <c r="H1533" s="28"/>
      <c r="I1533" s="28"/>
      <c r="J1533" s="29" t="n">
        <f aca="false">E1533+F1533+G1533-H1533-I1533</f>
        <v>0</v>
      </c>
      <c r="K1533" s="29" t="n">
        <f aca="false">ROUND(E1533+F1533+G1533-H1533-I1533-J1533,1)</f>
        <v>0</v>
      </c>
    </row>
    <row r="1534" customFormat="false" ht="15" hidden="false" customHeight="false" outlineLevel="0" collapsed="false">
      <c r="A1534" s="25" t="n">
        <v>46095</v>
      </c>
      <c r="B1534" s="23" t="str">
        <f aca="false">IF(A1534="","",IF(A1534&lt;=profil!$B$9,"Realisasi","Rencana"))</f>
        <v>Rencana</v>
      </c>
      <c r="C1534" s="18" t="s">
        <v>162</v>
      </c>
      <c r="D1534" s="18" t="s">
        <v>163</v>
      </c>
      <c r="E1534" s="29" t="n">
        <f aca="false">J1533</f>
        <v>0</v>
      </c>
      <c r="F1534" s="28"/>
      <c r="G1534" s="30" t="n">
        <v>0</v>
      </c>
      <c r="H1534" s="28"/>
      <c r="I1534" s="28"/>
      <c r="J1534" s="29" t="n">
        <f aca="false">E1534+F1534+G1534-H1534-I1534</f>
        <v>0</v>
      </c>
      <c r="K1534" s="29" t="n">
        <f aca="false">ROUND(E1534+F1534+G1534-H1534-I1534-J1534,1)</f>
        <v>0</v>
      </c>
    </row>
    <row r="1535" customFormat="false" ht="15" hidden="false" customHeight="false" outlineLevel="0" collapsed="false">
      <c r="A1535" s="25" t="n">
        <v>46096</v>
      </c>
      <c r="B1535" s="23" t="str">
        <f aca="false">IF(A1535="","",IF(A1535&lt;=profil!$B$9,"Realisasi","Rencana"))</f>
        <v>Rencana</v>
      </c>
      <c r="C1535" s="18" t="s">
        <v>162</v>
      </c>
      <c r="D1535" s="18" t="s">
        <v>163</v>
      </c>
      <c r="E1535" s="29" t="n">
        <f aca="false">J1534</f>
        <v>0</v>
      </c>
      <c r="F1535" s="28"/>
      <c r="G1535" s="30" t="n">
        <v>0</v>
      </c>
      <c r="H1535" s="28"/>
      <c r="I1535" s="28"/>
      <c r="J1535" s="29" t="n">
        <f aca="false">E1535+F1535+G1535-H1535-I1535</f>
        <v>0</v>
      </c>
      <c r="K1535" s="29" t="n">
        <f aca="false">ROUND(E1535+F1535+G1535-H1535-I1535-J1535,1)</f>
        <v>0</v>
      </c>
    </row>
    <row r="1536" customFormat="false" ht="15" hidden="false" customHeight="false" outlineLevel="0" collapsed="false">
      <c r="A1536" s="25" t="n">
        <v>46097</v>
      </c>
      <c r="B1536" s="23" t="str">
        <f aca="false">IF(A1536="","",IF(A1536&lt;=profil!$B$9,"Realisasi","Rencana"))</f>
        <v>Rencana</v>
      </c>
      <c r="C1536" s="18" t="s">
        <v>162</v>
      </c>
      <c r="D1536" s="18" t="s">
        <v>163</v>
      </c>
      <c r="E1536" s="29" t="n">
        <f aca="false">J1535</f>
        <v>0</v>
      </c>
      <c r="F1536" s="28"/>
      <c r="G1536" s="30" t="n">
        <v>0</v>
      </c>
      <c r="H1536" s="28"/>
      <c r="I1536" s="28"/>
      <c r="J1536" s="29" t="n">
        <f aca="false">E1536+F1536+G1536-H1536-I1536</f>
        <v>0</v>
      </c>
      <c r="K1536" s="29" t="n">
        <f aca="false">ROUND(E1536+F1536+G1536-H1536-I1536-J1536,1)</f>
        <v>0</v>
      </c>
    </row>
    <row r="1537" customFormat="false" ht="15" hidden="false" customHeight="false" outlineLevel="0" collapsed="false">
      <c r="A1537" s="25" t="n">
        <v>46098</v>
      </c>
      <c r="B1537" s="23" t="str">
        <f aca="false">IF(A1537="","",IF(A1537&lt;=profil!$B$9,"Realisasi","Rencana"))</f>
        <v>Rencana</v>
      </c>
      <c r="C1537" s="18" t="s">
        <v>162</v>
      </c>
      <c r="D1537" s="18" t="s">
        <v>163</v>
      </c>
      <c r="E1537" s="29" t="n">
        <f aca="false">J1536</f>
        <v>0</v>
      </c>
      <c r="F1537" s="28"/>
      <c r="G1537" s="30" t="n">
        <v>0</v>
      </c>
      <c r="H1537" s="28"/>
      <c r="I1537" s="28"/>
      <c r="J1537" s="29" t="n">
        <f aca="false">E1537+F1537+G1537-H1537-I1537</f>
        <v>0</v>
      </c>
      <c r="K1537" s="29" t="n">
        <f aca="false">ROUND(E1537+F1537+G1537-H1537-I1537-J1537,1)</f>
        <v>0</v>
      </c>
    </row>
    <row r="1538" customFormat="false" ht="15" hidden="false" customHeight="false" outlineLevel="0" collapsed="false">
      <c r="A1538" s="25" t="n">
        <v>46099</v>
      </c>
      <c r="B1538" s="23" t="str">
        <f aca="false">IF(A1538="","",IF(A1538&lt;=profil!$B$9,"Realisasi","Rencana"))</f>
        <v>Rencana</v>
      </c>
      <c r="C1538" s="18" t="s">
        <v>162</v>
      </c>
      <c r="D1538" s="18" t="s">
        <v>163</v>
      </c>
      <c r="E1538" s="29" t="n">
        <f aca="false">J1537</f>
        <v>0</v>
      </c>
      <c r="F1538" s="28"/>
      <c r="G1538" s="30" t="n">
        <v>0</v>
      </c>
      <c r="H1538" s="28"/>
      <c r="I1538" s="28"/>
      <c r="J1538" s="29" t="n">
        <f aca="false">E1538+F1538+G1538-H1538-I1538</f>
        <v>0</v>
      </c>
      <c r="K1538" s="29" t="n">
        <f aca="false">ROUND(E1538+F1538+G1538-H1538-I1538-J1538,1)</f>
        <v>0</v>
      </c>
    </row>
    <row r="1539" customFormat="false" ht="15" hidden="false" customHeight="false" outlineLevel="0" collapsed="false">
      <c r="A1539" s="25" t="n">
        <v>46100</v>
      </c>
      <c r="B1539" s="23" t="str">
        <f aca="false">IF(A1539="","",IF(A1539&lt;=profil!$B$9,"Realisasi","Rencana"))</f>
        <v>Rencana</v>
      </c>
      <c r="C1539" s="18" t="s">
        <v>162</v>
      </c>
      <c r="D1539" s="18" t="s">
        <v>163</v>
      </c>
      <c r="E1539" s="29" t="n">
        <f aca="false">J1538</f>
        <v>0</v>
      </c>
      <c r="F1539" s="28"/>
      <c r="G1539" s="30" t="n">
        <v>0</v>
      </c>
      <c r="H1539" s="28"/>
      <c r="I1539" s="28"/>
      <c r="J1539" s="29" t="n">
        <f aca="false">E1539+F1539+G1539-H1539-I1539</f>
        <v>0</v>
      </c>
      <c r="K1539" s="29" t="n">
        <f aca="false">ROUND(E1539+F1539+G1539-H1539-I1539-J1539,1)</f>
        <v>0</v>
      </c>
    </row>
    <row r="1540" customFormat="false" ht="15" hidden="false" customHeight="false" outlineLevel="0" collapsed="false">
      <c r="A1540" s="25" t="n">
        <v>46101</v>
      </c>
      <c r="B1540" s="23" t="str">
        <f aca="false">IF(A1540="","",IF(A1540&lt;=profil!$B$9,"Realisasi","Rencana"))</f>
        <v>Rencana</v>
      </c>
      <c r="C1540" s="18" t="s">
        <v>162</v>
      </c>
      <c r="D1540" s="18" t="s">
        <v>163</v>
      </c>
      <c r="E1540" s="29" t="n">
        <f aca="false">J1539</f>
        <v>0</v>
      </c>
      <c r="F1540" s="28"/>
      <c r="G1540" s="30" t="n">
        <v>0</v>
      </c>
      <c r="H1540" s="28"/>
      <c r="I1540" s="28"/>
      <c r="J1540" s="29" t="n">
        <f aca="false">E1540+F1540+G1540-H1540-I1540</f>
        <v>0</v>
      </c>
      <c r="K1540" s="29" t="n">
        <f aca="false">ROUND(E1540+F1540+G1540-H1540-I1540-J1540,1)</f>
        <v>0</v>
      </c>
    </row>
    <row r="1541" customFormat="false" ht="15" hidden="false" customHeight="false" outlineLevel="0" collapsed="false">
      <c r="A1541" s="25" t="n">
        <v>46102</v>
      </c>
      <c r="B1541" s="23" t="str">
        <f aca="false">IF(A1541="","",IF(A1541&lt;=profil!$B$9,"Realisasi","Rencana"))</f>
        <v>Rencana</v>
      </c>
      <c r="C1541" s="18" t="s">
        <v>162</v>
      </c>
      <c r="D1541" s="18" t="s">
        <v>163</v>
      </c>
      <c r="E1541" s="29" t="n">
        <f aca="false">J1540</f>
        <v>0</v>
      </c>
      <c r="F1541" s="28"/>
      <c r="G1541" s="30" t="n">
        <v>0</v>
      </c>
      <c r="H1541" s="28"/>
      <c r="I1541" s="28"/>
      <c r="J1541" s="29" t="n">
        <f aca="false">E1541+F1541+G1541-H1541-I1541</f>
        <v>0</v>
      </c>
      <c r="K1541" s="29" t="n">
        <f aca="false">ROUND(E1541+F1541+G1541-H1541-I1541-J1541,1)</f>
        <v>0</v>
      </c>
    </row>
    <row r="1542" customFormat="false" ht="15" hidden="false" customHeight="false" outlineLevel="0" collapsed="false">
      <c r="A1542" s="25" t="n">
        <v>46103</v>
      </c>
      <c r="B1542" s="23" t="str">
        <f aca="false">IF(A1542="","",IF(A1542&lt;=profil!$B$9,"Realisasi","Rencana"))</f>
        <v>Rencana</v>
      </c>
      <c r="C1542" s="18" t="s">
        <v>162</v>
      </c>
      <c r="D1542" s="18" t="s">
        <v>163</v>
      </c>
      <c r="E1542" s="29" t="n">
        <f aca="false">J1541</f>
        <v>0</v>
      </c>
      <c r="F1542" s="28"/>
      <c r="G1542" s="30" t="n">
        <v>0</v>
      </c>
      <c r="H1542" s="28"/>
      <c r="I1542" s="28"/>
      <c r="J1542" s="29" t="n">
        <f aca="false">E1542+F1542+G1542-H1542-I1542</f>
        <v>0</v>
      </c>
      <c r="K1542" s="29" t="n">
        <f aca="false">ROUND(E1542+F1542+G1542-H1542-I1542-J1542,1)</f>
        <v>0</v>
      </c>
    </row>
    <row r="1543" customFormat="false" ht="15" hidden="false" customHeight="false" outlineLevel="0" collapsed="false">
      <c r="A1543" s="25" t="n">
        <v>46104</v>
      </c>
      <c r="B1543" s="23" t="str">
        <f aca="false">IF(A1543="","",IF(A1543&lt;=profil!$B$9,"Realisasi","Rencana"))</f>
        <v>Rencana</v>
      </c>
      <c r="C1543" s="18" t="s">
        <v>162</v>
      </c>
      <c r="D1543" s="18" t="s">
        <v>163</v>
      </c>
      <c r="E1543" s="29" t="n">
        <f aca="false">J1542</f>
        <v>0</v>
      </c>
      <c r="F1543" s="28"/>
      <c r="G1543" s="30" t="n">
        <v>0</v>
      </c>
      <c r="H1543" s="28"/>
      <c r="I1543" s="28"/>
      <c r="J1543" s="29" t="n">
        <f aca="false">E1543+F1543+G1543-H1543-I1543</f>
        <v>0</v>
      </c>
      <c r="K1543" s="29" t="n">
        <f aca="false">ROUND(E1543+F1543+G1543-H1543-I1543-J1543,1)</f>
        <v>0</v>
      </c>
    </row>
    <row r="1544" customFormat="false" ht="15" hidden="false" customHeight="false" outlineLevel="0" collapsed="false">
      <c r="A1544" s="25" t="n">
        <v>46105</v>
      </c>
      <c r="B1544" s="23" t="str">
        <f aca="false">IF(A1544="","",IF(A1544&lt;=profil!$B$9,"Realisasi","Rencana"))</f>
        <v>Rencana</v>
      </c>
      <c r="C1544" s="18" t="s">
        <v>162</v>
      </c>
      <c r="D1544" s="18" t="s">
        <v>163</v>
      </c>
      <c r="E1544" s="29" t="n">
        <f aca="false">J1543</f>
        <v>0</v>
      </c>
      <c r="F1544" s="28"/>
      <c r="G1544" s="30" t="n">
        <v>0</v>
      </c>
      <c r="H1544" s="28"/>
      <c r="I1544" s="28"/>
      <c r="J1544" s="29" t="n">
        <f aca="false">E1544+F1544+G1544-H1544-I1544</f>
        <v>0</v>
      </c>
      <c r="K1544" s="29" t="n">
        <f aca="false">ROUND(E1544+F1544+G1544-H1544-I1544-J1544,1)</f>
        <v>0</v>
      </c>
    </row>
    <row r="1545" customFormat="false" ht="15" hidden="false" customHeight="false" outlineLevel="0" collapsed="false">
      <c r="A1545" s="25" t="n">
        <v>46106</v>
      </c>
      <c r="B1545" s="23" t="str">
        <f aca="false">IF(A1545="","",IF(A1545&lt;=profil!$B$9,"Realisasi","Rencana"))</f>
        <v>Rencana</v>
      </c>
      <c r="C1545" s="18" t="s">
        <v>162</v>
      </c>
      <c r="D1545" s="18" t="s">
        <v>163</v>
      </c>
      <c r="E1545" s="29" t="n">
        <f aca="false">J1544</f>
        <v>0</v>
      </c>
      <c r="F1545" s="28"/>
      <c r="G1545" s="30" t="n">
        <v>0</v>
      </c>
      <c r="H1545" s="28"/>
      <c r="I1545" s="28"/>
      <c r="J1545" s="29" t="n">
        <f aca="false">E1545+F1545+G1545-H1545-I1545</f>
        <v>0</v>
      </c>
      <c r="K1545" s="29" t="n">
        <f aca="false">ROUND(E1545+F1545+G1545-H1545-I1545-J1545,1)</f>
        <v>0</v>
      </c>
    </row>
    <row r="1546" customFormat="false" ht="15" hidden="false" customHeight="false" outlineLevel="0" collapsed="false">
      <c r="A1546" s="25" t="n">
        <v>46107</v>
      </c>
      <c r="B1546" s="23" t="str">
        <f aca="false">IF(A1546="","",IF(A1546&lt;=profil!$B$9,"Realisasi","Rencana"))</f>
        <v>Rencana</v>
      </c>
      <c r="C1546" s="18" t="s">
        <v>162</v>
      </c>
      <c r="D1546" s="18" t="s">
        <v>163</v>
      </c>
      <c r="E1546" s="29" t="n">
        <f aca="false">J1545</f>
        <v>0</v>
      </c>
      <c r="F1546" s="28"/>
      <c r="G1546" s="30" t="n">
        <v>0</v>
      </c>
      <c r="H1546" s="28"/>
      <c r="I1546" s="28"/>
      <c r="J1546" s="29" t="n">
        <f aca="false">E1546+F1546+G1546-H1546-I1546</f>
        <v>0</v>
      </c>
      <c r="K1546" s="29" t="n">
        <f aca="false">ROUND(E1546+F1546+G1546-H1546-I1546-J1546,1)</f>
        <v>0</v>
      </c>
    </row>
    <row r="1547" customFormat="false" ht="15" hidden="false" customHeight="false" outlineLevel="0" collapsed="false">
      <c r="A1547" s="25" t="n">
        <v>46108</v>
      </c>
      <c r="B1547" s="23" t="str">
        <f aca="false">IF(A1547="","",IF(A1547&lt;=profil!$B$9,"Realisasi","Rencana"))</f>
        <v>Rencana</v>
      </c>
      <c r="C1547" s="18" t="s">
        <v>162</v>
      </c>
      <c r="D1547" s="18" t="s">
        <v>163</v>
      </c>
      <c r="E1547" s="29" t="n">
        <f aca="false">J1546</f>
        <v>0</v>
      </c>
      <c r="F1547" s="28"/>
      <c r="G1547" s="30" t="n">
        <v>0</v>
      </c>
      <c r="H1547" s="28"/>
      <c r="I1547" s="28"/>
      <c r="J1547" s="29" t="n">
        <f aca="false">E1547+F1547+G1547-H1547-I1547</f>
        <v>0</v>
      </c>
      <c r="K1547" s="29" t="n">
        <f aca="false">ROUND(E1547+F1547+G1547-H1547-I1547-J1547,1)</f>
        <v>0</v>
      </c>
    </row>
    <row r="1548" customFormat="false" ht="15" hidden="false" customHeight="false" outlineLevel="0" collapsed="false">
      <c r="A1548" s="25" t="n">
        <v>46109</v>
      </c>
      <c r="B1548" s="23" t="str">
        <f aca="false">IF(A1548="","",IF(A1548&lt;=profil!$B$9,"Realisasi","Rencana"))</f>
        <v>Rencana</v>
      </c>
      <c r="C1548" s="18" t="s">
        <v>162</v>
      </c>
      <c r="D1548" s="18" t="s">
        <v>163</v>
      </c>
      <c r="E1548" s="29" t="n">
        <f aca="false">J1547</f>
        <v>0</v>
      </c>
      <c r="F1548" s="28"/>
      <c r="G1548" s="30" t="n">
        <v>0</v>
      </c>
      <c r="H1548" s="28"/>
      <c r="I1548" s="28"/>
      <c r="J1548" s="29" t="n">
        <f aca="false">E1548+F1548+G1548-H1548-I1548</f>
        <v>0</v>
      </c>
      <c r="K1548" s="29" t="n">
        <f aca="false">ROUND(E1548+F1548+G1548-H1548-I1548-J1548,1)</f>
        <v>0</v>
      </c>
    </row>
    <row r="1549" customFormat="false" ht="15" hidden="false" customHeight="false" outlineLevel="0" collapsed="false">
      <c r="A1549" s="25" t="n">
        <v>46110</v>
      </c>
      <c r="B1549" s="23" t="str">
        <f aca="false">IF(A1549="","",IF(A1549&lt;=profil!$B$9,"Realisasi","Rencana"))</f>
        <v>Rencana</v>
      </c>
      <c r="C1549" s="18" t="s">
        <v>162</v>
      </c>
      <c r="D1549" s="18" t="s">
        <v>163</v>
      </c>
      <c r="E1549" s="29" t="n">
        <f aca="false">J1548</f>
        <v>0</v>
      </c>
      <c r="F1549" s="28"/>
      <c r="G1549" s="30" t="n">
        <v>0</v>
      </c>
      <c r="H1549" s="28"/>
      <c r="I1549" s="28"/>
      <c r="J1549" s="29" t="n">
        <f aca="false">E1549+F1549+G1549-H1549-I1549</f>
        <v>0</v>
      </c>
      <c r="K1549" s="29" t="n">
        <f aca="false">ROUND(E1549+F1549+G1549-H1549-I1549-J1549,1)</f>
        <v>0</v>
      </c>
    </row>
    <row r="1550" customFormat="false" ht="15" hidden="false" customHeight="false" outlineLevel="0" collapsed="false">
      <c r="A1550" s="25" t="n">
        <v>46111</v>
      </c>
      <c r="B1550" s="23" t="str">
        <f aca="false">IF(A1550="","",IF(A1550&lt;=profil!$B$9,"Realisasi","Rencana"))</f>
        <v>Rencana</v>
      </c>
      <c r="C1550" s="18" t="s">
        <v>162</v>
      </c>
      <c r="D1550" s="18" t="s">
        <v>163</v>
      </c>
      <c r="E1550" s="29" t="n">
        <f aca="false">J1549</f>
        <v>0</v>
      </c>
      <c r="F1550" s="28"/>
      <c r="G1550" s="30" t="n">
        <v>0</v>
      </c>
      <c r="H1550" s="28"/>
      <c r="I1550" s="28"/>
      <c r="J1550" s="29" t="n">
        <f aca="false">E1550+F1550+G1550-H1550-I1550</f>
        <v>0</v>
      </c>
      <c r="K1550" s="29" t="n">
        <f aca="false">ROUND(E1550+F1550+G1550-H1550-I1550-J1550,1)</f>
        <v>0</v>
      </c>
    </row>
    <row r="1551" customFormat="false" ht="15" hidden="false" customHeight="false" outlineLevel="0" collapsed="false">
      <c r="A1551" s="25" t="n">
        <v>46112</v>
      </c>
      <c r="B1551" s="23" t="str">
        <f aca="false">IF(A1551="","",IF(A1551&lt;=profil!$B$9,"Realisasi","Rencana"))</f>
        <v>Rencana</v>
      </c>
      <c r="C1551" s="18" t="s">
        <v>162</v>
      </c>
      <c r="D1551" s="18" t="s">
        <v>163</v>
      </c>
      <c r="E1551" s="29" t="n">
        <f aca="false">J1550</f>
        <v>0</v>
      </c>
      <c r="F1551" s="28"/>
      <c r="G1551" s="30" t="n">
        <v>0</v>
      </c>
      <c r="H1551" s="28"/>
      <c r="I1551" s="28"/>
      <c r="J1551" s="29" t="n">
        <f aca="false">E1551+F1551+G1551-H1551-I1551</f>
        <v>0</v>
      </c>
      <c r="K1551" s="29" t="n">
        <f aca="false">ROUND(E1551+F1551+G1551-H1551-I1551-J1551,1)</f>
        <v>0</v>
      </c>
    </row>
    <row r="1552" customFormat="false" ht="15" hidden="false" customHeight="false" outlineLevel="0" collapsed="false">
      <c r="A1552" s="25" t="n">
        <v>46113</v>
      </c>
      <c r="B1552" s="23" t="str">
        <f aca="false">IF(A1552="","",IF(A1552&lt;=profil!$B$9,"Realisasi","Rencana"))</f>
        <v>Rencana</v>
      </c>
      <c r="C1552" s="18" t="s">
        <v>162</v>
      </c>
      <c r="D1552" s="18" t="s">
        <v>163</v>
      </c>
      <c r="E1552" s="29" t="n">
        <f aca="false">J1551</f>
        <v>0</v>
      </c>
      <c r="F1552" s="28"/>
      <c r="G1552" s="30" t="n">
        <v>0</v>
      </c>
      <c r="H1552" s="28"/>
      <c r="I1552" s="28"/>
      <c r="J1552" s="29" t="n">
        <f aca="false">E1552+F1552+G1552-H1552-I1552</f>
        <v>0</v>
      </c>
      <c r="K1552" s="29" t="n">
        <f aca="false">ROUND(E1552+F1552+G1552-H1552-I1552-J1552,1)</f>
        <v>0</v>
      </c>
    </row>
    <row r="1553" customFormat="false" ht="15" hidden="false" customHeight="false" outlineLevel="0" collapsed="false">
      <c r="A1553" s="25" t="n">
        <v>46114</v>
      </c>
      <c r="B1553" s="23" t="str">
        <f aca="false">IF(A1553="","",IF(A1553&lt;=profil!$B$9,"Realisasi","Rencana"))</f>
        <v>Rencana</v>
      </c>
      <c r="C1553" s="18" t="s">
        <v>162</v>
      </c>
      <c r="D1553" s="18" t="s">
        <v>163</v>
      </c>
      <c r="E1553" s="29" t="n">
        <f aca="false">J1552</f>
        <v>0</v>
      </c>
      <c r="F1553" s="28"/>
      <c r="G1553" s="30" t="n">
        <v>0</v>
      </c>
      <c r="H1553" s="28"/>
      <c r="I1553" s="28"/>
      <c r="J1553" s="29" t="n">
        <f aca="false">E1553+F1553+G1553-H1553-I1553</f>
        <v>0</v>
      </c>
      <c r="K1553" s="29" t="n">
        <f aca="false">ROUND(E1553+F1553+G1553-H1553-I1553-J1553,1)</f>
        <v>0</v>
      </c>
    </row>
    <row r="1554" customFormat="false" ht="15" hidden="false" customHeight="false" outlineLevel="0" collapsed="false">
      <c r="A1554" s="25" t="n">
        <v>46115</v>
      </c>
      <c r="B1554" s="23" t="str">
        <f aca="false">IF(A1554="","",IF(A1554&lt;=profil!$B$9,"Realisasi","Rencana"))</f>
        <v>Rencana</v>
      </c>
      <c r="C1554" s="18" t="s">
        <v>162</v>
      </c>
      <c r="D1554" s="18" t="s">
        <v>163</v>
      </c>
      <c r="E1554" s="29" t="n">
        <f aca="false">J1553</f>
        <v>0</v>
      </c>
      <c r="F1554" s="28"/>
      <c r="G1554" s="30" t="n">
        <v>0</v>
      </c>
      <c r="H1554" s="28"/>
      <c r="I1554" s="28"/>
      <c r="J1554" s="29" t="n">
        <f aca="false">E1554+F1554+G1554-H1554-I1554</f>
        <v>0</v>
      </c>
      <c r="K1554" s="29" t="n">
        <f aca="false">ROUND(E1554+F1554+G1554-H1554-I1554-J1554,1)</f>
        <v>0</v>
      </c>
    </row>
    <row r="1555" customFormat="false" ht="15" hidden="false" customHeight="false" outlineLevel="0" collapsed="false">
      <c r="A1555" s="25" t="n">
        <v>46116</v>
      </c>
      <c r="B1555" s="23" t="str">
        <f aca="false">IF(A1555="","",IF(A1555&lt;=profil!$B$9,"Realisasi","Rencana"))</f>
        <v>Rencana</v>
      </c>
      <c r="C1555" s="18" t="s">
        <v>162</v>
      </c>
      <c r="D1555" s="18" t="s">
        <v>163</v>
      </c>
      <c r="E1555" s="29" t="n">
        <f aca="false">J1554</f>
        <v>0</v>
      </c>
      <c r="F1555" s="28"/>
      <c r="G1555" s="30" t="n">
        <v>0</v>
      </c>
      <c r="H1555" s="28"/>
      <c r="I1555" s="28"/>
      <c r="J1555" s="29" t="n">
        <f aca="false">E1555+F1555+G1555-H1555-I1555</f>
        <v>0</v>
      </c>
      <c r="K1555" s="29" t="n">
        <f aca="false">ROUND(E1555+F1555+G1555-H1555-I1555-J1555,1)</f>
        <v>0</v>
      </c>
    </row>
    <row r="1556" customFormat="false" ht="15" hidden="false" customHeight="false" outlineLevel="0" collapsed="false">
      <c r="A1556" s="25" t="n">
        <v>46117</v>
      </c>
      <c r="B1556" s="23" t="str">
        <f aca="false">IF(A1556="","",IF(A1556&lt;=profil!$B$9,"Realisasi","Rencana"))</f>
        <v>Rencana</v>
      </c>
      <c r="C1556" s="18" t="s">
        <v>162</v>
      </c>
      <c r="D1556" s="18" t="s">
        <v>163</v>
      </c>
      <c r="E1556" s="29" t="n">
        <f aca="false">J1555</f>
        <v>0</v>
      </c>
      <c r="F1556" s="28"/>
      <c r="G1556" s="30" t="n">
        <v>0</v>
      </c>
      <c r="H1556" s="28"/>
      <c r="I1556" s="28"/>
      <c r="J1556" s="29" t="n">
        <f aca="false">E1556+F1556+G1556-H1556-I1556</f>
        <v>0</v>
      </c>
      <c r="K1556" s="29" t="n">
        <f aca="false">ROUND(E1556+F1556+G1556-H1556-I1556-J1556,1)</f>
        <v>0</v>
      </c>
    </row>
    <row r="1557" customFormat="false" ht="15" hidden="false" customHeight="false" outlineLevel="0" collapsed="false">
      <c r="A1557" s="25" t="n">
        <v>46118</v>
      </c>
      <c r="B1557" s="23" t="str">
        <f aca="false">IF(A1557="","",IF(A1557&lt;=profil!$B$9,"Realisasi","Rencana"))</f>
        <v>Rencana</v>
      </c>
      <c r="C1557" s="18" t="s">
        <v>162</v>
      </c>
      <c r="D1557" s="18" t="s">
        <v>163</v>
      </c>
      <c r="E1557" s="29" t="n">
        <f aca="false">J1556</f>
        <v>0</v>
      </c>
      <c r="F1557" s="28"/>
      <c r="G1557" s="30" t="n">
        <v>0</v>
      </c>
      <c r="H1557" s="28"/>
      <c r="I1557" s="28"/>
      <c r="J1557" s="29" t="n">
        <f aca="false">E1557+F1557+G1557-H1557-I1557</f>
        <v>0</v>
      </c>
      <c r="K1557" s="29" t="n">
        <f aca="false">ROUND(E1557+F1557+G1557-H1557-I1557-J1557,1)</f>
        <v>0</v>
      </c>
    </row>
    <row r="1558" customFormat="false" ht="15" hidden="false" customHeight="false" outlineLevel="0" collapsed="false">
      <c r="A1558" s="25" t="n">
        <v>46119</v>
      </c>
      <c r="B1558" s="23" t="str">
        <f aca="false">IF(A1558="","",IF(A1558&lt;=profil!$B$9,"Realisasi","Rencana"))</f>
        <v>Rencana</v>
      </c>
      <c r="C1558" s="18" t="s">
        <v>162</v>
      </c>
      <c r="D1558" s="18" t="s">
        <v>163</v>
      </c>
      <c r="E1558" s="29" t="n">
        <f aca="false">J1557</f>
        <v>0</v>
      </c>
      <c r="F1558" s="28"/>
      <c r="G1558" s="30" t="n">
        <v>0</v>
      </c>
      <c r="H1558" s="28"/>
      <c r="I1558" s="28"/>
      <c r="J1558" s="29" t="n">
        <f aca="false">E1558+F1558+G1558-H1558-I1558</f>
        <v>0</v>
      </c>
      <c r="K1558" s="29" t="n">
        <f aca="false">ROUND(E1558+F1558+G1558-H1558-I1558-J1558,1)</f>
        <v>0</v>
      </c>
    </row>
    <row r="1559" customFormat="false" ht="15" hidden="false" customHeight="false" outlineLevel="0" collapsed="false">
      <c r="A1559" s="25" t="n">
        <v>46120</v>
      </c>
      <c r="B1559" s="23" t="str">
        <f aca="false">IF(A1559="","",IF(A1559&lt;=profil!$B$9,"Realisasi","Rencana"))</f>
        <v>Rencana</v>
      </c>
      <c r="C1559" s="18" t="s">
        <v>162</v>
      </c>
      <c r="D1559" s="18" t="s">
        <v>163</v>
      </c>
      <c r="E1559" s="29" t="n">
        <f aca="false">J1558</f>
        <v>0</v>
      </c>
      <c r="F1559" s="28"/>
      <c r="G1559" s="30" t="n">
        <v>0</v>
      </c>
      <c r="H1559" s="28"/>
      <c r="I1559" s="28"/>
      <c r="J1559" s="29" t="n">
        <f aca="false">E1559+F1559+G1559-H1559-I1559</f>
        <v>0</v>
      </c>
      <c r="K1559" s="29" t="n">
        <f aca="false">ROUND(E1559+F1559+G1559-H1559-I1559-J1559,1)</f>
        <v>0</v>
      </c>
    </row>
    <row r="1560" customFormat="false" ht="15" hidden="false" customHeight="false" outlineLevel="0" collapsed="false">
      <c r="A1560" s="25" t="n">
        <v>46121</v>
      </c>
      <c r="B1560" s="23" t="str">
        <f aca="false">IF(A1560="","",IF(A1560&lt;=profil!$B$9,"Realisasi","Rencana"))</f>
        <v>Rencana</v>
      </c>
      <c r="C1560" s="18" t="s">
        <v>162</v>
      </c>
      <c r="D1560" s="18" t="s">
        <v>163</v>
      </c>
      <c r="E1560" s="29" t="n">
        <f aca="false">J1559</f>
        <v>0</v>
      </c>
      <c r="F1560" s="28"/>
      <c r="G1560" s="30" t="n">
        <v>0</v>
      </c>
      <c r="H1560" s="28"/>
      <c r="I1560" s="28"/>
      <c r="J1560" s="29" t="n">
        <f aca="false">E1560+F1560+G1560-H1560-I1560</f>
        <v>0</v>
      </c>
      <c r="K1560" s="29" t="n">
        <f aca="false">ROUND(E1560+F1560+G1560-H1560-I1560-J1560,1)</f>
        <v>0</v>
      </c>
    </row>
    <row r="1561" customFormat="false" ht="15" hidden="false" customHeight="false" outlineLevel="0" collapsed="false">
      <c r="A1561" s="25" t="n">
        <v>46122</v>
      </c>
      <c r="B1561" s="23" t="str">
        <f aca="false">IF(A1561="","",IF(A1561&lt;=profil!$B$9,"Realisasi","Rencana"))</f>
        <v>Rencana</v>
      </c>
      <c r="C1561" s="18" t="s">
        <v>162</v>
      </c>
      <c r="D1561" s="18" t="s">
        <v>163</v>
      </c>
      <c r="E1561" s="29" t="n">
        <f aca="false">J1560</f>
        <v>0</v>
      </c>
      <c r="F1561" s="28"/>
      <c r="G1561" s="30" t="n">
        <v>0</v>
      </c>
      <c r="H1561" s="28"/>
      <c r="I1561" s="28"/>
      <c r="J1561" s="29" t="n">
        <f aca="false">E1561+F1561+G1561-H1561-I1561</f>
        <v>0</v>
      </c>
      <c r="K1561" s="29" t="n">
        <f aca="false">ROUND(E1561+F1561+G1561-H1561-I1561-J1561,1)</f>
        <v>0</v>
      </c>
    </row>
    <row r="1562" customFormat="false" ht="15" hidden="false" customHeight="false" outlineLevel="0" collapsed="false">
      <c r="A1562" s="25" t="n">
        <v>46123</v>
      </c>
      <c r="B1562" s="23" t="str">
        <f aca="false">IF(A1562="","",IF(A1562&lt;=profil!$B$9,"Realisasi","Rencana"))</f>
        <v>Rencana</v>
      </c>
      <c r="C1562" s="18" t="s">
        <v>162</v>
      </c>
      <c r="D1562" s="18" t="s">
        <v>163</v>
      </c>
      <c r="E1562" s="29" t="n">
        <f aca="false">J1561</f>
        <v>0</v>
      </c>
      <c r="F1562" s="28"/>
      <c r="G1562" s="30" t="n">
        <v>0</v>
      </c>
      <c r="H1562" s="28"/>
      <c r="I1562" s="28"/>
      <c r="J1562" s="29" t="n">
        <f aca="false">E1562+F1562+G1562-H1562-I1562</f>
        <v>0</v>
      </c>
      <c r="K1562" s="29" t="n">
        <f aca="false">ROUND(E1562+F1562+G1562-H1562-I1562-J1562,1)</f>
        <v>0</v>
      </c>
    </row>
    <row r="1563" customFormat="false" ht="15" hidden="false" customHeight="false" outlineLevel="0" collapsed="false">
      <c r="A1563" s="25" t="n">
        <v>46124</v>
      </c>
      <c r="B1563" s="23" t="str">
        <f aca="false">IF(A1563="","",IF(A1563&lt;=profil!$B$9,"Realisasi","Rencana"))</f>
        <v>Rencana</v>
      </c>
      <c r="C1563" s="18" t="s">
        <v>162</v>
      </c>
      <c r="D1563" s="18" t="s">
        <v>163</v>
      </c>
      <c r="E1563" s="29" t="n">
        <f aca="false">J1562</f>
        <v>0</v>
      </c>
      <c r="F1563" s="28"/>
      <c r="G1563" s="30" t="n">
        <v>0</v>
      </c>
      <c r="H1563" s="28"/>
      <c r="I1563" s="28"/>
      <c r="J1563" s="29" t="n">
        <f aca="false">E1563+F1563+G1563-H1563-I1563</f>
        <v>0</v>
      </c>
      <c r="K1563" s="29" t="n">
        <f aca="false">ROUND(E1563+F1563+G1563-H1563-I1563-J1563,1)</f>
        <v>0</v>
      </c>
    </row>
    <row r="1564" customFormat="false" ht="15" hidden="false" customHeight="false" outlineLevel="0" collapsed="false">
      <c r="A1564" s="25" t="n">
        <v>46125</v>
      </c>
      <c r="B1564" s="23" t="str">
        <f aca="false">IF(A1564="","",IF(A1564&lt;=profil!$B$9,"Realisasi","Rencana"))</f>
        <v>Rencana</v>
      </c>
      <c r="C1564" s="18" t="s">
        <v>162</v>
      </c>
      <c r="D1564" s="18" t="s">
        <v>163</v>
      </c>
      <c r="E1564" s="29" t="n">
        <f aca="false">J1563</f>
        <v>0</v>
      </c>
      <c r="F1564" s="28"/>
      <c r="G1564" s="30" t="n">
        <v>0</v>
      </c>
      <c r="H1564" s="28"/>
      <c r="I1564" s="28"/>
      <c r="J1564" s="29" t="n">
        <f aca="false">E1564+F1564+G1564-H1564-I1564</f>
        <v>0</v>
      </c>
      <c r="K1564" s="29" t="n">
        <f aca="false">ROUND(E1564+F1564+G1564-H1564-I1564-J1564,1)</f>
        <v>0</v>
      </c>
    </row>
    <row r="1565" customFormat="false" ht="15" hidden="false" customHeight="false" outlineLevel="0" collapsed="false">
      <c r="A1565" s="25" t="n">
        <v>46126</v>
      </c>
      <c r="B1565" s="23" t="str">
        <f aca="false">IF(A1565="","",IF(A1565&lt;=profil!$B$9,"Realisasi","Rencana"))</f>
        <v>Rencana</v>
      </c>
      <c r="C1565" s="18" t="s">
        <v>162</v>
      </c>
      <c r="D1565" s="18" t="s">
        <v>163</v>
      </c>
      <c r="E1565" s="29" t="n">
        <f aca="false">J1564</f>
        <v>0</v>
      </c>
      <c r="F1565" s="28"/>
      <c r="G1565" s="30" t="n">
        <v>0</v>
      </c>
      <c r="H1565" s="28"/>
      <c r="I1565" s="28"/>
      <c r="J1565" s="29" t="n">
        <f aca="false">E1565+F1565+G1565-H1565-I1565</f>
        <v>0</v>
      </c>
      <c r="K1565" s="29" t="n">
        <f aca="false">ROUND(E1565+F1565+G1565-H1565-I1565-J1565,1)</f>
        <v>0</v>
      </c>
    </row>
    <row r="1566" customFormat="false" ht="15" hidden="false" customHeight="false" outlineLevel="0" collapsed="false">
      <c r="A1566" s="25" t="n">
        <v>46127</v>
      </c>
      <c r="B1566" s="23" t="str">
        <f aca="false">IF(A1566="","",IF(A1566&lt;=profil!$B$9,"Realisasi","Rencana"))</f>
        <v>Rencana</v>
      </c>
      <c r="C1566" s="18" t="s">
        <v>162</v>
      </c>
      <c r="D1566" s="18" t="s">
        <v>163</v>
      </c>
      <c r="E1566" s="29" t="n">
        <f aca="false">J1565</f>
        <v>0</v>
      </c>
      <c r="F1566" s="28"/>
      <c r="G1566" s="30" t="n">
        <v>0</v>
      </c>
      <c r="H1566" s="28"/>
      <c r="I1566" s="28"/>
      <c r="J1566" s="29" t="n">
        <f aca="false">E1566+F1566+G1566-H1566-I1566</f>
        <v>0</v>
      </c>
      <c r="K1566" s="29" t="n">
        <f aca="false">ROUND(E1566+F1566+G1566-H1566-I1566-J1566,1)</f>
        <v>0</v>
      </c>
    </row>
    <row r="1567" customFormat="false" ht="15" hidden="false" customHeight="false" outlineLevel="0" collapsed="false">
      <c r="A1567" s="25" t="n">
        <v>46128</v>
      </c>
      <c r="B1567" s="23" t="str">
        <f aca="false">IF(A1567="","",IF(A1567&lt;=profil!$B$9,"Realisasi","Rencana"))</f>
        <v>Rencana</v>
      </c>
      <c r="C1567" s="18" t="s">
        <v>162</v>
      </c>
      <c r="D1567" s="18" t="s">
        <v>163</v>
      </c>
      <c r="E1567" s="29" t="n">
        <f aca="false">J1566</f>
        <v>0</v>
      </c>
      <c r="F1567" s="28"/>
      <c r="G1567" s="30" t="n">
        <v>0</v>
      </c>
      <c r="H1567" s="28"/>
      <c r="I1567" s="28"/>
      <c r="J1567" s="29" t="n">
        <f aca="false">E1567+F1567+G1567-H1567-I1567</f>
        <v>0</v>
      </c>
      <c r="K1567" s="29" t="n">
        <f aca="false">ROUND(E1567+F1567+G1567-H1567-I1567-J1567,1)</f>
        <v>0</v>
      </c>
    </row>
    <row r="1568" customFormat="false" ht="15" hidden="false" customHeight="false" outlineLevel="0" collapsed="false">
      <c r="A1568" s="25" t="n">
        <v>46129</v>
      </c>
      <c r="B1568" s="23" t="str">
        <f aca="false">IF(A1568="","",IF(A1568&lt;=profil!$B$9,"Realisasi","Rencana"))</f>
        <v>Rencana</v>
      </c>
      <c r="C1568" s="18" t="s">
        <v>162</v>
      </c>
      <c r="D1568" s="18" t="s">
        <v>163</v>
      </c>
      <c r="E1568" s="29" t="n">
        <f aca="false">J1567</f>
        <v>0</v>
      </c>
      <c r="F1568" s="28"/>
      <c r="G1568" s="30" t="n">
        <v>0</v>
      </c>
      <c r="H1568" s="28"/>
      <c r="I1568" s="28"/>
      <c r="J1568" s="29" t="n">
        <f aca="false">E1568+F1568+G1568-H1568-I1568</f>
        <v>0</v>
      </c>
      <c r="K1568" s="29" t="n">
        <f aca="false">ROUND(E1568+F1568+G1568-H1568-I1568-J1568,1)</f>
        <v>0</v>
      </c>
    </row>
    <row r="1569" customFormat="false" ht="15" hidden="false" customHeight="false" outlineLevel="0" collapsed="false">
      <c r="A1569" s="25" t="n">
        <v>46130</v>
      </c>
      <c r="B1569" s="23" t="str">
        <f aca="false">IF(A1569="","",IF(A1569&lt;=profil!$B$9,"Realisasi","Rencana"))</f>
        <v>Rencana</v>
      </c>
      <c r="C1569" s="18" t="s">
        <v>162</v>
      </c>
      <c r="D1569" s="18" t="s">
        <v>163</v>
      </c>
      <c r="E1569" s="29" t="n">
        <f aca="false">J1568</f>
        <v>0</v>
      </c>
      <c r="F1569" s="28"/>
      <c r="G1569" s="30" t="n">
        <v>0</v>
      </c>
      <c r="H1569" s="28"/>
      <c r="I1569" s="28"/>
      <c r="J1569" s="29" t="n">
        <f aca="false">E1569+F1569+G1569-H1569-I1569</f>
        <v>0</v>
      </c>
      <c r="K1569" s="29" t="n">
        <f aca="false">ROUND(E1569+F1569+G1569-H1569-I1569-J1569,1)</f>
        <v>0</v>
      </c>
    </row>
    <row r="1570" customFormat="false" ht="15" hidden="false" customHeight="false" outlineLevel="0" collapsed="false">
      <c r="A1570" s="25" t="n">
        <v>46131</v>
      </c>
      <c r="B1570" s="23" t="str">
        <f aca="false">IF(A1570="","",IF(A1570&lt;=profil!$B$9,"Realisasi","Rencana"))</f>
        <v>Rencana</v>
      </c>
      <c r="C1570" s="18" t="s">
        <v>162</v>
      </c>
      <c r="D1570" s="18" t="s">
        <v>163</v>
      </c>
      <c r="E1570" s="29" t="n">
        <f aca="false">J1569</f>
        <v>0</v>
      </c>
      <c r="F1570" s="28"/>
      <c r="G1570" s="30" t="n">
        <v>0</v>
      </c>
      <c r="H1570" s="28"/>
      <c r="I1570" s="28"/>
      <c r="J1570" s="29" t="n">
        <f aca="false">E1570+F1570+G1570-H1570-I1570</f>
        <v>0</v>
      </c>
      <c r="K1570" s="29" t="n">
        <f aca="false">ROUND(E1570+F1570+G1570-H1570-I1570-J1570,1)</f>
        <v>0</v>
      </c>
    </row>
    <row r="1571" customFormat="false" ht="15" hidden="false" customHeight="false" outlineLevel="0" collapsed="false">
      <c r="A1571" s="25" t="n">
        <v>46132</v>
      </c>
      <c r="B1571" s="23" t="str">
        <f aca="false">IF(A1571="","",IF(A1571&lt;=profil!$B$9,"Realisasi","Rencana"))</f>
        <v>Rencana</v>
      </c>
      <c r="C1571" s="18" t="s">
        <v>162</v>
      </c>
      <c r="D1571" s="18" t="s">
        <v>163</v>
      </c>
      <c r="E1571" s="29" t="n">
        <f aca="false">J1570</f>
        <v>0</v>
      </c>
      <c r="F1571" s="28"/>
      <c r="G1571" s="30" t="n">
        <v>0</v>
      </c>
      <c r="H1571" s="28"/>
      <c r="I1571" s="28"/>
      <c r="J1571" s="29" t="n">
        <f aca="false">E1571+F1571+G1571-H1571-I1571</f>
        <v>0</v>
      </c>
      <c r="K1571" s="29" t="n">
        <f aca="false">ROUND(E1571+F1571+G1571-H1571-I1571-J1571,1)</f>
        <v>0</v>
      </c>
    </row>
    <row r="1572" customFormat="false" ht="15" hidden="false" customHeight="false" outlineLevel="0" collapsed="false">
      <c r="A1572" s="25" t="n">
        <v>46133</v>
      </c>
      <c r="B1572" s="23" t="str">
        <f aca="false">IF(A1572="","",IF(A1572&lt;=profil!$B$9,"Realisasi","Rencana"))</f>
        <v>Rencana</v>
      </c>
      <c r="C1572" s="18" t="s">
        <v>162</v>
      </c>
      <c r="D1572" s="18" t="s">
        <v>163</v>
      </c>
      <c r="E1572" s="29" t="n">
        <f aca="false">J1571</f>
        <v>0</v>
      </c>
      <c r="F1572" s="28"/>
      <c r="G1572" s="30" t="n">
        <v>0</v>
      </c>
      <c r="H1572" s="28"/>
      <c r="I1572" s="28"/>
      <c r="J1572" s="29" t="n">
        <f aca="false">E1572+F1572+G1572-H1572-I1572</f>
        <v>0</v>
      </c>
      <c r="K1572" s="29" t="n">
        <f aca="false">ROUND(E1572+F1572+G1572-H1572-I1572-J1572,1)</f>
        <v>0</v>
      </c>
    </row>
    <row r="1573" customFormat="false" ht="15" hidden="false" customHeight="false" outlineLevel="0" collapsed="false">
      <c r="A1573" s="25" t="n">
        <v>46134</v>
      </c>
      <c r="B1573" s="23" t="str">
        <f aca="false">IF(A1573="","",IF(A1573&lt;=profil!$B$9,"Realisasi","Rencana"))</f>
        <v>Rencana</v>
      </c>
      <c r="C1573" s="18" t="s">
        <v>162</v>
      </c>
      <c r="D1573" s="18" t="s">
        <v>163</v>
      </c>
      <c r="E1573" s="29" t="n">
        <f aca="false">J1572</f>
        <v>0</v>
      </c>
      <c r="F1573" s="28"/>
      <c r="G1573" s="30" t="n">
        <v>0</v>
      </c>
      <c r="H1573" s="28"/>
      <c r="I1573" s="28"/>
      <c r="J1573" s="29" t="n">
        <f aca="false">E1573+F1573+G1573-H1573-I1573</f>
        <v>0</v>
      </c>
      <c r="K1573" s="29" t="n">
        <f aca="false">ROUND(E1573+F1573+G1573-H1573-I1573-J1573,1)</f>
        <v>0</v>
      </c>
    </row>
    <row r="1574" customFormat="false" ht="15" hidden="false" customHeight="false" outlineLevel="0" collapsed="false">
      <c r="A1574" s="25" t="n">
        <v>46135</v>
      </c>
      <c r="B1574" s="23" t="str">
        <f aca="false">IF(A1574="","",IF(A1574&lt;=profil!$B$9,"Realisasi","Rencana"))</f>
        <v>Rencana</v>
      </c>
      <c r="C1574" s="18" t="s">
        <v>162</v>
      </c>
      <c r="D1574" s="18" t="s">
        <v>163</v>
      </c>
      <c r="E1574" s="29" t="n">
        <f aca="false">J1573</f>
        <v>0</v>
      </c>
      <c r="F1574" s="28"/>
      <c r="G1574" s="30" t="n">
        <v>0</v>
      </c>
      <c r="H1574" s="28"/>
      <c r="I1574" s="28"/>
      <c r="J1574" s="29" t="n">
        <f aca="false">E1574+F1574+G1574-H1574-I1574</f>
        <v>0</v>
      </c>
      <c r="K1574" s="29" t="n">
        <f aca="false">ROUND(E1574+F1574+G1574-H1574-I1574-J1574,1)</f>
        <v>0</v>
      </c>
    </row>
    <row r="1575" customFormat="false" ht="15" hidden="false" customHeight="false" outlineLevel="0" collapsed="false">
      <c r="A1575" s="25" t="n">
        <v>46136</v>
      </c>
      <c r="B1575" s="23" t="str">
        <f aca="false">IF(A1575="","",IF(A1575&lt;=profil!$B$9,"Realisasi","Rencana"))</f>
        <v>Rencana</v>
      </c>
      <c r="C1575" s="18" t="s">
        <v>162</v>
      </c>
      <c r="D1575" s="18" t="s">
        <v>163</v>
      </c>
      <c r="E1575" s="29" t="n">
        <f aca="false">J1574</f>
        <v>0</v>
      </c>
      <c r="F1575" s="28"/>
      <c r="G1575" s="30" t="n">
        <v>0</v>
      </c>
      <c r="H1575" s="28"/>
      <c r="I1575" s="28"/>
      <c r="J1575" s="29" t="n">
        <f aca="false">E1575+F1575+G1575-H1575-I1575</f>
        <v>0</v>
      </c>
      <c r="K1575" s="29" t="n">
        <f aca="false">ROUND(E1575+F1575+G1575-H1575-I1575-J1575,1)</f>
        <v>0</v>
      </c>
    </row>
    <row r="1576" customFormat="false" ht="15" hidden="false" customHeight="false" outlineLevel="0" collapsed="false">
      <c r="A1576" s="25" t="n">
        <v>46137</v>
      </c>
      <c r="B1576" s="23" t="str">
        <f aca="false">IF(A1576="","",IF(A1576&lt;=profil!$B$9,"Realisasi","Rencana"))</f>
        <v>Rencana</v>
      </c>
      <c r="C1576" s="18" t="s">
        <v>162</v>
      </c>
      <c r="D1576" s="18" t="s">
        <v>163</v>
      </c>
      <c r="E1576" s="29" t="n">
        <f aca="false">J1575</f>
        <v>0</v>
      </c>
      <c r="F1576" s="28"/>
      <c r="G1576" s="30" t="n">
        <v>0</v>
      </c>
      <c r="H1576" s="28"/>
      <c r="I1576" s="28"/>
      <c r="J1576" s="29" t="n">
        <f aca="false">E1576+F1576+G1576-H1576-I1576</f>
        <v>0</v>
      </c>
      <c r="K1576" s="29" t="n">
        <f aca="false">ROUND(E1576+F1576+G1576-H1576-I1576-J1576,1)</f>
        <v>0</v>
      </c>
    </row>
    <row r="1577" customFormat="false" ht="15" hidden="false" customHeight="false" outlineLevel="0" collapsed="false">
      <c r="A1577" s="25" t="n">
        <v>46138</v>
      </c>
      <c r="B1577" s="23" t="str">
        <f aca="false">IF(A1577="","",IF(A1577&lt;=profil!$B$9,"Realisasi","Rencana"))</f>
        <v>Rencana</v>
      </c>
      <c r="C1577" s="18" t="s">
        <v>162</v>
      </c>
      <c r="D1577" s="18" t="s">
        <v>163</v>
      </c>
      <c r="E1577" s="29" t="n">
        <f aca="false">J1576</f>
        <v>0</v>
      </c>
      <c r="F1577" s="28"/>
      <c r="G1577" s="30" t="n">
        <v>0</v>
      </c>
      <c r="H1577" s="28"/>
      <c r="I1577" s="28"/>
      <c r="J1577" s="29" t="n">
        <f aca="false">E1577+F1577+G1577-H1577-I1577</f>
        <v>0</v>
      </c>
      <c r="K1577" s="29" t="n">
        <f aca="false">ROUND(E1577+F1577+G1577-H1577-I1577-J1577,1)</f>
        <v>0</v>
      </c>
    </row>
    <row r="1578" customFormat="false" ht="15" hidden="false" customHeight="false" outlineLevel="0" collapsed="false">
      <c r="A1578" s="25" t="n">
        <v>46139</v>
      </c>
      <c r="B1578" s="23" t="str">
        <f aca="false">IF(A1578="","",IF(A1578&lt;=profil!$B$9,"Realisasi","Rencana"))</f>
        <v>Rencana</v>
      </c>
      <c r="C1578" s="18" t="s">
        <v>162</v>
      </c>
      <c r="D1578" s="18" t="s">
        <v>163</v>
      </c>
      <c r="E1578" s="29" t="n">
        <f aca="false">J1577</f>
        <v>0</v>
      </c>
      <c r="F1578" s="28"/>
      <c r="G1578" s="30" t="n">
        <v>0</v>
      </c>
      <c r="H1578" s="28"/>
      <c r="I1578" s="28"/>
      <c r="J1578" s="29" t="n">
        <f aca="false">E1578+F1578+G1578-H1578-I1578</f>
        <v>0</v>
      </c>
      <c r="K1578" s="29" t="n">
        <f aca="false">ROUND(E1578+F1578+G1578-H1578-I1578-J1578,1)</f>
        <v>0</v>
      </c>
    </row>
    <row r="1579" customFormat="false" ht="15" hidden="false" customHeight="false" outlineLevel="0" collapsed="false">
      <c r="A1579" s="25" t="n">
        <v>46140</v>
      </c>
      <c r="B1579" s="23" t="str">
        <f aca="false">IF(A1579="","",IF(A1579&lt;=profil!$B$9,"Realisasi","Rencana"))</f>
        <v>Rencana</v>
      </c>
      <c r="C1579" s="18" t="s">
        <v>162</v>
      </c>
      <c r="D1579" s="18" t="s">
        <v>163</v>
      </c>
      <c r="E1579" s="29" t="n">
        <f aca="false">J1578</f>
        <v>0</v>
      </c>
      <c r="F1579" s="28"/>
      <c r="G1579" s="30" t="n">
        <v>0</v>
      </c>
      <c r="H1579" s="28"/>
      <c r="I1579" s="28"/>
      <c r="J1579" s="29" t="n">
        <f aca="false">E1579+F1579+G1579-H1579-I1579</f>
        <v>0</v>
      </c>
      <c r="K1579" s="29" t="n">
        <f aca="false">ROUND(E1579+F1579+G1579-H1579-I1579-J1579,1)</f>
        <v>0</v>
      </c>
    </row>
    <row r="1580" customFormat="false" ht="15" hidden="false" customHeight="false" outlineLevel="0" collapsed="false">
      <c r="A1580" s="25" t="n">
        <v>46141</v>
      </c>
      <c r="B1580" s="23" t="str">
        <f aca="false">IF(A1580="","",IF(A1580&lt;=profil!$B$9,"Realisasi","Rencana"))</f>
        <v>Rencana</v>
      </c>
      <c r="C1580" s="18" t="s">
        <v>162</v>
      </c>
      <c r="D1580" s="18" t="s">
        <v>163</v>
      </c>
      <c r="E1580" s="29" t="n">
        <f aca="false">J1579</f>
        <v>0</v>
      </c>
      <c r="F1580" s="28"/>
      <c r="G1580" s="30" t="n">
        <v>0</v>
      </c>
      <c r="H1580" s="28"/>
      <c r="I1580" s="28"/>
      <c r="J1580" s="29" t="n">
        <f aca="false">E1580+F1580+G1580-H1580-I1580</f>
        <v>0</v>
      </c>
      <c r="K1580" s="29" t="n">
        <f aca="false">ROUND(E1580+F1580+G1580-H1580-I1580-J1580,1)</f>
        <v>0</v>
      </c>
    </row>
    <row r="1581" customFormat="false" ht="15" hidden="false" customHeight="false" outlineLevel="0" collapsed="false">
      <c r="A1581" s="25" t="n">
        <v>46142</v>
      </c>
      <c r="B1581" s="23" t="str">
        <f aca="false">IF(A1581="","",IF(A1581&lt;=profil!$B$9,"Realisasi","Rencana"))</f>
        <v>Rencana</v>
      </c>
      <c r="C1581" s="18" t="s">
        <v>162</v>
      </c>
      <c r="D1581" s="18" t="s">
        <v>163</v>
      </c>
      <c r="E1581" s="29" t="n">
        <f aca="false">J1580</f>
        <v>0</v>
      </c>
      <c r="F1581" s="28"/>
      <c r="G1581" s="30" t="n">
        <v>0</v>
      </c>
      <c r="H1581" s="28"/>
      <c r="I1581" s="28"/>
      <c r="J1581" s="29" t="n">
        <f aca="false">E1581+F1581+G1581-H1581-I1581</f>
        <v>0</v>
      </c>
      <c r="K1581" s="29" t="n">
        <f aca="false">ROUND(E1581+F1581+G1581-H1581-I1581-J1581,1)</f>
        <v>0</v>
      </c>
    </row>
    <row r="1582" customFormat="false" ht="15" hidden="false" customHeight="false" outlineLevel="0" collapsed="false">
      <c r="A1582" s="25" t="n">
        <v>46143</v>
      </c>
      <c r="B1582" s="23" t="str">
        <f aca="false">IF(A1582="","",IF(A1582&lt;=profil!$B$9,"Realisasi","Rencana"))</f>
        <v>Rencana</v>
      </c>
      <c r="C1582" s="18" t="s">
        <v>162</v>
      </c>
      <c r="D1582" s="18" t="s">
        <v>163</v>
      </c>
      <c r="E1582" s="29" t="n">
        <f aca="false">J1581</f>
        <v>0</v>
      </c>
      <c r="F1582" s="28"/>
      <c r="G1582" s="30" t="n">
        <v>0</v>
      </c>
      <c r="H1582" s="28"/>
      <c r="I1582" s="28"/>
      <c r="J1582" s="29" t="n">
        <f aca="false">E1582+F1582+G1582-H1582-I1582</f>
        <v>0</v>
      </c>
      <c r="K1582" s="29" t="n">
        <f aca="false">ROUND(E1582+F1582+G1582-H1582-I1582-J1582,1)</f>
        <v>0</v>
      </c>
    </row>
    <row r="1583" customFormat="false" ht="15" hidden="false" customHeight="false" outlineLevel="0" collapsed="false">
      <c r="A1583" s="25" t="n">
        <v>46144</v>
      </c>
      <c r="B1583" s="23" t="str">
        <f aca="false">IF(A1583="","",IF(A1583&lt;=profil!$B$9,"Realisasi","Rencana"))</f>
        <v>Rencana</v>
      </c>
      <c r="C1583" s="18" t="s">
        <v>162</v>
      </c>
      <c r="D1583" s="18" t="s">
        <v>163</v>
      </c>
      <c r="E1583" s="29" t="n">
        <f aca="false">J1582</f>
        <v>0</v>
      </c>
      <c r="F1583" s="28"/>
      <c r="G1583" s="30" t="n">
        <v>0</v>
      </c>
      <c r="H1583" s="28"/>
      <c r="I1583" s="28"/>
      <c r="J1583" s="29" t="n">
        <f aca="false">E1583+F1583+G1583-H1583-I1583</f>
        <v>0</v>
      </c>
      <c r="K1583" s="29" t="n">
        <f aca="false">ROUND(E1583+F1583+G1583-H1583-I1583-J1583,1)</f>
        <v>0</v>
      </c>
    </row>
    <row r="1584" customFormat="false" ht="15" hidden="false" customHeight="false" outlineLevel="0" collapsed="false">
      <c r="A1584" s="25" t="n">
        <v>46145</v>
      </c>
      <c r="B1584" s="23" t="str">
        <f aca="false">IF(A1584="","",IF(A1584&lt;=profil!$B$9,"Realisasi","Rencana"))</f>
        <v>Rencana</v>
      </c>
      <c r="C1584" s="18" t="s">
        <v>162</v>
      </c>
      <c r="D1584" s="18" t="s">
        <v>163</v>
      </c>
      <c r="E1584" s="29" t="n">
        <f aca="false">J1583</f>
        <v>0</v>
      </c>
      <c r="F1584" s="28"/>
      <c r="G1584" s="30" t="n">
        <v>0</v>
      </c>
      <c r="H1584" s="28"/>
      <c r="I1584" s="28"/>
      <c r="J1584" s="29" t="n">
        <f aca="false">E1584+F1584+G1584-H1584-I1584</f>
        <v>0</v>
      </c>
      <c r="K1584" s="29" t="n">
        <f aca="false">ROUND(E1584+F1584+G1584-H1584-I1584-J1584,1)</f>
        <v>0</v>
      </c>
    </row>
    <row r="1585" customFormat="false" ht="15" hidden="false" customHeight="false" outlineLevel="0" collapsed="false">
      <c r="A1585" s="25" t="n">
        <v>46146</v>
      </c>
      <c r="B1585" s="23" t="str">
        <f aca="false">IF(A1585="","",IF(A1585&lt;=profil!$B$9,"Realisasi","Rencana"))</f>
        <v>Rencana</v>
      </c>
      <c r="C1585" s="18" t="s">
        <v>162</v>
      </c>
      <c r="D1585" s="18" t="s">
        <v>163</v>
      </c>
      <c r="E1585" s="29" t="n">
        <f aca="false">J1584</f>
        <v>0</v>
      </c>
      <c r="F1585" s="28"/>
      <c r="G1585" s="30" t="n">
        <v>0</v>
      </c>
      <c r="H1585" s="28"/>
      <c r="I1585" s="28"/>
      <c r="J1585" s="29" t="n">
        <f aca="false">E1585+F1585+G1585-H1585-I1585</f>
        <v>0</v>
      </c>
      <c r="K1585" s="29" t="n">
        <f aca="false">ROUND(E1585+F1585+G1585-H1585-I1585-J1585,1)</f>
        <v>0</v>
      </c>
    </row>
    <row r="1586" customFormat="false" ht="15" hidden="false" customHeight="false" outlineLevel="0" collapsed="false">
      <c r="A1586" s="25" t="n">
        <v>46147</v>
      </c>
      <c r="B1586" s="23" t="str">
        <f aca="false">IF(A1586="","",IF(A1586&lt;=profil!$B$9,"Realisasi","Rencana"))</f>
        <v>Rencana</v>
      </c>
      <c r="C1586" s="18" t="s">
        <v>162</v>
      </c>
      <c r="D1586" s="18" t="s">
        <v>163</v>
      </c>
      <c r="E1586" s="29" t="n">
        <f aca="false">J1585</f>
        <v>0</v>
      </c>
      <c r="F1586" s="28"/>
      <c r="G1586" s="30" t="n">
        <v>0</v>
      </c>
      <c r="H1586" s="28"/>
      <c r="I1586" s="28"/>
      <c r="J1586" s="29" t="n">
        <f aca="false">E1586+F1586+G1586-H1586-I1586</f>
        <v>0</v>
      </c>
      <c r="K1586" s="29" t="n">
        <f aca="false">ROUND(E1586+F1586+G1586-H1586-I1586-J1586,1)</f>
        <v>0</v>
      </c>
    </row>
    <row r="1587" customFormat="false" ht="15" hidden="false" customHeight="false" outlineLevel="0" collapsed="false">
      <c r="A1587" s="25" t="n">
        <v>46148</v>
      </c>
      <c r="B1587" s="23" t="str">
        <f aca="false">IF(A1587="","",IF(A1587&lt;=profil!$B$9,"Realisasi","Rencana"))</f>
        <v>Rencana</v>
      </c>
      <c r="C1587" s="18" t="s">
        <v>162</v>
      </c>
      <c r="D1587" s="18" t="s">
        <v>163</v>
      </c>
      <c r="E1587" s="29" t="n">
        <f aca="false">J1586</f>
        <v>0</v>
      </c>
      <c r="F1587" s="28"/>
      <c r="G1587" s="30" t="n">
        <v>0</v>
      </c>
      <c r="H1587" s="28"/>
      <c r="I1587" s="28"/>
      <c r="J1587" s="29" t="n">
        <f aca="false">E1587+F1587+G1587-H1587-I1587</f>
        <v>0</v>
      </c>
      <c r="K1587" s="29" t="n">
        <f aca="false">ROUND(E1587+F1587+G1587-H1587-I1587-J1587,1)</f>
        <v>0</v>
      </c>
    </row>
    <row r="1588" customFormat="false" ht="15" hidden="false" customHeight="false" outlineLevel="0" collapsed="false">
      <c r="A1588" s="25" t="n">
        <v>46149</v>
      </c>
      <c r="B1588" s="23" t="str">
        <f aca="false">IF(A1588="","",IF(A1588&lt;=profil!$B$9,"Realisasi","Rencana"))</f>
        <v>Rencana</v>
      </c>
      <c r="C1588" s="18" t="s">
        <v>162</v>
      </c>
      <c r="D1588" s="18" t="s">
        <v>163</v>
      </c>
      <c r="E1588" s="29" t="n">
        <f aca="false">J1587</f>
        <v>0</v>
      </c>
      <c r="F1588" s="28"/>
      <c r="G1588" s="30" t="n">
        <v>0</v>
      </c>
      <c r="H1588" s="28"/>
      <c r="I1588" s="28"/>
      <c r="J1588" s="29" t="n">
        <f aca="false">E1588+F1588+G1588-H1588-I1588</f>
        <v>0</v>
      </c>
      <c r="K1588" s="29" t="n">
        <f aca="false">ROUND(E1588+F1588+G1588-H1588-I1588-J1588,1)</f>
        <v>0</v>
      </c>
    </row>
    <row r="1589" customFormat="false" ht="15" hidden="false" customHeight="false" outlineLevel="0" collapsed="false">
      <c r="A1589" s="25" t="n">
        <v>46150</v>
      </c>
      <c r="B1589" s="23" t="str">
        <f aca="false">IF(A1589="","",IF(A1589&lt;=profil!$B$9,"Realisasi","Rencana"))</f>
        <v>Rencana</v>
      </c>
      <c r="C1589" s="18" t="s">
        <v>162</v>
      </c>
      <c r="D1589" s="18" t="s">
        <v>163</v>
      </c>
      <c r="E1589" s="29" t="n">
        <f aca="false">J1588</f>
        <v>0</v>
      </c>
      <c r="F1589" s="28"/>
      <c r="G1589" s="30" t="n">
        <v>0</v>
      </c>
      <c r="H1589" s="28"/>
      <c r="I1589" s="28"/>
      <c r="J1589" s="29" t="n">
        <f aca="false">E1589+F1589+G1589-H1589-I1589</f>
        <v>0</v>
      </c>
      <c r="K1589" s="29" t="n">
        <f aca="false">ROUND(E1589+F1589+G1589-H1589-I1589-J1589,1)</f>
        <v>0</v>
      </c>
    </row>
    <row r="1590" customFormat="false" ht="15" hidden="false" customHeight="false" outlineLevel="0" collapsed="false">
      <c r="A1590" s="25" t="n">
        <v>46151</v>
      </c>
      <c r="B1590" s="23" t="str">
        <f aca="false">IF(A1590="","",IF(A1590&lt;=profil!$B$9,"Realisasi","Rencana"))</f>
        <v>Rencana</v>
      </c>
      <c r="C1590" s="18" t="s">
        <v>162</v>
      </c>
      <c r="D1590" s="18" t="s">
        <v>163</v>
      </c>
      <c r="E1590" s="29" t="n">
        <f aca="false">J1589</f>
        <v>0</v>
      </c>
      <c r="F1590" s="28"/>
      <c r="G1590" s="30" t="n">
        <v>0</v>
      </c>
      <c r="H1590" s="28"/>
      <c r="I1590" s="28"/>
      <c r="J1590" s="29" t="n">
        <f aca="false">E1590+F1590+G1590-H1590-I1590</f>
        <v>0</v>
      </c>
      <c r="K1590" s="29" t="n">
        <f aca="false">ROUND(E1590+F1590+G1590-H1590-I1590-J1590,1)</f>
        <v>0</v>
      </c>
    </row>
    <row r="1591" customFormat="false" ht="15" hidden="false" customHeight="false" outlineLevel="0" collapsed="false">
      <c r="A1591" s="25" t="n">
        <v>46152</v>
      </c>
      <c r="B1591" s="23" t="str">
        <f aca="false">IF(A1591="","",IF(A1591&lt;=profil!$B$9,"Realisasi","Rencana"))</f>
        <v>Rencana</v>
      </c>
      <c r="C1591" s="18" t="s">
        <v>162</v>
      </c>
      <c r="D1591" s="18" t="s">
        <v>163</v>
      </c>
      <c r="E1591" s="29" t="n">
        <f aca="false">J1590</f>
        <v>0</v>
      </c>
      <c r="F1591" s="28"/>
      <c r="G1591" s="30" t="n">
        <v>0</v>
      </c>
      <c r="H1591" s="28"/>
      <c r="I1591" s="28"/>
      <c r="J1591" s="29" t="n">
        <f aca="false">E1591+F1591+G1591-H1591-I1591</f>
        <v>0</v>
      </c>
      <c r="K1591" s="29" t="n">
        <f aca="false">ROUND(E1591+F1591+G1591-H1591-I1591-J1591,1)</f>
        <v>0</v>
      </c>
    </row>
    <row r="1592" customFormat="false" ht="15" hidden="false" customHeight="false" outlineLevel="0" collapsed="false">
      <c r="A1592" s="25" t="n">
        <v>46153</v>
      </c>
      <c r="B1592" s="23" t="str">
        <f aca="false">IF(A1592="","",IF(A1592&lt;=profil!$B$9,"Realisasi","Rencana"))</f>
        <v>Rencana</v>
      </c>
      <c r="C1592" s="18" t="s">
        <v>162</v>
      </c>
      <c r="D1592" s="18" t="s">
        <v>163</v>
      </c>
      <c r="E1592" s="29" t="n">
        <f aca="false">J1591</f>
        <v>0</v>
      </c>
      <c r="F1592" s="28"/>
      <c r="G1592" s="30" t="n">
        <v>0</v>
      </c>
      <c r="H1592" s="28"/>
      <c r="I1592" s="28"/>
      <c r="J1592" s="29" t="n">
        <f aca="false">E1592+F1592+G1592-H1592-I1592</f>
        <v>0</v>
      </c>
      <c r="K1592" s="29" t="n">
        <f aca="false">ROUND(E1592+F1592+G1592-H1592-I1592-J1592,1)</f>
        <v>0</v>
      </c>
    </row>
    <row r="1593" customFormat="false" ht="15" hidden="false" customHeight="false" outlineLevel="0" collapsed="false">
      <c r="A1593" s="25" t="n">
        <v>46154</v>
      </c>
      <c r="B1593" s="23" t="str">
        <f aca="false">IF(A1593="","",IF(A1593&lt;=profil!$B$9,"Realisasi","Rencana"))</f>
        <v>Rencana</v>
      </c>
      <c r="C1593" s="18" t="s">
        <v>162</v>
      </c>
      <c r="D1593" s="18" t="s">
        <v>163</v>
      </c>
      <c r="E1593" s="29" t="n">
        <f aca="false">J1592</f>
        <v>0</v>
      </c>
      <c r="F1593" s="28"/>
      <c r="G1593" s="30" t="n">
        <v>0</v>
      </c>
      <c r="H1593" s="28"/>
      <c r="I1593" s="28"/>
      <c r="J1593" s="29" t="n">
        <f aca="false">E1593+F1593+G1593-H1593-I1593</f>
        <v>0</v>
      </c>
      <c r="K1593" s="29" t="n">
        <f aca="false">ROUND(E1593+F1593+G1593-H1593-I1593-J1593,1)</f>
        <v>0</v>
      </c>
    </row>
    <row r="1594" customFormat="false" ht="15" hidden="false" customHeight="false" outlineLevel="0" collapsed="false">
      <c r="A1594" s="25" t="n">
        <v>46155</v>
      </c>
      <c r="B1594" s="23" t="str">
        <f aca="false">IF(A1594="","",IF(A1594&lt;=profil!$B$9,"Realisasi","Rencana"))</f>
        <v>Rencana</v>
      </c>
      <c r="C1594" s="18" t="s">
        <v>162</v>
      </c>
      <c r="D1594" s="18" t="s">
        <v>163</v>
      </c>
      <c r="E1594" s="29" t="n">
        <f aca="false">J1593</f>
        <v>0</v>
      </c>
      <c r="F1594" s="28"/>
      <c r="G1594" s="30" t="n">
        <v>0</v>
      </c>
      <c r="H1594" s="28"/>
      <c r="I1594" s="28"/>
      <c r="J1594" s="29" t="n">
        <f aca="false">E1594+F1594+G1594-H1594-I1594</f>
        <v>0</v>
      </c>
      <c r="K1594" s="29" t="n">
        <f aca="false">ROUND(E1594+F1594+G1594-H1594-I1594-J1594,1)</f>
        <v>0</v>
      </c>
    </row>
    <row r="1595" customFormat="false" ht="15" hidden="false" customHeight="false" outlineLevel="0" collapsed="false">
      <c r="A1595" s="25" t="n">
        <v>46156</v>
      </c>
      <c r="B1595" s="23" t="str">
        <f aca="false">IF(A1595="","",IF(A1595&lt;=profil!$B$9,"Realisasi","Rencana"))</f>
        <v>Rencana</v>
      </c>
      <c r="C1595" s="18" t="s">
        <v>162</v>
      </c>
      <c r="D1595" s="18" t="s">
        <v>163</v>
      </c>
      <c r="E1595" s="29" t="n">
        <f aca="false">J1594</f>
        <v>0</v>
      </c>
      <c r="F1595" s="28"/>
      <c r="G1595" s="30" t="n">
        <v>0</v>
      </c>
      <c r="H1595" s="28"/>
      <c r="I1595" s="28"/>
      <c r="J1595" s="29" t="n">
        <f aca="false">E1595+F1595+G1595-H1595-I1595</f>
        <v>0</v>
      </c>
      <c r="K1595" s="29" t="n">
        <f aca="false">ROUND(E1595+F1595+G1595-H1595-I1595-J1595,1)</f>
        <v>0</v>
      </c>
    </row>
    <row r="1596" customFormat="false" ht="15" hidden="false" customHeight="false" outlineLevel="0" collapsed="false">
      <c r="A1596" s="25" t="n">
        <v>46157</v>
      </c>
      <c r="B1596" s="23" t="str">
        <f aca="false">IF(A1596="","",IF(A1596&lt;=profil!$B$9,"Realisasi","Rencana"))</f>
        <v>Rencana</v>
      </c>
      <c r="C1596" s="18" t="s">
        <v>162</v>
      </c>
      <c r="D1596" s="18" t="s">
        <v>163</v>
      </c>
      <c r="E1596" s="29" t="n">
        <f aca="false">J1595</f>
        <v>0</v>
      </c>
      <c r="F1596" s="28"/>
      <c r="G1596" s="30" t="n">
        <v>0</v>
      </c>
      <c r="H1596" s="28"/>
      <c r="I1596" s="28"/>
      <c r="J1596" s="29" t="n">
        <f aca="false">E1596+F1596+G1596-H1596-I1596</f>
        <v>0</v>
      </c>
      <c r="K1596" s="29" t="n">
        <f aca="false">ROUND(E1596+F1596+G1596-H1596-I1596-J1596,1)</f>
        <v>0</v>
      </c>
    </row>
    <row r="1597" customFormat="false" ht="15" hidden="false" customHeight="false" outlineLevel="0" collapsed="false">
      <c r="A1597" s="25" t="n">
        <v>46158</v>
      </c>
      <c r="B1597" s="23" t="str">
        <f aca="false">IF(A1597="","",IF(A1597&lt;=profil!$B$9,"Realisasi","Rencana"))</f>
        <v>Rencana</v>
      </c>
      <c r="C1597" s="18" t="s">
        <v>162</v>
      </c>
      <c r="D1597" s="18" t="s">
        <v>163</v>
      </c>
      <c r="E1597" s="29" t="n">
        <f aca="false">J1596</f>
        <v>0</v>
      </c>
      <c r="F1597" s="28"/>
      <c r="G1597" s="30" t="n">
        <v>0</v>
      </c>
      <c r="H1597" s="28"/>
      <c r="I1597" s="28"/>
      <c r="J1597" s="29" t="n">
        <f aca="false">E1597+F1597+G1597-H1597-I1597</f>
        <v>0</v>
      </c>
      <c r="K1597" s="29" t="n">
        <f aca="false">ROUND(E1597+F1597+G1597-H1597-I1597-J1597,1)</f>
        <v>0</v>
      </c>
    </row>
    <row r="1598" customFormat="false" ht="15" hidden="false" customHeight="false" outlineLevel="0" collapsed="false">
      <c r="A1598" s="25" t="n">
        <v>46159</v>
      </c>
      <c r="B1598" s="23" t="str">
        <f aca="false">IF(A1598="","",IF(A1598&lt;=profil!$B$9,"Realisasi","Rencana"))</f>
        <v>Rencana</v>
      </c>
      <c r="C1598" s="18" t="s">
        <v>162</v>
      </c>
      <c r="D1598" s="18" t="s">
        <v>163</v>
      </c>
      <c r="E1598" s="29" t="n">
        <f aca="false">J1597</f>
        <v>0</v>
      </c>
      <c r="F1598" s="28"/>
      <c r="G1598" s="30" t="n">
        <v>0</v>
      </c>
      <c r="H1598" s="28"/>
      <c r="I1598" s="28"/>
      <c r="J1598" s="29" t="n">
        <f aca="false">E1598+F1598+G1598-H1598-I1598</f>
        <v>0</v>
      </c>
      <c r="K1598" s="29" t="n">
        <f aca="false">ROUND(E1598+F1598+G1598-H1598-I1598-J1598,1)</f>
        <v>0</v>
      </c>
    </row>
    <row r="1599" customFormat="false" ht="15" hidden="false" customHeight="false" outlineLevel="0" collapsed="false">
      <c r="A1599" s="25" t="n">
        <v>46160</v>
      </c>
      <c r="B1599" s="23" t="str">
        <f aca="false">IF(A1599="","",IF(A1599&lt;=profil!$B$9,"Realisasi","Rencana"))</f>
        <v>Rencana</v>
      </c>
      <c r="C1599" s="18" t="s">
        <v>162</v>
      </c>
      <c r="D1599" s="18" t="s">
        <v>163</v>
      </c>
      <c r="E1599" s="29" t="n">
        <f aca="false">J1598</f>
        <v>0</v>
      </c>
      <c r="F1599" s="28"/>
      <c r="G1599" s="30" t="n">
        <v>0</v>
      </c>
      <c r="H1599" s="28"/>
      <c r="I1599" s="28"/>
      <c r="J1599" s="29" t="n">
        <f aca="false">E1599+F1599+G1599-H1599-I1599</f>
        <v>0</v>
      </c>
      <c r="K1599" s="29" t="n">
        <f aca="false">ROUND(E1599+F1599+G1599-H1599-I1599-J1599,1)</f>
        <v>0</v>
      </c>
    </row>
    <row r="1600" customFormat="false" ht="15" hidden="false" customHeight="false" outlineLevel="0" collapsed="false">
      <c r="A1600" s="25" t="n">
        <v>46161</v>
      </c>
      <c r="B1600" s="23" t="str">
        <f aca="false">IF(A1600="","",IF(A1600&lt;=profil!$B$9,"Realisasi","Rencana"))</f>
        <v>Rencana</v>
      </c>
      <c r="C1600" s="18" t="s">
        <v>162</v>
      </c>
      <c r="D1600" s="18" t="s">
        <v>163</v>
      </c>
      <c r="E1600" s="29" t="n">
        <f aca="false">J1599</f>
        <v>0</v>
      </c>
      <c r="F1600" s="28"/>
      <c r="G1600" s="30" t="n">
        <v>0</v>
      </c>
      <c r="H1600" s="28"/>
      <c r="I1600" s="28"/>
      <c r="J1600" s="29" t="n">
        <f aca="false">E1600+F1600+G1600-H1600-I1600</f>
        <v>0</v>
      </c>
      <c r="K1600" s="29" t="n">
        <f aca="false">ROUND(E1600+F1600+G1600-H1600-I1600-J1600,1)</f>
        <v>0</v>
      </c>
    </row>
    <row r="1601" customFormat="false" ht="15" hidden="false" customHeight="false" outlineLevel="0" collapsed="false">
      <c r="A1601" s="25" t="n">
        <v>46162</v>
      </c>
      <c r="B1601" s="23" t="str">
        <f aca="false">IF(A1601="","",IF(A1601&lt;=profil!$B$9,"Realisasi","Rencana"))</f>
        <v>Rencana</v>
      </c>
      <c r="C1601" s="18" t="s">
        <v>162</v>
      </c>
      <c r="D1601" s="18" t="s">
        <v>163</v>
      </c>
      <c r="E1601" s="29" t="n">
        <f aca="false">J1600</f>
        <v>0</v>
      </c>
      <c r="F1601" s="28"/>
      <c r="G1601" s="30" t="n">
        <v>0</v>
      </c>
      <c r="H1601" s="28"/>
      <c r="I1601" s="28"/>
      <c r="J1601" s="29" t="n">
        <f aca="false">E1601+F1601+G1601-H1601-I1601</f>
        <v>0</v>
      </c>
      <c r="K1601" s="29" t="n">
        <f aca="false">ROUND(E1601+F1601+G1601-H1601-I1601-J1601,1)</f>
        <v>0</v>
      </c>
    </row>
    <row r="1602" customFormat="false" ht="15" hidden="false" customHeight="false" outlineLevel="0" collapsed="false">
      <c r="A1602" s="25" t="n">
        <v>46163</v>
      </c>
      <c r="B1602" s="23" t="str">
        <f aca="false">IF(A1602="","",IF(A1602&lt;=profil!$B$9,"Realisasi","Rencana"))</f>
        <v>Rencana</v>
      </c>
      <c r="C1602" s="18" t="s">
        <v>162</v>
      </c>
      <c r="D1602" s="18" t="s">
        <v>163</v>
      </c>
      <c r="E1602" s="29" t="n">
        <f aca="false">J1601</f>
        <v>0</v>
      </c>
      <c r="F1602" s="28"/>
      <c r="G1602" s="30" t="n">
        <v>0</v>
      </c>
      <c r="H1602" s="28"/>
      <c r="I1602" s="28"/>
      <c r="J1602" s="29" t="n">
        <f aca="false">E1602+F1602+G1602-H1602-I1602</f>
        <v>0</v>
      </c>
      <c r="K1602" s="29" t="n">
        <f aca="false">ROUND(E1602+F1602+G1602-H1602-I1602-J1602,1)</f>
        <v>0</v>
      </c>
    </row>
    <row r="1603" customFormat="false" ht="15" hidden="false" customHeight="false" outlineLevel="0" collapsed="false">
      <c r="A1603" s="25" t="n">
        <v>46164</v>
      </c>
      <c r="B1603" s="23" t="str">
        <f aca="false">IF(A1603="","",IF(A1603&lt;=profil!$B$9,"Realisasi","Rencana"))</f>
        <v>Rencana</v>
      </c>
      <c r="C1603" s="18" t="s">
        <v>162</v>
      </c>
      <c r="D1603" s="18" t="s">
        <v>163</v>
      </c>
      <c r="E1603" s="29" t="n">
        <f aca="false">J1602</f>
        <v>0</v>
      </c>
      <c r="F1603" s="28"/>
      <c r="G1603" s="30" t="n">
        <v>0</v>
      </c>
      <c r="H1603" s="28"/>
      <c r="I1603" s="28"/>
      <c r="J1603" s="29" t="n">
        <f aca="false">E1603+F1603+G1603-H1603-I1603</f>
        <v>0</v>
      </c>
      <c r="K1603" s="29" t="n">
        <f aca="false">ROUND(E1603+F1603+G1603-H1603-I1603-J1603,1)</f>
        <v>0</v>
      </c>
    </row>
    <row r="1604" customFormat="false" ht="15" hidden="false" customHeight="false" outlineLevel="0" collapsed="false">
      <c r="A1604" s="25" t="n">
        <v>46165</v>
      </c>
      <c r="B1604" s="23" t="str">
        <f aca="false">IF(A1604="","",IF(A1604&lt;=profil!$B$9,"Realisasi","Rencana"))</f>
        <v>Rencana</v>
      </c>
      <c r="C1604" s="18" t="s">
        <v>162</v>
      </c>
      <c r="D1604" s="18" t="s">
        <v>163</v>
      </c>
      <c r="E1604" s="29" t="n">
        <f aca="false">J1603</f>
        <v>0</v>
      </c>
      <c r="F1604" s="28"/>
      <c r="G1604" s="30" t="n">
        <v>0</v>
      </c>
      <c r="H1604" s="28"/>
      <c r="I1604" s="28"/>
      <c r="J1604" s="29" t="n">
        <f aca="false">E1604+F1604+G1604-H1604-I1604</f>
        <v>0</v>
      </c>
      <c r="K1604" s="29" t="n">
        <f aca="false">ROUND(E1604+F1604+G1604-H1604-I1604-J1604,1)</f>
        <v>0</v>
      </c>
    </row>
    <row r="1605" customFormat="false" ht="15" hidden="false" customHeight="false" outlineLevel="0" collapsed="false">
      <c r="A1605" s="25" t="n">
        <v>46166</v>
      </c>
      <c r="B1605" s="23" t="str">
        <f aca="false">IF(A1605="","",IF(A1605&lt;=profil!$B$9,"Realisasi","Rencana"))</f>
        <v>Rencana</v>
      </c>
      <c r="C1605" s="18" t="s">
        <v>162</v>
      </c>
      <c r="D1605" s="18" t="s">
        <v>163</v>
      </c>
      <c r="E1605" s="29" t="n">
        <f aca="false">J1604</f>
        <v>0</v>
      </c>
      <c r="F1605" s="28"/>
      <c r="G1605" s="30" t="n">
        <v>0</v>
      </c>
      <c r="H1605" s="28"/>
      <c r="I1605" s="28"/>
      <c r="J1605" s="29" t="n">
        <f aca="false">E1605+F1605+G1605-H1605-I1605</f>
        <v>0</v>
      </c>
      <c r="K1605" s="29" t="n">
        <f aca="false">ROUND(E1605+F1605+G1605-H1605-I1605-J1605,1)</f>
        <v>0</v>
      </c>
    </row>
    <row r="1606" customFormat="false" ht="15" hidden="false" customHeight="false" outlineLevel="0" collapsed="false">
      <c r="A1606" s="25" t="n">
        <v>46167</v>
      </c>
      <c r="B1606" s="23" t="str">
        <f aca="false">IF(A1606="","",IF(A1606&lt;=profil!$B$9,"Realisasi","Rencana"))</f>
        <v>Rencana</v>
      </c>
      <c r="C1606" s="18" t="s">
        <v>162</v>
      </c>
      <c r="D1606" s="18" t="s">
        <v>163</v>
      </c>
      <c r="E1606" s="29" t="n">
        <f aca="false">J1605</f>
        <v>0</v>
      </c>
      <c r="F1606" s="28"/>
      <c r="G1606" s="30" t="n">
        <v>0</v>
      </c>
      <c r="H1606" s="28"/>
      <c r="I1606" s="28"/>
      <c r="J1606" s="29" t="n">
        <f aca="false">E1606+F1606+G1606-H1606-I1606</f>
        <v>0</v>
      </c>
      <c r="K1606" s="29" t="n">
        <f aca="false">ROUND(E1606+F1606+G1606-H1606-I1606-J1606,1)</f>
        <v>0</v>
      </c>
    </row>
    <row r="1607" customFormat="false" ht="15" hidden="false" customHeight="false" outlineLevel="0" collapsed="false">
      <c r="A1607" s="25" t="n">
        <v>46168</v>
      </c>
      <c r="B1607" s="23" t="str">
        <f aca="false">IF(A1607="","",IF(A1607&lt;=profil!$B$9,"Realisasi","Rencana"))</f>
        <v>Rencana</v>
      </c>
      <c r="C1607" s="18" t="s">
        <v>162</v>
      </c>
      <c r="D1607" s="18" t="s">
        <v>163</v>
      </c>
      <c r="E1607" s="29" t="n">
        <f aca="false">J1606</f>
        <v>0</v>
      </c>
      <c r="F1607" s="28"/>
      <c r="G1607" s="30" t="n">
        <v>0</v>
      </c>
      <c r="H1607" s="28"/>
      <c r="I1607" s="28"/>
      <c r="J1607" s="29" t="n">
        <f aca="false">E1607+F1607+G1607-H1607-I1607</f>
        <v>0</v>
      </c>
      <c r="K1607" s="29" t="n">
        <f aca="false">ROUND(E1607+F1607+G1607-H1607-I1607-J1607,1)</f>
        <v>0</v>
      </c>
    </row>
    <row r="1608" customFormat="false" ht="15" hidden="false" customHeight="false" outlineLevel="0" collapsed="false">
      <c r="A1608" s="25" t="n">
        <v>46169</v>
      </c>
      <c r="B1608" s="23" t="str">
        <f aca="false">IF(A1608="","",IF(A1608&lt;=profil!$B$9,"Realisasi","Rencana"))</f>
        <v>Rencana</v>
      </c>
      <c r="C1608" s="18" t="s">
        <v>162</v>
      </c>
      <c r="D1608" s="18" t="s">
        <v>163</v>
      </c>
      <c r="E1608" s="29" t="n">
        <f aca="false">J1607</f>
        <v>0</v>
      </c>
      <c r="F1608" s="28"/>
      <c r="G1608" s="30" t="n">
        <v>0</v>
      </c>
      <c r="H1608" s="28"/>
      <c r="I1608" s="28"/>
      <c r="J1608" s="29" t="n">
        <f aca="false">E1608+F1608+G1608-H1608-I1608</f>
        <v>0</v>
      </c>
      <c r="K1608" s="29" t="n">
        <f aca="false">ROUND(E1608+F1608+G1608-H1608-I1608-J1608,1)</f>
        <v>0</v>
      </c>
    </row>
    <row r="1609" customFormat="false" ht="15" hidden="false" customHeight="false" outlineLevel="0" collapsed="false">
      <c r="A1609" s="25" t="n">
        <v>46170</v>
      </c>
      <c r="B1609" s="23" t="str">
        <f aca="false">IF(A1609="","",IF(A1609&lt;=profil!$B$9,"Realisasi","Rencana"))</f>
        <v>Rencana</v>
      </c>
      <c r="C1609" s="18" t="s">
        <v>162</v>
      </c>
      <c r="D1609" s="18" t="s">
        <v>163</v>
      </c>
      <c r="E1609" s="29" t="n">
        <f aca="false">J1608</f>
        <v>0</v>
      </c>
      <c r="F1609" s="28"/>
      <c r="G1609" s="30" t="n">
        <v>0</v>
      </c>
      <c r="H1609" s="28"/>
      <c r="I1609" s="28"/>
      <c r="J1609" s="29" t="n">
        <f aca="false">E1609+F1609+G1609-H1609-I1609</f>
        <v>0</v>
      </c>
      <c r="K1609" s="29" t="n">
        <f aca="false">ROUND(E1609+F1609+G1609-H1609-I1609-J1609,1)</f>
        <v>0</v>
      </c>
    </row>
    <row r="1610" customFormat="false" ht="15" hidden="false" customHeight="false" outlineLevel="0" collapsed="false">
      <c r="A1610" s="25" t="n">
        <v>46171</v>
      </c>
      <c r="B1610" s="23" t="str">
        <f aca="false">IF(A1610="","",IF(A1610&lt;=profil!$B$9,"Realisasi","Rencana"))</f>
        <v>Rencana</v>
      </c>
      <c r="C1610" s="18" t="s">
        <v>162</v>
      </c>
      <c r="D1610" s="18" t="s">
        <v>163</v>
      </c>
      <c r="E1610" s="29" t="n">
        <f aca="false">J1609</f>
        <v>0</v>
      </c>
      <c r="F1610" s="28"/>
      <c r="G1610" s="30" t="n">
        <v>0</v>
      </c>
      <c r="H1610" s="28"/>
      <c r="I1610" s="28"/>
      <c r="J1610" s="29" t="n">
        <f aca="false">E1610+F1610+G1610-H1610-I1610</f>
        <v>0</v>
      </c>
      <c r="K1610" s="29" t="n">
        <f aca="false">ROUND(E1610+F1610+G1610-H1610-I1610-J1610,1)</f>
        <v>0</v>
      </c>
    </row>
    <row r="1611" customFormat="false" ht="15" hidden="false" customHeight="false" outlineLevel="0" collapsed="false">
      <c r="A1611" s="25" t="n">
        <v>46172</v>
      </c>
      <c r="B1611" s="23" t="str">
        <f aca="false">IF(A1611="","",IF(A1611&lt;=profil!$B$9,"Realisasi","Rencana"))</f>
        <v>Rencana</v>
      </c>
      <c r="C1611" s="18" t="s">
        <v>162</v>
      </c>
      <c r="D1611" s="18" t="s">
        <v>163</v>
      </c>
      <c r="E1611" s="29" t="n">
        <f aca="false">J1610</f>
        <v>0</v>
      </c>
      <c r="F1611" s="28"/>
      <c r="G1611" s="30" t="n">
        <v>0</v>
      </c>
      <c r="H1611" s="28"/>
      <c r="I1611" s="28"/>
      <c r="J1611" s="29" t="n">
        <f aca="false">E1611+F1611+G1611-H1611-I1611</f>
        <v>0</v>
      </c>
      <c r="K1611" s="29" t="n">
        <f aca="false">ROUND(E1611+F1611+G1611-H1611-I1611-J1611,1)</f>
        <v>0</v>
      </c>
    </row>
    <row r="1612" customFormat="false" ht="15" hidden="false" customHeight="false" outlineLevel="0" collapsed="false">
      <c r="A1612" s="25" t="n">
        <v>46173</v>
      </c>
      <c r="B1612" s="23" t="str">
        <f aca="false">IF(A1612="","",IF(A1612&lt;=profil!$B$9,"Realisasi","Rencana"))</f>
        <v>Rencana</v>
      </c>
      <c r="C1612" s="18" t="s">
        <v>162</v>
      </c>
      <c r="D1612" s="18" t="s">
        <v>163</v>
      </c>
      <c r="E1612" s="29" t="n">
        <f aca="false">J1611</f>
        <v>0</v>
      </c>
      <c r="F1612" s="28"/>
      <c r="G1612" s="30" t="n">
        <v>0</v>
      </c>
      <c r="H1612" s="28"/>
      <c r="I1612" s="28"/>
      <c r="J1612" s="29" t="n">
        <f aca="false">E1612+F1612+G1612-H1612-I1612</f>
        <v>0</v>
      </c>
      <c r="K1612" s="29" t="n">
        <f aca="false">ROUND(E1612+F1612+G1612-H1612-I1612-J1612,1)</f>
        <v>0</v>
      </c>
    </row>
    <row r="1613" customFormat="false" ht="15" hidden="false" customHeight="false" outlineLevel="0" collapsed="false">
      <c r="A1613" s="25" t="n">
        <v>46174</v>
      </c>
      <c r="B1613" s="23" t="str">
        <f aca="false">IF(A1613="","",IF(A1613&lt;=profil!$B$9,"Realisasi","Rencana"))</f>
        <v>Rencana</v>
      </c>
      <c r="C1613" s="18" t="s">
        <v>162</v>
      </c>
      <c r="D1613" s="18" t="s">
        <v>163</v>
      </c>
      <c r="E1613" s="29" t="n">
        <f aca="false">J1612</f>
        <v>0</v>
      </c>
      <c r="F1613" s="28"/>
      <c r="G1613" s="30" t="n">
        <v>0</v>
      </c>
      <c r="H1613" s="28"/>
      <c r="I1613" s="28"/>
      <c r="J1613" s="29" t="n">
        <f aca="false">E1613+F1613+G1613-H1613-I1613</f>
        <v>0</v>
      </c>
      <c r="K1613" s="29" t="n">
        <f aca="false">ROUND(E1613+F1613+G1613-H1613-I1613-J1613,1)</f>
        <v>0</v>
      </c>
    </row>
    <row r="1614" customFormat="false" ht="15" hidden="false" customHeight="false" outlineLevel="0" collapsed="false">
      <c r="A1614" s="25" t="n">
        <v>46175</v>
      </c>
      <c r="B1614" s="23" t="str">
        <f aca="false">IF(A1614="","",IF(A1614&lt;=profil!$B$9,"Realisasi","Rencana"))</f>
        <v>Rencana</v>
      </c>
      <c r="C1614" s="18" t="s">
        <v>162</v>
      </c>
      <c r="D1614" s="18" t="s">
        <v>163</v>
      </c>
      <c r="E1614" s="29" t="n">
        <f aca="false">J1613</f>
        <v>0</v>
      </c>
      <c r="F1614" s="28"/>
      <c r="G1614" s="30" t="n">
        <v>0</v>
      </c>
      <c r="H1614" s="28"/>
      <c r="I1614" s="28"/>
      <c r="J1614" s="29" t="n">
        <f aca="false">E1614+F1614+G1614-H1614-I1614</f>
        <v>0</v>
      </c>
      <c r="K1614" s="29" t="n">
        <f aca="false">ROUND(E1614+F1614+G1614-H1614-I1614-J1614,1)</f>
        <v>0</v>
      </c>
    </row>
    <row r="1615" customFormat="false" ht="15" hidden="false" customHeight="false" outlineLevel="0" collapsed="false">
      <c r="A1615" s="25" t="n">
        <v>46176</v>
      </c>
      <c r="B1615" s="23" t="str">
        <f aca="false">IF(A1615="","",IF(A1615&lt;=profil!$B$9,"Realisasi","Rencana"))</f>
        <v>Rencana</v>
      </c>
      <c r="C1615" s="18" t="s">
        <v>162</v>
      </c>
      <c r="D1615" s="18" t="s">
        <v>163</v>
      </c>
      <c r="E1615" s="29" t="n">
        <f aca="false">J1614</f>
        <v>0</v>
      </c>
      <c r="F1615" s="28"/>
      <c r="G1615" s="30" t="n">
        <v>0</v>
      </c>
      <c r="H1615" s="28"/>
      <c r="I1615" s="28"/>
      <c r="J1615" s="29" t="n">
        <f aca="false">E1615+F1615+G1615-H1615-I1615</f>
        <v>0</v>
      </c>
      <c r="K1615" s="29" t="n">
        <f aca="false">ROUND(E1615+F1615+G1615-H1615-I1615-J1615,1)</f>
        <v>0</v>
      </c>
    </row>
    <row r="1616" customFormat="false" ht="15" hidden="false" customHeight="false" outlineLevel="0" collapsed="false">
      <c r="A1616" s="25" t="n">
        <v>46177</v>
      </c>
      <c r="B1616" s="23" t="str">
        <f aca="false">IF(A1616="","",IF(A1616&lt;=profil!$B$9,"Realisasi","Rencana"))</f>
        <v>Rencana</v>
      </c>
      <c r="C1616" s="18" t="s">
        <v>162</v>
      </c>
      <c r="D1616" s="18" t="s">
        <v>163</v>
      </c>
      <c r="E1616" s="29" t="n">
        <f aca="false">J1615</f>
        <v>0</v>
      </c>
      <c r="F1616" s="28"/>
      <c r="G1616" s="30" t="n">
        <v>0</v>
      </c>
      <c r="H1616" s="28"/>
      <c r="I1616" s="28"/>
      <c r="J1616" s="29" t="n">
        <f aca="false">E1616+F1616+G1616-H1616-I1616</f>
        <v>0</v>
      </c>
      <c r="K1616" s="29" t="n">
        <f aca="false">ROUND(E1616+F1616+G1616-H1616-I1616-J1616,1)</f>
        <v>0</v>
      </c>
    </row>
    <row r="1617" customFormat="false" ht="15" hidden="false" customHeight="false" outlineLevel="0" collapsed="false">
      <c r="A1617" s="25" t="n">
        <v>46178</v>
      </c>
      <c r="B1617" s="23" t="str">
        <f aca="false">IF(A1617="","",IF(A1617&lt;=profil!$B$9,"Realisasi","Rencana"))</f>
        <v>Rencana</v>
      </c>
      <c r="C1617" s="18" t="s">
        <v>162</v>
      </c>
      <c r="D1617" s="18" t="s">
        <v>163</v>
      </c>
      <c r="E1617" s="29" t="n">
        <f aca="false">J1616</f>
        <v>0</v>
      </c>
      <c r="F1617" s="28"/>
      <c r="G1617" s="30" t="n">
        <v>0</v>
      </c>
      <c r="H1617" s="28"/>
      <c r="I1617" s="28"/>
      <c r="J1617" s="29" t="n">
        <f aca="false">E1617+F1617+G1617-H1617-I1617</f>
        <v>0</v>
      </c>
      <c r="K1617" s="29" t="n">
        <f aca="false">ROUND(E1617+F1617+G1617-H1617-I1617-J1617,1)</f>
        <v>0</v>
      </c>
    </row>
    <row r="1618" customFormat="false" ht="15" hidden="false" customHeight="false" outlineLevel="0" collapsed="false">
      <c r="A1618" s="25" t="n">
        <v>46179</v>
      </c>
      <c r="B1618" s="23" t="str">
        <f aca="false">IF(A1618="","",IF(A1618&lt;=profil!$B$9,"Realisasi","Rencana"))</f>
        <v>Rencana</v>
      </c>
      <c r="C1618" s="18" t="s">
        <v>162</v>
      </c>
      <c r="D1618" s="18" t="s">
        <v>163</v>
      </c>
      <c r="E1618" s="29" t="n">
        <f aca="false">J1617</f>
        <v>0</v>
      </c>
      <c r="F1618" s="28"/>
      <c r="G1618" s="30" t="n">
        <v>0</v>
      </c>
      <c r="H1618" s="28"/>
      <c r="I1618" s="28"/>
      <c r="J1618" s="29" t="n">
        <f aca="false">E1618+F1618+G1618-H1618-I1618</f>
        <v>0</v>
      </c>
      <c r="K1618" s="29" t="n">
        <f aca="false">ROUND(E1618+F1618+G1618-H1618-I1618-J1618,1)</f>
        <v>0</v>
      </c>
    </row>
    <row r="1619" customFormat="false" ht="15" hidden="false" customHeight="false" outlineLevel="0" collapsed="false">
      <c r="A1619" s="25" t="n">
        <v>46180</v>
      </c>
      <c r="B1619" s="23" t="str">
        <f aca="false">IF(A1619="","",IF(A1619&lt;=profil!$B$9,"Realisasi","Rencana"))</f>
        <v>Rencana</v>
      </c>
      <c r="C1619" s="18" t="s">
        <v>162</v>
      </c>
      <c r="D1619" s="18" t="s">
        <v>163</v>
      </c>
      <c r="E1619" s="29" t="n">
        <f aca="false">J1618</f>
        <v>0</v>
      </c>
      <c r="F1619" s="28"/>
      <c r="G1619" s="30" t="n">
        <v>0</v>
      </c>
      <c r="H1619" s="28"/>
      <c r="I1619" s="28"/>
      <c r="J1619" s="29" t="n">
        <f aca="false">E1619+F1619+G1619-H1619-I1619</f>
        <v>0</v>
      </c>
      <c r="K1619" s="29" t="n">
        <f aca="false">ROUND(E1619+F1619+G1619-H1619-I1619-J1619,1)</f>
        <v>0</v>
      </c>
    </row>
    <row r="1620" customFormat="false" ht="15" hidden="false" customHeight="false" outlineLevel="0" collapsed="false">
      <c r="A1620" s="25" t="n">
        <v>46181</v>
      </c>
      <c r="B1620" s="23" t="str">
        <f aca="false">IF(A1620="","",IF(A1620&lt;=profil!$B$9,"Realisasi","Rencana"))</f>
        <v>Rencana</v>
      </c>
      <c r="C1620" s="18" t="s">
        <v>162</v>
      </c>
      <c r="D1620" s="18" t="s">
        <v>163</v>
      </c>
      <c r="E1620" s="29" t="n">
        <f aca="false">J1619</f>
        <v>0</v>
      </c>
      <c r="F1620" s="28"/>
      <c r="G1620" s="30" t="n">
        <v>0</v>
      </c>
      <c r="H1620" s="28"/>
      <c r="I1620" s="28"/>
      <c r="J1620" s="29" t="n">
        <f aca="false">E1620+F1620+G1620-H1620-I1620</f>
        <v>0</v>
      </c>
      <c r="K1620" s="29" t="n">
        <f aca="false">ROUND(E1620+F1620+G1620-H1620-I1620-J1620,1)</f>
        <v>0</v>
      </c>
    </row>
    <row r="1621" customFormat="false" ht="15" hidden="false" customHeight="false" outlineLevel="0" collapsed="false">
      <c r="A1621" s="25" t="n">
        <v>46182</v>
      </c>
      <c r="B1621" s="23" t="str">
        <f aca="false">IF(A1621="","",IF(A1621&lt;=profil!$B$9,"Realisasi","Rencana"))</f>
        <v>Rencana</v>
      </c>
      <c r="C1621" s="18" t="s">
        <v>162</v>
      </c>
      <c r="D1621" s="18" t="s">
        <v>163</v>
      </c>
      <c r="E1621" s="29" t="n">
        <f aca="false">J1620</f>
        <v>0</v>
      </c>
      <c r="F1621" s="28"/>
      <c r="G1621" s="30" t="n">
        <v>0</v>
      </c>
      <c r="H1621" s="28"/>
      <c r="I1621" s="28"/>
      <c r="J1621" s="29" t="n">
        <f aca="false">E1621+F1621+G1621-H1621-I1621</f>
        <v>0</v>
      </c>
      <c r="K1621" s="29" t="n">
        <f aca="false">ROUND(E1621+F1621+G1621-H1621-I1621-J1621,1)</f>
        <v>0</v>
      </c>
    </row>
    <row r="1622" customFormat="false" ht="15" hidden="false" customHeight="false" outlineLevel="0" collapsed="false">
      <c r="A1622" s="25" t="n">
        <v>46183</v>
      </c>
      <c r="B1622" s="23" t="str">
        <f aca="false">IF(A1622="","",IF(A1622&lt;=profil!$B$9,"Realisasi","Rencana"))</f>
        <v>Rencana</v>
      </c>
      <c r="C1622" s="18" t="s">
        <v>162</v>
      </c>
      <c r="D1622" s="18" t="s">
        <v>163</v>
      </c>
      <c r="E1622" s="29" t="n">
        <f aca="false">J1621</f>
        <v>0</v>
      </c>
      <c r="F1622" s="28"/>
      <c r="G1622" s="30" t="n">
        <v>0</v>
      </c>
      <c r="H1622" s="28"/>
      <c r="I1622" s="28"/>
      <c r="J1622" s="29" t="n">
        <f aca="false">E1622+F1622+G1622-H1622-I1622</f>
        <v>0</v>
      </c>
      <c r="K1622" s="29" t="n">
        <f aca="false">ROUND(E1622+F1622+G1622-H1622-I1622-J1622,1)</f>
        <v>0</v>
      </c>
    </row>
    <row r="1623" customFormat="false" ht="15" hidden="false" customHeight="false" outlineLevel="0" collapsed="false">
      <c r="A1623" s="25" t="n">
        <v>46184</v>
      </c>
      <c r="B1623" s="23" t="str">
        <f aca="false">IF(A1623="","",IF(A1623&lt;=profil!$B$9,"Realisasi","Rencana"))</f>
        <v>Rencana</v>
      </c>
      <c r="C1623" s="18" t="s">
        <v>162</v>
      </c>
      <c r="D1623" s="18" t="s">
        <v>163</v>
      </c>
      <c r="E1623" s="29" t="n">
        <f aca="false">J1622</f>
        <v>0</v>
      </c>
      <c r="F1623" s="28"/>
      <c r="G1623" s="30" t="n">
        <v>0</v>
      </c>
      <c r="H1623" s="28"/>
      <c r="I1623" s="28"/>
      <c r="J1623" s="29" t="n">
        <f aca="false">E1623+F1623+G1623-H1623-I1623</f>
        <v>0</v>
      </c>
      <c r="K1623" s="29" t="n">
        <f aca="false">ROUND(E1623+F1623+G1623-H1623-I1623-J1623,1)</f>
        <v>0</v>
      </c>
    </row>
    <row r="1624" customFormat="false" ht="15" hidden="false" customHeight="false" outlineLevel="0" collapsed="false">
      <c r="A1624" s="25" t="n">
        <v>46185</v>
      </c>
      <c r="B1624" s="23" t="str">
        <f aca="false">IF(A1624="","",IF(A1624&lt;=profil!$B$9,"Realisasi","Rencana"))</f>
        <v>Rencana</v>
      </c>
      <c r="C1624" s="18" t="s">
        <v>162</v>
      </c>
      <c r="D1624" s="18" t="s">
        <v>163</v>
      </c>
      <c r="E1624" s="29" t="n">
        <f aca="false">J1623</f>
        <v>0</v>
      </c>
      <c r="F1624" s="28"/>
      <c r="G1624" s="30" t="n">
        <v>0</v>
      </c>
      <c r="H1624" s="28"/>
      <c r="I1624" s="28"/>
      <c r="J1624" s="29" t="n">
        <f aca="false">E1624+F1624+G1624-H1624-I1624</f>
        <v>0</v>
      </c>
      <c r="K1624" s="29" t="n">
        <f aca="false">ROUND(E1624+F1624+G1624-H1624-I1624-J1624,1)</f>
        <v>0</v>
      </c>
    </row>
    <row r="1625" customFormat="false" ht="15" hidden="false" customHeight="false" outlineLevel="0" collapsed="false">
      <c r="A1625" s="25" t="n">
        <v>46186</v>
      </c>
      <c r="B1625" s="23" t="str">
        <f aca="false">IF(A1625="","",IF(A1625&lt;=profil!$B$9,"Realisasi","Rencana"))</f>
        <v>Rencana</v>
      </c>
      <c r="C1625" s="18" t="s">
        <v>162</v>
      </c>
      <c r="D1625" s="18" t="s">
        <v>163</v>
      </c>
      <c r="E1625" s="29" t="n">
        <f aca="false">J1624</f>
        <v>0</v>
      </c>
      <c r="F1625" s="28"/>
      <c r="G1625" s="30" t="n">
        <v>0</v>
      </c>
      <c r="H1625" s="28"/>
      <c r="I1625" s="28"/>
      <c r="J1625" s="29" t="n">
        <f aca="false">E1625+F1625+G1625-H1625-I1625</f>
        <v>0</v>
      </c>
      <c r="K1625" s="29" t="n">
        <f aca="false">ROUND(E1625+F1625+G1625-H1625-I1625-J1625,1)</f>
        <v>0</v>
      </c>
    </row>
    <row r="1626" customFormat="false" ht="15" hidden="false" customHeight="false" outlineLevel="0" collapsed="false">
      <c r="A1626" s="25" t="n">
        <v>46187</v>
      </c>
      <c r="B1626" s="23" t="str">
        <f aca="false">IF(A1626="","",IF(A1626&lt;=profil!$B$9,"Realisasi","Rencana"))</f>
        <v>Rencana</v>
      </c>
      <c r="C1626" s="18" t="s">
        <v>162</v>
      </c>
      <c r="D1626" s="18" t="s">
        <v>163</v>
      </c>
      <c r="E1626" s="29" t="n">
        <f aca="false">J1625</f>
        <v>0</v>
      </c>
      <c r="F1626" s="28"/>
      <c r="G1626" s="30" t="n">
        <v>0</v>
      </c>
      <c r="H1626" s="28"/>
      <c r="I1626" s="28"/>
      <c r="J1626" s="29" t="n">
        <f aca="false">E1626+F1626+G1626-H1626-I1626</f>
        <v>0</v>
      </c>
      <c r="K1626" s="29" t="n">
        <f aca="false">ROUND(E1626+F1626+G1626-H1626-I1626-J1626,1)</f>
        <v>0</v>
      </c>
    </row>
    <row r="1627" customFormat="false" ht="15" hidden="false" customHeight="false" outlineLevel="0" collapsed="false">
      <c r="A1627" s="25" t="n">
        <v>46188</v>
      </c>
      <c r="B1627" s="23" t="str">
        <f aca="false">IF(A1627="","",IF(A1627&lt;=profil!$B$9,"Realisasi","Rencana"))</f>
        <v>Rencana</v>
      </c>
      <c r="C1627" s="18" t="s">
        <v>162</v>
      </c>
      <c r="D1627" s="18" t="s">
        <v>163</v>
      </c>
      <c r="E1627" s="29" t="n">
        <f aca="false">J1626</f>
        <v>0</v>
      </c>
      <c r="F1627" s="28"/>
      <c r="G1627" s="30" t="n">
        <v>0</v>
      </c>
      <c r="H1627" s="28"/>
      <c r="I1627" s="28"/>
      <c r="J1627" s="29" t="n">
        <f aca="false">E1627+F1627+G1627-H1627-I1627</f>
        <v>0</v>
      </c>
      <c r="K1627" s="29" t="n">
        <f aca="false">ROUND(E1627+F1627+G1627-H1627-I1627-J1627,1)</f>
        <v>0</v>
      </c>
    </row>
    <row r="1628" customFormat="false" ht="15" hidden="false" customHeight="false" outlineLevel="0" collapsed="false">
      <c r="A1628" s="25" t="n">
        <v>46189</v>
      </c>
      <c r="B1628" s="23" t="str">
        <f aca="false">IF(A1628="","",IF(A1628&lt;=profil!$B$9,"Realisasi","Rencana"))</f>
        <v>Rencana</v>
      </c>
      <c r="C1628" s="18" t="s">
        <v>162</v>
      </c>
      <c r="D1628" s="18" t="s">
        <v>163</v>
      </c>
      <c r="E1628" s="29" t="n">
        <f aca="false">J1627</f>
        <v>0</v>
      </c>
      <c r="F1628" s="28"/>
      <c r="G1628" s="30" t="n">
        <v>0</v>
      </c>
      <c r="H1628" s="28"/>
      <c r="I1628" s="28"/>
      <c r="J1628" s="29" t="n">
        <f aca="false">E1628+F1628+G1628-H1628-I1628</f>
        <v>0</v>
      </c>
      <c r="K1628" s="29" t="n">
        <f aca="false">ROUND(E1628+F1628+G1628-H1628-I1628-J1628,1)</f>
        <v>0</v>
      </c>
    </row>
    <row r="1629" customFormat="false" ht="15" hidden="false" customHeight="false" outlineLevel="0" collapsed="false">
      <c r="A1629" s="25" t="n">
        <v>46190</v>
      </c>
      <c r="B1629" s="23" t="str">
        <f aca="false">IF(A1629="","",IF(A1629&lt;=profil!$B$9,"Realisasi","Rencana"))</f>
        <v>Rencana</v>
      </c>
      <c r="C1629" s="18" t="s">
        <v>162</v>
      </c>
      <c r="D1629" s="18" t="s">
        <v>163</v>
      </c>
      <c r="E1629" s="29" t="n">
        <f aca="false">J1628</f>
        <v>0</v>
      </c>
      <c r="F1629" s="28"/>
      <c r="G1629" s="30" t="n">
        <v>0</v>
      </c>
      <c r="H1629" s="28"/>
      <c r="I1629" s="28"/>
      <c r="J1629" s="29" t="n">
        <f aca="false">E1629+F1629+G1629-H1629-I1629</f>
        <v>0</v>
      </c>
      <c r="K1629" s="29" t="n">
        <f aca="false">ROUND(E1629+F1629+G1629-H1629-I1629-J1629,1)</f>
        <v>0</v>
      </c>
    </row>
    <row r="1630" customFormat="false" ht="15" hidden="false" customHeight="false" outlineLevel="0" collapsed="false">
      <c r="A1630" s="25" t="n">
        <v>46191</v>
      </c>
      <c r="B1630" s="23" t="str">
        <f aca="false">IF(A1630="","",IF(A1630&lt;=profil!$B$9,"Realisasi","Rencana"))</f>
        <v>Rencana</v>
      </c>
      <c r="C1630" s="18" t="s">
        <v>162</v>
      </c>
      <c r="D1630" s="18" t="s">
        <v>163</v>
      </c>
      <c r="E1630" s="29" t="n">
        <f aca="false">J1629</f>
        <v>0</v>
      </c>
      <c r="F1630" s="28"/>
      <c r="G1630" s="30" t="n">
        <v>0</v>
      </c>
      <c r="H1630" s="28"/>
      <c r="I1630" s="28"/>
      <c r="J1630" s="29" t="n">
        <f aca="false">E1630+F1630+G1630-H1630-I1630</f>
        <v>0</v>
      </c>
      <c r="K1630" s="29" t="n">
        <f aca="false">ROUND(E1630+F1630+G1630-H1630-I1630-J1630,1)</f>
        <v>0</v>
      </c>
    </row>
    <row r="1631" customFormat="false" ht="15" hidden="false" customHeight="false" outlineLevel="0" collapsed="false">
      <c r="A1631" s="25" t="n">
        <v>46192</v>
      </c>
      <c r="B1631" s="23" t="str">
        <f aca="false">IF(A1631="","",IF(A1631&lt;=profil!$B$9,"Realisasi","Rencana"))</f>
        <v>Rencana</v>
      </c>
      <c r="C1631" s="18" t="s">
        <v>162</v>
      </c>
      <c r="D1631" s="18" t="s">
        <v>163</v>
      </c>
      <c r="E1631" s="29" t="n">
        <f aca="false">J1630</f>
        <v>0</v>
      </c>
      <c r="F1631" s="28"/>
      <c r="G1631" s="30" t="n">
        <v>0</v>
      </c>
      <c r="H1631" s="28"/>
      <c r="I1631" s="28"/>
      <c r="J1631" s="29" t="n">
        <f aca="false">E1631+F1631+G1631-H1631-I1631</f>
        <v>0</v>
      </c>
      <c r="K1631" s="29" t="n">
        <f aca="false">ROUND(E1631+F1631+G1631-H1631-I1631-J1631,1)</f>
        <v>0</v>
      </c>
    </row>
    <row r="1632" customFormat="false" ht="15" hidden="false" customHeight="false" outlineLevel="0" collapsed="false">
      <c r="A1632" s="25" t="n">
        <v>46193</v>
      </c>
      <c r="B1632" s="23" t="str">
        <f aca="false">IF(A1632="","",IF(A1632&lt;=profil!$B$9,"Realisasi","Rencana"))</f>
        <v>Rencana</v>
      </c>
      <c r="C1632" s="18" t="s">
        <v>162</v>
      </c>
      <c r="D1632" s="18" t="s">
        <v>163</v>
      </c>
      <c r="E1632" s="29" t="n">
        <f aca="false">J1631</f>
        <v>0</v>
      </c>
      <c r="F1632" s="28"/>
      <c r="G1632" s="30" t="n">
        <v>0</v>
      </c>
      <c r="H1632" s="28"/>
      <c r="I1632" s="28"/>
      <c r="J1632" s="29" t="n">
        <f aca="false">E1632+F1632+G1632-H1632-I1632</f>
        <v>0</v>
      </c>
      <c r="K1632" s="29" t="n">
        <f aca="false">ROUND(E1632+F1632+G1632-H1632-I1632-J1632,1)</f>
        <v>0</v>
      </c>
    </row>
    <row r="1633" customFormat="false" ht="15" hidden="false" customHeight="false" outlineLevel="0" collapsed="false">
      <c r="A1633" s="25" t="n">
        <v>46194</v>
      </c>
      <c r="B1633" s="23" t="str">
        <f aca="false">IF(A1633="","",IF(A1633&lt;=profil!$B$9,"Realisasi","Rencana"))</f>
        <v>Rencana</v>
      </c>
      <c r="C1633" s="18" t="s">
        <v>162</v>
      </c>
      <c r="D1633" s="18" t="s">
        <v>163</v>
      </c>
      <c r="E1633" s="29" t="n">
        <f aca="false">J1632</f>
        <v>0</v>
      </c>
      <c r="F1633" s="28"/>
      <c r="G1633" s="30" t="n">
        <v>0</v>
      </c>
      <c r="H1633" s="28"/>
      <c r="I1633" s="28"/>
      <c r="J1633" s="29" t="n">
        <f aca="false">E1633+F1633+G1633-H1633-I1633</f>
        <v>0</v>
      </c>
      <c r="K1633" s="29" t="n">
        <f aca="false">ROUND(E1633+F1633+G1633-H1633-I1633-J1633,1)</f>
        <v>0</v>
      </c>
    </row>
    <row r="1634" customFormat="false" ht="15" hidden="false" customHeight="false" outlineLevel="0" collapsed="false">
      <c r="A1634" s="25" t="n">
        <v>46195</v>
      </c>
      <c r="B1634" s="23" t="str">
        <f aca="false">IF(A1634="","",IF(A1634&lt;=profil!$B$9,"Realisasi","Rencana"))</f>
        <v>Rencana</v>
      </c>
      <c r="C1634" s="18" t="s">
        <v>162</v>
      </c>
      <c r="D1634" s="18" t="s">
        <v>163</v>
      </c>
      <c r="E1634" s="29" t="n">
        <f aca="false">J1633</f>
        <v>0</v>
      </c>
      <c r="F1634" s="28"/>
      <c r="G1634" s="30" t="n">
        <v>0</v>
      </c>
      <c r="H1634" s="28"/>
      <c r="I1634" s="28"/>
      <c r="J1634" s="29" t="n">
        <f aca="false">E1634+F1634+G1634-H1634-I1634</f>
        <v>0</v>
      </c>
      <c r="K1634" s="29" t="n">
        <f aca="false">ROUND(E1634+F1634+G1634-H1634-I1634-J1634,1)</f>
        <v>0</v>
      </c>
    </row>
    <row r="1635" customFormat="false" ht="15" hidden="false" customHeight="false" outlineLevel="0" collapsed="false">
      <c r="A1635" s="25" t="n">
        <v>46196</v>
      </c>
      <c r="B1635" s="23" t="str">
        <f aca="false">IF(A1635="","",IF(A1635&lt;=profil!$B$9,"Realisasi","Rencana"))</f>
        <v>Rencana</v>
      </c>
      <c r="C1635" s="18" t="s">
        <v>162</v>
      </c>
      <c r="D1635" s="18" t="s">
        <v>163</v>
      </c>
      <c r="E1635" s="29" t="n">
        <f aca="false">J1634</f>
        <v>0</v>
      </c>
      <c r="F1635" s="28"/>
      <c r="G1635" s="30" t="n">
        <v>0</v>
      </c>
      <c r="H1635" s="28"/>
      <c r="I1635" s="28"/>
      <c r="J1635" s="29" t="n">
        <f aca="false">E1635+F1635+G1635-H1635-I1635</f>
        <v>0</v>
      </c>
      <c r="K1635" s="29" t="n">
        <f aca="false">ROUND(E1635+F1635+G1635-H1635-I1635-J1635,1)</f>
        <v>0</v>
      </c>
    </row>
    <row r="1636" customFormat="false" ht="15" hidden="false" customHeight="false" outlineLevel="0" collapsed="false">
      <c r="A1636" s="25" t="n">
        <v>46197</v>
      </c>
      <c r="B1636" s="23" t="str">
        <f aca="false">IF(A1636="","",IF(A1636&lt;=profil!$B$9,"Realisasi","Rencana"))</f>
        <v>Rencana</v>
      </c>
      <c r="C1636" s="18" t="s">
        <v>162</v>
      </c>
      <c r="D1636" s="18" t="s">
        <v>163</v>
      </c>
      <c r="E1636" s="29" t="n">
        <f aca="false">J1635</f>
        <v>0</v>
      </c>
      <c r="F1636" s="28"/>
      <c r="G1636" s="30" t="n">
        <v>0</v>
      </c>
      <c r="H1636" s="28"/>
      <c r="I1636" s="28"/>
      <c r="J1636" s="29" t="n">
        <f aca="false">E1636+F1636+G1636-H1636-I1636</f>
        <v>0</v>
      </c>
      <c r="K1636" s="29" t="n">
        <f aca="false">ROUND(E1636+F1636+G1636-H1636-I1636-J1636,1)</f>
        <v>0</v>
      </c>
    </row>
    <row r="1637" customFormat="false" ht="15" hidden="false" customHeight="false" outlineLevel="0" collapsed="false">
      <c r="A1637" s="25" t="n">
        <v>46198</v>
      </c>
      <c r="B1637" s="23" t="str">
        <f aca="false">IF(A1637="","",IF(A1637&lt;=profil!$B$9,"Realisasi","Rencana"))</f>
        <v>Rencana</v>
      </c>
      <c r="C1637" s="18" t="s">
        <v>162</v>
      </c>
      <c r="D1637" s="18" t="s">
        <v>163</v>
      </c>
      <c r="E1637" s="29" t="n">
        <f aca="false">J1636</f>
        <v>0</v>
      </c>
      <c r="F1637" s="28"/>
      <c r="G1637" s="30" t="n">
        <v>0</v>
      </c>
      <c r="H1637" s="28"/>
      <c r="I1637" s="28"/>
      <c r="J1637" s="29" t="n">
        <f aca="false">E1637+F1637+G1637-H1637-I1637</f>
        <v>0</v>
      </c>
      <c r="K1637" s="29" t="n">
        <f aca="false">ROUND(E1637+F1637+G1637-H1637-I1637-J1637,1)</f>
        <v>0</v>
      </c>
    </row>
    <row r="1638" customFormat="false" ht="15" hidden="false" customHeight="false" outlineLevel="0" collapsed="false">
      <c r="A1638" s="25" t="n">
        <v>46199</v>
      </c>
      <c r="B1638" s="23" t="str">
        <f aca="false">IF(A1638="","",IF(A1638&lt;=profil!$B$9,"Realisasi","Rencana"))</f>
        <v>Rencana</v>
      </c>
      <c r="C1638" s="18" t="s">
        <v>162</v>
      </c>
      <c r="D1638" s="18" t="s">
        <v>163</v>
      </c>
      <c r="E1638" s="29" t="n">
        <f aca="false">J1637</f>
        <v>0</v>
      </c>
      <c r="F1638" s="28"/>
      <c r="G1638" s="30" t="n">
        <v>0</v>
      </c>
      <c r="H1638" s="28"/>
      <c r="I1638" s="28"/>
      <c r="J1638" s="29" t="n">
        <f aca="false">E1638+F1638+G1638-H1638-I1638</f>
        <v>0</v>
      </c>
      <c r="K1638" s="29" t="n">
        <f aca="false">ROUND(E1638+F1638+G1638-H1638-I1638-J1638,1)</f>
        <v>0</v>
      </c>
    </row>
    <row r="1639" customFormat="false" ht="15" hidden="false" customHeight="false" outlineLevel="0" collapsed="false">
      <c r="A1639" s="25" t="n">
        <v>46200</v>
      </c>
      <c r="B1639" s="23" t="str">
        <f aca="false">IF(A1639="","",IF(A1639&lt;=profil!$B$9,"Realisasi","Rencana"))</f>
        <v>Rencana</v>
      </c>
      <c r="C1639" s="18" t="s">
        <v>162</v>
      </c>
      <c r="D1639" s="18" t="s">
        <v>163</v>
      </c>
      <c r="E1639" s="29" t="n">
        <f aca="false">J1638</f>
        <v>0</v>
      </c>
      <c r="F1639" s="28"/>
      <c r="G1639" s="30" t="n">
        <v>0</v>
      </c>
      <c r="H1639" s="28"/>
      <c r="I1639" s="28"/>
      <c r="J1639" s="29" t="n">
        <f aca="false">E1639+F1639+G1639-H1639-I1639</f>
        <v>0</v>
      </c>
      <c r="K1639" s="29" t="n">
        <f aca="false">ROUND(E1639+F1639+G1639-H1639-I1639-J1639,1)</f>
        <v>0</v>
      </c>
    </row>
    <row r="1640" customFormat="false" ht="15" hidden="false" customHeight="false" outlineLevel="0" collapsed="false">
      <c r="A1640" s="25" t="n">
        <v>46201</v>
      </c>
      <c r="B1640" s="23" t="str">
        <f aca="false">IF(A1640="","",IF(A1640&lt;=profil!$B$9,"Realisasi","Rencana"))</f>
        <v>Rencana</v>
      </c>
      <c r="C1640" s="18" t="s">
        <v>162</v>
      </c>
      <c r="D1640" s="18" t="s">
        <v>163</v>
      </c>
      <c r="E1640" s="29" t="n">
        <f aca="false">J1639</f>
        <v>0</v>
      </c>
      <c r="F1640" s="28"/>
      <c r="G1640" s="30" t="n">
        <v>0</v>
      </c>
      <c r="H1640" s="28"/>
      <c r="I1640" s="28"/>
      <c r="J1640" s="29" t="n">
        <f aca="false">E1640+F1640+G1640-H1640-I1640</f>
        <v>0</v>
      </c>
      <c r="K1640" s="29" t="n">
        <f aca="false">ROUND(E1640+F1640+G1640-H1640-I1640-J1640,1)</f>
        <v>0</v>
      </c>
    </row>
    <row r="1641" customFormat="false" ht="15" hidden="false" customHeight="false" outlineLevel="0" collapsed="false">
      <c r="A1641" s="25" t="n">
        <v>46202</v>
      </c>
      <c r="B1641" s="23" t="str">
        <f aca="false">IF(A1641="","",IF(A1641&lt;=profil!$B$9,"Realisasi","Rencana"))</f>
        <v>Rencana</v>
      </c>
      <c r="C1641" s="18" t="s">
        <v>162</v>
      </c>
      <c r="D1641" s="18" t="s">
        <v>163</v>
      </c>
      <c r="E1641" s="29" t="n">
        <f aca="false">J1640</f>
        <v>0</v>
      </c>
      <c r="F1641" s="28"/>
      <c r="G1641" s="30" t="n">
        <v>0</v>
      </c>
      <c r="H1641" s="28"/>
      <c r="I1641" s="28"/>
      <c r="J1641" s="29" t="n">
        <f aca="false">E1641+F1641+G1641-H1641-I1641</f>
        <v>0</v>
      </c>
      <c r="K1641" s="29" t="n">
        <f aca="false">ROUND(E1641+F1641+G1641-H1641-I1641-J1641,1)</f>
        <v>0</v>
      </c>
    </row>
    <row r="1642" customFormat="false" ht="15" hidden="false" customHeight="false" outlineLevel="0" collapsed="false">
      <c r="A1642" s="25" t="n">
        <v>46203</v>
      </c>
      <c r="B1642" s="23" t="str">
        <f aca="false">IF(A1642="","",IF(A1642&lt;=profil!$B$9,"Realisasi","Rencana"))</f>
        <v>Rencana</v>
      </c>
      <c r="C1642" s="18" t="s">
        <v>162</v>
      </c>
      <c r="D1642" s="18" t="s">
        <v>163</v>
      </c>
      <c r="E1642" s="29" t="n">
        <f aca="false">J1641</f>
        <v>0</v>
      </c>
      <c r="F1642" s="28"/>
      <c r="G1642" s="30" t="n">
        <v>0</v>
      </c>
      <c r="H1642" s="28"/>
      <c r="I1642" s="28"/>
      <c r="J1642" s="29" t="n">
        <f aca="false">E1642+F1642+G1642-H1642-I1642</f>
        <v>0</v>
      </c>
      <c r="K1642" s="29" t="n">
        <f aca="false">ROUND(E1642+F1642+G1642-H1642-I1642-J1642,1)</f>
        <v>0</v>
      </c>
    </row>
    <row r="1643" customFormat="false" ht="15" hidden="false" customHeight="false" outlineLevel="0" collapsed="false">
      <c r="A1643" s="25" t="n">
        <v>46204</v>
      </c>
      <c r="B1643" s="23" t="str">
        <f aca="false">IF(A1643="","",IF(A1643&lt;=profil!$B$9,"Realisasi","Rencana"))</f>
        <v>Rencana</v>
      </c>
      <c r="C1643" s="18" t="s">
        <v>162</v>
      </c>
      <c r="D1643" s="18" t="s">
        <v>163</v>
      </c>
      <c r="E1643" s="29" t="n">
        <f aca="false">J1642</f>
        <v>0</v>
      </c>
      <c r="F1643" s="28"/>
      <c r="G1643" s="30" t="n">
        <v>0</v>
      </c>
      <c r="H1643" s="28"/>
      <c r="I1643" s="28"/>
      <c r="J1643" s="29" t="n">
        <f aca="false">E1643+F1643+G1643-H1643-I1643</f>
        <v>0</v>
      </c>
      <c r="K1643" s="29" t="n">
        <f aca="false">ROUND(E1643+F1643+G1643-H1643-I1643-J1643,1)</f>
        <v>0</v>
      </c>
    </row>
    <row r="1644" customFormat="false" ht="15" hidden="false" customHeight="false" outlineLevel="0" collapsed="false">
      <c r="A1644" s="25" t="n">
        <v>46205</v>
      </c>
      <c r="B1644" s="23" t="str">
        <f aca="false">IF(A1644="","",IF(A1644&lt;=profil!$B$9,"Realisasi","Rencana"))</f>
        <v>Rencana</v>
      </c>
      <c r="C1644" s="18" t="s">
        <v>162</v>
      </c>
      <c r="D1644" s="18" t="s">
        <v>163</v>
      </c>
      <c r="E1644" s="29" t="n">
        <f aca="false">J1643</f>
        <v>0</v>
      </c>
      <c r="F1644" s="28"/>
      <c r="G1644" s="30" t="n">
        <v>0</v>
      </c>
      <c r="H1644" s="28"/>
      <c r="I1644" s="28"/>
      <c r="J1644" s="29" t="n">
        <f aca="false">E1644+F1644+G1644-H1644-I1644</f>
        <v>0</v>
      </c>
      <c r="K1644" s="29" t="n">
        <f aca="false">ROUND(E1644+F1644+G1644-H1644-I1644-J1644,1)</f>
        <v>0</v>
      </c>
    </row>
    <row r="1645" customFormat="false" ht="15" hidden="false" customHeight="false" outlineLevel="0" collapsed="false">
      <c r="A1645" s="25" t="n">
        <v>46206</v>
      </c>
      <c r="B1645" s="23" t="str">
        <f aca="false">IF(A1645="","",IF(A1645&lt;=profil!$B$9,"Realisasi","Rencana"))</f>
        <v>Rencana</v>
      </c>
      <c r="C1645" s="18" t="s">
        <v>162</v>
      </c>
      <c r="D1645" s="18" t="s">
        <v>163</v>
      </c>
      <c r="E1645" s="29" t="n">
        <f aca="false">J1644</f>
        <v>0</v>
      </c>
      <c r="F1645" s="28"/>
      <c r="G1645" s="30" t="n">
        <v>0</v>
      </c>
      <c r="H1645" s="28"/>
      <c r="I1645" s="28"/>
      <c r="J1645" s="29" t="n">
        <f aca="false">E1645+F1645+G1645-H1645-I1645</f>
        <v>0</v>
      </c>
      <c r="K1645" s="29" t="n">
        <f aca="false">ROUND(E1645+F1645+G1645-H1645-I1645-J1645,1)</f>
        <v>0</v>
      </c>
    </row>
    <row r="1646" customFormat="false" ht="15" hidden="false" customHeight="false" outlineLevel="0" collapsed="false">
      <c r="A1646" s="25" t="n">
        <v>46207</v>
      </c>
      <c r="B1646" s="23" t="str">
        <f aca="false">IF(A1646="","",IF(A1646&lt;=profil!$B$9,"Realisasi","Rencana"))</f>
        <v>Rencana</v>
      </c>
      <c r="C1646" s="18" t="s">
        <v>162</v>
      </c>
      <c r="D1646" s="18" t="s">
        <v>163</v>
      </c>
      <c r="E1646" s="29" t="n">
        <f aca="false">J1645</f>
        <v>0</v>
      </c>
      <c r="F1646" s="28"/>
      <c r="G1646" s="30" t="n">
        <v>0</v>
      </c>
      <c r="H1646" s="28"/>
      <c r="I1646" s="28"/>
      <c r="J1646" s="29" t="n">
        <f aca="false">E1646+F1646+G1646-H1646-I1646</f>
        <v>0</v>
      </c>
      <c r="K1646" s="29" t="n">
        <f aca="false">ROUND(E1646+F1646+G1646-H1646-I1646-J1646,1)</f>
        <v>0</v>
      </c>
    </row>
    <row r="1647" customFormat="false" ht="15" hidden="false" customHeight="false" outlineLevel="0" collapsed="false">
      <c r="A1647" s="25" t="n">
        <v>46208</v>
      </c>
      <c r="B1647" s="23" t="str">
        <f aca="false">IF(A1647="","",IF(A1647&lt;=profil!$B$9,"Realisasi","Rencana"))</f>
        <v>Rencana</v>
      </c>
      <c r="C1647" s="18" t="s">
        <v>162</v>
      </c>
      <c r="D1647" s="18" t="s">
        <v>163</v>
      </c>
      <c r="E1647" s="29" t="n">
        <f aca="false">J1646</f>
        <v>0</v>
      </c>
      <c r="F1647" s="28"/>
      <c r="G1647" s="30" t="n">
        <v>0</v>
      </c>
      <c r="H1647" s="28"/>
      <c r="I1647" s="28"/>
      <c r="J1647" s="29" t="n">
        <f aca="false">E1647+F1647+G1647-H1647-I1647</f>
        <v>0</v>
      </c>
      <c r="K1647" s="29" t="n">
        <f aca="false">ROUND(E1647+F1647+G1647-H1647-I1647-J1647,1)</f>
        <v>0</v>
      </c>
    </row>
    <row r="1648" customFormat="false" ht="15" hidden="false" customHeight="false" outlineLevel="0" collapsed="false">
      <c r="A1648" s="25" t="n">
        <v>46209</v>
      </c>
      <c r="B1648" s="23" t="str">
        <f aca="false">IF(A1648="","",IF(A1648&lt;=profil!$B$9,"Realisasi","Rencana"))</f>
        <v>Rencana</v>
      </c>
      <c r="C1648" s="18" t="s">
        <v>162</v>
      </c>
      <c r="D1648" s="18" t="s">
        <v>163</v>
      </c>
      <c r="E1648" s="29" t="n">
        <f aca="false">J1647</f>
        <v>0</v>
      </c>
      <c r="F1648" s="28"/>
      <c r="G1648" s="30" t="n">
        <v>0</v>
      </c>
      <c r="H1648" s="28"/>
      <c r="I1648" s="28"/>
      <c r="J1648" s="29" t="n">
        <f aca="false">E1648+F1648+G1648-H1648-I1648</f>
        <v>0</v>
      </c>
      <c r="K1648" s="29" t="n">
        <f aca="false">ROUND(E1648+F1648+G1648-H1648-I1648-J1648,1)</f>
        <v>0</v>
      </c>
    </row>
    <row r="1649" customFormat="false" ht="15" hidden="false" customHeight="false" outlineLevel="0" collapsed="false">
      <c r="A1649" s="25" t="n">
        <v>46210</v>
      </c>
      <c r="B1649" s="23" t="str">
        <f aca="false">IF(A1649="","",IF(A1649&lt;=profil!$B$9,"Realisasi","Rencana"))</f>
        <v>Rencana</v>
      </c>
      <c r="C1649" s="18" t="s">
        <v>162</v>
      </c>
      <c r="D1649" s="18" t="s">
        <v>163</v>
      </c>
      <c r="E1649" s="29" t="n">
        <f aca="false">J1648</f>
        <v>0</v>
      </c>
      <c r="F1649" s="28"/>
      <c r="G1649" s="30" t="n">
        <v>0</v>
      </c>
      <c r="H1649" s="28"/>
      <c r="I1649" s="28"/>
      <c r="J1649" s="29" t="n">
        <f aca="false">E1649+F1649+G1649-H1649-I1649</f>
        <v>0</v>
      </c>
      <c r="K1649" s="29" t="n">
        <f aca="false">ROUND(E1649+F1649+G1649-H1649-I1649-J1649,1)</f>
        <v>0</v>
      </c>
    </row>
    <row r="1650" customFormat="false" ht="15" hidden="false" customHeight="false" outlineLevel="0" collapsed="false">
      <c r="A1650" s="25" t="n">
        <v>46211</v>
      </c>
      <c r="B1650" s="23" t="str">
        <f aca="false">IF(A1650="","",IF(A1650&lt;=profil!$B$9,"Realisasi","Rencana"))</f>
        <v>Rencana</v>
      </c>
      <c r="C1650" s="18" t="s">
        <v>162</v>
      </c>
      <c r="D1650" s="18" t="s">
        <v>163</v>
      </c>
      <c r="E1650" s="29" t="n">
        <f aca="false">J1649</f>
        <v>0</v>
      </c>
      <c r="F1650" s="28"/>
      <c r="G1650" s="30" t="n">
        <v>0</v>
      </c>
      <c r="H1650" s="28"/>
      <c r="I1650" s="28"/>
      <c r="J1650" s="29" t="n">
        <f aca="false">E1650+F1650+G1650-H1650-I1650</f>
        <v>0</v>
      </c>
      <c r="K1650" s="29" t="n">
        <f aca="false">ROUND(E1650+F1650+G1650-H1650-I1650-J1650,1)</f>
        <v>0</v>
      </c>
    </row>
    <row r="1651" customFormat="false" ht="15" hidden="false" customHeight="false" outlineLevel="0" collapsed="false">
      <c r="A1651" s="25" t="n">
        <v>46212</v>
      </c>
      <c r="B1651" s="23" t="str">
        <f aca="false">IF(A1651="","",IF(A1651&lt;=profil!$B$9,"Realisasi","Rencana"))</f>
        <v>Rencana</v>
      </c>
      <c r="C1651" s="18" t="s">
        <v>162</v>
      </c>
      <c r="D1651" s="18" t="s">
        <v>163</v>
      </c>
      <c r="E1651" s="29" t="n">
        <f aca="false">J1650</f>
        <v>0</v>
      </c>
      <c r="F1651" s="28"/>
      <c r="G1651" s="30" t="n">
        <v>0</v>
      </c>
      <c r="H1651" s="28"/>
      <c r="I1651" s="28"/>
      <c r="J1651" s="29" t="n">
        <f aca="false">E1651+F1651+G1651-H1651-I1651</f>
        <v>0</v>
      </c>
      <c r="K1651" s="29" t="n">
        <f aca="false">ROUND(E1651+F1651+G1651-H1651-I1651-J1651,1)</f>
        <v>0</v>
      </c>
    </row>
    <row r="1652" customFormat="false" ht="15" hidden="false" customHeight="false" outlineLevel="0" collapsed="false">
      <c r="A1652" s="25" t="n">
        <v>46213</v>
      </c>
      <c r="B1652" s="23" t="str">
        <f aca="false">IF(A1652="","",IF(A1652&lt;=profil!$B$9,"Realisasi","Rencana"))</f>
        <v>Rencana</v>
      </c>
      <c r="C1652" s="18" t="s">
        <v>162</v>
      </c>
      <c r="D1652" s="18" t="s">
        <v>163</v>
      </c>
      <c r="E1652" s="29" t="n">
        <f aca="false">J1651</f>
        <v>0</v>
      </c>
      <c r="F1652" s="28"/>
      <c r="G1652" s="30" t="n">
        <v>0</v>
      </c>
      <c r="H1652" s="28"/>
      <c r="I1652" s="28"/>
      <c r="J1652" s="29" t="n">
        <f aca="false">E1652+F1652+G1652-H1652-I1652</f>
        <v>0</v>
      </c>
      <c r="K1652" s="29" t="n">
        <f aca="false">ROUND(E1652+F1652+G1652-H1652-I1652-J1652,1)</f>
        <v>0</v>
      </c>
    </row>
    <row r="1653" customFormat="false" ht="15" hidden="false" customHeight="false" outlineLevel="0" collapsed="false">
      <c r="A1653" s="25" t="n">
        <v>46214</v>
      </c>
      <c r="B1653" s="23" t="str">
        <f aca="false">IF(A1653="","",IF(A1653&lt;=profil!$B$9,"Realisasi","Rencana"))</f>
        <v>Rencana</v>
      </c>
      <c r="C1653" s="18" t="s">
        <v>162</v>
      </c>
      <c r="D1653" s="18" t="s">
        <v>163</v>
      </c>
      <c r="E1653" s="29" t="n">
        <f aca="false">J1652</f>
        <v>0</v>
      </c>
      <c r="F1653" s="28"/>
      <c r="G1653" s="30" t="n">
        <v>0</v>
      </c>
      <c r="H1653" s="28"/>
      <c r="I1653" s="28"/>
      <c r="J1653" s="29" t="n">
        <f aca="false">E1653+F1653+G1653-H1653-I1653</f>
        <v>0</v>
      </c>
      <c r="K1653" s="29" t="n">
        <f aca="false">ROUND(E1653+F1653+G1653-H1653-I1653-J1653,1)</f>
        <v>0</v>
      </c>
    </row>
    <row r="1654" customFormat="false" ht="15" hidden="false" customHeight="false" outlineLevel="0" collapsed="false">
      <c r="A1654" s="25" t="n">
        <v>46215</v>
      </c>
      <c r="B1654" s="23" t="str">
        <f aca="false">IF(A1654="","",IF(A1654&lt;=profil!$B$9,"Realisasi","Rencana"))</f>
        <v>Rencana</v>
      </c>
      <c r="C1654" s="18" t="s">
        <v>162</v>
      </c>
      <c r="D1654" s="18" t="s">
        <v>163</v>
      </c>
      <c r="E1654" s="29" t="n">
        <f aca="false">J1653</f>
        <v>0</v>
      </c>
      <c r="F1654" s="28"/>
      <c r="G1654" s="30" t="n">
        <v>0</v>
      </c>
      <c r="H1654" s="28"/>
      <c r="I1654" s="28"/>
      <c r="J1654" s="29" t="n">
        <f aca="false">E1654+F1654+G1654-H1654-I1654</f>
        <v>0</v>
      </c>
      <c r="K1654" s="29" t="n">
        <f aca="false">ROUND(E1654+F1654+G1654-H1654-I1654-J1654,1)</f>
        <v>0</v>
      </c>
    </row>
    <row r="1655" customFormat="false" ht="15" hidden="false" customHeight="false" outlineLevel="0" collapsed="false">
      <c r="A1655" s="25" t="n">
        <v>46216</v>
      </c>
      <c r="B1655" s="23" t="str">
        <f aca="false">IF(A1655="","",IF(A1655&lt;=profil!$B$9,"Realisasi","Rencana"))</f>
        <v>Rencana</v>
      </c>
      <c r="C1655" s="18" t="s">
        <v>162</v>
      </c>
      <c r="D1655" s="18" t="s">
        <v>163</v>
      </c>
      <c r="E1655" s="29" t="n">
        <f aca="false">J1654</f>
        <v>0</v>
      </c>
      <c r="F1655" s="28"/>
      <c r="G1655" s="30" t="n">
        <v>0</v>
      </c>
      <c r="H1655" s="28"/>
      <c r="I1655" s="28"/>
      <c r="J1655" s="29" t="n">
        <f aca="false">E1655+F1655+G1655-H1655-I1655</f>
        <v>0</v>
      </c>
      <c r="K1655" s="29" t="n">
        <f aca="false">ROUND(E1655+F1655+G1655-H1655-I1655-J1655,1)</f>
        <v>0</v>
      </c>
    </row>
    <row r="1656" customFormat="false" ht="15" hidden="false" customHeight="false" outlineLevel="0" collapsed="false">
      <c r="A1656" s="25" t="n">
        <v>46217</v>
      </c>
      <c r="B1656" s="23" t="str">
        <f aca="false">IF(A1656="","",IF(A1656&lt;=profil!$B$9,"Realisasi","Rencana"))</f>
        <v>Rencana</v>
      </c>
      <c r="C1656" s="18" t="s">
        <v>162</v>
      </c>
      <c r="D1656" s="18" t="s">
        <v>163</v>
      </c>
      <c r="E1656" s="29" t="n">
        <f aca="false">J1655</f>
        <v>0</v>
      </c>
      <c r="F1656" s="28"/>
      <c r="G1656" s="30" t="n">
        <v>0</v>
      </c>
      <c r="H1656" s="28"/>
      <c r="I1656" s="28"/>
      <c r="J1656" s="29" t="n">
        <f aca="false">E1656+F1656+G1656-H1656-I1656</f>
        <v>0</v>
      </c>
      <c r="K1656" s="29" t="n">
        <f aca="false">ROUND(E1656+F1656+G1656-H1656-I1656-J1656,1)</f>
        <v>0</v>
      </c>
    </row>
    <row r="1657" customFormat="false" ht="15" hidden="false" customHeight="false" outlineLevel="0" collapsed="false">
      <c r="A1657" s="25" t="n">
        <v>46218</v>
      </c>
      <c r="B1657" s="23" t="str">
        <f aca="false">IF(A1657="","",IF(A1657&lt;=profil!$B$9,"Realisasi","Rencana"))</f>
        <v>Rencana</v>
      </c>
      <c r="C1657" s="18" t="s">
        <v>162</v>
      </c>
      <c r="D1657" s="18" t="s">
        <v>163</v>
      </c>
      <c r="E1657" s="29" t="n">
        <f aca="false">J1656</f>
        <v>0</v>
      </c>
      <c r="F1657" s="28"/>
      <c r="G1657" s="30" t="n">
        <v>0</v>
      </c>
      <c r="H1657" s="28"/>
      <c r="I1657" s="28"/>
      <c r="J1657" s="29" t="n">
        <f aca="false">E1657+F1657+G1657-H1657-I1657</f>
        <v>0</v>
      </c>
      <c r="K1657" s="29" t="n">
        <f aca="false">ROUND(E1657+F1657+G1657-H1657-I1657-J1657,1)</f>
        <v>0</v>
      </c>
    </row>
    <row r="1658" customFormat="false" ht="15" hidden="false" customHeight="false" outlineLevel="0" collapsed="false">
      <c r="A1658" s="25" t="n">
        <v>46219</v>
      </c>
      <c r="B1658" s="23" t="str">
        <f aca="false">IF(A1658="","",IF(A1658&lt;=profil!$B$9,"Realisasi","Rencana"))</f>
        <v>Rencana</v>
      </c>
      <c r="C1658" s="18" t="s">
        <v>162</v>
      </c>
      <c r="D1658" s="18" t="s">
        <v>163</v>
      </c>
      <c r="E1658" s="29" t="n">
        <f aca="false">J1657</f>
        <v>0</v>
      </c>
      <c r="F1658" s="28"/>
      <c r="G1658" s="30" t="n">
        <v>0</v>
      </c>
      <c r="H1658" s="28"/>
      <c r="I1658" s="28"/>
      <c r="J1658" s="29" t="n">
        <f aca="false">E1658+F1658+G1658-H1658-I1658</f>
        <v>0</v>
      </c>
      <c r="K1658" s="29" t="n">
        <f aca="false">ROUND(E1658+F1658+G1658-H1658-I1658-J1658,1)</f>
        <v>0</v>
      </c>
    </row>
    <row r="1659" customFormat="false" ht="15" hidden="false" customHeight="false" outlineLevel="0" collapsed="false">
      <c r="A1659" s="25" t="n">
        <v>46220</v>
      </c>
      <c r="B1659" s="23" t="str">
        <f aca="false">IF(A1659="","",IF(A1659&lt;=profil!$B$9,"Realisasi","Rencana"))</f>
        <v>Rencana</v>
      </c>
      <c r="C1659" s="18" t="s">
        <v>162</v>
      </c>
      <c r="D1659" s="18" t="s">
        <v>163</v>
      </c>
      <c r="E1659" s="29" t="n">
        <f aca="false">J1658</f>
        <v>0</v>
      </c>
      <c r="F1659" s="28"/>
      <c r="G1659" s="30" t="n">
        <v>0</v>
      </c>
      <c r="H1659" s="28"/>
      <c r="I1659" s="28"/>
      <c r="J1659" s="29" t="n">
        <f aca="false">E1659+F1659+G1659-H1659-I1659</f>
        <v>0</v>
      </c>
      <c r="K1659" s="29" t="n">
        <f aca="false">ROUND(E1659+F1659+G1659-H1659-I1659-J1659,1)</f>
        <v>0</v>
      </c>
    </row>
    <row r="1660" customFormat="false" ht="15" hidden="false" customHeight="false" outlineLevel="0" collapsed="false">
      <c r="A1660" s="25" t="n">
        <v>46221</v>
      </c>
      <c r="B1660" s="23" t="str">
        <f aca="false">IF(A1660="","",IF(A1660&lt;=profil!$B$9,"Realisasi","Rencana"))</f>
        <v>Rencana</v>
      </c>
      <c r="C1660" s="18" t="s">
        <v>162</v>
      </c>
      <c r="D1660" s="18" t="s">
        <v>163</v>
      </c>
      <c r="E1660" s="29" t="n">
        <f aca="false">J1659</f>
        <v>0</v>
      </c>
      <c r="F1660" s="28"/>
      <c r="G1660" s="30" t="n">
        <v>0</v>
      </c>
      <c r="H1660" s="28"/>
      <c r="I1660" s="28"/>
      <c r="J1660" s="29" t="n">
        <f aca="false">E1660+F1660+G1660-H1660-I1660</f>
        <v>0</v>
      </c>
      <c r="K1660" s="29" t="n">
        <f aca="false">ROUND(E1660+F1660+G1660-H1660-I1660-J1660,1)</f>
        <v>0</v>
      </c>
    </row>
    <row r="1661" customFormat="false" ht="15" hidden="false" customHeight="false" outlineLevel="0" collapsed="false">
      <c r="A1661" s="25" t="n">
        <v>46222</v>
      </c>
      <c r="B1661" s="23" t="str">
        <f aca="false">IF(A1661="","",IF(A1661&lt;=profil!$B$9,"Realisasi","Rencana"))</f>
        <v>Rencana</v>
      </c>
      <c r="C1661" s="18" t="s">
        <v>162</v>
      </c>
      <c r="D1661" s="18" t="s">
        <v>163</v>
      </c>
      <c r="E1661" s="29" t="n">
        <f aca="false">J1660</f>
        <v>0</v>
      </c>
      <c r="F1661" s="28"/>
      <c r="G1661" s="30" t="n">
        <v>0</v>
      </c>
      <c r="H1661" s="28"/>
      <c r="I1661" s="28"/>
      <c r="J1661" s="29" t="n">
        <f aca="false">E1661+F1661+G1661-H1661-I1661</f>
        <v>0</v>
      </c>
      <c r="K1661" s="29" t="n">
        <f aca="false">ROUND(E1661+F1661+G1661-H1661-I1661-J1661,1)</f>
        <v>0</v>
      </c>
    </row>
    <row r="1662" customFormat="false" ht="15" hidden="false" customHeight="false" outlineLevel="0" collapsed="false">
      <c r="A1662" s="25" t="n">
        <v>46223</v>
      </c>
      <c r="B1662" s="23" t="str">
        <f aca="false">IF(A1662="","",IF(A1662&lt;=profil!$B$9,"Realisasi","Rencana"))</f>
        <v>Rencana</v>
      </c>
      <c r="C1662" s="18" t="s">
        <v>162</v>
      </c>
      <c r="D1662" s="18" t="s">
        <v>163</v>
      </c>
      <c r="E1662" s="29" t="n">
        <f aca="false">J1661</f>
        <v>0</v>
      </c>
      <c r="F1662" s="28"/>
      <c r="G1662" s="30" t="n">
        <v>0</v>
      </c>
      <c r="H1662" s="28"/>
      <c r="I1662" s="28"/>
      <c r="J1662" s="29" t="n">
        <f aca="false">E1662+F1662+G1662-H1662-I1662</f>
        <v>0</v>
      </c>
      <c r="K1662" s="29" t="n">
        <f aca="false">ROUND(E1662+F1662+G1662-H1662-I1662-J1662,1)</f>
        <v>0</v>
      </c>
    </row>
    <row r="1663" customFormat="false" ht="15" hidden="false" customHeight="false" outlineLevel="0" collapsed="false">
      <c r="A1663" s="25" t="n">
        <v>46224</v>
      </c>
      <c r="B1663" s="23" t="str">
        <f aca="false">IF(A1663="","",IF(A1663&lt;=profil!$B$9,"Realisasi","Rencana"))</f>
        <v>Rencana</v>
      </c>
      <c r="C1663" s="18" t="s">
        <v>162</v>
      </c>
      <c r="D1663" s="18" t="s">
        <v>163</v>
      </c>
      <c r="E1663" s="29" t="n">
        <f aca="false">J1662</f>
        <v>0</v>
      </c>
      <c r="F1663" s="28"/>
      <c r="G1663" s="30" t="n">
        <v>0</v>
      </c>
      <c r="H1663" s="28"/>
      <c r="I1663" s="28"/>
      <c r="J1663" s="29" t="n">
        <f aca="false">E1663+F1663+G1663-H1663-I1663</f>
        <v>0</v>
      </c>
      <c r="K1663" s="29" t="n">
        <f aca="false">ROUND(E1663+F1663+G1663-H1663-I1663-J1663,1)</f>
        <v>0</v>
      </c>
    </row>
    <row r="1664" customFormat="false" ht="15" hidden="false" customHeight="false" outlineLevel="0" collapsed="false">
      <c r="A1664" s="25" t="n">
        <v>46225</v>
      </c>
      <c r="B1664" s="23" t="str">
        <f aca="false">IF(A1664="","",IF(A1664&lt;=profil!$B$9,"Realisasi","Rencana"))</f>
        <v>Rencana</v>
      </c>
      <c r="C1664" s="18" t="s">
        <v>162</v>
      </c>
      <c r="D1664" s="18" t="s">
        <v>163</v>
      </c>
      <c r="E1664" s="29" t="n">
        <f aca="false">J1663</f>
        <v>0</v>
      </c>
      <c r="F1664" s="28"/>
      <c r="G1664" s="30" t="n">
        <v>0</v>
      </c>
      <c r="H1664" s="28"/>
      <c r="I1664" s="28"/>
      <c r="J1664" s="29" t="n">
        <f aca="false">E1664+F1664+G1664-H1664-I1664</f>
        <v>0</v>
      </c>
      <c r="K1664" s="29" t="n">
        <f aca="false">ROUND(E1664+F1664+G1664-H1664-I1664-J1664,1)</f>
        <v>0</v>
      </c>
    </row>
    <row r="1665" customFormat="false" ht="15" hidden="false" customHeight="false" outlineLevel="0" collapsed="false">
      <c r="A1665" s="25" t="n">
        <v>46226</v>
      </c>
      <c r="B1665" s="23" t="str">
        <f aca="false">IF(A1665="","",IF(A1665&lt;=profil!$B$9,"Realisasi","Rencana"))</f>
        <v>Rencana</v>
      </c>
      <c r="C1665" s="18" t="s">
        <v>162</v>
      </c>
      <c r="D1665" s="18" t="s">
        <v>163</v>
      </c>
      <c r="E1665" s="29" t="n">
        <f aca="false">J1664</f>
        <v>0</v>
      </c>
      <c r="F1665" s="28"/>
      <c r="G1665" s="30" t="n">
        <v>0</v>
      </c>
      <c r="H1665" s="28"/>
      <c r="I1665" s="28"/>
      <c r="J1665" s="29" t="n">
        <f aca="false">E1665+F1665+G1665-H1665-I1665</f>
        <v>0</v>
      </c>
      <c r="K1665" s="29" t="n">
        <f aca="false">ROUND(E1665+F1665+G1665-H1665-I1665-J1665,1)</f>
        <v>0</v>
      </c>
    </row>
    <row r="1666" customFormat="false" ht="15" hidden="false" customHeight="false" outlineLevel="0" collapsed="false">
      <c r="A1666" s="25" t="n">
        <v>46227</v>
      </c>
      <c r="B1666" s="23" t="str">
        <f aca="false">IF(A1666="","",IF(A1666&lt;=profil!$B$9,"Realisasi","Rencana"))</f>
        <v>Rencana</v>
      </c>
      <c r="C1666" s="18" t="s">
        <v>162</v>
      </c>
      <c r="D1666" s="18" t="s">
        <v>163</v>
      </c>
      <c r="E1666" s="29" t="n">
        <f aca="false">J1665</f>
        <v>0</v>
      </c>
      <c r="F1666" s="28"/>
      <c r="G1666" s="30" t="n">
        <v>0</v>
      </c>
      <c r="H1666" s="28"/>
      <c r="I1666" s="28"/>
      <c r="J1666" s="29" t="n">
        <f aca="false">E1666+F1666+G1666-H1666-I1666</f>
        <v>0</v>
      </c>
      <c r="K1666" s="29" t="n">
        <f aca="false">ROUND(E1666+F1666+G1666-H1666-I1666-J1666,1)</f>
        <v>0</v>
      </c>
    </row>
    <row r="1667" customFormat="false" ht="15" hidden="false" customHeight="false" outlineLevel="0" collapsed="false">
      <c r="A1667" s="25" t="n">
        <v>46228</v>
      </c>
      <c r="B1667" s="23" t="str">
        <f aca="false">IF(A1667="","",IF(A1667&lt;=profil!$B$9,"Realisasi","Rencana"))</f>
        <v>Rencana</v>
      </c>
      <c r="C1667" s="18" t="s">
        <v>162</v>
      </c>
      <c r="D1667" s="18" t="s">
        <v>163</v>
      </c>
      <c r="E1667" s="29" t="n">
        <f aca="false">J1666</f>
        <v>0</v>
      </c>
      <c r="F1667" s="28"/>
      <c r="G1667" s="30" t="n">
        <v>0</v>
      </c>
      <c r="H1667" s="28"/>
      <c r="I1667" s="28"/>
      <c r="J1667" s="29" t="n">
        <f aca="false">E1667+F1667+G1667-H1667-I1667</f>
        <v>0</v>
      </c>
      <c r="K1667" s="29" t="n">
        <f aca="false">ROUND(E1667+F1667+G1667-H1667-I1667-J1667,1)</f>
        <v>0</v>
      </c>
    </row>
    <row r="1668" customFormat="false" ht="15" hidden="false" customHeight="false" outlineLevel="0" collapsed="false">
      <c r="A1668" s="25" t="n">
        <v>46229</v>
      </c>
      <c r="B1668" s="23" t="str">
        <f aca="false">IF(A1668="","",IF(A1668&lt;=profil!$B$9,"Realisasi","Rencana"))</f>
        <v>Rencana</v>
      </c>
      <c r="C1668" s="18" t="s">
        <v>162</v>
      </c>
      <c r="D1668" s="18" t="s">
        <v>163</v>
      </c>
      <c r="E1668" s="29" t="n">
        <f aca="false">J1667</f>
        <v>0</v>
      </c>
      <c r="F1668" s="28"/>
      <c r="G1668" s="30" t="n">
        <v>0</v>
      </c>
      <c r="H1668" s="28"/>
      <c r="I1668" s="28"/>
      <c r="J1668" s="29" t="n">
        <f aca="false">E1668+F1668+G1668-H1668-I1668</f>
        <v>0</v>
      </c>
      <c r="K1668" s="29" t="n">
        <f aca="false">ROUND(E1668+F1668+G1668-H1668-I1668-J1668,1)</f>
        <v>0</v>
      </c>
    </row>
    <row r="1669" customFormat="false" ht="15" hidden="false" customHeight="false" outlineLevel="0" collapsed="false">
      <c r="A1669" s="25" t="n">
        <v>46230</v>
      </c>
      <c r="B1669" s="23" t="str">
        <f aca="false">IF(A1669="","",IF(A1669&lt;=profil!$B$9,"Realisasi","Rencana"))</f>
        <v>Rencana</v>
      </c>
      <c r="C1669" s="18" t="s">
        <v>162</v>
      </c>
      <c r="D1669" s="18" t="s">
        <v>163</v>
      </c>
      <c r="E1669" s="29" t="n">
        <f aca="false">J1668</f>
        <v>0</v>
      </c>
      <c r="F1669" s="28"/>
      <c r="G1669" s="30" t="n">
        <v>0</v>
      </c>
      <c r="H1669" s="28"/>
      <c r="I1669" s="28"/>
      <c r="J1669" s="29" t="n">
        <f aca="false">E1669+F1669+G1669-H1669-I1669</f>
        <v>0</v>
      </c>
      <c r="K1669" s="29" t="n">
        <f aca="false">ROUND(E1669+F1669+G1669-H1669-I1669-J1669,1)</f>
        <v>0</v>
      </c>
    </row>
    <row r="1670" customFormat="false" ht="15" hidden="false" customHeight="false" outlineLevel="0" collapsed="false">
      <c r="A1670" s="25" t="n">
        <v>46231</v>
      </c>
      <c r="B1670" s="23" t="str">
        <f aca="false">IF(A1670="","",IF(A1670&lt;=profil!$B$9,"Realisasi","Rencana"))</f>
        <v>Rencana</v>
      </c>
      <c r="C1670" s="18" t="s">
        <v>162</v>
      </c>
      <c r="D1670" s="18" t="s">
        <v>163</v>
      </c>
      <c r="E1670" s="29" t="n">
        <f aca="false">J1669</f>
        <v>0</v>
      </c>
      <c r="F1670" s="28"/>
      <c r="G1670" s="30" t="n">
        <v>0</v>
      </c>
      <c r="H1670" s="28"/>
      <c r="I1670" s="28"/>
      <c r="J1670" s="29" t="n">
        <f aca="false">E1670+F1670+G1670-H1670-I1670</f>
        <v>0</v>
      </c>
      <c r="K1670" s="29" t="n">
        <f aca="false">ROUND(E1670+F1670+G1670-H1670-I1670-J1670,1)</f>
        <v>0</v>
      </c>
    </row>
    <row r="1671" customFormat="false" ht="15" hidden="false" customHeight="false" outlineLevel="0" collapsed="false">
      <c r="A1671" s="25" t="n">
        <v>46232</v>
      </c>
      <c r="B1671" s="23" t="str">
        <f aca="false">IF(A1671="","",IF(A1671&lt;=profil!$B$9,"Realisasi","Rencana"))</f>
        <v>Rencana</v>
      </c>
      <c r="C1671" s="18" t="s">
        <v>162</v>
      </c>
      <c r="D1671" s="18" t="s">
        <v>163</v>
      </c>
      <c r="E1671" s="29" t="n">
        <f aca="false">J1670</f>
        <v>0</v>
      </c>
      <c r="F1671" s="28"/>
      <c r="G1671" s="30" t="n">
        <v>0</v>
      </c>
      <c r="H1671" s="28"/>
      <c r="I1671" s="28"/>
      <c r="J1671" s="29" t="n">
        <f aca="false">E1671+F1671+G1671-H1671-I1671</f>
        <v>0</v>
      </c>
      <c r="K1671" s="29" t="n">
        <f aca="false">ROUND(E1671+F1671+G1671-H1671-I1671-J1671,1)</f>
        <v>0</v>
      </c>
    </row>
    <row r="1672" customFormat="false" ht="15" hidden="false" customHeight="false" outlineLevel="0" collapsed="false">
      <c r="A1672" s="25" t="n">
        <v>46233</v>
      </c>
      <c r="B1672" s="23" t="str">
        <f aca="false">IF(A1672="","",IF(A1672&lt;=profil!$B$9,"Realisasi","Rencana"))</f>
        <v>Rencana</v>
      </c>
      <c r="C1672" s="18" t="s">
        <v>162</v>
      </c>
      <c r="D1672" s="18" t="s">
        <v>163</v>
      </c>
      <c r="E1672" s="29" t="n">
        <f aca="false">J1671</f>
        <v>0</v>
      </c>
      <c r="F1672" s="28"/>
      <c r="G1672" s="30" t="n">
        <v>0</v>
      </c>
      <c r="H1672" s="28"/>
      <c r="I1672" s="28"/>
      <c r="J1672" s="29" t="n">
        <f aca="false">E1672+F1672+G1672-H1672-I1672</f>
        <v>0</v>
      </c>
      <c r="K1672" s="29" t="n">
        <f aca="false">ROUND(E1672+F1672+G1672-H1672-I1672-J1672,1)</f>
        <v>0</v>
      </c>
    </row>
    <row r="1673" customFormat="false" ht="15" hidden="false" customHeight="false" outlineLevel="0" collapsed="false">
      <c r="A1673" s="25" t="n">
        <v>46234</v>
      </c>
      <c r="B1673" s="23" t="str">
        <f aca="false">IF(A1673="","",IF(A1673&lt;=profil!$B$9,"Realisasi","Rencana"))</f>
        <v>Rencana</v>
      </c>
      <c r="C1673" s="18" t="s">
        <v>162</v>
      </c>
      <c r="D1673" s="18" t="s">
        <v>163</v>
      </c>
      <c r="E1673" s="29" t="n">
        <f aca="false">J1672</f>
        <v>0</v>
      </c>
      <c r="F1673" s="28"/>
      <c r="G1673" s="30" t="n">
        <v>0</v>
      </c>
      <c r="H1673" s="28"/>
      <c r="I1673" s="28"/>
      <c r="J1673" s="29" t="n">
        <f aca="false">E1673+F1673+G1673-H1673-I1673</f>
        <v>0</v>
      </c>
      <c r="K1673" s="29" t="n">
        <f aca="false">ROUND(E1673+F1673+G1673-H1673-I1673-J1673,1)</f>
        <v>0</v>
      </c>
    </row>
    <row r="1674" customFormat="false" ht="15" hidden="false" customHeight="false" outlineLevel="0" collapsed="false">
      <c r="A1674" s="25" t="n">
        <v>46235</v>
      </c>
      <c r="B1674" s="23" t="str">
        <f aca="false">IF(A1674="","",IF(A1674&lt;=profil!$B$9,"Realisasi","Rencana"))</f>
        <v>Rencana</v>
      </c>
      <c r="C1674" s="18" t="s">
        <v>162</v>
      </c>
      <c r="D1674" s="18" t="s">
        <v>163</v>
      </c>
      <c r="E1674" s="29" t="n">
        <f aca="false">J1673</f>
        <v>0</v>
      </c>
      <c r="F1674" s="28"/>
      <c r="G1674" s="30" t="n">
        <v>0</v>
      </c>
      <c r="H1674" s="28"/>
      <c r="I1674" s="28"/>
      <c r="J1674" s="29" t="n">
        <f aca="false">E1674+F1674+G1674-H1674-I1674</f>
        <v>0</v>
      </c>
      <c r="K1674" s="29" t="n">
        <f aca="false">ROUND(E1674+F1674+G1674-H1674-I1674-J1674,1)</f>
        <v>0</v>
      </c>
    </row>
    <row r="1675" customFormat="false" ht="15" hidden="false" customHeight="false" outlineLevel="0" collapsed="false">
      <c r="A1675" s="25" t="n">
        <v>46236</v>
      </c>
      <c r="B1675" s="23" t="str">
        <f aca="false">IF(A1675="","",IF(A1675&lt;=profil!$B$9,"Realisasi","Rencana"))</f>
        <v>Rencana</v>
      </c>
      <c r="C1675" s="18" t="s">
        <v>162</v>
      </c>
      <c r="D1675" s="18" t="s">
        <v>163</v>
      </c>
      <c r="E1675" s="29" t="n">
        <f aca="false">J1674</f>
        <v>0</v>
      </c>
      <c r="F1675" s="28"/>
      <c r="G1675" s="30" t="n">
        <v>0</v>
      </c>
      <c r="H1675" s="28"/>
      <c r="I1675" s="28"/>
      <c r="J1675" s="29" t="n">
        <f aca="false">E1675+F1675+G1675-H1675-I1675</f>
        <v>0</v>
      </c>
      <c r="K1675" s="29" t="n">
        <f aca="false">ROUND(E1675+F1675+G1675-H1675-I1675-J1675,1)</f>
        <v>0</v>
      </c>
    </row>
    <row r="1676" customFormat="false" ht="15" hidden="false" customHeight="false" outlineLevel="0" collapsed="false">
      <c r="A1676" s="25" t="n">
        <v>46237</v>
      </c>
      <c r="B1676" s="23" t="str">
        <f aca="false">IF(A1676="","",IF(A1676&lt;=profil!$B$9,"Realisasi","Rencana"))</f>
        <v>Rencana</v>
      </c>
      <c r="C1676" s="18" t="s">
        <v>162</v>
      </c>
      <c r="D1676" s="18" t="s">
        <v>163</v>
      </c>
      <c r="E1676" s="29" t="n">
        <f aca="false">J1675</f>
        <v>0</v>
      </c>
      <c r="F1676" s="28"/>
      <c r="G1676" s="30" t="n">
        <v>0</v>
      </c>
      <c r="H1676" s="28"/>
      <c r="I1676" s="28"/>
      <c r="J1676" s="29" t="n">
        <f aca="false">E1676+F1676+G1676-H1676-I1676</f>
        <v>0</v>
      </c>
      <c r="K1676" s="29" t="n">
        <f aca="false">ROUND(E1676+F1676+G1676-H1676-I1676-J1676,1)</f>
        <v>0</v>
      </c>
    </row>
    <row r="1677" customFormat="false" ht="15" hidden="false" customHeight="false" outlineLevel="0" collapsed="false">
      <c r="A1677" s="25" t="n">
        <v>46238</v>
      </c>
      <c r="B1677" s="23" t="str">
        <f aca="false">IF(A1677="","",IF(A1677&lt;=profil!$B$9,"Realisasi","Rencana"))</f>
        <v>Rencana</v>
      </c>
      <c r="C1677" s="18" t="s">
        <v>162</v>
      </c>
      <c r="D1677" s="18" t="s">
        <v>163</v>
      </c>
      <c r="E1677" s="29" t="n">
        <f aca="false">J1676</f>
        <v>0</v>
      </c>
      <c r="F1677" s="28"/>
      <c r="G1677" s="30" t="n">
        <v>0</v>
      </c>
      <c r="H1677" s="28"/>
      <c r="I1677" s="28"/>
      <c r="J1677" s="29" t="n">
        <f aca="false">E1677+F1677+G1677-H1677-I1677</f>
        <v>0</v>
      </c>
      <c r="K1677" s="29" t="n">
        <f aca="false">ROUND(E1677+F1677+G1677-H1677-I1677-J1677,1)</f>
        <v>0</v>
      </c>
    </row>
    <row r="1678" customFormat="false" ht="15" hidden="false" customHeight="false" outlineLevel="0" collapsed="false">
      <c r="A1678" s="25" t="n">
        <v>46239</v>
      </c>
      <c r="B1678" s="23" t="str">
        <f aca="false">IF(A1678="","",IF(A1678&lt;=profil!$B$9,"Realisasi","Rencana"))</f>
        <v>Rencana</v>
      </c>
      <c r="C1678" s="18" t="s">
        <v>162</v>
      </c>
      <c r="D1678" s="18" t="s">
        <v>163</v>
      </c>
      <c r="E1678" s="29" t="n">
        <f aca="false">J1677</f>
        <v>0</v>
      </c>
      <c r="F1678" s="28"/>
      <c r="G1678" s="30" t="n">
        <v>0</v>
      </c>
      <c r="H1678" s="28"/>
      <c r="I1678" s="28"/>
      <c r="J1678" s="29" t="n">
        <f aca="false">E1678+F1678+G1678-H1678-I1678</f>
        <v>0</v>
      </c>
      <c r="K1678" s="29" t="n">
        <f aca="false">ROUND(E1678+F1678+G1678-H1678-I1678-J1678,1)</f>
        <v>0</v>
      </c>
    </row>
    <row r="1679" customFormat="false" ht="15" hidden="false" customHeight="false" outlineLevel="0" collapsed="false">
      <c r="A1679" s="25" t="n">
        <v>46240</v>
      </c>
      <c r="B1679" s="23" t="str">
        <f aca="false">IF(A1679="","",IF(A1679&lt;=profil!$B$9,"Realisasi","Rencana"))</f>
        <v>Rencana</v>
      </c>
      <c r="C1679" s="18" t="s">
        <v>162</v>
      </c>
      <c r="D1679" s="18" t="s">
        <v>163</v>
      </c>
      <c r="E1679" s="29" t="n">
        <f aca="false">J1678</f>
        <v>0</v>
      </c>
      <c r="F1679" s="28"/>
      <c r="G1679" s="30" t="n">
        <v>0</v>
      </c>
      <c r="H1679" s="28"/>
      <c r="I1679" s="28"/>
      <c r="J1679" s="29" t="n">
        <f aca="false">E1679+F1679+G1679-H1679-I1679</f>
        <v>0</v>
      </c>
      <c r="K1679" s="29" t="n">
        <f aca="false">ROUND(E1679+F1679+G1679-H1679-I1679-J1679,1)</f>
        <v>0</v>
      </c>
    </row>
    <row r="1680" customFormat="false" ht="15" hidden="false" customHeight="false" outlineLevel="0" collapsed="false">
      <c r="A1680" s="25" t="n">
        <v>46241</v>
      </c>
      <c r="B1680" s="23" t="str">
        <f aca="false">IF(A1680="","",IF(A1680&lt;=profil!$B$9,"Realisasi","Rencana"))</f>
        <v>Rencana</v>
      </c>
      <c r="C1680" s="18" t="s">
        <v>162</v>
      </c>
      <c r="D1680" s="18" t="s">
        <v>163</v>
      </c>
      <c r="E1680" s="29" t="n">
        <f aca="false">J1679</f>
        <v>0</v>
      </c>
      <c r="F1680" s="28"/>
      <c r="G1680" s="30" t="n">
        <v>0</v>
      </c>
      <c r="H1680" s="28"/>
      <c r="I1680" s="28"/>
      <c r="J1680" s="29" t="n">
        <f aca="false">E1680+F1680+G1680-H1680-I1680</f>
        <v>0</v>
      </c>
      <c r="K1680" s="29" t="n">
        <f aca="false">ROUND(E1680+F1680+G1680-H1680-I1680-J1680,1)</f>
        <v>0</v>
      </c>
    </row>
    <row r="1681" customFormat="false" ht="15" hidden="false" customHeight="false" outlineLevel="0" collapsed="false">
      <c r="A1681" s="25" t="n">
        <v>46242</v>
      </c>
      <c r="B1681" s="23" t="str">
        <f aca="false">IF(A1681="","",IF(A1681&lt;=profil!$B$9,"Realisasi","Rencana"))</f>
        <v>Rencana</v>
      </c>
      <c r="C1681" s="18" t="s">
        <v>162</v>
      </c>
      <c r="D1681" s="18" t="s">
        <v>163</v>
      </c>
      <c r="E1681" s="29" t="n">
        <f aca="false">J1680</f>
        <v>0</v>
      </c>
      <c r="F1681" s="28"/>
      <c r="G1681" s="30" t="n">
        <v>0</v>
      </c>
      <c r="H1681" s="28"/>
      <c r="I1681" s="28"/>
      <c r="J1681" s="29" t="n">
        <f aca="false">E1681+F1681+G1681-H1681-I1681</f>
        <v>0</v>
      </c>
      <c r="K1681" s="29" t="n">
        <f aca="false">ROUND(E1681+F1681+G1681-H1681-I1681-J1681,1)</f>
        <v>0</v>
      </c>
    </row>
    <row r="1682" customFormat="false" ht="15" hidden="false" customHeight="false" outlineLevel="0" collapsed="false">
      <c r="A1682" s="25" t="n">
        <v>46243</v>
      </c>
      <c r="B1682" s="23" t="str">
        <f aca="false">IF(A1682="","",IF(A1682&lt;=profil!$B$9,"Realisasi","Rencana"))</f>
        <v>Rencana</v>
      </c>
      <c r="C1682" s="18" t="s">
        <v>162</v>
      </c>
      <c r="D1682" s="18" t="s">
        <v>163</v>
      </c>
      <c r="E1682" s="29" t="n">
        <f aca="false">J1681</f>
        <v>0</v>
      </c>
      <c r="F1682" s="28"/>
      <c r="G1682" s="30" t="n">
        <v>0</v>
      </c>
      <c r="H1682" s="28"/>
      <c r="I1682" s="28"/>
      <c r="J1682" s="29" t="n">
        <f aca="false">E1682+F1682+G1682-H1682-I1682</f>
        <v>0</v>
      </c>
      <c r="K1682" s="29" t="n">
        <f aca="false">ROUND(E1682+F1682+G1682-H1682-I1682-J1682,1)</f>
        <v>0</v>
      </c>
    </row>
    <row r="1683" customFormat="false" ht="15" hidden="false" customHeight="false" outlineLevel="0" collapsed="false">
      <c r="A1683" s="25" t="n">
        <v>46244</v>
      </c>
      <c r="B1683" s="23" t="str">
        <f aca="false">IF(A1683="","",IF(A1683&lt;=profil!$B$9,"Realisasi","Rencana"))</f>
        <v>Rencana</v>
      </c>
      <c r="C1683" s="18" t="s">
        <v>162</v>
      </c>
      <c r="D1683" s="18" t="s">
        <v>163</v>
      </c>
      <c r="E1683" s="29" t="n">
        <f aca="false">J1682</f>
        <v>0</v>
      </c>
      <c r="F1683" s="28"/>
      <c r="G1683" s="30" t="n">
        <v>0</v>
      </c>
      <c r="H1683" s="28"/>
      <c r="I1683" s="28"/>
      <c r="J1683" s="29" t="n">
        <f aca="false">E1683+F1683+G1683-H1683-I1683</f>
        <v>0</v>
      </c>
      <c r="K1683" s="29" t="n">
        <f aca="false">ROUND(E1683+F1683+G1683-H1683-I1683-J1683,1)</f>
        <v>0</v>
      </c>
    </row>
    <row r="1684" customFormat="false" ht="15" hidden="false" customHeight="false" outlineLevel="0" collapsed="false">
      <c r="A1684" s="25" t="n">
        <v>46245</v>
      </c>
      <c r="B1684" s="23" t="str">
        <f aca="false">IF(A1684="","",IF(A1684&lt;=profil!$B$9,"Realisasi","Rencana"))</f>
        <v>Rencana</v>
      </c>
      <c r="C1684" s="18" t="s">
        <v>162</v>
      </c>
      <c r="D1684" s="18" t="s">
        <v>163</v>
      </c>
      <c r="E1684" s="29" t="n">
        <f aca="false">J1683</f>
        <v>0</v>
      </c>
      <c r="F1684" s="28"/>
      <c r="G1684" s="30" t="n">
        <v>0</v>
      </c>
      <c r="H1684" s="28"/>
      <c r="I1684" s="28"/>
      <c r="J1684" s="29" t="n">
        <f aca="false">E1684+F1684+G1684-H1684-I1684</f>
        <v>0</v>
      </c>
      <c r="K1684" s="29" t="n">
        <f aca="false">ROUND(E1684+F1684+G1684-H1684-I1684-J1684,1)</f>
        <v>0</v>
      </c>
    </row>
    <row r="1685" customFormat="false" ht="15" hidden="false" customHeight="false" outlineLevel="0" collapsed="false">
      <c r="A1685" s="25" t="n">
        <v>46246</v>
      </c>
      <c r="B1685" s="23" t="str">
        <f aca="false">IF(A1685="","",IF(A1685&lt;=profil!$B$9,"Realisasi","Rencana"))</f>
        <v>Rencana</v>
      </c>
      <c r="C1685" s="18" t="s">
        <v>162</v>
      </c>
      <c r="D1685" s="18" t="s">
        <v>163</v>
      </c>
      <c r="E1685" s="29" t="n">
        <f aca="false">J1684</f>
        <v>0</v>
      </c>
      <c r="F1685" s="28"/>
      <c r="G1685" s="30" t="n">
        <v>0</v>
      </c>
      <c r="H1685" s="28"/>
      <c r="I1685" s="28"/>
      <c r="J1685" s="29" t="n">
        <f aca="false">E1685+F1685+G1685-H1685-I1685</f>
        <v>0</v>
      </c>
      <c r="K1685" s="29" t="n">
        <f aca="false">ROUND(E1685+F1685+G1685-H1685-I1685-J1685,1)</f>
        <v>0</v>
      </c>
    </row>
    <row r="1686" customFormat="false" ht="15" hidden="false" customHeight="false" outlineLevel="0" collapsed="false">
      <c r="A1686" s="25" t="n">
        <v>46247</v>
      </c>
      <c r="B1686" s="23" t="str">
        <f aca="false">IF(A1686="","",IF(A1686&lt;=profil!$B$9,"Realisasi","Rencana"))</f>
        <v>Rencana</v>
      </c>
      <c r="C1686" s="18" t="s">
        <v>162</v>
      </c>
      <c r="D1686" s="18" t="s">
        <v>163</v>
      </c>
      <c r="E1686" s="29" t="n">
        <f aca="false">J1685</f>
        <v>0</v>
      </c>
      <c r="F1686" s="28"/>
      <c r="G1686" s="30" t="n">
        <v>0</v>
      </c>
      <c r="H1686" s="28"/>
      <c r="I1686" s="28"/>
      <c r="J1686" s="29" t="n">
        <f aca="false">E1686+F1686+G1686-H1686-I1686</f>
        <v>0</v>
      </c>
      <c r="K1686" s="29" t="n">
        <f aca="false">ROUND(E1686+F1686+G1686-H1686-I1686-J1686,1)</f>
        <v>0</v>
      </c>
    </row>
    <row r="1687" customFormat="false" ht="15" hidden="false" customHeight="false" outlineLevel="0" collapsed="false">
      <c r="A1687" s="25" t="n">
        <v>46248</v>
      </c>
      <c r="B1687" s="23" t="str">
        <f aca="false">IF(A1687="","",IF(A1687&lt;=profil!$B$9,"Realisasi","Rencana"))</f>
        <v>Rencana</v>
      </c>
      <c r="C1687" s="18" t="s">
        <v>162</v>
      </c>
      <c r="D1687" s="18" t="s">
        <v>163</v>
      </c>
      <c r="E1687" s="29" t="n">
        <f aca="false">J1686</f>
        <v>0</v>
      </c>
      <c r="F1687" s="28"/>
      <c r="G1687" s="30" t="n">
        <v>0</v>
      </c>
      <c r="H1687" s="28"/>
      <c r="I1687" s="28"/>
      <c r="J1687" s="29" t="n">
        <f aca="false">E1687+F1687+G1687-H1687-I1687</f>
        <v>0</v>
      </c>
      <c r="K1687" s="29" t="n">
        <f aca="false">ROUND(E1687+F1687+G1687-H1687-I1687-J1687,1)</f>
        <v>0</v>
      </c>
    </row>
    <row r="1688" customFormat="false" ht="15" hidden="false" customHeight="false" outlineLevel="0" collapsed="false">
      <c r="A1688" s="25" t="n">
        <v>46249</v>
      </c>
      <c r="B1688" s="23" t="str">
        <f aca="false">IF(A1688="","",IF(A1688&lt;=profil!$B$9,"Realisasi","Rencana"))</f>
        <v>Rencana</v>
      </c>
      <c r="C1688" s="18" t="s">
        <v>162</v>
      </c>
      <c r="D1688" s="18" t="s">
        <v>163</v>
      </c>
      <c r="E1688" s="29" t="n">
        <f aca="false">J1687</f>
        <v>0</v>
      </c>
      <c r="F1688" s="28"/>
      <c r="G1688" s="30" t="n">
        <v>0</v>
      </c>
      <c r="H1688" s="28"/>
      <c r="I1688" s="28"/>
      <c r="J1688" s="29" t="n">
        <f aca="false">E1688+F1688+G1688-H1688-I1688</f>
        <v>0</v>
      </c>
      <c r="K1688" s="29" t="n">
        <f aca="false">ROUND(E1688+F1688+G1688-H1688-I1688-J1688,1)</f>
        <v>0</v>
      </c>
    </row>
    <row r="1689" customFormat="false" ht="15" hidden="false" customHeight="false" outlineLevel="0" collapsed="false">
      <c r="A1689" s="25" t="n">
        <v>46250</v>
      </c>
      <c r="B1689" s="23" t="str">
        <f aca="false">IF(A1689="","",IF(A1689&lt;=profil!$B$9,"Realisasi","Rencana"))</f>
        <v>Rencana</v>
      </c>
      <c r="C1689" s="18" t="s">
        <v>162</v>
      </c>
      <c r="D1689" s="18" t="s">
        <v>163</v>
      </c>
      <c r="E1689" s="29" t="n">
        <f aca="false">J1688</f>
        <v>0</v>
      </c>
      <c r="F1689" s="28"/>
      <c r="G1689" s="30" t="n">
        <v>0</v>
      </c>
      <c r="H1689" s="28"/>
      <c r="I1689" s="28"/>
      <c r="J1689" s="29" t="n">
        <f aca="false">E1689+F1689+G1689-H1689-I1689</f>
        <v>0</v>
      </c>
      <c r="K1689" s="29" t="n">
        <f aca="false">ROUND(E1689+F1689+G1689-H1689-I1689-J1689,1)</f>
        <v>0</v>
      </c>
    </row>
    <row r="1690" customFormat="false" ht="15" hidden="false" customHeight="false" outlineLevel="0" collapsed="false">
      <c r="A1690" s="25" t="n">
        <v>46251</v>
      </c>
      <c r="B1690" s="23" t="str">
        <f aca="false">IF(A1690="","",IF(A1690&lt;=profil!$B$9,"Realisasi","Rencana"))</f>
        <v>Rencana</v>
      </c>
      <c r="C1690" s="18" t="s">
        <v>162</v>
      </c>
      <c r="D1690" s="18" t="s">
        <v>163</v>
      </c>
      <c r="E1690" s="29" t="n">
        <f aca="false">J1689</f>
        <v>0</v>
      </c>
      <c r="F1690" s="28"/>
      <c r="G1690" s="30" t="n">
        <v>0</v>
      </c>
      <c r="H1690" s="28"/>
      <c r="I1690" s="28"/>
      <c r="J1690" s="29" t="n">
        <f aca="false">E1690+F1690+G1690-H1690-I1690</f>
        <v>0</v>
      </c>
      <c r="K1690" s="29" t="n">
        <f aca="false">ROUND(E1690+F1690+G1690-H1690-I1690-J1690,1)</f>
        <v>0</v>
      </c>
    </row>
    <row r="1691" customFormat="false" ht="15" hidden="false" customHeight="false" outlineLevel="0" collapsed="false">
      <c r="A1691" s="25" t="n">
        <v>46252</v>
      </c>
      <c r="B1691" s="23" t="str">
        <f aca="false">IF(A1691="","",IF(A1691&lt;=profil!$B$9,"Realisasi","Rencana"))</f>
        <v>Rencana</v>
      </c>
      <c r="C1691" s="18" t="s">
        <v>162</v>
      </c>
      <c r="D1691" s="18" t="s">
        <v>163</v>
      </c>
      <c r="E1691" s="29" t="n">
        <f aca="false">J1690</f>
        <v>0</v>
      </c>
      <c r="F1691" s="28"/>
      <c r="G1691" s="30" t="n">
        <v>0</v>
      </c>
      <c r="H1691" s="28"/>
      <c r="I1691" s="28"/>
      <c r="J1691" s="29" t="n">
        <f aca="false">E1691+F1691+G1691-H1691-I1691</f>
        <v>0</v>
      </c>
      <c r="K1691" s="29" t="n">
        <f aca="false">ROUND(E1691+F1691+G1691-H1691-I1691-J1691,1)</f>
        <v>0</v>
      </c>
    </row>
    <row r="1692" customFormat="false" ht="15" hidden="false" customHeight="false" outlineLevel="0" collapsed="false">
      <c r="A1692" s="25" t="n">
        <v>46253</v>
      </c>
      <c r="B1692" s="23" t="str">
        <f aca="false">IF(A1692="","",IF(A1692&lt;=profil!$B$9,"Realisasi","Rencana"))</f>
        <v>Rencana</v>
      </c>
      <c r="C1692" s="18" t="s">
        <v>162</v>
      </c>
      <c r="D1692" s="18" t="s">
        <v>163</v>
      </c>
      <c r="E1692" s="29" t="n">
        <f aca="false">J1691</f>
        <v>0</v>
      </c>
      <c r="F1692" s="28"/>
      <c r="G1692" s="30" t="n">
        <v>0</v>
      </c>
      <c r="H1692" s="28"/>
      <c r="I1692" s="28"/>
      <c r="J1692" s="29" t="n">
        <f aca="false">E1692+F1692+G1692-H1692-I1692</f>
        <v>0</v>
      </c>
      <c r="K1692" s="29" t="n">
        <f aca="false">ROUND(E1692+F1692+G1692-H1692-I1692-J1692,1)</f>
        <v>0</v>
      </c>
    </row>
    <row r="1693" customFormat="false" ht="15" hidden="false" customHeight="false" outlineLevel="0" collapsed="false">
      <c r="A1693" s="25" t="n">
        <v>46254</v>
      </c>
      <c r="B1693" s="23" t="str">
        <f aca="false">IF(A1693="","",IF(A1693&lt;=profil!$B$9,"Realisasi","Rencana"))</f>
        <v>Rencana</v>
      </c>
      <c r="C1693" s="18" t="s">
        <v>162</v>
      </c>
      <c r="D1693" s="18" t="s">
        <v>163</v>
      </c>
      <c r="E1693" s="29" t="n">
        <f aca="false">J1692</f>
        <v>0</v>
      </c>
      <c r="F1693" s="28"/>
      <c r="G1693" s="30" t="n">
        <v>0</v>
      </c>
      <c r="H1693" s="28"/>
      <c r="I1693" s="28"/>
      <c r="J1693" s="29" t="n">
        <f aca="false">E1693+F1693+G1693-H1693-I1693</f>
        <v>0</v>
      </c>
      <c r="K1693" s="29" t="n">
        <f aca="false">ROUND(E1693+F1693+G1693-H1693-I1693-J1693,1)</f>
        <v>0</v>
      </c>
    </row>
    <row r="1694" customFormat="false" ht="15" hidden="false" customHeight="false" outlineLevel="0" collapsed="false">
      <c r="A1694" s="25" t="n">
        <v>46255</v>
      </c>
      <c r="B1694" s="23" t="str">
        <f aca="false">IF(A1694="","",IF(A1694&lt;=profil!$B$9,"Realisasi","Rencana"))</f>
        <v>Rencana</v>
      </c>
      <c r="C1694" s="18" t="s">
        <v>162</v>
      </c>
      <c r="D1694" s="18" t="s">
        <v>163</v>
      </c>
      <c r="E1694" s="29" t="n">
        <f aca="false">J1693</f>
        <v>0</v>
      </c>
      <c r="F1694" s="28"/>
      <c r="G1694" s="30" t="n">
        <v>0</v>
      </c>
      <c r="H1694" s="28"/>
      <c r="I1694" s="28"/>
      <c r="J1694" s="29" t="n">
        <f aca="false">E1694+F1694+G1694-H1694-I1694</f>
        <v>0</v>
      </c>
      <c r="K1694" s="29" t="n">
        <f aca="false">ROUND(E1694+F1694+G1694-H1694-I1694-J1694,1)</f>
        <v>0</v>
      </c>
    </row>
    <row r="1695" customFormat="false" ht="15" hidden="false" customHeight="false" outlineLevel="0" collapsed="false">
      <c r="A1695" s="25" t="n">
        <v>46256</v>
      </c>
      <c r="B1695" s="23" t="str">
        <f aca="false">IF(A1695="","",IF(A1695&lt;=profil!$B$9,"Realisasi","Rencana"))</f>
        <v>Rencana</v>
      </c>
      <c r="C1695" s="18" t="s">
        <v>162</v>
      </c>
      <c r="D1695" s="18" t="s">
        <v>163</v>
      </c>
      <c r="E1695" s="29" t="n">
        <f aca="false">J1694</f>
        <v>0</v>
      </c>
      <c r="F1695" s="28"/>
      <c r="G1695" s="30" t="n">
        <v>0</v>
      </c>
      <c r="H1695" s="28"/>
      <c r="I1695" s="28"/>
      <c r="J1695" s="29" t="n">
        <f aca="false">E1695+F1695+G1695-H1695-I1695</f>
        <v>0</v>
      </c>
      <c r="K1695" s="29" t="n">
        <f aca="false">ROUND(E1695+F1695+G1695-H1695-I1695-J1695,1)</f>
        <v>0</v>
      </c>
    </row>
    <row r="1696" customFormat="false" ht="15" hidden="false" customHeight="false" outlineLevel="0" collapsed="false">
      <c r="A1696" s="25" t="n">
        <v>46257</v>
      </c>
      <c r="B1696" s="23" t="str">
        <f aca="false">IF(A1696="","",IF(A1696&lt;=profil!$B$9,"Realisasi","Rencana"))</f>
        <v>Rencana</v>
      </c>
      <c r="C1696" s="18" t="s">
        <v>162</v>
      </c>
      <c r="D1696" s="18" t="s">
        <v>163</v>
      </c>
      <c r="E1696" s="29" t="n">
        <f aca="false">J1695</f>
        <v>0</v>
      </c>
      <c r="F1696" s="28"/>
      <c r="G1696" s="30" t="n">
        <v>0</v>
      </c>
      <c r="H1696" s="28"/>
      <c r="I1696" s="28"/>
      <c r="J1696" s="29" t="n">
        <f aca="false">E1696+F1696+G1696-H1696-I1696</f>
        <v>0</v>
      </c>
      <c r="K1696" s="29" t="n">
        <f aca="false">ROUND(E1696+F1696+G1696-H1696-I1696-J1696,1)</f>
        <v>0</v>
      </c>
    </row>
    <row r="1697" customFormat="false" ht="15" hidden="false" customHeight="false" outlineLevel="0" collapsed="false">
      <c r="A1697" s="25" t="n">
        <v>46258</v>
      </c>
      <c r="B1697" s="23" t="str">
        <f aca="false">IF(A1697="","",IF(A1697&lt;=profil!$B$9,"Realisasi","Rencana"))</f>
        <v>Rencana</v>
      </c>
      <c r="C1697" s="18" t="s">
        <v>162</v>
      </c>
      <c r="D1697" s="18" t="s">
        <v>163</v>
      </c>
      <c r="E1697" s="29" t="n">
        <f aca="false">J1696</f>
        <v>0</v>
      </c>
      <c r="F1697" s="28"/>
      <c r="G1697" s="30" t="n">
        <v>0</v>
      </c>
      <c r="H1697" s="28"/>
      <c r="I1697" s="28"/>
      <c r="J1697" s="29" t="n">
        <f aca="false">E1697+F1697+G1697-H1697-I1697</f>
        <v>0</v>
      </c>
      <c r="K1697" s="29" t="n">
        <f aca="false">ROUND(E1697+F1697+G1697-H1697-I1697-J1697,1)</f>
        <v>0</v>
      </c>
    </row>
    <row r="1698" customFormat="false" ht="15" hidden="false" customHeight="false" outlineLevel="0" collapsed="false">
      <c r="A1698" s="25" t="n">
        <v>46259</v>
      </c>
      <c r="B1698" s="23" t="str">
        <f aca="false">IF(A1698="","",IF(A1698&lt;=profil!$B$9,"Realisasi","Rencana"))</f>
        <v>Rencana</v>
      </c>
      <c r="C1698" s="18" t="s">
        <v>162</v>
      </c>
      <c r="D1698" s="18" t="s">
        <v>163</v>
      </c>
      <c r="E1698" s="29" t="n">
        <f aca="false">J1697</f>
        <v>0</v>
      </c>
      <c r="F1698" s="28"/>
      <c r="G1698" s="30" t="n">
        <v>0</v>
      </c>
      <c r="H1698" s="28"/>
      <c r="I1698" s="28"/>
      <c r="J1698" s="29" t="n">
        <f aca="false">E1698+F1698+G1698-H1698-I1698</f>
        <v>0</v>
      </c>
      <c r="K1698" s="29" t="n">
        <f aca="false">ROUND(E1698+F1698+G1698-H1698-I1698-J1698,1)</f>
        <v>0</v>
      </c>
    </row>
    <row r="1699" customFormat="false" ht="15" hidden="false" customHeight="false" outlineLevel="0" collapsed="false">
      <c r="A1699" s="25" t="n">
        <v>46260</v>
      </c>
      <c r="B1699" s="23" t="str">
        <f aca="false">IF(A1699="","",IF(A1699&lt;=profil!$B$9,"Realisasi","Rencana"))</f>
        <v>Rencana</v>
      </c>
      <c r="C1699" s="18" t="s">
        <v>162</v>
      </c>
      <c r="D1699" s="18" t="s">
        <v>163</v>
      </c>
      <c r="E1699" s="29" t="n">
        <f aca="false">J1698</f>
        <v>0</v>
      </c>
      <c r="F1699" s="28"/>
      <c r="G1699" s="30" t="n">
        <v>0</v>
      </c>
      <c r="H1699" s="28"/>
      <c r="I1699" s="28"/>
      <c r="J1699" s="29" t="n">
        <f aca="false">E1699+F1699+G1699-H1699-I1699</f>
        <v>0</v>
      </c>
      <c r="K1699" s="29" t="n">
        <f aca="false">ROUND(E1699+F1699+G1699-H1699-I1699-J1699,1)</f>
        <v>0</v>
      </c>
    </row>
    <row r="1700" customFormat="false" ht="15" hidden="false" customHeight="false" outlineLevel="0" collapsed="false">
      <c r="A1700" s="25" t="n">
        <v>46261</v>
      </c>
      <c r="B1700" s="23" t="str">
        <f aca="false">IF(A1700="","",IF(A1700&lt;=profil!$B$9,"Realisasi","Rencana"))</f>
        <v>Rencana</v>
      </c>
      <c r="C1700" s="18" t="s">
        <v>162</v>
      </c>
      <c r="D1700" s="18" t="s">
        <v>163</v>
      </c>
      <c r="E1700" s="29" t="n">
        <f aca="false">J1699</f>
        <v>0</v>
      </c>
      <c r="F1700" s="28"/>
      <c r="G1700" s="30" t="n">
        <v>0</v>
      </c>
      <c r="H1700" s="28"/>
      <c r="I1700" s="28"/>
      <c r="J1700" s="29" t="n">
        <f aca="false">E1700+F1700+G1700-H1700-I1700</f>
        <v>0</v>
      </c>
      <c r="K1700" s="29" t="n">
        <f aca="false">ROUND(E1700+F1700+G1700-H1700-I1700-J1700,1)</f>
        <v>0</v>
      </c>
    </row>
    <row r="1701" customFormat="false" ht="15" hidden="false" customHeight="false" outlineLevel="0" collapsed="false">
      <c r="A1701" s="25" t="n">
        <v>46262</v>
      </c>
      <c r="B1701" s="23" t="str">
        <f aca="false">IF(A1701="","",IF(A1701&lt;=profil!$B$9,"Realisasi","Rencana"))</f>
        <v>Rencana</v>
      </c>
      <c r="C1701" s="18" t="s">
        <v>162</v>
      </c>
      <c r="D1701" s="18" t="s">
        <v>163</v>
      </c>
      <c r="E1701" s="29" t="n">
        <f aca="false">J1700</f>
        <v>0</v>
      </c>
      <c r="F1701" s="28"/>
      <c r="G1701" s="30" t="n">
        <v>0</v>
      </c>
      <c r="H1701" s="28"/>
      <c r="I1701" s="28"/>
      <c r="J1701" s="29" t="n">
        <f aca="false">E1701+F1701+G1701-H1701-I1701</f>
        <v>0</v>
      </c>
      <c r="K1701" s="29" t="n">
        <f aca="false">ROUND(E1701+F1701+G1701-H1701-I1701-J1701,1)</f>
        <v>0</v>
      </c>
    </row>
    <row r="1702" customFormat="false" ht="15" hidden="false" customHeight="false" outlineLevel="0" collapsed="false">
      <c r="A1702" s="25" t="n">
        <v>46263</v>
      </c>
      <c r="B1702" s="23" t="str">
        <f aca="false">IF(A1702="","",IF(A1702&lt;=profil!$B$9,"Realisasi","Rencana"))</f>
        <v>Rencana</v>
      </c>
      <c r="C1702" s="18" t="s">
        <v>162</v>
      </c>
      <c r="D1702" s="18" t="s">
        <v>163</v>
      </c>
      <c r="E1702" s="29" t="n">
        <f aca="false">J1701</f>
        <v>0</v>
      </c>
      <c r="F1702" s="28"/>
      <c r="G1702" s="30" t="n">
        <v>0</v>
      </c>
      <c r="H1702" s="28"/>
      <c r="I1702" s="28"/>
      <c r="J1702" s="29" t="n">
        <f aca="false">E1702+F1702+G1702-H1702-I1702</f>
        <v>0</v>
      </c>
      <c r="K1702" s="29" t="n">
        <f aca="false">ROUND(E1702+F1702+G1702-H1702-I1702-J1702,1)</f>
        <v>0</v>
      </c>
    </row>
    <row r="1703" customFormat="false" ht="15" hidden="false" customHeight="false" outlineLevel="0" collapsed="false">
      <c r="A1703" s="25" t="n">
        <v>46264</v>
      </c>
      <c r="B1703" s="23" t="str">
        <f aca="false">IF(A1703="","",IF(A1703&lt;=profil!$B$9,"Realisasi","Rencana"))</f>
        <v>Rencana</v>
      </c>
      <c r="C1703" s="18" t="s">
        <v>162</v>
      </c>
      <c r="D1703" s="18" t="s">
        <v>163</v>
      </c>
      <c r="E1703" s="29" t="n">
        <f aca="false">J1702</f>
        <v>0</v>
      </c>
      <c r="F1703" s="28"/>
      <c r="G1703" s="30" t="n">
        <v>0</v>
      </c>
      <c r="H1703" s="28"/>
      <c r="I1703" s="28"/>
      <c r="J1703" s="29" t="n">
        <f aca="false">E1703+F1703+G1703-H1703-I1703</f>
        <v>0</v>
      </c>
      <c r="K1703" s="29" t="n">
        <f aca="false">ROUND(E1703+F1703+G1703-H1703-I1703-J1703,1)</f>
        <v>0</v>
      </c>
    </row>
    <row r="1704" customFormat="false" ht="15" hidden="false" customHeight="false" outlineLevel="0" collapsed="false">
      <c r="A1704" s="25" t="n">
        <v>46265</v>
      </c>
      <c r="B1704" s="23" t="str">
        <f aca="false">IF(A1704="","",IF(A1704&lt;=profil!$B$9,"Realisasi","Rencana"))</f>
        <v>Rencana</v>
      </c>
      <c r="C1704" s="18" t="s">
        <v>162</v>
      </c>
      <c r="D1704" s="18" t="s">
        <v>163</v>
      </c>
      <c r="E1704" s="29" t="n">
        <f aca="false">J1703</f>
        <v>0</v>
      </c>
      <c r="F1704" s="28"/>
      <c r="G1704" s="30" t="n">
        <v>0</v>
      </c>
      <c r="H1704" s="28"/>
      <c r="I1704" s="28"/>
      <c r="J1704" s="29" t="n">
        <f aca="false">E1704+F1704+G1704-H1704-I1704</f>
        <v>0</v>
      </c>
      <c r="K1704" s="29" t="n">
        <f aca="false">ROUND(E1704+F1704+G1704-H1704-I1704-J1704,1)</f>
        <v>0</v>
      </c>
    </row>
    <row r="1705" customFormat="false" ht="15" hidden="false" customHeight="false" outlineLevel="0" collapsed="false">
      <c r="A1705" s="25" t="n">
        <v>46266</v>
      </c>
      <c r="B1705" s="23" t="str">
        <f aca="false">IF(A1705="","",IF(A1705&lt;=profil!$B$9,"Realisasi","Rencana"))</f>
        <v>Rencana</v>
      </c>
      <c r="C1705" s="18" t="s">
        <v>162</v>
      </c>
      <c r="D1705" s="18" t="s">
        <v>163</v>
      </c>
      <c r="E1705" s="29" t="n">
        <f aca="false">J1704</f>
        <v>0</v>
      </c>
      <c r="F1705" s="28"/>
      <c r="G1705" s="30" t="n">
        <v>0</v>
      </c>
      <c r="H1705" s="28"/>
      <c r="I1705" s="28"/>
      <c r="J1705" s="29" t="n">
        <f aca="false">E1705+F1705+G1705-H1705-I1705</f>
        <v>0</v>
      </c>
      <c r="K1705" s="29" t="n">
        <f aca="false">ROUND(E1705+F1705+G1705-H1705-I1705-J1705,1)</f>
        <v>0</v>
      </c>
    </row>
    <row r="1706" customFormat="false" ht="15" hidden="false" customHeight="false" outlineLevel="0" collapsed="false">
      <c r="A1706" s="25" t="n">
        <v>46267</v>
      </c>
      <c r="B1706" s="23" t="str">
        <f aca="false">IF(A1706="","",IF(A1706&lt;=profil!$B$9,"Realisasi","Rencana"))</f>
        <v>Rencana</v>
      </c>
      <c r="C1706" s="18" t="s">
        <v>162</v>
      </c>
      <c r="D1706" s="18" t="s">
        <v>163</v>
      </c>
      <c r="E1706" s="29" t="n">
        <f aca="false">J1705</f>
        <v>0</v>
      </c>
      <c r="F1706" s="28"/>
      <c r="G1706" s="30" t="n">
        <v>0</v>
      </c>
      <c r="H1706" s="28"/>
      <c r="I1706" s="28"/>
      <c r="J1706" s="29" t="n">
        <f aca="false">E1706+F1706+G1706-H1706-I1706</f>
        <v>0</v>
      </c>
      <c r="K1706" s="29" t="n">
        <f aca="false">ROUND(E1706+F1706+G1706-H1706-I1706-J1706,1)</f>
        <v>0</v>
      </c>
    </row>
    <row r="1707" customFormat="false" ht="15" hidden="false" customHeight="false" outlineLevel="0" collapsed="false">
      <c r="A1707" s="25" t="n">
        <v>46268</v>
      </c>
      <c r="B1707" s="23" t="str">
        <f aca="false">IF(A1707="","",IF(A1707&lt;=profil!$B$9,"Realisasi","Rencana"))</f>
        <v>Rencana</v>
      </c>
      <c r="C1707" s="18" t="s">
        <v>162</v>
      </c>
      <c r="D1707" s="18" t="s">
        <v>163</v>
      </c>
      <c r="E1707" s="29" t="n">
        <f aca="false">J1706</f>
        <v>0</v>
      </c>
      <c r="F1707" s="28"/>
      <c r="G1707" s="30" t="n">
        <v>0</v>
      </c>
      <c r="H1707" s="28"/>
      <c r="I1707" s="28"/>
      <c r="J1707" s="29" t="n">
        <f aca="false">E1707+F1707+G1707-H1707-I1707</f>
        <v>0</v>
      </c>
      <c r="K1707" s="29" t="n">
        <f aca="false">ROUND(E1707+F1707+G1707-H1707-I1707-J1707,1)</f>
        <v>0</v>
      </c>
    </row>
    <row r="1708" customFormat="false" ht="15" hidden="false" customHeight="false" outlineLevel="0" collapsed="false">
      <c r="A1708" s="25" t="n">
        <v>46269</v>
      </c>
      <c r="B1708" s="23" t="str">
        <f aca="false">IF(A1708="","",IF(A1708&lt;=profil!$B$9,"Realisasi","Rencana"))</f>
        <v>Rencana</v>
      </c>
      <c r="C1708" s="18" t="s">
        <v>162</v>
      </c>
      <c r="D1708" s="18" t="s">
        <v>163</v>
      </c>
      <c r="E1708" s="29" t="n">
        <f aca="false">J1707</f>
        <v>0</v>
      </c>
      <c r="F1708" s="28"/>
      <c r="G1708" s="30" t="n">
        <v>0</v>
      </c>
      <c r="H1708" s="28"/>
      <c r="I1708" s="28"/>
      <c r="J1708" s="29" t="n">
        <f aca="false">E1708+F1708+G1708-H1708-I1708</f>
        <v>0</v>
      </c>
      <c r="K1708" s="29" t="n">
        <f aca="false">ROUND(E1708+F1708+G1708-H1708-I1708-J1708,1)</f>
        <v>0</v>
      </c>
    </row>
    <row r="1709" customFormat="false" ht="15" hidden="false" customHeight="false" outlineLevel="0" collapsed="false">
      <c r="A1709" s="25" t="n">
        <v>46270</v>
      </c>
      <c r="B1709" s="23" t="str">
        <f aca="false">IF(A1709="","",IF(A1709&lt;=profil!$B$9,"Realisasi","Rencana"))</f>
        <v>Rencana</v>
      </c>
      <c r="C1709" s="18" t="s">
        <v>162</v>
      </c>
      <c r="D1709" s="18" t="s">
        <v>163</v>
      </c>
      <c r="E1709" s="29" t="n">
        <f aca="false">J1708</f>
        <v>0</v>
      </c>
      <c r="F1709" s="28"/>
      <c r="G1709" s="30" t="n">
        <v>0</v>
      </c>
      <c r="H1709" s="28"/>
      <c r="I1709" s="28"/>
      <c r="J1709" s="29" t="n">
        <f aca="false">E1709+F1709+G1709-H1709-I1709</f>
        <v>0</v>
      </c>
      <c r="K1709" s="29" t="n">
        <f aca="false">ROUND(E1709+F1709+G1709-H1709-I1709-J1709,1)</f>
        <v>0</v>
      </c>
    </row>
    <row r="1710" customFormat="false" ht="15" hidden="false" customHeight="false" outlineLevel="0" collapsed="false">
      <c r="A1710" s="25" t="n">
        <v>46271</v>
      </c>
      <c r="B1710" s="23" t="str">
        <f aca="false">IF(A1710="","",IF(A1710&lt;=profil!$B$9,"Realisasi","Rencana"))</f>
        <v>Rencana</v>
      </c>
      <c r="C1710" s="18" t="s">
        <v>162</v>
      </c>
      <c r="D1710" s="18" t="s">
        <v>163</v>
      </c>
      <c r="E1710" s="29" t="n">
        <f aca="false">J1709</f>
        <v>0</v>
      </c>
      <c r="F1710" s="28"/>
      <c r="G1710" s="30" t="n">
        <v>0</v>
      </c>
      <c r="H1710" s="28"/>
      <c r="I1710" s="28"/>
      <c r="J1710" s="29" t="n">
        <f aca="false">E1710+F1710+G1710-H1710-I1710</f>
        <v>0</v>
      </c>
      <c r="K1710" s="29" t="n">
        <f aca="false">ROUND(E1710+F1710+G1710-H1710-I1710-J1710,1)</f>
        <v>0</v>
      </c>
    </row>
    <row r="1711" customFormat="false" ht="15" hidden="false" customHeight="false" outlineLevel="0" collapsed="false">
      <c r="A1711" s="25" t="n">
        <v>46272</v>
      </c>
      <c r="B1711" s="23" t="str">
        <f aca="false">IF(A1711="","",IF(A1711&lt;=profil!$B$9,"Realisasi","Rencana"))</f>
        <v>Rencana</v>
      </c>
      <c r="C1711" s="18" t="s">
        <v>162</v>
      </c>
      <c r="D1711" s="18" t="s">
        <v>163</v>
      </c>
      <c r="E1711" s="29" t="n">
        <f aca="false">J1710</f>
        <v>0</v>
      </c>
      <c r="F1711" s="28"/>
      <c r="G1711" s="30" t="n">
        <v>0</v>
      </c>
      <c r="H1711" s="28"/>
      <c r="I1711" s="28"/>
      <c r="J1711" s="29" t="n">
        <f aca="false">E1711+F1711+G1711-H1711-I1711</f>
        <v>0</v>
      </c>
      <c r="K1711" s="29" t="n">
        <f aca="false">ROUND(E1711+F1711+G1711-H1711-I1711-J1711,1)</f>
        <v>0</v>
      </c>
    </row>
    <row r="1712" customFormat="false" ht="15" hidden="false" customHeight="false" outlineLevel="0" collapsed="false">
      <c r="A1712" s="25" t="n">
        <v>46273</v>
      </c>
      <c r="B1712" s="23" t="str">
        <f aca="false">IF(A1712="","",IF(A1712&lt;=profil!$B$9,"Realisasi","Rencana"))</f>
        <v>Rencana</v>
      </c>
      <c r="C1712" s="18" t="s">
        <v>162</v>
      </c>
      <c r="D1712" s="18" t="s">
        <v>163</v>
      </c>
      <c r="E1712" s="29" t="n">
        <f aca="false">J1711</f>
        <v>0</v>
      </c>
      <c r="F1712" s="28"/>
      <c r="G1712" s="30" t="n">
        <v>0</v>
      </c>
      <c r="H1712" s="28"/>
      <c r="I1712" s="28"/>
      <c r="J1712" s="29" t="n">
        <f aca="false">E1712+F1712+G1712-H1712-I1712</f>
        <v>0</v>
      </c>
      <c r="K1712" s="29" t="n">
        <f aca="false">ROUND(E1712+F1712+G1712-H1712-I1712-J1712,1)</f>
        <v>0</v>
      </c>
    </row>
    <row r="1713" customFormat="false" ht="15" hidden="false" customHeight="false" outlineLevel="0" collapsed="false">
      <c r="A1713" s="25" t="n">
        <v>46274</v>
      </c>
      <c r="B1713" s="23" t="str">
        <f aca="false">IF(A1713="","",IF(A1713&lt;=profil!$B$9,"Realisasi","Rencana"))</f>
        <v>Rencana</v>
      </c>
      <c r="C1713" s="18" t="s">
        <v>162</v>
      </c>
      <c r="D1713" s="18" t="s">
        <v>163</v>
      </c>
      <c r="E1713" s="29" t="n">
        <f aca="false">J1712</f>
        <v>0</v>
      </c>
      <c r="F1713" s="28"/>
      <c r="G1713" s="30" t="n">
        <v>0</v>
      </c>
      <c r="H1713" s="28"/>
      <c r="I1713" s="28"/>
      <c r="J1713" s="29" t="n">
        <f aca="false">E1713+F1713+G1713-H1713-I1713</f>
        <v>0</v>
      </c>
      <c r="K1713" s="29" t="n">
        <f aca="false">ROUND(E1713+F1713+G1713-H1713-I1713-J1713,1)</f>
        <v>0</v>
      </c>
    </row>
    <row r="1714" customFormat="false" ht="15" hidden="false" customHeight="false" outlineLevel="0" collapsed="false">
      <c r="A1714" s="25" t="n">
        <v>46275</v>
      </c>
      <c r="B1714" s="23" t="str">
        <f aca="false">IF(A1714="","",IF(A1714&lt;=profil!$B$9,"Realisasi","Rencana"))</f>
        <v>Rencana</v>
      </c>
      <c r="C1714" s="18" t="s">
        <v>162</v>
      </c>
      <c r="D1714" s="18" t="s">
        <v>163</v>
      </c>
      <c r="E1714" s="29" t="n">
        <f aca="false">J1713</f>
        <v>0</v>
      </c>
      <c r="F1714" s="28"/>
      <c r="G1714" s="30" t="n">
        <v>0</v>
      </c>
      <c r="H1714" s="28"/>
      <c r="I1714" s="28"/>
      <c r="J1714" s="29" t="n">
        <f aca="false">E1714+F1714+G1714-H1714-I1714</f>
        <v>0</v>
      </c>
      <c r="K1714" s="29" t="n">
        <f aca="false">ROUND(E1714+F1714+G1714-H1714-I1714-J1714,1)</f>
        <v>0</v>
      </c>
    </row>
    <row r="1715" customFormat="false" ht="15" hidden="false" customHeight="false" outlineLevel="0" collapsed="false">
      <c r="A1715" s="25" t="n">
        <v>46276</v>
      </c>
      <c r="B1715" s="23" t="str">
        <f aca="false">IF(A1715="","",IF(A1715&lt;=profil!$B$9,"Realisasi","Rencana"))</f>
        <v>Rencana</v>
      </c>
      <c r="C1715" s="18" t="s">
        <v>162</v>
      </c>
      <c r="D1715" s="18" t="s">
        <v>163</v>
      </c>
      <c r="E1715" s="29" t="n">
        <f aca="false">J1714</f>
        <v>0</v>
      </c>
      <c r="F1715" s="28"/>
      <c r="G1715" s="30" t="n">
        <v>0</v>
      </c>
      <c r="H1715" s="28"/>
      <c r="I1715" s="28"/>
      <c r="J1715" s="29" t="n">
        <f aca="false">E1715+F1715+G1715-H1715-I1715</f>
        <v>0</v>
      </c>
      <c r="K1715" s="29" t="n">
        <f aca="false">ROUND(E1715+F1715+G1715-H1715-I1715-J1715,1)</f>
        <v>0</v>
      </c>
    </row>
    <row r="1716" customFormat="false" ht="15" hidden="false" customHeight="false" outlineLevel="0" collapsed="false">
      <c r="A1716" s="25" t="n">
        <v>46277</v>
      </c>
      <c r="B1716" s="23" t="str">
        <f aca="false">IF(A1716="","",IF(A1716&lt;=profil!$B$9,"Realisasi","Rencana"))</f>
        <v>Rencana</v>
      </c>
      <c r="C1716" s="18" t="s">
        <v>162</v>
      </c>
      <c r="D1716" s="18" t="s">
        <v>163</v>
      </c>
      <c r="E1716" s="29" t="n">
        <f aca="false">J1715</f>
        <v>0</v>
      </c>
      <c r="F1716" s="28"/>
      <c r="G1716" s="30" t="n">
        <v>0</v>
      </c>
      <c r="H1716" s="28"/>
      <c r="I1716" s="28"/>
      <c r="J1716" s="29" t="n">
        <f aca="false">E1716+F1716+G1716-H1716-I1716</f>
        <v>0</v>
      </c>
      <c r="K1716" s="29" t="n">
        <f aca="false">ROUND(E1716+F1716+G1716-H1716-I1716-J1716,1)</f>
        <v>0</v>
      </c>
    </row>
    <row r="1717" customFormat="false" ht="15" hidden="false" customHeight="false" outlineLevel="0" collapsed="false">
      <c r="A1717" s="25" t="n">
        <v>46278</v>
      </c>
      <c r="B1717" s="23" t="str">
        <f aca="false">IF(A1717="","",IF(A1717&lt;=profil!$B$9,"Realisasi","Rencana"))</f>
        <v>Rencana</v>
      </c>
      <c r="C1717" s="18" t="s">
        <v>162</v>
      </c>
      <c r="D1717" s="18" t="s">
        <v>163</v>
      </c>
      <c r="E1717" s="29" t="n">
        <f aca="false">J1716</f>
        <v>0</v>
      </c>
      <c r="F1717" s="28"/>
      <c r="G1717" s="30" t="n">
        <v>0</v>
      </c>
      <c r="H1717" s="28"/>
      <c r="I1717" s="28"/>
      <c r="J1717" s="29" t="n">
        <f aca="false">E1717+F1717+G1717-H1717-I1717</f>
        <v>0</v>
      </c>
      <c r="K1717" s="29" t="n">
        <f aca="false">ROUND(E1717+F1717+G1717-H1717-I1717-J1717,1)</f>
        <v>0</v>
      </c>
    </row>
    <row r="1718" customFormat="false" ht="15" hidden="false" customHeight="false" outlineLevel="0" collapsed="false">
      <c r="A1718" s="25" t="n">
        <v>46279</v>
      </c>
      <c r="B1718" s="23" t="str">
        <f aca="false">IF(A1718="","",IF(A1718&lt;=profil!$B$9,"Realisasi","Rencana"))</f>
        <v>Rencana</v>
      </c>
      <c r="C1718" s="18" t="s">
        <v>162</v>
      </c>
      <c r="D1718" s="18" t="s">
        <v>163</v>
      </c>
      <c r="E1718" s="29" t="n">
        <f aca="false">J1717</f>
        <v>0</v>
      </c>
      <c r="F1718" s="28"/>
      <c r="G1718" s="30" t="n">
        <v>0</v>
      </c>
      <c r="H1718" s="28"/>
      <c r="I1718" s="28"/>
      <c r="J1718" s="29" t="n">
        <f aca="false">E1718+F1718+G1718-H1718-I1718</f>
        <v>0</v>
      </c>
      <c r="K1718" s="29" t="n">
        <f aca="false">ROUND(E1718+F1718+G1718-H1718-I1718-J1718,1)</f>
        <v>0</v>
      </c>
    </row>
    <row r="1719" customFormat="false" ht="15" hidden="false" customHeight="false" outlineLevel="0" collapsed="false">
      <c r="A1719" s="25" t="n">
        <v>46280</v>
      </c>
      <c r="B1719" s="23" t="str">
        <f aca="false">IF(A1719="","",IF(A1719&lt;=profil!$B$9,"Realisasi","Rencana"))</f>
        <v>Rencana</v>
      </c>
      <c r="C1719" s="18" t="s">
        <v>162</v>
      </c>
      <c r="D1719" s="18" t="s">
        <v>163</v>
      </c>
      <c r="E1719" s="29" t="n">
        <f aca="false">J1718</f>
        <v>0</v>
      </c>
      <c r="F1719" s="28"/>
      <c r="G1719" s="30" t="n">
        <v>0</v>
      </c>
      <c r="H1719" s="28"/>
      <c r="I1719" s="28"/>
      <c r="J1719" s="29" t="n">
        <f aca="false">E1719+F1719+G1719-H1719-I1719</f>
        <v>0</v>
      </c>
      <c r="K1719" s="29" t="n">
        <f aca="false">ROUND(E1719+F1719+G1719-H1719-I1719-J1719,1)</f>
        <v>0</v>
      </c>
    </row>
    <row r="1720" customFormat="false" ht="15" hidden="false" customHeight="false" outlineLevel="0" collapsed="false">
      <c r="A1720" s="25" t="n">
        <v>46281</v>
      </c>
      <c r="B1720" s="23" t="str">
        <f aca="false">IF(A1720="","",IF(A1720&lt;=profil!$B$9,"Realisasi","Rencana"))</f>
        <v>Rencana</v>
      </c>
      <c r="C1720" s="18" t="s">
        <v>162</v>
      </c>
      <c r="D1720" s="18" t="s">
        <v>163</v>
      </c>
      <c r="E1720" s="29" t="n">
        <f aca="false">J1719</f>
        <v>0</v>
      </c>
      <c r="F1720" s="28"/>
      <c r="G1720" s="30" t="n">
        <v>0</v>
      </c>
      <c r="H1720" s="28"/>
      <c r="I1720" s="28"/>
      <c r="J1720" s="29" t="n">
        <f aca="false">E1720+F1720+G1720-H1720-I1720</f>
        <v>0</v>
      </c>
      <c r="K1720" s="29" t="n">
        <f aca="false">ROUND(E1720+F1720+G1720-H1720-I1720-J1720,1)</f>
        <v>0</v>
      </c>
    </row>
    <row r="1721" customFormat="false" ht="15" hidden="false" customHeight="false" outlineLevel="0" collapsed="false">
      <c r="A1721" s="25" t="n">
        <v>46282</v>
      </c>
      <c r="B1721" s="23" t="str">
        <f aca="false">IF(A1721="","",IF(A1721&lt;=profil!$B$9,"Realisasi","Rencana"))</f>
        <v>Rencana</v>
      </c>
      <c r="C1721" s="18" t="s">
        <v>162</v>
      </c>
      <c r="D1721" s="18" t="s">
        <v>163</v>
      </c>
      <c r="E1721" s="29" t="n">
        <f aca="false">J1720</f>
        <v>0</v>
      </c>
      <c r="F1721" s="28"/>
      <c r="G1721" s="30" t="n">
        <v>0</v>
      </c>
      <c r="H1721" s="28"/>
      <c r="I1721" s="28"/>
      <c r="J1721" s="29" t="n">
        <f aca="false">E1721+F1721+G1721-H1721-I1721</f>
        <v>0</v>
      </c>
      <c r="K1721" s="29" t="n">
        <f aca="false">ROUND(E1721+F1721+G1721-H1721-I1721-J1721,1)</f>
        <v>0</v>
      </c>
    </row>
    <row r="1722" customFormat="false" ht="15" hidden="false" customHeight="false" outlineLevel="0" collapsed="false">
      <c r="A1722" s="25" t="n">
        <v>46283</v>
      </c>
      <c r="B1722" s="23" t="str">
        <f aca="false">IF(A1722="","",IF(A1722&lt;=profil!$B$9,"Realisasi","Rencana"))</f>
        <v>Rencana</v>
      </c>
      <c r="C1722" s="18" t="s">
        <v>162</v>
      </c>
      <c r="D1722" s="18" t="s">
        <v>163</v>
      </c>
      <c r="E1722" s="29" t="n">
        <f aca="false">J1721</f>
        <v>0</v>
      </c>
      <c r="F1722" s="28"/>
      <c r="G1722" s="30" t="n">
        <v>0</v>
      </c>
      <c r="H1722" s="28"/>
      <c r="I1722" s="28"/>
      <c r="J1722" s="29" t="n">
        <f aca="false">E1722+F1722+G1722-H1722-I1722</f>
        <v>0</v>
      </c>
      <c r="K1722" s="29" t="n">
        <f aca="false">ROUND(E1722+F1722+G1722-H1722-I1722-J1722,1)</f>
        <v>0</v>
      </c>
    </row>
    <row r="1723" customFormat="false" ht="15" hidden="false" customHeight="false" outlineLevel="0" collapsed="false">
      <c r="A1723" s="25" t="n">
        <v>46284</v>
      </c>
      <c r="B1723" s="23" t="str">
        <f aca="false">IF(A1723="","",IF(A1723&lt;=profil!$B$9,"Realisasi","Rencana"))</f>
        <v>Rencana</v>
      </c>
      <c r="C1723" s="18" t="s">
        <v>162</v>
      </c>
      <c r="D1723" s="18" t="s">
        <v>163</v>
      </c>
      <c r="E1723" s="29" t="n">
        <f aca="false">J1722</f>
        <v>0</v>
      </c>
      <c r="F1723" s="28"/>
      <c r="G1723" s="30" t="n">
        <v>0</v>
      </c>
      <c r="H1723" s="28"/>
      <c r="I1723" s="28"/>
      <c r="J1723" s="29" t="n">
        <f aca="false">E1723+F1723+G1723-H1723-I1723</f>
        <v>0</v>
      </c>
      <c r="K1723" s="29" t="n">
        <f aca="false">ROUND(E1723+F1723+G1723-H1723-I1723-J1723,1)</f>
        <v>0</v>
      </c>
    </row>
    <row r="1724" customFormat="false" ht="15" hidden="false" customHeight="false" outlineLevel="0" collapsed="false">
      <c r="A1724" s="25" t="n">
        <v>46285</v>
      </c>
      <c r="B1724" s="23" t="str">
        <f aca="false">IF(A1724="","",IF(A1724&lt;=profil!$B$9,"Realisasi","Rencana"))</f>
        <v>Rencana</v>
      </c>
      <c r="C1724" s="18" t="s">
        <v>162</v>
      </c>
      <c r="D1724" s="18" t="s">
        <v>163</v>
      </c>
      <c r="E1724" s="29" t="n">
        <f aca="false">J1723</f>
        <v>0</v>
      </c>
      <c r="F1724" s="28"/>
      <c r="G1724" s="30" t="n">
        <v>0</v>
      </c>
      <c r="H1724" s="28"/>
      <c r="I1724" s="28"/>
      <c r="J1724" s="29" t="n">
        <f aca="false">E1724+F1724+G1724-H1724-I1724</f>
        <v>0</v>
      </c>
      <c r="K1724" s="29" t="n">
        <f aca="false">ROUND(E1724+F1724+G1724-H1724-I1724-J1724,1)</f>
        <v>0</v>
      </c>
    </row>
    <row r="1725" customFormat="false" ht="15" hidden="false" customHeight="false" outlineLevel="0" collapsed="false">
      <c r="A1725" s="25" t="n">
        <v>46286</v>
      </c>
      <c r="B1725" s="23" t="str">
        <f aca="false">IF(A1725="","",IF(A1725&lt;=profil!$B$9,"Realisasi","Rencana"))</f>
        <v>Rencana</v>
      </c>
      <c r="C1725" s="18" t="s">
        <v>162</v>
      </c>
      <c r="D1725" s="18" t="s">
        <v>163</v>
      </c>
      <c r="E1725" s="29" t="n">
        <f aca="false">J1724</f>
        <v>0</v>
      </c>
      <c r="F1725" s="28"/>
      <c r="G1725" s="30" t="n">
        <v>0</v>
      </c>
      <c r="H1725" s="28"/>
      <c r="I1725" s="28"/>
      <c r="J1725" s="29" t="n">
        <f aca="false">E1725+F1725+G1725-H1725-I1725</f>
        <v>0</v>
      </c>
      <c r="K1725" s="29" t="n">
        <f aca="false">ROUND(E1725+F1725+G1725-H1725-I1725-J1725,1)</f>
        <v>0</v>
      </c>
    </row>
    <row r="1726" customFormat="false" ht="15" hidden="false" customHeight="false" outlineLevel="0" collapsed="false">
      <c r="A1726" s="25" t="n">
        <v>46287</v>
      </c>
      <c r="B1726" s="23" t="str">
        <f aca="false">IF(A1726="","",IF(A1726&lt;=profil!$B$9,"Realisasi","Rencana"))</f>
        <v>Rencana</v>
      </c>
      <c r="C1726" s="18" t="s">
        <v>162</v>
      </c>
      <c r="D1726" s="18" t="s">
        <v>163</v>
      </c>
      <c r="E1726" s="29" t="n">
        <f aca="false">J1725</f>
        <v>0</v>
      </c>
      <c r="F1726" s="28"/>
      <c r="G1726" s="30" t="n">
        <v>0</v>
      </c>
      <c r="H1726" s="28"/>
      <c r="I1726" s="28"/>
      <c r="J1726" s="29" t="n">
        <f aca="false">E1726+F1726+G1726-H1726-I1726</f>
        <v>0</v>
      </c>
      <c r="K1726" s="29" t="n">
        <f aca="false">ROUND(E1726+F1726+G1726-H1726-I1726-J1726,1)</f>
        <v>0</v>
      </c>
    </row>
    <row r="1727" customFormat="false" ht="15" hidden="false" customHeight="false" outlineLevel="0" collapsed="false">
      <c r="A1727" s="25" t="n">
        <v>46288</v>
      </c>
      <c r="B1727" s="23" t="str">
        <f aca="false">IF(A1727="","",IF(A1727&lt;=profil!$B$9,"Realisasi","Rencana"))</f>
        <v>Rencana</v>
      </c>
      <c r="C1727" s="18" t="s">
        <v>162</v>
      </c>
      <c r="D1727" s="18" t="s">
        <v>163</v>
      </c>
      <c r="E1727" s="29" t="n">
        <f aca="false">J1726</f>
        <v>0</v>
      </c>
      <c r="F1727" s="28"/>
      <c r="G1727" s="30" t="n">
        <v>0</v>
      </c>
      <c r="H1727" s="28"/>
      <c r="I1727" s="28"/>
      <c r="J1727" s="29" t="n">
        <f aca="false">E1727+F1727+G1727-H1727-I1727</f>
        <v>0</v>
      </c>
      <c r="K1727" s="29" t="n">
        <f aca="false">ROUND(E1727+F1727+G1727-H1727-I1727-J1727,1)</f>
        <v>0</v>
      </c>
    </row>
    <row r="1728" customFormat="false" ht="15" hidden="false" customHeight="false" outlineLevel="0" collapsed="false">
      <c r="A1728" s="25" t="n">
        <v>46289</v>
      </c>
      <c r="B1728" s="23" t="str">
        <f aca="false">IF(A1728="","",IF(A1728&lt;=profil!$B$9,"Realisasi","Rencana"))</f>
        <v>Rencana</v>
      </c>
      <c r="C1728" s="18" t="s">
        <v>162</v>
      </c>
      <c r="D1728" s="18" t="s">
        <v>163</v>
      </c>
      <c r="E1728" s="29" t="n">
        <f aca="false">J1727</f>
        <v>0</v>
      </c>
      <c r="F1728" s="28"/>
      <c r="G1728" s="30" t="n">
        <v>0</v>
      </c>
      <c r="H1728" s="28"/>
      <c r="I1728" s="28"/>
      <c r="J1728" s="29" t="n">
        <f aca="false">E1728+F1728+G1728-H1728-I1728</f>
        <v>0</v>
      </c>
      <c r="K1728" s="29" t="n">
        <f aca="false">ROUND(E1728+F1728+G1728-H1728-I1728-J1728,1)</f>
        <v>0</v>
      </c>
    </row>
    <row r="1729" customFormat="false" ht="15" hidden="false" customHeight="false" outlineLevel="0" collapsed="false">
      <c r="A1729" s="25" t="n">
        <v>46290</v>
      </c>
      <c r="B1729" s="23" t="str">
        <f aca="false">IF(A1729="","",IF(A1729&lt;=profil!$B$9,"Realisasi","Rencana"))</f>
        <v>Rencana</v>
      </c>
      <c r="C1729" s="18" t="s">
        <v>162</v>
      </c>
      <c r="D1729" s="18" t="s">
        <v>163</v>
      </c>
      <c r="E1729" s="29" t="n">
        <f aca="false">J1728</f>
        <v>0</v>
      </c>
      <c r="F1729" s="28"/>
      <c r="G1729" s="30" t="n">
        <v>0</v>
      </c>
      <c r="H1729" s="28"/>
      <c r="I1729" s="28"/>
      <c r="J1729" s="29" t="n">
        <f aca="false">E1729+F1729+G1729-H1729-I1729</f>
        <v>0</v>
      </c>
      <c r="K1729" s="29" t="n">
        <f aca="false">ROUND(E1729+F1729+G1729-H1729-I1729-J1729,1)</f>
        <v>0</v>
      </c>
    </row>
    <row r="1730" customFormat="false" ht="15" hidden="false" customHeight="false" outlineLevel="0" collapsed="false">
      <c r="A1730" s="25" t="n">
        <v>46291</v>
      </c>
      <c r="B1730" s="23" t="str">
        <f aca="false">IF(A1730="","",IF(A1730&lt;=profil!$B$9,"Realisasi","Rencana"))</f>
        <v>Rencana</v>
      </c>
      <c r="C1730" s="18" t="s">
        <v>162</v>
      </c>
      <c r="D1730" s="18" t="s">
        <v>163</v>
      </c>
      <c r="E1730" s="29" t="n">
        <f aca="false">J1729</f>
        <v>0</v>
      </c>
      <c r="F1730" s="28"/>
      <c r="G1730" s="30" t="n">
        <v>0</v>
      </c>
      <c r="H1730" s="28"/>
      <c r="I1730" s="28"/>
      <c r="J1730" s="29" t="n">
        <f aca="false">E1730+F1730+G1730-H1730-I1730</f>
        <v>0</v>
      </c>
      <c r="K1730" s="29" t="n">
        <f aca="false">ROUND(E1730+F1730+G1730-H1730-I1730-J1730,1)</f>
        <v>0</v>
      </c>
    </row>
    <row r="1731" customFormat="false" ht="15" hidden="false" customHeight="false" outlineLevel="0" collapsed="false">
      <c r="A1731" s="25" t="n">
        <v>46292</v>
      </c>
      <c r="B1731" s="23" t="str">
        <f aca="false">IF(A1731="","",IF(A1731&lt;=profil!$B$9,"Realisasi","Rencana"))</f>
        <v>Rencana</v>
      </c>
      <c r="C1731" s="18" t="s">
        <v>162</v>
      </c>
      <c r="D1731" s="18" t="s">
        <v>163</v>
      </c>
      <c r="E1731" s="29" t="n">
        <f aca="false">J1730</f>
        <v>0</v>
      </c>
      <c r="F1731" s="28"/>
      <c r="G1731" s="30" t="n">
        <v>0</v>
      </c>
      <c r="H1731" s="28"/>
      <c r="I1731" s="28"/>
      <c r="J1731" s="29" t="n">
        <f aca="false">E1731+F1731+G1731-H1731-I1731</f>
        <v>0</v>
      </c>
      <c r="K1731" s="29" t="n">
        <f aca="false">ROUND(E1731+F1731+G1731-H1731-I1731-J1731,1)</f>
        <v>0</v>
      </c>
    </row>
    <row r="1732" customFormat="false" ht="15" hidden="false" customHeight="false" outlineLevel="0" collapsed="false">
      <c r="A1732" s="25" t="n">
        <v>46293</v>
      </c>
      <c r="B1732" s="23" t="str">
        <f aca="false">IF(A1732="","",IF(A1732&lt;=profil!$B$9,"Realisasi","Rencana"))</f>
        <v>Rencana</v>
      </c>
      <c r="C1732" s="18" t="s">
        <v>162</v>
      </c>
      <c r="D1732" s="18" t="s">
        <v>163</v>
      </c>
      <c r="E1732" s="29" t="n">
        <f aca="false">J1731</f>
        <v>0</v>
      </c>
      <c r="F1732" s="28"/>
      <c r="G1732" s="30" t="n">
        <v>0</v>
      </c>
      <c r="H1732" s="28"/>
      <c r="I1732" s="28"/>
      <c r="J1732" s="29" t="n">
        <f aca="false">E1732+F1732+G1732-H1732-I1732</f>
        <v>0</v>
      </c>
      <c r="K1732" s="29" t="n">
        <f aca="false">ROUND(E1732+F1732+G1732-H1732-I1732-J1732,1)</f>
        <v>0</v>
      </c>
    </row>
    <row r="1733" customFormat="false" ht="15" hidden="false" customHeight="false" outlineLevel="0" collapsed="false">
      <c r="A1733" s="25" t="n">
        <v>46294</v>
      </c>
      <c r="B1733" s="23" t="str">
        <f aca="false">IF(A1733="","",IF(A1733&lt;=profil!$B$9,"Realisasi","Rencana"))</f>
        <v>Rencana</v>
      </c>
      <c r="C1733" s="18" t="s">
        <v>162</v>
      </c>
      <c r="D1733" s="18" t="s">
        <v>163</v>
      </c>
      <c r="E1733" s="29" t="n">
        <f aca="false">J1732</f>
        <v>0</v>
      </c>
      <c r="F1733" s="28"/>
      <c r="G1733" s="30" t="n">
        <v>0</v>
      </c>
      <c r="H1733" s="28"/>
      <c r="I1733" s="28"/>
      <c r="J1733" s="29" t="n">
        <f aca="false">E1733+F1733+G1733-H1733-I1733</f>
        <v>0</v>
      </c>
      <c r="K1733" s="29" t="n">
        <f aca="false">ROUND(E1733+F1733+G1733-H1733-I1733-J1733,1)</f>
        <v>0</v>
      </c>
    </row>
    <row r="1734" customFormat="false" ht="15" hidden="false" customHeight="false" outlineLevel="0" collapsed="false">
      <c r="A1734" s="25" t="n">
        <v>46295</v>
      </c>
      <c r="B1734" s="23" t="str">
        <f aca="false">IF(A1734="","",IF(A1734&lt;=profil!$B$9,"Realisasi","Rencana"))</f>
        <v>Rencana</v>
      </c>
      <c r="C1734" s="18" t="s">
        <v>162</v>
      </c>
      <c r="D1734" s="18" t="s">
        <v>163</v>
      </c>
      <c r="E1734" s="29" t="n">
        <f aca="false">J1733</f>
        <v>0</v>
      </c>
      <c r="F1734" s="28"/>
      <c r="G1734" s="30" t="n">
        <v>0</v>
      </c>
      <c r="H1734" s="28"/>
      <c r="I1734" s="28"/>
      <c r="J1734" s="29" t="n">
        <f aca="false">E1734+F1734+G1734-H1734-I1734</f>
        <v>0</v>
      </c>
      <c r="K1734" s="29" t="n">
        <f aca="false">ROUND(E1734+F1734+G1734-H1734-I1734-J1734,1)</f>
        <v>0</v>
      </c>
    </row>
    <row r="1735" customFormat="false" ht="15" hidden="false" customHeight="false" outlineLevel="0" collapsed="false">
      <c r="A1735" s="25" t="n">
        <v>46296</v>
      </c>
      <c r="B1735" s="23" t="str">
        <f aca="false">IF(A1735="","",IF(A1735&lt;=profil!$B$9,"Realisasi","Rencana"))</f>
        <v>Rencana</v>
      </c>
      <c r="C1735" s="18" t="s">
        <v>162</v>
      </c>
      <c r="D1735" s="18" t="s">
        <v>163</v>
      </c>
      <c r="E1735" s="29" t="n">
        <f aca="false">J1734</f>
        <v>0</v>
      </c>
      <c r="F1735" s="28"/>
      <c r="G1735" s="30" t="n">
        <v>0</v>
      </c>
      <c r="H1735" s="28"/>
      <c r="I1735" s="28"/>
      <c r="J1735" s="29" t="n">
        <f aca="false">E1735+F1735+G1735-H1735-I1735</f>
        <v>0</v>
      </c>
      <c r="K1735" s="29" t="n">
        <f aca="false">ROUND(E1735+F1735+G1735-H1735-I1735-J1735,1)</f>
        <v>0</v>
      </c>
    </row>
    <row r="1736" customFormat="false" ht="15" hidden="false" customHeight="false" outlineLevel="0" collapsed="false">
      <c r="A1736" s="25" t="n">
        <v>46297</v>
      </c>
      <c r="B1736" s="23" t="str">
        <f aca="false">IF(A1736="","",IF(A1736&lt;=profil!$B$9,"Realisasi","Rencana"))</f>
        <v>Rencana</v>
      </c>
      <c r="C1736" s="18" t="s">
        <v>162</v>
      </c>
      <c r="D1736" s="18" t="s">
        <v>163</v>
      </c>
      <c r="E1736" s="29" t="n">
        <f aca="false">J1735</f>
        <v>0</v>
      </c>
      <c r="F1736" s="28"/>
      <c r="G1736" s="30" t="n">
        <v>0</v>
      </c>
      <c r="H1736" s="28"/>
      <c r="I1736" s="28"/>
      <c r="J1736" s="29" t="n">
        <f aca="false">E1736+F1736+G1736-H1736-I1736</f>
        <v>0</v>
      </c>
      <c r="K1736" s="29" t="n">
        <f aca="false">ROUND(E1736+F1736+G1736-H1736-I1736-J1736,1)</f>
        <v>0</v>
      </c>
    </row>
    <row r="1737" customFormat="false" ht="15" hidden="false" customHeight="false" outlineLevel="0" collapsed="false">
      <c r="A1737" s="25" t="n">
        <v>46298</v>
      </c>
      <c r="B1737" s="23" t="str">
        <f aca="false">IF(A1737="","",IF(A1737&lt;=profil!$B$9,"Realisasi","Rencana"))</f>
        <v>Rencana</v>
      </c>
      <c r="C1737" s="18" t="s">
        <v>162</v>
      </c>
      <c r="D1737" s="18" t="s">
        <v>163</v>
      </c>
      <c r="E1737" s="29" t="n">
        <f aca="false">J1736</f>
        <v>0</v>
      </c>
      <c r="F1737" s="28"/>
      <c r="G1737" s="30" t="n">
        <v>0</v>
      </c>
      <c r="H1737" s="28"/>
      <c r="I1737" s="28"/>
      <c r="J1737" s="29" t="n">
        <f aca="false">E1737+F1737+G1737-H1737-I1737</f>
        <v>0</v>
      </c>
      <c r="K1737" s="29" t="n">
        <f aca="false">ROUND(E1737+F1737+G1737-H1737-I1737-J1737,1)</f>
        <v>0</v>
      </c>
    </row>
    <row r="1738" customFormat="false" ht="15" hidden="false" customHeight="false" outlineLevel="0" collapsed="false">
      <c r="A1738" s="25" t="n">
        <v>46299</v>
      </c>
      <c r="B1738" s="23" t="str">
        <f aca="false">IF(A1738="","",IF(A1738&lt;=profil!$B$9,"Realisasi","Rencana"))</f>
        <v>Rencana</v>
      </c>
      <c r="C1738" s="18" t="s">
        <v>162</v>
      </c>
      <c r="D1738" s="18" t="s">
        <v>163</v>
      </c>
      <c r="E1738" s="29" t="n">
        <f aca="false">J1737</f>
        <v>0</v>
      </c>
      <c r="F1738" s="28"/>
      <c r="G1738" s="30" t="n">
        <v>0</v>
      </c>
      <c r="H1738" s="28"/>
      <c r="I1738" s="28"/>
      <c r="J1738" s="29" t="n">
        <f aca="false">E1738+F1738+G1738-H1738-I1738</f>
        <v>0</v>
      </c>
      <c r="K1738" s="29" t="n">
        <f aca="false">ROUND(E1738+F1738+G1738-H1738-I1738-J1738,1)</f>
        <v>0</v>
      </c>
    </row>
    <row r="1739" customFormat="false" ht="15" hidden="false" customHeight="false" outlineLevel="0" collapsed="false">
      <c r="A1739" s="25" t="n">
        <v>46300</v>
      </c>
      <c r="B1739" s="23" t="str">
        <f aca="false">IF(A1739="","",IF(A1739&lt;=profil!$B$9,"Realisasi","Rencana"))</f>
        <v>Rencana</v>
      </c>
      <c r="C1739" s="18" t="s">
        <v>162</v>
      </c>
      <c r="D1739" s="18" t="s">
        <v>163</v>
      </c>
      <c r="E1739" s="29" t="n">
        <f aca="false">J1738</f>
        <v>0</v>
      </c>
      <c r="F1739" s="28"/>
      <c r="G1739" s="30" t="n">
        <v>0</v>
      </c>
      <c r="H1739" s="28"/>
      <c r="I1739" s="28"/>
      <c r="J1739" s="29" t="n">
        <f aca="false">E1739+F1739+G1739-H1739-I1739</f>
        <v>0</v>
      </c>
      <c r="K1739" s="29" t="n">
        <f aca="false">ROUND(E1739+F1739+G1739-H1739-I1739-J1739,1)</f>
        <v>0</v>
      </c>
    </row>
    <row r="1740" customFormat="false" ht="15" hidden="false" customHeight="false" outlineLevel="0" collapsed="false">
      <c r="A1740" s="25" t="n">
        <v>46301</v>
      </c>
      <c r="B1740" s="23" t="str">
        <f aca="false">IF(A1740="","",IF(A1740&lt;=profil!$B$9,"Realisasi","Rencana"))</f>
        <v>Rencana</v>
      </c>
      <c r="C1740" s="18" t="s">
        <v>162</v>
      </c>
      <c r="D1740" s="18" t="s">
        <v>163</v>
      </c>
      <c r="E1740" s="29" t="n">
        <f aca="false">J1739</f>
        <v>0</v>
      </c>
      <c r="F1740" s="28"/>
      <c r="G1740" s="30" t="n">
        <v>0</v>
      </c>
      <c r="H1740" s="28"/>
      <c r="I1740" s="28"/>
      <c r="J1740" s="29" t="n">
        <f aca="false">E1740+F1740+G1740-H1740-I1740</f>
        <v>0</v>
      </c>
      <c r="K1740" s="29" t="n">
        <f aca="false">ROUND(E1740+F1740+G1740-H1740-I1740-J1740,1)</f>
        <v>0</v>
      </c>
    </row>
    <row r="1741" customFormat="false" ht="15" hidden="false" customHeight="false" outlineLevel="0" collapsed="false">
      <c r="A1741" s="25" t="n">
        <v>46302</v>
      </c>
      <c r="B1741" s="23" t="str">
        <f aca="false">IF(A1741="","",IF(A1741&lt;=profil!$B$9,"Realisasi","Rencana"))</f>
        <v>Rencana</v>
      </c>
      <c r="C1741" s="18" t="s">
        <v>162</v>
      </c>
      <c r="D1741" s="18" t="s">
        <v>163</v>
      </c>
      <c r="E1741" s="29" t="n">
        <f aca="false">J1740</f>
        <v>0</v>
      </c>
      <c r="F1741" s="28"/>
      <c r="G1741" s="30" t="n">
        <v>0</v>
      </c>
      <c r="H1741" s="28"/>
      <c r="I1741" s="28"/>
      <c r="J1741" s="29" t="n">
        <f aca="false">E1741+F1741+G1741-H1741-I1741</f>
        <v>0</v>
      </c>
      <c r="K1741" s="29" t="n">
        <f aca="false">ROUND(E1741+F1741+G1741-H1741-I1741-J1741,1)</f>
        <v>0</v>
      </c>
    </row>
    <row r="1742" customFormat="false" ht="15" hidden="false" customHeight="false" outlineLevel="0" collapsed="false">
      <c r="A1742" s="25" t="n">
        <v>46303</v>
      </c>
      <c r="B1742" s="23" t="str">
        <f aca="false">IF(A1742="","",IF(A1742&lt;=profil!$B$9,"Realisasi","Rencana"))</f>
        <v>Rencana</v>
      </c>
      <c r="C1742" s="18" t="s">
        <v>162</v>
      </c>
      <c r="D1742" s="18" t="s">
        <v>163</v>
      </c>
      <c r="E1742" s="29" t="n">
        <f aca="false">J1741</f>
        <v>0</v>
      </c>
      <c r="F1742" s="28"/>
      <c r="G1742" s="30" t="n">
        <v>0</v>
      </c>
      <c r="H1742" s="28"/>
      <c r="I1742" s="28"/>
      <c r="J1742" s="29" t="n">
        <f aca="false">E1742+F1742+G1742-H1742-I1742</f>
        <v>0</v>
      </c>
      <c r="K1742" s="29" t="n">
        <f aca="false">ROUND(E1742+F1742+G1742-H1742-I1742-J1742,1)</f>
        <v>0</v>
      </c>
    </row>
    <row r="1743" customFormat="false" ht="15" hidden="false" customHeight="false" outlineLevel="0" collapsed="false">
      <c r="A1743" s="25" t="n">
        <v>46304</v>
      </c>
      <c r="B1743" s="23" t="str">
        <f aca="false">IF(A1743="","",IF(A1743&lt;=profil!$B$9,"Realisasi","Rencana"))</f>
        <v>Rencana</v>
      </c>
      <c r="C1743" s="18" t="s">
        <v>162</v>
      </c>
      <c r="D1743" s="18" t="s">
        <v>163</v>
      </c>
      <c r="E1743" s="29" t="n">
        <f aca="false">J1742</f>
        <v>0</v>
      </c>
      <c r="F1743" s="28"/>
      <c r="G1743" s="30" t="n">
        <v>0</v>
      </c>
      <c r="H1743" s="28"/>
      <c r="I1743" s="28"/>
      <c r="J1743" s="29" t="n">
        <f aca="false">E1743+F1743+G1743-H1743-I1743</f>
        <v>0</v>
      </c>
      <c r="K1743" s="29" t="n">
        <f aca="false">ROUND(E1743+F1743+G1743-H1743-I1743-J1743,1)</f>
        <v>0</v>
      </c>
    </row>
    <row r="1744" customFormat="false" ht="15" hidden="false" customHeight="false" outlineLevel="0" collapsed="false">
      <c r="A1744" s="25" t="n">
        <v>46305</v>
      </c>
      <c r="B1744" s="23" t="str">
        <f aca="false">IF(A1744="","",IF(A1744&lt;=profil!$B$9,"Realisasi","Rencana"))</f>
        <v>Rencana</v>
      </c>
      <c r="C1744" s="18" t="s">
        <v>162</v>
      </c>
      <c r="D1744" s="18" t="s">
        <v>163</v>
      </c>
      <c r="E1744" s="29" t="n">
        <f aca="false">J1743</f>
        <v>0</v>
      </c>
      <c r="F1744" s="28"/>
      <c r="G1744" s="30" t="n">
        <v>0</v>
      </c>
      <c r="H1744" s="28"/>
      <c r="I1744" s="28"/>
      <c r="J1744" s="29" t="n">
        <f aca="false">E1744+F1744+G1744-H1744-I1744</f>
        <v>0</v>
      </c>
      <c r="K1744" s="29" t="n">
        <f aca="false">ROUND(E1744+F1744+G1744-H1744-I1744-J1744,1)</f>
        <v>0</v>
      </c>
    </row>
    <row r="1745" customFormat="false" ht="15" hidden="false" customHeight="false" outlineLevel="0" collapsed="false">
      <c r="A1745" s="25" t="n">
        <v>46306</v>
      </c>
      <c r="B1745" s="23" t="str">
        <f aca="false">IF(A1745="","",IF(A1745&lt;=profil!$B$9,"Realisasi","Rencana"))</f>
        <v>Rencana</v>
      </c>
      <c r="C1745" s="18" t="s">
        <v>162</v>
      </c>
      <c r="D1745" s="18" t="s">
        <v>163</v>
      </c>
      <c r="E1745" s="29" t="n">
        <f aca="false">J1744</f>
        <v>0</v>
      </c>
      <c r="F1745" s="28"/>
      <c r="G1745" s="30" t="n">
        <v>0</v>
      </c>
      <c r="H1745" s="28"/>
      <c r="I1745" s="28"/>
      <c r="J1745" s="29" t="n">
        <f aca="false">E1745+F1745+G1745-H1745-I1745</f>
        <v>0</v>
      </c>
      <c r="K1745" s="29" t="n">
        <f aca="false">ROUND(E1745+F1745+G1745-H1745-I1745-J1745,1)</f>
        <v>0</v>
      </c>
    </row>
    <row r="1746" customFormat="false" ht="15" hidden="false" customHeight="false" outlineLevel="0" collapsed="false">
      <c r="A1746" s="25" t="n">
        <v>46307</v>
      </c>
      <c r="B1746" s="23" t="str">
        <f aca="false">IF(A1746="","",IF(A1746&lt;=profil!$B$9,"Realisasi","Rencana"))</f>
        <v>Rencana</v>
      </c>
      <c r="C1746" s="18" t="s">
        <v>162</v>
      </c>
      <c r="D1746" s="18" t="s">
        <v>163</v>
      </c>
      <c r="E1746" s="29" t="n">
        <f aca="false">J1745</f>
        <v>0</v>
      </c>
      <c r="F1746" s="28"/>
      <c r="G1746" s="30" t="n">
        <v>0</v>
      </c>
      <c r="H1746" s="28"/>
      <c r="I1746" s="28"/>
      <c r="J1746" s="29" t="n">
        <f aca="false">E1746+F1746+G1746-H1746-I1746</f>
        <v>0</v>
      </c>
      <c r="K1746" s="29" t="n">
        <f aca="false">ROUND(E1746+F1746+G1746-H1746-I1746-J1746,1)</f>
        <v>0</v>
      </c>
    </row>
    <row r="1747" customFormat="false" ht="15" hidden="false" customHeight="false" outlineLevel="0" collapsed="false">
      <c r="A1747" s="25" t="n">
        <v>46308</v>
      </c>
      <c r="B1747" s="23" t="str">
        <f aca="false">IF(A1747="","",IF(A1747&lt;=profil!$B$9,"Realisasi","Rencana"))</f>
        <v>Rencana</v>
      </c>
      <c r="C1747" s="18" t="s">
        <v>162</v>
      </c>
      <c r="D1747" s="18" t="s">
        <v>163</v>
      </c>
      <c r="E1747" s="29" t="n">
        <f aca="false">J1746</f>
        <v>0</v>
      </c>
      <c r="F1747" s="28"/>
      <c r="G1747" s="30" t="n">
        <v>0</v>
      </c>
      <c r="H1747" s="28"/>
      <c r="I1747" s="28"/>
      <c r="J1747" s="29" t="n">
        <f aca="false">E1747+F1747+G1747-H1747-I1747</f>
        <v>0</v>
      </c>
      <c r="K1747" s="29" t="n">
        <f aca="false">ROUND(E1747+F1747+G1747-H1747-I1747-J1747,1)</f>
        <v>0</v>
      </c>
    </row>
    <row r="1748" customFormat="false" ht="15" hidden="false" customHeight="false" outlineLevel="0" collapsed="false">
      <c r="A1748" s="25" t="n">
        <v>46309</v>
      </c>
      <c r="B1748" s="23" t="str">
        <f aca="false">IF(A1748="","",IF(A1748&lt;=profil!$B$9,"Realisasi","Rencana"))</f>
        <v>Rencana</v>
      </c>
      <c r="C1748" s="18" t="s">
        <v>162</v>
      </c>
      <c r="D1748" s="18" t="s">
        <v>163</v>
      </c>
      <c r="E1748" s="29" t="n">
        <f aca="false">J1747</f>
        <v>0</v>
      </c>
      <c r="F1748" s="28"/>
      <c r="G1748" s="30" t="n">
        <v>0</v>
      </c>
      <c r="H1748" s="28"/>
      <c r="I1748" s="28"/>
      <c r="J1748" s="29" t="n">
        <f aca="false">E1748+F1748+G1748-H1748-I1748</f>
        <v>0</v>
      </c>
      <c r="K1748" s="29" t="n">
        <f aca="false">ROUND(E1748+F1748+G1748-H1748-I1748-J1748,1)</f>
        <v>0</v>
      </c>
    </row>
    <row r="1749" customFormat="false" ht="15" hidden="false" customHeight="false" outlineLevel="0" collapsed="false">
      <c r="A1749" s="25" t="n">
        <v>46310</v>
      </c>
      <c r="B1749" s="23" t="str">
        <f aca="false">IF(A1749="","",IF(A1749&lt;=profil!$B$9,"Realisasi","Rencana"))</f>
        <v>Rencana</v>
      </c>
      <c r="C1749" s="18" t="s">
        <v>162</v>
      </c>
      <c r="D1749" s="18" t="s">
        <v>163</v>
      </c>
      <c r="E1749" s="29" t="n">
        <f aca="false">J1748</f>
        <v>0</v>
      </c>
      <c r="F1749" s="28"/>
      <c r="G1749" s="30" t="n">
        <v>0</v>
      </c>
      <c r="H1749" s="28"/>
      <c r="I1749" s="28"/>
      <c r="J1749" s="29" t="n">
        <f aca="false">E1749+F1749+G1749-H1749-I1749</f>
        <v>0</v>
      </c>
      <c r="K1749" s="29" t="n">
        <f aca="false">ROUND(E1749+F1749+G1749-H1749-I1749-J1749,1)</f>
        <v>0</v>
      </c>
    </row>
    <row r="1750" customFormat="false" ht="15" hidden="false" customHeight="false" outlineLevel="0" collapsed="false">
      <c r="A1750" s="25" t="n">
        <v>46311</v>
      </c>
      <c r="B1750" s="23" t="str">
        <f aca="false">IF(A1750="","",IF(A1750&lt;=profil!$B$9,"Realisasi","Rencana"))</f>
        <v>Rencana</v>
      </c>
      <c r="C1750" s="18" t="s">
        <v>162</v>
      </c>
      <c r="D1750" s="18" t="s">
        <v>163</v>
      </c>
      <c r="E1750" s="29" t="n">
        <f aca="false">J1749</f>
        <v>0</v>
      </c>
      <c r="F1750" s="28"/>
      <c r="G1750" s="30" t="n">
        <v>0</v>
      </c>
      <c r="H1750" s="28"/>
      <c r="I1750" s="28"/>
      <c r="J1750" s="29" t="n">
        <f aca="false">E1750+F1750+G1750-H1750-I1750</f>
        <v>0</v>
      </c>
      <c r="K1750" s="29" t="n">
        <f aca="false">ROUND(E1750+F1750+G1750-H1750-I1750-J1750,1)</f>
        <v>0</v>
      </c>
    </row>
    <row r="1751" customFormat="false" ht="15" hidden="false" customHeight="false" outlineLevel="0" collapsed="false">
      <c r="A1751" s="25" t="n">
        <v>46312</v>
      </c>
      <c r="B1751" s="23" t="str">
        <f aca="false">IF(A1751="","",IF(A1751&lt;=profil!$B$9,"Realisasi","Rencana"))</f>
        <v>Rencana</v>
      </c>
      <c r="C1751" s="18" t="s">
        <v>162</v>
      </c>
      <c r="D1751" s="18" t="s">
        <v>163</v>
      </c>
      <c r="E1751" s="29" t="n">
        <f aca="false">J1750</f>
        <v>0</v>
      </c>
      <c r="F1751" s="28"/>
      <c r="G1751" s="30" t="n">
        <v>0</v>
      </c>
      <c r="H1751" s="28"/>
      <c r="I1751" s="28"/>
      <c r="J1751" s="29" t="n">
        <f aca="false">E1751+F1751+G1751-H1751-I1751</f>
        <v>0</v>
      </c>
      <c r="K1751" s="29" t="n">
        <f aca="false">ROUND(E1751+F1751+G1751-H1751-I1751-J1751,1)</f>
        <v>0</v>
      </c>
    </row>
    <row r="1752" customFormat="false" ht="15" hidden="false" customHeight="false" outlineLevel="0" collapsed="false">
      <c r="A1752" s="25" t="n">
        <v>46313</v>
      </c>
      <c r="B1752" s="23" t="str">
        <f aca="false">IF(A1752="","",IF(A1752&lt;=profil!$B$9,"Realisasi","Rencana"))</f>
        <v>Rencana</v>
      </c>
      <c r="C1752" s="18" t="s">
        <v>162</v>
      </c>
      <c r="D1752" s="18" t="s">
        <v>163</v>
      </c>
      <c r="E1752" s="29" t="n">
        <f aca="false">J1751</f>
        <v>0</v>
      </c>
      <c r="F1752" s="28"/>
      <c r="G1752" s="30" t="n">
        <v>0</v>
      </c>
      <c r="H1752" s="28"/>
      <c r="I1752" s="28"/>
      <c r="J1752" s="29" t="n">
        <f aca="false">E1752+F1752+G1752-H1752-I1752</f>
        <v>0</v>
      </c>
      <c r="K1752" s="29" t="n">
        <f aca="false">ROUND(E1752+F1752+G1752-H1752-I1752-J1752,1)</f>
        <v>0</v>
      </c>
    </row>
    <row r="1753" customFormat="false" ht="15" hidden="false" customHeight="false" outlineLevel="0" collapsed="false">
      <c r="A1753" s="25" t="n">
        <v>46314</v>
      </c>
      <c r="B1753" s="23" t="str">
        <f aca="false">IF(A1753="","",IF(A1753&lt;=profil!$B$9,"Realisasi","Rencana"))</f>
        <v>Rencana</v>
      </c>
      <c r="C1753" s="18" t="s">
        <v>162</v>
      </c>
      <c r="D1753" s="18" t="s">
        <v>163</v>
      </c>
      <c r="E1753" s="29" t="n">
        <f aca="false">J1752</f>
        <v>0</v>
      </c>
      <c r="F1753" s="28"/>
      <c r="G1753" s="30" t="n">
        <v>0</v>
      </c>
      <c r="H1753" s="28"/>
      <c r="I1753" s="28"/>
      <c r="J1753" s="29" t="n">
        <f aca="false">E1753+F1753+G1753-H1753-I1753</f>
        <v>0</v>
      </c>
      <c r="K1753" s="29" t="n">
        <f aca="false">ROUND(E1753+F1753+G1753-H1753-I1753-J1753,1)</f>
        <v>0</v>
      </c>
    </row>
    <row r="1754" customFormat="false" ht="15" hidden="false" customHeight="false" outlineLevel="0" collapsed="false">
      <c r="A1754" s="25" t="n">
        <v>46315</v>
      </c>
      <c r="B1754" s="23" t="str">
        <f aca="false">IF(A1754="","",IF(A1754&lt;=profil!$B$9,"Realisasi","Rencana"))</f>
        <v>Rencana</v>
      </c>
      <c r="C1754" s="18" t="s">
        <v>162</v>
      </c>
      <c r="D1754" s="18" t="s">
        <v>163</v>
      </c>
      <c r="E1754" s="29" t="n">
        <f aca="false">J1753</f>
        <v>0</v>
      </c>
      <c r="F1754" s="28"/>
      <c r="G1754" s="30" t="n">
        <v>0</v>
      </c>
      <c r="H1754" s="28"/>
      <c r="I1754" s="28"/>
      <c r="J1754" s="29" t="n">
        <f aca="false">E1754+F1754+G1754-H1754-I1754</f>
        <v>0</v>
      </c>
      <c r="K1754" s="29" t="n">
        <f aca="false">ROUND(E1754+F1754+G1754-H1754-I1754-J1754,1)</f>
        <v>0</v>
      </c>
    </row>
    <row r="1755" customFormat="false" ht="15" hidden="false" customHeight="false" outlineLevel="0" collapsed="false">
      <c r="A1755" s="25" t="n">
        <v>46316</v>
      </c>
      <c r="B1755" s="23" t="str">
        <f aca="false">IF(A1755="","",IF(A1755&lt;=profil!$B$9,"Realisasi","Rencana"))</f>
        <v>Rencana</v>
      </c>
      <c r="C1755" s="18" t="s">
        <v>162</v>
      </c>
      <c r="D1755" s="18" t="s">
        <v>163</v>
      </c>
      <c r="E1755" s="29" t="n">
        <f aca="false">J1754</f>
        <v>0</v>
      </c>
      <c r="F1755" s="28"/>
      <c r="G1755" s="30" t="n">
        <v>0</v>
      </c>
      <c r="H1755" s="28"/>
      <c r="I1755" s="28"/>
      <c r="J1755" s="29" t="n">
        <f aca="false">E1755+F1755+G1755-H1755-I1755</f>
        <v>0</v>
      </c>
      <c r="K1755" s="29" t="n">
        <f aca="false">ROUND(E1755+F1755+G1755-H1755-I1755-J1755,1)</f>
        <v>0</v>
      </c>
    </row>
    <row r="1756" customFormat="false" ht="15" hidden="false" customHeight="false" outlineLevel="0" collapsed="false">
      <c r="A1756" s="25" t="n">
        <v>46317</v>
      </c>
      <c r="B1756" s="23" t="str">
        <f aca="false">IF(A1756="","",IF(A1756&lt;=profil!$B$9,"Realisasi","Rencana"))</f>
        <v>Rencana</v>
      </c>
      <c r="C1756" s="18" t="s">
        <v>162</v>
      </c>
      <c r="D1756" s="18" t="s">
        <v>163</v>
      </c>
      <c r="E1756" s="29" t="n">
        <f aca="false">J1755</f>
        <v>0</v>
      </c>
      <c r="F1756" s="28"/>
      <c r="G1756" s="30" t="n">
        <v>0</v>
      </c>
      <c r="H1756" s="28"/>
      <c r="I1756" s="28"/>
      <c r="J1756" s="29" t="n">
        <f aca="false">E1756+F1756+G1756-H1756-I1756</f>
        <v>0</v>
      </c>
      <c r="K1756" s="29" t="n">
        <f aca="false">ROUND(E1756+F1756+G1756-H1756-I1756-J1756,1)</f>
        <v>0</v>
      </c>
    </row>
    <row r="1757" customFormat="false" ht="15" hidden="false" customHeight="false" outlineLevel="0" collapsed="false">
      <c r="A1757" s="25" t="n">
        <v>46318</v>
      </c>
      <c r="B1757" s="23" t="str">
        <f aca="false">IF(A1757="","",IF(A1757&lt;=profil!$B$9,"Realisasi","Rencana"))</f>
        <v>Rencana</v>
      </c>
      <c r="C1757" s="18" t="s">
        <v>162</v>
      </c>
      <c r="D1757" s="18" t="s">
        <v>163</v>
      </c>
      <c r="E1757" s="29" t="n">
        <f aca="false">J1756</f>
        <v>0</v>
      </c>
      <c r="F1757" s="28"/>
      <c r="G1757" s="30" t="n">
        <v>0</v>
      </c>
      <c r="H1757" s="28"/>
      <c r="I1757" s="28"/>
      <c r="J1757" s="29" t="n">
        <f aca="false">E1757+F1757+G1757-H1757-I1757</f>
        <v>0</v>
      </c>
      <c r="K1757" s="29" t="n">
        <f aca="false">ROUND(E1757+F1757+G1757-H1757-I1757-J1757,1)</f>
        <v>0</v>
      </c>
    </row>
    <row r="1758" customFormat="false" ht="15" hidden="false" customHeight="false" outlineLevel="0" collapsed="false">
      <c r="A1758" s="25" t="n">
        <v>46319</v>
      </c>
      <c r="B1758" s="23" t="str">
        <f aca="false">IF(A1758="","",IF(A1758&lt;=profil!$B$9,"Realisasi","Rencana"))</f>
        <v>Rencana</v>
      </c>
      <c r="C1758" s="18" t="s">
        <v>162</v>
      </c>
      <c r="D1758" s="18" t="s">
        <v>163</v>
      </c>
      <c r="E1758" s="29" t="n">
        <f aca="false">J1757</f>
        <v>0</v>
      </c>
      <c r="F1758" s="28"/>
      <c r="G1758" s="30" t="n">
        <v>0</v>
      </c>
      <c r="H1758" s="28"/>
      <c r="I1758" s="28"/>
      <c r="J1758" s="29" t="n">
        <f aca="false">E1758+F1758+G1758-H1758-I1758</f>
        <v>0</v>
      </c>
      <c r="K1758" s="29" t="n">
        <f aca="false">ROUND(E1758+F1758+G1758-H1758-I1758-J1758,1)</f>
        <v>0</v>
      </c>
    </row>
    <row r="1759" customFormat="false" ht="15" hidden="false" customHeight="false" outlineLevel="0" collapsed="false">
      <c r="A1759" s="25" t="n">
        <v>46320</v>
      </c>
      <c r="B1759" s="23" t="str">
        <f aca="false">IF(A1759="","",IF(A1759&lt;=profil!$B$9,"Realisasi","Rencana"))</f>
        <v>Rencana</v>
      </c>
      <c r="C1759" s="18" t="s">
        <v>162</v>
      </c>
      <c r="D1759" s="18" t="s">
        <v>163</v>
      </c>
      <c r="E1759" s="29" t="n">
        <f aca="false">J1758</f>
        <v>0</v>
      </c>
      <c r="F1759" s="28"/>
      <c r="G1759" s="30" t="n">
        <v>0</v>
      </c>
      <c r="H1759" s="28"/>
      <c r="I1759" s="28"/>
      <c r="J1759" s="29" t="n">
        <f aca="false">E1759+F1759+G1759-H1759-I1759</f>
        <v>0</v>
      </c>
      <c r="K1759" s="29" t="n">
        <f aca="false">ROUND(E1759+F1759+G1759-H1759-I1759-J1759,1)</f>
        <v>0</v>
      </c>
    </row>
    <row r="1760" customFormat="false" ht="15" hidden="false" customHeight="false" outlineLevel="0" collapsed="false">
      <c r="A1760" s="25" t="n">
        <v>46321</v>
      </c>
      <c r="B1760" s="23" t="str">
        <f aca="false">IF(A1760="","",IF(A1760&lt;=profil!$B$9,"Realisasi","Rencana"))</f>
        <v>Rencana</v>
      </c>
      <c r="C1760" s="18" t="s">
        <v>162</v>
      </c>
      <c r="D1760" s="18" t="s">
        <v>163</v>
      </c>
      <c r="E1760" s="29" t="n">
        <f aca="false">J1759</f>
        <v>0</v>
      </c>
      <c r="F1760" s="28"/>
      <c r="G1760" s="30" t="n">
        <v>0</v>
      </c>
      <c r="H1760" s="28"/>
      <c r="I1760" s="28"/>
      <c r="J1760" s="29" t="n">
        <f aca="false">E1760+F1760+G1760-H1760-I1760</f>
        <v>0</v>
      </c>
      <c r="K1760" s="29" t="n">
        <f aca="false">ROUND(E1760+F1760+G1760-H1760-I1760-J1760,1)</f>
        <v>0</v>
      </c>
    </row>
    <row r="1761" customFormat="false" ht="15" hidden="false" customHeight="false" outlineLevel="0" collapsed="false">
      <c r="A1761" s="25" t="n">
        <v>46322</v>
      </c>
      <c r="B1761" s="23" t="str">
        <f aca="false">IF(A1761="","",IF(A1761&lt;=profil!$B$9,"Realisasi","Rencana"))</f>
        <v>Rencana</v>
      </c>
      <c r="C1761" s="18" t="s">
        <v>162</v>
      </c>
      <c r="D1761" s="18" t="s">
        <v>163</v>
      </c>
      <c r="E1761" s="29" t="n">
        <f aca="false">J1760</f>
        <v>0</v>
      </c>
      <c r="F1761" s="28"/>
      <c r="G1761" s="30" t="n">
        <v>0</v>
      </c>
      <c r="H1761" s="28"/>
      <c r="I1761" s="28"/>
      <c r="J1761" s="29" t="n">
        <f aca="false">E1761+F1761+G1761-H1761-I1761</f>
        <v>0</v>
      </c>
      <c r="K1761" s="29" t="n">
        <f aca="false">ROUND(E1761+F1761+G1761-H1761-I1761-J1761,1)</f>
        <v>0</v>
      </c>
    </row>
    <row r="1762" customFormat="false" ht="15" hidden="false" customHeight="false" outlineLevel="0" collapsed="false">
      <c r="A1762" s="25" t="n">
        <v>46323</v>
      </c>
      <c r="B1762" s="23" t="str">
        <f aca="false">IF(A1762="","",IF(A1762&lt;=profil!$B$9,"Realisasi","Rencana"))</f>
        <v>Rencana</v>
      </c>
      <c r="C1762" s="18" t="s">
        <v>162</v>
      </c>
      <c r="D1762" s="18" t="s">
        <v>163</v>
      </c>
      <c r="E1762" s="29" t="n">
        <f aca="false">J1761</f>
        <v>0</v>
      </c>
      <c r="F1762" s="28"/>
      <c r="G1762" s="30" t="n">
        <v>0</v>
      </c>
      <c r="H1762" s="28"/>
      <c r="I1762" s="28"/>
      <c r="J1762" s="29" t="n">
        <f aca="false">E1762+F1762+G1762-H1762-I1762</f>
        <v>0</v>
      </c>
      <c r="K1762" s="29" t="n">
        <f aca="false">ROUND(E1762+F1762+G1762-H1762-I1762-J1762,1)</f>
        <v>0</v>
      </c>
    </row>
    <row r="1763" customFormat="false" ht="15" hidden="false" customHeight="false" outlineLevel="0" collapsed="false">
      <c r="A1763" s="25" t="n">
        <v>46324</v>
      </c>
      <c r="B1763" s="23" t="str">
        <f aca="false">IF(A1763="","",IF(A1763&lt;=profil!$B$9,"Realisasi","Rencana"))</f>
        <v>Rencana</v>
      </c>
      <c r="C1763" s="18" t="s">
        <v>162</v>
      </c>
      <c r="D1763" s="18" t="s">
        <v>163</v>
      </c>
      <c r="E1763" s="29" t="n">
        <f aca="false">J1762</f>
        <v>0</v>
      </c>
      <c r="F1763" s="28"/>
      <c r="G1763" s="30" t="n">
        <v>0</v>
      </c>
      <c r="H1763" s="28"/>
      <c r="I1763" s="28"/>
      <c r="J1763" s="29" t="n">
        <f aca="false">E1763+F1763+G1763-H1763-I1763</f>
        <v>0</v>
      </c>
      <c r="K1763" s="29" t="n">
        <f aca="false">ROUND(E1763+F1763+G1763-H1763-I1763-J1763,1)</f>
        <v>0</v>
      </c>
    </row>
    <row r="1764" customFormat="false" ht="15" hidden="false" customHeight="false" outlineLevel="0" collapsed="false">
      <c r="A1764" s="25" t="n">
        <v>46325</v>
      </c>
      <c r="B1764" s="23" t="str">
        <f aca="false">IF(A1764="","",IF(A1764&lt;=profil!$B$9,"Realisasi","Rencana"))</f>
        <v>Rencana</v>
      </c>
      <c r="C1764" s="18" t="s">
        <v>162</v>
      </c>
      <c r="D1764" s="18" t="s">
        <v>163</v>
      </c>
      <c r="E1764" s="29" t="n">
        <f aca="false">J1763</f>
        <v>0</v>
      </c>
      <c r="F1764" s="28"/>
      <c r="G1764" s="30" t="n">
        <v>0</v>
      </c>
      <c r="H1764" s="28"/>
      <c r="I1764" s="28"/>
      <c r="J1764" s="29" t="n">
        <f aca="false">E1764+F1764+G1764-H1764-I1764</f>
        <v>0</v>
      </c>
      <c r="K1764" s="29" t="n">
        <f aca="false">ROUND(E1764+F1764+G1764-H1764-I1764-J1764,1)</f>
        <v>0</v>
      </c>
    </row>
    <row r="1765" customFormat="false" ht="15" hidden="false" customHeight="false" outlineLevel="0" collapsed="false">
      <c r="A1765" s="25" t="n">
        <v>46326</v>
      </c>
      <c r="B1765" s="23" t="str">
        <f aca="false">IF(A1765="","",IF(A1765&lt;=profil!$B$9,"Realisasi","Rencana"))</f>
        <v>Rencana</v>
      </c>
      <c r="C1765" s="18" t="s">
        <v>162</v>
      </c>
      <c r="D1765" s="18" t="s">
        <v>163</v>
      </c>
      <c r="E1765" s="29" t="n">
        <f aca="false">J1764</f>
        <v>0</v>
      </c>
      <c r="F1765" s="28"/>
      <c r="G1765" s="30" t="n">
        <v>0</v>
      </c>
      <c r="H1765" s="28"/>
      <c r="I1765" s="28"/>
      <c r="J1765" s="29" t="n">
        <f aca="false">E1765+F1765+G1765-H1765-I1765</f>
        <v>0</v>
      </c>
      <c r="K1765" s="29" t="n">
        <f aca="false">ROUND(E1765+F1765+G1765-H1765-I1765-J1765,1)</f>
        <v>0</v>
      </c>
    </row>
    <row r="1766" customFormat="false" ht="15" hidden="false" customHeight="false" outlineLevel="0" collapsed="false">
      <c r="A1766" s="25" t="n">
        <v>46327</v>
      </c>
      <c r="B1766" s="23" t="str">
        <f aca="false">IF(A1766="","",IF(A1766&lt;=profil!$B$9,"Realisasi","Rencana"))</f>
        <v>Rencana</v>
      </c>
      <c r="C1766" s="18" t="s">
        <v>162</v>
      </c>
      <c r="D1766" s="18" t="s">
        <v>163</v>
      </c>
      <c r="E1766" s="29" t="n">
        <f aca="false">J1765</f>
        <v>0</v>
      </c>
      <c r="F1766" s="28"/>
      <c r="G1766" s="30" t="n">
        <v>0</v>
      </c>
      <c r="H1766" s="28"/>
      <c r="I1766" s="28"/>
      <c r="J1766" s="29" t="n">
        <f aca="false">E1766+F1766+G1766-H1766-I1766</f>
        <v>0</v>
      </c>
      <c r="K1766" s="29" t="n">
        <f aca="false">ROUND(E1766+F1766+G1766-H1766-I1766-J1766,1)</f>
        <v>0</v>
      </c>
    </row>
    <row r="1767" customFormat="false" ht="15" hidden="false" customHeight="false" outlineLevel="0" collapsed="false">
      <c r="A1767" s="25" t="n">
        <v>46328</v>
      </c>
      <c r="B1767" s="23" t="str">
        <f aca="false">IF(A1767="","",IF(A1767&lt;=profil!$B$9,"Realisasi","Rencana"))</f>
        <v>Rencana</v>
      </c>
      <c r="C1767" s="18" t="s">
        <v>162</v>
      </c>
      <c r="D1767" s="18" t="s">
        <v>163</v>
      </c>
      <c r="E1767" s="29" t="n">
        <f aca="false">J1766</f>
        <v>0</v>
      </c>
      <c r="F1767" s="28"/>
      <c r="G1767" s="30" t="n">
        <v>0</v>
      </c>
      <c r="H1767" s="28"/>
      <c r="I1767" s="28"/>
      <c r="J1767" s="29" t="n">
        <f aca="false">E1767+F1767+G1767-H1767-I1767</f>
        <v>0</v>
      </c>
      <c r="K1767" s="29" t="n">
        <f aca="false">ROUND(E1767+F1767+G1767-H1767-I1767-J1767,1)</f>
        <v>0</v>
      </c>
    </row>
    <row r="1768" customFormat="false" ht="15" hidden="false" customHeight="false" outlineLevel="0" collapsed="false">
      <c r="A1768" s="25" t="n">
        <v>46329</v>
      </c>
      <c r="B1768" s="23" t="str">
        <f aca="false">IF(A1768="","",IF(A1768&lt;=profil!$B$9,"Realisasi","Rencana"))</f>
        <v>Rencana</v>
      </c>
      <c r="C1768" s="18" t="s">
        <v>162</v>
      </c>
      <c r="D1768" s="18" t="s">
        <v>163</v>
      </c>
      <c r="E1768" s="29" t="n">
        <f aca="false">J1767</f>
        <v>0</v>
      </c>
      <c r="F1768" s="28"/>
      <c r="G1768" s="30" t="n">
        <v>0</v>
      </c>
      <c r="H1768" s="28"/>
      <c r="I1768" s="28"/>
      <c r="J1768" s="29" t="n">
        <f aca="false">E1768+F1768+G1768-H1768-I1768</f>
        <v>0</v>
      </c>
      <c r="K1768" s="29" t="n">
        <f aca="false">ROUND(E1768+F1768+G1768-H1768-I1768-J1768,1)</f>
        <v>0</v>
      </c>
    </row>
    <row r="1769" customFormat="false" ht="15" hidden="false" customHeight="false" outlineLevel="0" collapsed="false">
      <c r="A1769" s="25" t="n">
        <v>46330</v>
      </c>
      <c r="B1769" s="23" t="str">
        <f aca="false">IF(A1769="","",IF(A1769&lt;=profil!$B$9,"Realisasi","Rencana"))</f>
        <v>Rencana</v>
      </c>
      <c r="C1769" s="18" t="s">
        <v>162</v>
      </c>
      <c r="D1769" s="18" t="s">
        <v>163</v>
      </c>
      <c r="E1769" s="29" t="n">
        <f aca="false">J1768</f>
        <v>0</v>
      </c>
      <c r="F1769" s="28"/>
      <c r="G1769" s="30" t="n">
        <v>0</v>
      </c>
      <c r="H1769" s="28"/>
      <c r="I1769" s="28"/>
      <c r="J1769" s="29" t="n">
        <f aca="false">E1769+F1769+G1769-H1769-I1769</f>
        <v>0</v>
      </c>
      <c r="K1769" s="29" t="n">
        <f aca="false">ROUND(E1769+F1769+G1769-H1769-I1769-J1769,1)</f>
        <v>0</v>
      </c>
    </row>
    <row r="1770" customFormat="false" ht="15" hidden="false" customHeight="false" outlineLevel="0" collapsed="false">
      <c r="A1770" s="25" t="n">
        <v>46331</v>
      </c>
      <c r="B1770" s="23" t="str">
        <f aca="false">IF(A1770="","",IF(A1770&lt;=profil!$B$9,"Realisasi","Rencana"))</f>
        <v>Rencana</v>
      </c>
      <c r="C1770" s="18" t="s">
        <v>162</v>
      </c>
      <c r="D1770" s="18" t="s">
        <v>163</v>
      </c>
      <c r="E1770" s="29" t="n">
        <f aca="false">J1769</f>
        <v>0</v>
      </c>
      <c r="F1770" s="28"/>
      <c r="G1770" s="30" t="n">
        <v>0</v>
      </c>
      <c r="H1770" s="28"/>
      <c r="I1770" s="28"/>
      <c r="J1770" s="29" t="n">
        <f aca="false">E1770+F1770+G1770-H1770-I1770</f>
        <v>0</v>
      </c>
      <c r="K1770" s="29" t="n">
        <f aca="false">ROUND(E1770+F1770+G1770-H1770-I1770-J1770,1)</f>
        <v>0</v>
      </c>
    </row>
    <row r="1771" customFormat="false" ht="15" hidden="false" customHeight="false" outlineLevel="0" collapsed="false">
      <c r="A1771" s="25" t="n">
        <v>46332</v>
      </c>
      <c r="B1771" s="23" t="str">
        <f aca="false">IF(A1771="","",IF(A1771&lt;=profil!$B$9,"Realisasi","Rencana"))</f>
        <v>Rencana</v>
      </c>
      <c r="C1771" s="18" t="s">
        <v>162</v>
      </c>
      <c r="D1771" s="18" t="s">
        <v>163</v>
      </c>
      <c r="E1771" s="29" t="n">
        <f aca="false">J1770</f>
        <v>0</v>
      </c>
      <c r="F1771" s="28"/>
      <c r="G1771" s="30" t="n">
        <v>0</v>
      </c>
      <c r="H1771" s="28"/>
      <c r="I1771" s="28"/>
      <c r="J1771" s="29" t="n">
        <f aca="false">E1771+F1771+G1771-H1771-I1771</f>
        <v>0</v>
      </c>
      <c r="K1771" s="29" t="n">
        <f aca="false">ROUND(E1771+F1771+G1771-H1771-I1771-J1771,1)</f>
        <v>0</v>
      </c>
    </row>
    <row r="1772" customFormat="false" ht="15" hidden="false" customHeight="false" outlineLevel="0" collapsed="false">
      <c r="A1772" s="25" t="n">
        <v>46333</v>
      </c>
      <c r="B1772" s="23" t="str">
        <f aca="false">IF(A1772="","",IF(A1772&lt;=profil!$B$9,"Realisasi","Rencana"))</f>
        <v>Rencana</v>
      </c>
      <c r="C1772" s="18" t="s">
        <v>162</v>
      </c>
      <c r="D1772" s="18" t="s">
        <v>163</v>
      </c>
      <c r="E1772" s="29" t="n">
        <f aca="false">J1771</f>
        <v>0</v>
      </c>
      <c r="F1772" s="28"/>
      <c r="G1772" s="30" t="n">
        <v>0</v>
      </c>
      <c r="H1772" s="28"/>
      <c r="I1772" s="28"/>
      <c r="J1772" s="29" t="n">
        <f aca="false">E1772+F1772+G1772-H1772-I1772</f>
        <v>0</v>
      </c>
      <c r="K1772" s="29" t="n">
        <f aca="false">ROUND(E1772+F1772+G1772-H1772-I1772-J1772,1)</f>
        <v>0</v>
      </c>
    </row>
    <row r="1773" customFormat="false" ht="15" hidden="false" customHeight="false" outlineLevel="0" collapsed="false">
      <c r="A1773" s="25" t="n">
        <v>46334</v>
      </c>
      <c r="B1773" s="23" t="str">
        <f aca="false">IF(A1773="","",IF(A1773&lt;=profil!$B$9,"Realisasi","Rencana"))</f>
        <v>Rencana</v>
      </c>
      <c r="C1773" s="18" t="s">
        <v>162</v>
      </c>
      <c r="D1773" s="18" t="s">
        <v>163</v>
      </c>
      <c r="E1773" s="29" t="n">
        <f aca="false">J1772</f>
        <v>0</v>
      </c>
      <c r="F1773" s="28"/>
      <c r="G1773" s="30" t="n">
        <v>0</v>
      </c>
      <c r="H1773" s="28"/>
      <c r="I1773" s="28"/>
      <c r="J1773" s="29" t="n">
        <f aca="false">E1773+F1773+G1773-H1773-I1773</f>
        <v>0</v>
      </c>
      <c r="K1773" s="29" t="n">
        <f aca="false">ROUND(E1773+F1773+G1773-H1773-I1773-J1773,1)</f>
        <v>0</v>
      </c>
    </row>
    <row r="1774" customFormat="false" ht="15" hidden="false" customHeight="false" outlineLevel="0" collapsed="false">
      <c r="A1774" s="25" t="n">
        <v>46335</v>
      </c>
      <c r="B1774" s="23" t="str">
        <f aca="false">IF(A1774="","",IF(A1774&lt;=profil!$B$9,"Realisasi","Rencana"))</f>
        <v>Rencana</v>
      </c>
      <c r="C1774" s="18" t="s">
        <v>162</v>
      </c>
      <c r="D1774" s="18" t="s">
        <v>163</v>
      </c>
      <c r="E1774" s="29" t="n">
        <f aca="false">J1773</f>
        <v>0</v>
      </c>
      <c r="F1774" s="28"/>
      <c r="G1774" s="30" t="n">
        <v>0</v>
      </c>
      <c r="H1774" s="28"/>
      <c r="I1774" s="28"/>
      <c r="J1774" s="29" t="n">
        <f aca="false">E1774+F1774+G1774-H1774-I1774</f>
        <v>0</v>
      </c>
      <c r="K1774" s="29" t="n">
        <f aca="false">ROUND(E1774+F1774+G1774-H1774-I1774-J1774,1)</f>
        <v>0</v>
      </c>
    </row>
    <row r="1775" customFormat="false" ht="15" hidden="false" customHeight="false" outlineLevel="0" collapsed="false">
      <c r="A1775" s="25" t="n">
        <v>46336</v>
      </c>
      <c r="B1775" s="23" t="str">
        <f aca="false">IF(A1775="","",IF(A1775&lt;=profil!$B$9,"Realisasi","Rencana"))</f>
        <v>Rencana</v>
      </c>
      <c r="C1775" s="18" t="s">
        <v>162</v>
      </c>
      <c r="D1775" s="18" t="s">
        <v>163</v>
      </c>
      <c r="E1775" s="29" t="n">
        <f aca="false">J1774</f>
        <v>0</v>
      </c>
      <c r="F1775" s="28"/>
      <c r="G1775" s="30" t="n">
        <v>0</v>
      </c>
      <c r="H1775" s="28"/>
      <c r="I1775" s="28"/>
      <c r="J1775" s="29" t="n">
        <f aca="false">E1775+F1775+G1775-H1775-I1775</f>
        <v>0</v>
      </c>
      <c r="K1775" s="29" t="n">
        <f aca="false">ROUND(E1775+F1775+G1775-H1775-I1775-J1775,1)</f>
        <v>0</v>
      </c>
    </row>
    <row r="1776" customFormat="false" ht="15" hidden="false" customHeight="false" outlineLevel="0" collapsed="false">
      <c r="A1776" s="25" t="n">
        <v>46337</v>
      </c>
      <c r="B1776" s="23" t="str">
        <f aca="false">IF(A1776="","",IF(A1776&lt;=profil!$B$9,"Realisasi","Rencana"))</f>
        <v>Rencana</v>
      </c>
      <c r="C1776" s="18" t="s">
        <v>162</v>
      </c>
      <c r="D1776" s="18" t="s">
        <v>163</v>
      </c>
      <c r="E1776" s="29" t="n">
        <f aca="false">J1775</f>
        <v>0</v>
      </c>
      <c r="F1776" s="28"/>
      <c r="G1776" s="30" t="n">
        <v>0</v>
      </c>
      <c r="H1776" s="28"/>
      <c r="I1776" s="28"/>
      <c r="J1776" s="29" t="n">
        <f aca="false">E1776+F1776+G1776-H1776-I1776</f>
        <v>0</v>
      </c>
      <c r="K1776" s="29" t="n">
        <f aca="false">ROUND(E1776+F1776+G1776-H1776-I1776-J1776,1)</f>
        <v>0</v>
      </c>
    </row>
    <row r="1777" customFormat="false" ht="15" hidden="false" customHeight="false" outlineLevel="0" collapsed="false">
      <c r="A1777" s="25" t="n">
        <v>46338</v>
      </c>
      <c r="B1777" s="23" t="str">
        <f aca="false">IF(A1777="","",IF(A1777&lt;=profil!$B$9,"Realisasi","Rencana"))</f>
        <v>Rencana</v>
      </c>
      <c r="C1777" s="18" t="s">
        <v>162</v>
      </c>
      <c r="D1777" s="18" t="s">
        <v>163</v>
      </c>
      <c r="E1777" s="29" t="n">
        <f aca="false">J1776</f>
        <v>0</v>
      </c>
      <c r="F1777" s="28"/>
      <c r="G1777" s="30" t="n">
        <v>0</v>
      </c>
      <c r="H1777" s="28"/>
      <c r="I1777" s="28"/>
      <c r="J1777" s="29" t="n">
        <f aca="false">E1777+F1777+G1777-H1777-I1777</f>
        <v>0</v>
      </c>
      <c r="K1777" s="29" t="n">
        <f aca="false">ROUND(E1777+F1777+G1777-H1777-I1777-J1777,1)</f>
        <v>0</v>
      </c>
    </row>
    <row r="1778" customFormat="false" ht="15" hidden="false" customHeight="false" outlineLevel="0" collapsed="false">
      <c r="A1778" s="25" t="n">
        <v>46339</v>
      </c>
      <c r="B1778" s="23" t="str">
        <f aca="false">IF(A1778="","",IF(A1778&lt;=profil!$B$9,"Realisasi","Rencana"))</f>
        <v>Rencana</v>
      </c>
      <c r="C1778" s="18" t="s">
        <v>162</v>
      </c>
      <c r="D1778" s="18" t="s">
        <v>163</v>
      </c>
      <c r="E1778" s="29" t="n">
        <f aca="false">J1777</f>
        <v>0</v>
      </c>
      <c r="F1778" s="28"/>
      <c r="G1778" s="30" t="n">
        <v>0</v>
      </c>
      <c r="H1778" s="28"/>
      <c r="I1778" s="28"/>
      <c r="J1778" s="29" t="n">
        <f aca="false">E1778+F1778+G1778-H1778-I1778</f>
        <v>0</v>
      </c>
      <c r="K1778" s="29" t="n">
        <f aca="false">ROUND(E1778+F1778+G1778-H1778-I1778-J1778,1)</f>
        <v>0</v>
      </c>
    </row>
    <row r="1779" customFormat="false" ht="15" hidden="false" customHeight="false" outlineLevel="0" collapsed="false">
      <c r="A1779" s="25" t="n">
        <v>46340</v>
      </c>
      <c r="B1779" s="23" t="str">
        <f aca="false">IF(A1779="","",IF(A1779&lt;=profil!$B$9,"Realisasi","Rencana"))</f>
        <v>Rencana</v>
      </c>
      <c r="C1779" s="18" t="s">
        <v>162</v>
      </c>
      <c r="D1779" s="18" t="s">
        <v>163</v>
      </c>
      <c r="E1779" s="29" t="n">
        <f aca="false">J1778</f>
        <v>0</v>
      </c>
      <c r="F1779" s="28"/>
      <c r="G1779" s="30" t="n">
        <v>0</v>
      </c>
      <c r="H1779" s="28"/>
      <c r="I1779" s="28"/>
      <c r="J1779" s="29" t="n">
        <f aca="false">E1779+F1779+G1779-H1779-I1779</f>
        <v>0</v>
      </c>
      <c r="K1779" s="29" t="n">
        <f aca="false">ROUND(E1779+F1779+G1779-H1779-I1779-J1779,1)</f>
        <v>0</v>
      </c>
    </row>
    <row r="1780" customFormat="false" ht="15" hidden="false" customHeight="false" outlineLevel="0" collapsed="false">
      <c r="A1780" s="25" t="n">
        <v>46341</v>
      </c>
      <c r="B1780" s="23" t="str">
        <f aca="false">IF(A1780="","",IF(A1780&lt;=profil!$B$9,"Realisasi","Rencana"))</f>
        <v>Rencana</v>
      </c>
      <c r="C1780" s="18" t="s">
        <v>162</v>
      </c>
      <c r="D1780" s="18" t="s">
        <v>163</v>
      </c>
      <c r="E1780" s="29" t="n">
        <f aca="false">J1779</f>
        <v>0</v>
      </c>
      <c r="F1780" s="28"/>
      <c r="G1780" s="30" t="n">
        <v>0</v>
      </c>
      <c r="H1780" s="28"/>
      <c r="I1780" s="28"/>
      <c r="J1780" s="29" t="n">
        <f aca="false">E1780+F1780+G1780-H1780-I1780</f>
        <v>0</v>
      </c>
      <c r="K1780" s="29" t="n">
        <f aca="false">ROUND(E1780+F1780+G1780-H1780-I1780-J1780,1)</f>
        <v>0</v>
      </c>
    </row>
    <row r="1781" customFormat="false" ht="15" hidden="false" customHeight="false" outlineLevel="0" collapsed="false">
      <c r="A1781" s="25" t="n">
        <v>46342</v>
      </c>
      <c r="B1781" s="23" t="str">
        <f aca="false">IF(A1781="","",IF(A1781&lt;=profil!$B$9,"Realisasi","Rencana"))</f>
        <v>Rencana</v>
      </c>
      <c r="C1781" s="18" t="s">
        <v>162</v>
      </c>
      <c r="D1781" s="18" t="s">
        <v>163</v>
      </c>
      <c r="E1781" s="29" t="n">
        <f aca="false">J1780</f>
        <v>0</v>
      </c>
      <c r="F1781" s="28"/>
      <c r="G1781" s="30" t="n">
        <v>0</v>
      </c>
      <c r="H1781" s="28"/>
      <c r="I1781" s="28"/>
      <c r="J1781" s="29" t="n">
        <f aca="false">E1781+F1781+G1781-H1781-I1781</f>
        <v>0</v>
      </c>
      <c r="K1781" s="29" t="n">
        <f aca="false">ROUND(E1781+F1781+G1781-H1781-I1781-J1781,1)</f>
        <v>0</v>
      </c>
    </row>
    <row r="1782" customFormat="false" ht="15" hidden="false" customHeight="false" outlineLevel="0" collapsed="false">
      <c r="A1782" s="25" t="n">
        <v>46343</v>
      </c>
      <c r="B1782" s="23" t="str">
        <f aca="false">IF(A1782="","",IF(A1782&lt;=profil!$B$9,"Realisasi","Rencana"))</f>
        <v>Rencana</v>
      </c>
      <c r="C1782" s="18" t="s">
        <v>162</v>
      </c>
      <c r="D1782" s="18" t="s">
        <v>163</v>
      </c>
      <c r="E1782" s="29" t="n">
        <f aca="false">J1781</f>
        <v>0</v>
      </c>
      <c r="F1782" s="28"/>
      <c r="G1782" s="30" t="n">
        <v>0</v>
      </c>
      <c r="H1782" s="28"/>
      <c r="I1782" s="28"/>
      <c r="J1782" s="29" t="n">
        <f aca="false">E1782+F1782+G1782-H1782-I1782</f>
        <v>0</v>
      </c>
      <c r="K1782" s="29" t="n">
        <f aca="false">ROUND(E1782+F1782+G1782-H1782-I1782-J1782,1)</f>
        <v>0</v>
      </c>
    </row>
    <row r="1783" customFormat="false" ht="15" hidden="false" customHeight="false" outlineLevel="0" collapsed="false">
      <c r="A1783" s="25" t="n">
        <v>46344</v>
      </c>
      <c r="B1783" s="23" t="str">
        <f aca="false">IF(A1783="","",IF(A1783&lt;=profil!$B$9,"Realisasi","Rencana"))</f>
        <v>Rencana</v>
      </c>
      <c r="C1783" s="18" t="s">
        <v>162</v>
      </c>
      <c r="D1783" s="18" t="s">
        <v>163</v>
      </c>
      <c r="E1783" s="29" t="n">
        <f aca="false">J1782</f>
        <v>0</v>
      </c>
      <c r="F1783" s="28"/>
      <c r="G1783" s="30" t="n">
        <v>0</v>
      </c>
      <c r="H1783" s="28"/>
      <c r="I1783" s="28"/>
      <c r="J1783" s="29" t="n">
        <f aca="false">E1783+F1783+G1783-H1783-I1783</f>
        <v>0</v>
      </c>
      <c r="K1783" s="29" t="n">
        <f aca="false">ROUND(E1783+F1783+G1783-H1783-I1783-J1783,1)</f>
        <v>0</v>
      </c>
    </row>
    <row r="1784" customFormat="false" ht="15" hidden="false" customHeight="false" outlineLevel="0" collapsed="false">
      <c r="A1784" s="25" t="n">
        <v>46345</v>
      </c>
      <c r="B1784" s="23" t="str">
        <f aca="false">IF(A1784="","",IF(A1784&lt;=profil!$B$9,"Realisasi","Rencana"))</f>
        <v>Rencana</v>
      </c>
      <c r="C1784" s="18" t="s">
        <v>162</v>
      </c>
      <c r="D1784" s="18" t="s">
        <v>163</v>
      </c>
      <c r="E1784" s="29" t="n">
        <f aca="false">J1783</f>
        <v>0</v>
      </c>
      <c r="F1784" s="28"/>
      <c r="G1784" s="30" t="n">
        <v>0</v>
      </c>
      <c r="H1784" s="28"/>
      <c r="I1784" s="28"/>
      <c r="J1784" s="29" t="n">
        <f aca="false">E1784+F1784+G1784-H1784-I1784</f>
        <v>0</v>
      </c>
      <c r="K1784" s="29" t="n">
        <f aca="false">ROUND(E1784+F1784+G1784-H1784-I1784-J1784,1)</f>
        <v>0</v>
      </c>
    </row>
    <row r="1785" customFormat="false" ht="15" hidden="false" customHeight="false" outlineLevel="0" collapsed="false">
      <c r="A1785" s="25" t="n">
        <v>46346</v>
      </c>
      <c r="B1785" s="23" t="str">
        <f aca="false">IF(A1785="","",IF(A1785&lt;=profil!$B$9,"Realisasi","Rencana"))</f>
        <v>Rencana</v>
      </c>
      <c r="C1785" s="18" t="s">
        <v>162</v>
      </c>
      <c r="D1785" s="18" t="s">
        <v>163</v>
      </c>
      <c r="E1785" s="29" t="n">
        <f aca="false">J1784</f>
        <v>0</v>
      </c>
      <c r="F1785" s="28"/>
      <c r="G1785" s="30" t="n">
        <v>0</v>
      </c>
      <c r="H1785" s="28"/>
      <c r="I1785" s="28"/>
      <c r="J1785" s="29" t="n">
        <f aca="false">E1785+F1785+G1785-H1785-I1785</f>
        <v>0</v>
      </c>
      <c r="K1785" s="29" t="n">
        <f aca="false">ROUND(E1785+F1785+G1785-H1785-I1785-J1785,1)</f>
        <v>0</v>
      </c>
    </row>
    <row r="1786" customFormat="false" ht="15" hidden="false" customHeight="false" outlineLevel="0" collapsed="false">
      <c r="A1786" s="25" t="n">
        <v>46347</v>
      </c>
      <c r="B1786" s="23" t="str">
        <f aca="false">IF(A1786="","",IF(A1786&lt;=profil!$B$9,"Realisasi","Rencana"))</f>
        <v>Rencana</v>
      </c>
      <c r="C1786" s="18" t="s">
        <v>162</v>
      </c>
      <c r="D1786" s="18" t="s">
        <v>163</v>
      </c>
      <c r="E1786" s="29" t="n">
        <f aca="false">J1785</f>
        <v>0</v>
      </c>
      <c r="F1786" s="28"/>
      <c r="G1786" s="30" t="n">
        <v>0</v>
      </c>
      <c r="H1786" s="28"/>
      <c r="I1786" s="28"/>
      <c r="J1786" s="29" t="n">
        <f aca="false">E1786+F1786+G1786-H1786-I1786</f>
        <v>0</v>
      </c>
      <c r="K1786" s="29" t="n">
        <f aca="false">ROUND(E1786+F1786+G1786-H1786-I1786-J1786,1)</f>
        <v>0</v>
      </c>
    </row>
    <row r="1787" customFormat="false" ht="15" hidden="false" customHeight="false" outlineLevel="0" collapsed="false">
      <c r="A1787" s="25" t="n">
        <v>46348</v>
      </c>
      <c r="B1787" s="23" t="str">
        <f aca="false">IF(A1787="","",IF(A1787&lt;=profil!$B$9,"Realisasi","Rencana"))</f>
        <v>Rencana</v>
      </c>
      <c r="C1787" s="18" t="s">
        <v>162</v>
      </c>
      <c r="D1787" s="18" t="s">
        <v>163</v>
      </c>
      <c r="E1787" s="29" t="n">
        <f aca="false">J1786</f>
        <v>0</v>
      </c>
      <c r="F1787" s="28"/>
      <c r="G1787" s="30" t="n">
        <v>0</v>
      </c>
      <c r="H1787" s="28"/>
      <c r="I1787" s="28"/>
      <c r="J1787" s="29" t="n">
        <f aca="false">E1787+F1787+G1787-H1787-I1787</f>
        <v>0</v>
      </c>
      <c r="K1787" s="29" t="n">
        <f aca="false">ROUND(E1787+F1787+G1787-H1787-I1787-J1787,1)</f>
        <v>0</v>
      </c>
    </row>
    <row r="1788" customFormat="false" ht="15" hidden="false" customHeight="false" outlineLevel="0" collapsed="false">
      <c r="A1788" s="25" t="n">
        <v>46349</v>
      </c>
      <c r="B1788" s="23" t="str">
        <f aca="false">IF(A1788="","",IF(A1788&lt;=profil!$B$9,"Realisasi","Rencana"))</f>
        <v>Rencana</v>
      </c>
      <c r="C1788" s="18" t="s">
        <v>162</v>
      </c>
      <c r="D1788" s="18" t="s">
        <v>163</v>
      </c>
      <c r="E1788" s="29" t="n">
        <f aca="false">J1787</f>
        <v>0</v>
      </c>
      <c r="F1788" s="28"/>
      <c r="G1788" s="30" t="n">
        <v>0</v>
      </c>
      <c r="H1788" s="28"/>
      <c r="I1788" s="28"/>
      <c r="J1788" s="29" t="n">
        <f aca="false">E1788+F1788+G1788-H1788-I1788</f>
        <v>0</v>
      </c>
      <c r="K1788" s="29" t="n">
        <f aca="false">ROUND(E1788+F1788+G1788-H1788-I1788-J1788,1)</f>
        <v>0</v>
      </c>
    </row>
    <row r="1789" customFormat="false" ht="15" hidden="false" customHeight="false" outlineLevel="0" collapsed="false">
      <c r="A1789" s="25" t="n">
        <v>46350</v>
      </c>
      <c r="B1789" s="23" t="str">
        <f aca="false">IF(A1789="","",IF(A1789&lt;=profil!$B$9,"Realisasi","Rencana"))</f>
        <v>Rencana</v>
      </c>
      <c r="C1789" s="18" t="s">
        <v>162</v>
      </c>
      <c r="D1789" s="18" t="s">
        <v>163</v>
      </c>
      <c r="E1789" s="29" t="n">
        <f aca="false">J1788</f>
        <v>0</v>
      </c>
      <c r="F1789" s="28"/>
      <c r="G1789" s="30" t="n">
        <v>0</v>
      </c>
      <c r="H1789" s="28"/>
      <c r="I1789" s="28"/>
      <c r="J1789" s="29" t="n">
        <f aca="false">E1789+F1789+G1789-H1789-I1789</f>
        <v>0</v>
      </c>
      <c r="K1789" s="29" t="n">
        <f aca="false">ROUND(E1789+F1789+G1789-H1789-I1789-J1789,1)</f>
        <v>0</v>
      </c>
    </row>
    <row r="1790" customFormat="false" ht="15" hidden="false" customHeight="false" outlineLevel="0" collapsed="false">
      <c r="A1790" s="25" t="n">
        <v>46351</v>
      </c>
      <c r="B1790" s="23" t="str">
        <f aca="false">IF(A1790="","",IF(A1790&lt;=profil!$B$9,"Realisasi","Rencana"))</f>
        <v>Rencana</v>
      </c>
      <c r="C1790" s="18" t="s">
        <v>162</v>
      </c>
      <c r="D1790" s="18" t="s">
        <v>163</v>
      </c>
      <c r="E1790" s="29" t="n">
        <f aca="false">J1789</f>
        <v>0</v>
      </c>
      <c r="F1790" s="28"/>
      <c r="G1790" s="30" t="n">
        <v>0</v>
      </c>
      <c r="H1790" s="28"/>
      <c r="I1790" s="28"/>
      <c r="J1790" s="29" t="n">
        <f aca="false">E1790+F1790+G1790-H1790-I1790</f>
        <v>0</v>
      </c>
      <c r="K1790" s="29" t="n">
        <f aca="false">ROUND(E1790+F1790+G1790-H1790-I1790-J1790,1)</f>
        <v>0</v>
      </c>
    </row>
    <row r="1791" customFormat="false" ht="15" hidden="false" customHeight="false" outlineLevel="0" collapsed="false">
      <c r="A1791" s="25" t="n">
        <v>46352</v>
      </c>
      <c r="B1791" s="23" t="str">
        <f aca="false">IF(A1791="","",IF(A1791&lt;=profil!$B$9,"Realisasi","Rencana"))</f>
        <v>Rencana</v>
      </c>
      <c r="C1791" s="18" t="s">
        <v>162</v>
      </c>
      <c r="D1791" s="18" t="s">
        <v>163</v>
      </c>
      <c r="E1791" s="29" t="n">
        <f aca="false">J1790</f>
        <v>0</v>
      </c>
      <c r="F1791" s="28"/>
      <c r="G1791" s="30" t="n">
        <v>0</v>
      </c>
      <c r="H1791" s="28"/>
      <c r="I1791" s="28"/>
      <c r="J1791" s="29" t="n">
        <f aca="false">E1791+F1791+G1791-H1791-I1791</f>
        <v>0</v>
      </c>
      <c r="K1791" s="29" t="n">
        <f aca="false">ROUND(E1791+F1791+G1791-H1791-I1791-J1791,1)</f>
        <v>0</v>
      </c>
    </row>
    <row r="1792" customFormat="false" ht="15" hidden="false" customHeight="false" outlineLevel="0" collapsed="false">
      <c r="A1792" s="25" t="n">
        <v>46353</v>
      </c>
      <c r="B1792" s="23" t="str">
        <f aca="false">IF(A1792="","",IF(A1792&lt;=profil!$B$9,"Realisasi","Rencana"))</f>
        <v>Rencana</v>
      </c>
      <c r="C1792" s="18" t="s">
        <v>162</v>
      </c>
      <c r="D1792" s="18" t="s">
        <v>163</v>
      </c>
      <c r="E1792" s="29" t="n">
        <f aca="false">J1791</f>
        <v>0</v>
      </c>
      <c r="F1792" s="28"/>
      <c r="G1792" s="30" t="n">
        <v>0</v>
      </c>
      <c r="H1792" s="28"/>
      <c r="I1792" s="28"/>
      <c r="J1792" s="29" t="n">
        <f aca="false">E1792+F1792+G1792-H1792-I1792</f>
        <v>0</v>
      </c>
      <c r="K1792" s="29" t="n">
        <f aca="false">ROUND(E1792+F1792+G1792-H1792-I1792-J1792,1)</f>
        <v>0</v>
      </c>
    </row>
    <row r="1793" customFormat="false" ht="15" hidden="false" customHeight="false" outlineLevel="0" collapsed="false">
      <c r="A1793" s="25" t="n">
        <v>46354</v>
      </c>
      <c r="B1793" s="23" t="str">
        <f aca="false">IF(A1793="","",IF(A1793&lt;=profil!$B$9,"Realisasi","Rencana"))</f>
        <v>Rencana</v>
      </c>
      <c r="C1793" s="18" t="s">
        <v>162</v>
      </c>
      <c r="D1793" s="18" t="s">
        <v>163</v>
      </c>
      <c r="E1793" s="29" t="n">
        <f aca="false">J1792</f>
        <v>0</v>
      </c>
      <c r="F1793" s="28"/>
      <c r="G1793" s="30" t="n">
        <v>0</v>
      </c>
      <c r="H1793" s="28"/>
      <c r="I1793" s="28"/>
      <c r="J1793" s="29" t="n">
        <f aca="false">E1793+F1793+G1793-H1793-I1793</f>
        <v>0</v>
      </c>
      <c r="K1793" s="29" t="n">
        <f aca="false">ROUND(E1793+F1793+G1793-H1793-I1793-J1793,1)</f>
        <v>0</v>
      </c>
    </row>
    <row r="1794" customFormat="false" ht="15" hidden="false" customHeight="false" outlineLevel="0" collapsed="false">
      <c r="A1794" s="25" t="n">
        <v>46355</v>
      </c>
      <c r="B1794" s="23" t="str">
        <f aca="false">IF(A1794="","",IF(A1794&lt;=profil!$B$9,"Realisasi","Rencana"))</f>
        <v>Rencana</v>
      </c>
      <c r="C1794" s="18" t="s">
        <v>162</v>
      </c>
      <c r="D1794" s="18" t="s">
        <v>163</v>
      </c>
      <c r="E1794" s="29" t="n">
        <f aca="false">J1793</f>
        <v>0</v>
      </c>
      <c r="F1794" s="28"/>
      <c r="G1794" s="30" t="n">
        <v>0</v>
      </c>
      <c r="H1794" s="28"/>
      <c r="I1794" s="28"/>
      <c r="J1794" s="29" t="n">
        <f aca="false">E1794+F1794+G1794-H1794-I1794</f>
        <v>0</v>
      </c>
      <c r="K1794" s="29" t="n">
        <f aca="false">ROUND(E1794+F1794+G1794-H1794-I1794-J1794,1)</f>
        <v>0</v>
      </c>
    </row>
    <row r="1795" customFormat="false" ht="15" hidden="false" customHeight="false" outlineLevel="0" collapsed="false">
      <c r="A1795" s="25" t="n">
        <v>46356</v>
      </c>
      <c r="B1795" s="23" t="str">
        <f aca="false">IF(A1795="","",IF(A1795&lt;=profil!$B$9,"Realisasi","Rencana"))</f>
        <v>Rencana</v>
      </c>
      <c r="C1795" s="18" t="s">
        <v>162</v>
      </c>
      <c r="D1795" s="18" t="s">
        <v>163</v>
      </c>
      <c r="E1795" s="29" t="n">
        <f aca="false">J1794</f>
        <v>0</v>
      </c>
      <c r="F1795" s="28"/>
      <c r="G1795" s="30" t="n">
        <v>0</v>
      </c>
      <c r="H1795" s="28"/>
      <c r="I1795" s="28"/>
      <c r="J1795" s="29" t="n">
        <f aca="false">E1795+F1795+G1795-H1795-I1795</f>
        <v>0</v>
      </c>
      <c r="K1795" s="29" t="n">
        <f aca="false">ROUND(E1795+F1795+G1795-H1795-I1795-J1795,1)</f>
        <v>0</v>
      </c>
    </row>
    <row r="1796" customFormat="false" ht="15" hidden="false" customHeight="false" outlineLevel="0" collapsed="false">
      <c r="A1796" s="25" t="n">
        <v>46357</v>
      </c>
      <c r="B1796" s="23" t="str">
        <f aca="false">IF(A1796="","",IF(A1796&lt;=profil!$B$9,"Realisasi","Rencana"))</f>
        <v>Rencana</v>
      </c>
      <c r="C1796" s="18" t="s">
        <v>162</v>
      </c>
      <c r="D1796" s="18" t="s">
        <v>163</v>
      </c>
      <c r="E1796" s="29" t="n">
        <f aca="false">J1795</f>
        <v>0</v>
      </c>
      <c r="F1796" s="28"/>
      <c r="G1796" s="30" t="n">
        <v>0</v>
      </c>
      <c r="H1796" s="28"/>
      <c r="I1796" s="28"/>
      <c r="J1796" s="29" t="n">
        <f aca="false">E1796+F1796+G1796-H1796-I1796</f>
        <v>0</v>
      </c>
      <c r="K1796" s="29" t="n">
        <f aca="false">ROUND(E1796+F1796+G1796-H1796-I1796-J1796,1)</f>
        <v>0</v>
      </c>
    </row>
    <row r="1797" customFormat="false" ht="15" hidden="false" customHeight="false" outlineLevel="0" collapsed="false">
      <c r="A1797" s="25" t="n">
        <v>46358</v>
      </c>
      <c r="B1797" s="23" t="str">
        <f aca="false">IF(A1797="","",IF(A1797&lt;=profil!$B$9,"Realisasi","Rencana"))</f>
        <v>Rencana</v>
      </c>
      <c r="C1797" s="18" t="s">
        <v>162</v>
      </c>
      <c r="D1797" s="18" t="s">
        <v>163</v>
      </c>
      <c r="E1797" s="29" t="n">
        <f aca="false">J1796</f>
        <v>0</v>
      </c>
      <c r="F1797" s="28"/>
      <c r="G1797" s="30" t="n">
        <v>0</v>
      </c>
      <c r="H1797" s="28"/>
      <c r="I1797" s="28"/>
      <c r="J1797" s="29" t="n">
        <f aca="false">E1797+F1797+G1797-H1797-I1797</f>
        <v>0</v>
      </c>
      <c r="K1797" s="29" t="n">
        <f aca="false">ROUND(E1797+F1797+G1797-H1797-I1797-J1797,1)</f>
        <v>0</v>
      </c>
    </row>
    <row r="1798" customFormat="false" ht="15" hidden="false" customHeight="false" outlineLevel="0" collapsed="false">
      <c r="A1798" s="25" t="n">
        <v>46359</v>
      </c>
      <c r="B1798" s="23" t="str">
        <f aca="false">IF(A1798="","",IF(A1798&lt;=profil!$B$9,"Realisasi","Rencana"))</f>
        <v>Rencana</v>
      </c>
      <c r="C1798" s="18" t="s">
        <v>162</v>
      </c>
      <c r="D1798" s="18" t="s">
        <v>163</v>
      </c>
      <c r="E1798" s="29" t="n">
        <f aca="false">J1797</f>
        <v>0</v>
      </c>
      <c r="F1798" s="28"/>
      <c r="G1798" s="30" t="n">
        <v>0</v>
      </c>
      <c r="H1798" s="28"/>
      <c r="I1798" s="28"/>
      <c r="J1798" s="29" t="n">
        <f aca="false">E1798+F1798+G1798-H1798-I1798</f>
        <v>0</v>
      </c>
      <c r="K1798" s="29" t="n">
        <f aca="false">ROUND(E1798+F1798+G1798-H1798-I1798-J1798,1)</f>
        <v>0</v>
      </c>
    </row>
    <row r="1799" customFormat="false" ht="15" hidden="false" customHeight="false" outlineLevel="0" collapsed="false">
      <c r="A1799" s="25" t="n">
        <v>46360</v>
      </c>
      <c r="B1799" s="23" t="str">
        <f aca="false">IF(A1799="","",IF(A1799&lt;=profil!$B$9,"Realisasi","Rencana"))</f>
        <v>Rencana</v>
      </c>
      <c r="C1799" s="18" t="s">
        <v>162</v>
      </c>
      <c r="D1799" s="18" t="s">
        <v>163</v>
      </c>
      <c r="E1799" s="29" t="n">
        <f aca="false">J1798</f>
        <v>0</v>
      </c>
      <c r="F1799" s="28"/>
      <c r="G1799" s="30" t="n">
        <v>0</v>
      </c>
      <c r="H1799" s="28"/>
      <c r="I1799" s="28"/>
      <c r="J1799" s="29" t="n">
        <f aca="false">E1799+F1799+G1799-H1799-I1799</f>
        <v>0</v>
      </c>
      <c r="K1799" s="29" t="n">
        <f aca="false">ROUND(E1799+F1799+G1799-H1799-I1799-J1799,1)</f>
        <v>0</v>
      </c>
    </row>
    <row r="1800" customFormat="false" ht="15" hidden="false" customHeight="false" outlineLevel="0" collapsed="false">
      <c r="A1800" s="25" t="n">
        <v>46361</v>
      </c>
      <c r="B1800" s="23" t="str">
        <f aca="false">IF(A1800="","",IF(A1800&lt;=profil!$B$9,"Realisasi","Rencana"))</f>
        <v>Rencana</v>
      </c>
      <c r="C1800" s="18" t="s">
        <v>162</v>
      </c>
      <c r="D1800" s="18" t="s">
        <v>163</v>
      </c>
      <c r="E1800" s="29" t="n">
        <f aca="false">J1799</f>
        <v>0</v>
      </c>
      <c r="F1800" s="28"/>
      <c r="G1800" s="30" t="n">
        <v>0</v>
      </c>
      <c r="H1800" s="28"/>
      <c r="I1800" s="28"/>
      <c r="J1800" s="29" t="n">
        <f aca="false">E1800+F1800+G1800-H1800-I1800</f>
        <v>0</v>
      </c>
      <c r="K1800" s="29" t="n">
        <f aca="false">ROUND(E1800+F1800+G1800-H1800-I1800-J1800,1)</f>
        <v>0</v>
      </c>
    </row>
    <row r="1801" customFormat="false" ht="15" hidden="false" customHeight="false" outlineLevel="0" collapsed="false">
      <c r="A1801" s="25" t="n">
        <v>46362</v>
      </c>
      <c r="B1801" s="23" t="str">
        <f aca="false">IF(A1801="","",IF(A1801&lt;=profil!$B$9,"Realisasi","Rencana"))</f>
        <v>Rencana</v>
      </c>
      <c r="C1801" s="18" t="s">
        <v>162</v>
      </c>
      <c r="D1801" s="18" t="s">
        <v>163</v>
      </c>
      <c r="E1801" s="29" t="n">
        <f aca="false">J1800</f>
        <v>0</v>
      </c>
      <c r="F1801" s="28"/>
      <c r="G1801" s="30" t="n">
        <v>0</v>
      </c>
      <c r="H1801" s="28"/>
      <c r="I1801" s="28"/>
      <c r="J1801" s="29" t="n">
        <f aca="false">E1801+F1801+G1801-H1801-I1801</f>
        <v>0</v>
      </c>
      <c r="K1801" s="29" t="n">
        <f aca="false">ROUND(E1801+F1801+G1801-H1801-I1801-J1801,1)</f>
        <v>0</v>
      </c>
    </row>
    <row r="1802" customFormat="false" ht="15" hidden="false" customHeight="false" outlineLevel="0" collapsed="false">
      <c r="A1802" s="25" t="n">
        <v>46363</v>
      </c>
      <c r="B1802" s="23" t="str">
        <f aca="false">IF(A1802="","",IF(A1802&lt;=profil!$B$9,"Realisasi","Rencana"))</f>
        <v>Rencana</v>
      </c>
      <c r="C1802" s="18" t="s">
        <v>162</v>
      </c>
      <c r="D1802" s="18" t="s">
        <v>163</v>
      </c>
      <c r="E1802" s="29" t="n">
        <f aca="false">J1801</f>
        <v>0</v>
      </c>
      <c r="F1802" s="28"/>
      <c r="G1802" s="30" t="n">
        <v>0</v>
      </c>
      <c r="H1802" s="28"/>
      <c r="I1802" s="28"/>
      <c r="J1802" s="29" t="n">
        <f aca="false">E1802+F1802+G1802-H1802-I1802</f>
        <v>0</v>
      </c>
      <c r="K1802" s="29" t="n">
        <f aca="false">ROUND(E1802+F1802+G1802-H1802-I1802-J1802,1)</f>
        <v>0</v>
      </c>
    </row>
    <row r="1803" customFormat="false" ht="15" hidden="false" customHeight="false" outlineLevel="0" collapsed="false">
      <c r="A1803" s="25" t="n">
        <v>46364</v>
      </c>
      <c r="B1803" s="23" t="str">
        <f aca="false">IF(A1803="","",IF(A1803&lt;=profil!$B$9,"Realisasi","Rencana"))</f>
        <v>Rencana</v>
      </c>
      <c r="C1803" s="18" t="s">
        <v>162</v>
      </c>
      <c r="D1803" s="18" t="s">
        <v>163</v>
      </c>
      <c r="E1803" s="29" t="n">
        <f aca="false">J1802</f>
        <v>0</v>
      </c>
      <c r="F1803" s="28"/>
      <c r="G1803" s="30" t="n">
        <v>0</v>
      </c>
      <c r="H1803" s="28"/>
      <c r="I1803" s="28"/>
      <c r="J1803" s="29" t="n">
        <f aca="false">E1803+F1803+G1803-H1803-I1803</f>
        <v>0</v>
      </c>
      <c r="K1803" s="29" t="n">
        <f aca="false">ROUND(E1803+F1803+G1803-H1803-I1803-J1803,1)</f>
        <v>0</v>
      </c>
    </row>
    <row r="1804" customFormat="false" ht="15" hidden="false" customHeight="false" outlineLevel="0" collapsed="false">
      <c r="A1804" s="25" t="n">
        <v>46365</v>
      </c>
      <c r="B1804" s="23" t="str">
        <f aca="false">IF(A1804="","",IF(A1804&lt;=profil!$B$9,"Realisasi","Rencana"))</f>
        <v>Rencana</v>
      </c>
      <c r="C1804" s="18" t="s">
        <v>162</v>
      </c>
      <c r="D1804" s="18" t="s">
        <v>163</v>
      </c>
      <c r="E1804" s="29" t="n">
        <f aca="false">J1803</f>
        <v>0</v>
      </c>
      <c r="F1804" s="28"/>
      <c r="G1804" s="30" t="n">
        <v>0</v>
      </c>
      <c r="H1804" s="28"/>
      <c r="I1804" s="28"/>
      <c r="J1804" s="29" t="n">
        <f aca="false">E1804+F1804+G1804-H1804-I1804</f>
        <v>0</v>
      </c>
      <c r="K1804" s="29" t="n">
        <f aca="false">ROUND(E1804+F1804+G1804-H1804-I1804-J1804,1)</f>
        <v>0</v>
      </c>
    </row>
    <row r="1805" customFormat="false" ht="15" hidden="false" customHeight="false" outlineLevel="0" collapsed="false">
      <c r="A1805" s="25" t="n">
        <v>46366</v>
      </c>
      <c r="B1805" s="23" t="str">
        <f aca="false">IF(A1805="","",IF(A1805&lt;=profil!$B$9,"Realisasi","Rencana"))</f>
        <v>Rencana</v>
      </c>
      <c r="C1805" s="18" t="s">
        <v>162</v>
      </c>
      <c r="D1805" s="18" t="s">
        <v>163</v>
      </c>
      <c r="E1805" s="29" t="n">
        <f aca="false">J1804</f>
        <v>0</v>
      </c>
      <c r="F1805" s="28"/>
      <c r="G1805" s="30" t="n">
        <v>0</v>
      </c>
      <c r="H1805" s="28"/>
      <c r="I1805" s="28"/>
      <c r="J1805" s="29" t="n">
        <f aca="false">E1805+F1805+G1805-H1805-I1805</f>
        <v>0</v>
      </c>
      <c r="K1805" s="29" t="n">
        <f aca="false">ROUND(E1805+F1805+G1805-H1805-I1805-J1805,1)</f>
        <v>0</v>
      </c>
    </row>
    <row r="1806" customFormat="false" ht="15" hidden="false" customHeight="false" outlineLevel="0" collapsed="false">
      <c r="A1806" s="25" t="n">
        <v>46367</v>
      </c>
      <c r="B1806" s="23" t="str">
        <f aca="false">IF(A1806="","",IF(A1806&lt;=profil!$B$9,"Realisasi","Rencana"))</f>
        <v>Rencana</v>
      </c>
      <c r="C1806" s="18" t="s">
        <v>162</v>
      </c>
      <c r="D1806" s="18" t="s">
        <v>163</v>
      </c>
      <c r="E1806" s="29" t="n">
        <f aca="false">J1805</f>
        <v>0</v>
      </c>
      <c r="F1806" s="28"/>
      <c r="G1806" s="30" t="n">
        <v>0</v>
      </c>
      <c r="H1806" s="28"/>
      <c r="I1806" s="28"/>
      <c r="J1806" s="29" t="n">
        <f aca="false">E1806+F1806+G1806-H1806-I1806</f>
        <v>0</v>
      </c>
      <c r="K1806" s="29" t="n">
        <f aca="false">ROUND(E1806+F1806+G1806-H1806-I1806-J1806,1)</f>
        <v>0</v>
      </c>
    </row>
    <row r="1807" customFormat="false" ht="15" hidden="false" customHeight="false" outlineLevel="0" collapsed="false">
      <c r="A1807" s="25" t="n">
        <v>46368</v>
      </c>
      <c r="B1807" s="23" t="str">
        <f aca="false">IF(A1807="","",IF(A1807&lt;=profil!$B$9,"Realisasi","Rencana"))</f>
        <v>Rencana</v>
      </c>
      <c r="C1807" s="18" t="s">
        <v>162</v>
      </c>
      <c r="D1807" s="18" t="s">
        <v>163</v>
      </c>
      <c r="E1807" s="29" t="n">
        <f aca="false">J1806</f>
        <v>0</v>
      </c>
      <c r="F1807" s="28"/>
      <c r="G1807" s="30" t="n">
        <v>0</v>
      </c>
      <c r="H1807" s="28"/>
      <c r="I1807" s="28"/>
      <c r="J1807" s="29" t="n">
        <f aca="false">E1807+F1807+G1807-H1807-I1807</f>
        <v>0</v>
      </c>
      <c r="K1807" s="29" t="n">
        <f aca="false">ROUND(E1807+F1807+G1807-H1807-I1807-J1807,1)</f>
        <v>0</v>
      </c>
    </row>
    <row r="1808" customFormat="false" ht="15" hidden="false" customHeight="false" outlineLevel="0" collapsed="false">
      <c r="A1808" s="25" t="n">
        <v>46369</v>
      </c>
      <c r="B1808" s="23" t="str">
        <f aca="false">IF(A1808="","",IF(A1808&lt;=profil!$B$9,"Realisasi","Rencana"))</f>
        <v>Rencana</v>
      </c>
      <c r="C1808" s="18" t="s">
        <v>162</v>
      </c>
      <c r="D1808" s="18" t="s">
        <v>163</v>
      </c>
      <c r="E1808" s="29" t="n">
        <f aca="false">J1807</f>
        <v>0</v>
      </c>
      <c r="F1808" s="28"/>
      <c r="G1808" s="30" t="n">
        <v>0</v>
      </c>
      <c r="H1808" s="28"/>
      <c r="I1808" s="28"/>
      <c r="J1808" s="29" t="n">
        <f aca="false">E1808+F1808+G1808-H1808-I1808</f>
        <v>0</v>
      </c>
      <c r="K1808" s="29" t="n">
        <f aca="false">ROUND(E1808+F1808+G1808-H1808-I1808-J1808,1)</f>
        <v>0</v>
      </c>
    </row>
    <row r="1809" customFormat="false" ht="15" hidden="false" customHeight="false" outlineLevel="0" collapsed="false">
      <c r="A1809" s="25" t="n">
        <v>46370</v>
      </c>
      <c r="B1809" s="23" t="str">
        <f aca="false">IF(A1809="","",IF(A1809&lt;=profil!$B$9,"Realisasi","Rencana"))</f>
        <v>Rencana</v>
      </c>
      <c r="C1809" s="18" t="s">
        <v>162</v>
      </c>
      <c r="D1809" s="18" t="s">
        <v>163</v>
      </c>
      <c r="E1809" s="29" t="n">
        <f aca="false">J1808</f>
        <v>0</v>
      </c>
      <c r="F1809" s="28"/>
      <c r="G1809" s="30" t="n">
        <v>0</v>
      </c>
      <c r="H1809" s="28"/>
      <c r="I1809" s="28"/>
      <c r="J1809" s="29" t="n">
        <f aca="false">E1809+F1809+G1809-H1809-I1809</f>
        <v>0</v>
      </c>
      <c r="K1809" s="29" t="n">
        <f aca="false">ROUND(E1809+F1809+G1809-H1809-I1809-J1809,1)</f>
        <v>0</v>
      </c>
    </row>
    <row r="1810" customFormat="false" ht="15" hidden="false" customHeight="false" outlineLevel="0" collapsed="false">
      <c r="A1810" s="25" t="n">
        <v>46371</v>
      </c>
      <c r="B1810" s="23" t="str">
        <f aca="false">IF(A1810="","",IF(A1810&lt;=profil!$B$9,"Realisasi","Rencana"))</f>
        <v>Rencana</v>
      </c>
      <c r="C1810" s="18" t="s">
        <v>162</v>
      </c>
      <c r="D1810" s="18" t="s">
        <v>163</v>
      </c>
      <c r="E1810" s="29" t="n">
        <f aca="false">J1809</f>
        <v>0</v>
      </c>
      <c r="F1810" s="28"/>
      <c r="G1810" s="30" t="n">
        <v>0</v>
      </c>
      <c r="H1810" s="28"/>
      <c r="I1810" s="28"/>
      <c r="J1810" s="29" t="n">
        <f aca="false">E1810+F1810+G1810-H1810-I1810</f>
        <v>0</v>
      </c>
      <c r="K1810" s="29" t="n">
        <f aca="false">ROUND(E1810+F1810+G1810-H1810-I1810-J1810,1)</f>
        <v>0</v>
      </c>
    </row>
    <row r="1811" customFormat="false" ht="15" hidden="false" customHeight="false" outlineLevel="0" collapsed="false">
      <c r="A1811" s="25" t="n">
        <v>46372</v>
      </c>
      <c r="B1811" s="23" t="str">
        <f aca="false">IF(A1811="","",IF(A1811&lt;=profil!$B$9,"Realisasi","Rencana"))</f>
        <v>Rencana</v>
      </c>
      <c r="C1811" s="18" t="s">
        <v>162</v>
      </c>
      <c r="D1811" s="18" t="s">
        <v>163</v>
      </c>
      <c r="E1811" s="29" t="n">
        <f aca="false">J1810</f>
        <v>0</v>
      </c>
      <c r="F1811" s="28"/>
      <c r="G1811" s="30" t="n">
        <v>0</v>
      </c>
      <c r="H1811" s="28"/>
      <c r="I1811" s="28"/>
      <c r="J1811" s="29" t="n">
        <f aca="false">E1811+F1811+G1811-H1811-I1811</f>
        <v>0</v>
      </c>
      <c r="K1811" s="29" t="n">
        <f aca="false">ROUND(E1811+F1811+G1811-H1811-I1811-J1811,1)</f>
        <v>0</v>
      </c>
    </row>
    <row r="1812" customFormat="false" ht="15" hidden="false" customHeight="false" outlineLevel="0" collapsed="false">
      <c r="A1812" s="25" t="n">
        <v>46373</v>
      </c>
      <c r="B1812" s="23" t="str">
        <f aca="false">IF(A1812="","",IF(A1812&lt;=profil!$B$9,"Realisasi","Rencana"))</f>
        <v>Rencana</v>
      </c>
      <c r="C1812" s="18" t="s">
        <v>162</v>
      </c>
      <c r="D1812" s="18" t="s">
        <v>163</v>
      </c>
      <c r="E1812" s="29" t="n">
        <f aca="false">J1811</f>
        <v>0</v>
      </c>
      <c r="F1812" s="28"/>
      <c r="G1812" s="30" t="n">
        <v>0</v>
      </c>
      <c r="H1812" s="28"/>
      <c r="I1812" s="28"/>
      <c r="J1812" s="29" t="n">
        <f aca="false">E1812+F1812+G1812-H1812-I1812</f>
        <v>0</v>
      </c>
      <c r="K1812" s="29" t="n">
        <f aca="false">ROUND(E1812+F1812+G1812-H1812-I1812-J1812,1)</f>
        <v>0</v>
      </c>
    </row>
    <row r="1813" customFormat="false" ht="15" hidden="false" customHeight="false" outlineLevel="0" collapsed="false">
      <c r="A1813" s="25" t="n">
        <v>46374</v>
      </c>
      <c r="B1813" s="23" t="str">
        <f aca="false">IF(A1813="","",IF(A1813&lt;=profil!$B$9,"Realisasi","Rencana"))</f>
        <v>Rencana</v>
      </c>
      <c r="C1813" s="18" t="s">
        <v>162</v>
      </c>
      <c r="D1813" s="18" t="s">
        <v>163</v>
      </c>
      <c r="E1813" s="29" t="n">
        <f aca="false">J1812</f>
        <v>0</v>
      </c>
      <c r="F1813" s="28"/>
      <c r="G1813" s="30" t="n">
        <v>0</v>
      </c>
      <c r="H1813" s="28"/>
      <c r="I1813" s="28"/>
      <c r="J1813" s="29" t="n">
        <f aca="false">E1813+F1813+G1813-H1813-I1813</f>
        <v>0</v>
      </c>
      <c r="K1813" s="29" t="n">
        <f aca="false">ROUND(E1813+F1813+G1813-H1813-I1813-J1813,1)</f>
        <v>0</v>
      </c>
    </row>
    <row r="1814" customFormat="false" ht="15" hidden="false" customHeight="false" outlineLevel="0" collapsed="false">
      <c r="A1814" s="25" t="n">
        <v>46375</v>
      </c>
      <c r="B1814" s="23" t="str">
        <f aca="false">IF(A1814="","",IF(A1814&lt;=profil!$B$9,"Realisasi","Rencana"))</f>
        <v>Rencana</v>
      </c>
      <c r="C1814" s="18" t="s">
        <v>162</v>
      </c>
      <c r="D1814" s="18" t="s">
        <v>163</v>
      </c>
      <c r="E1814" s="29" t="n">
        <f aca="false">J1813</f>
        <v>0</v>
      </c>
      <c r="F1814" s="28"/>
      <c r="G1814" s="30" t="n">
        <v>0</v>
      </c>
      <c r="H1814" s="28"/>
      <c r="I1814" s="28"/>
      <c r="J1814" s="29" t="n">
        <f aca="false">E1814+F1814+G1814-H1814-I1814</f>
        <v>0</v>
      </c>
      <c r="K1814" s="29" t="n">
        <f aca="false">ROUND(E1814+F1814+G1814-H1814-I1814-J1814,1)</f>
        <v>0</v>
      </c>
    </row>
    <row r="1815" customFormat="false" ht="15" hidden="false" customHeight="false" outlineLevel="0" collapsed="false">
      <c r="A1815" s="25" t="n">
        <v>46376</v>
      </c>
      <c r="B1815" s="23" t="str">
        <f aca="false">IF(A1815="","",IF(A1815&lt;=profil!$B$9,"Realisasi","Rencana"))</f>
        <v>Rencana</v>
      </c>
      <c r="C1815" s="18" t="s">
        <v>162</v>
      </c>
      <c r="D1815" s="18" t="s">
        <v>163</v>
      </c>
      <c r="E1815" s="29" t="n">
        <f aca="false">J1814</f>
        <v>0</v>
      </c>
      <c r="F1815" s="28"/>
      <c r="G1815" s="30" t="n">
        <v>0</v>
      </c>
      <c r="H1815" s="28"/>
      <c r="I1815" s="28"/>
      <c r="J1815" s="29" t="n">
        <f aca="false">E1815+F1815+G1815-H1815-I1815</f>
        <v>0</v>
      </c>
      <c r="K1815" s="29" t="n">
        <f aca="false">ROUND(E1815+F1815+G1815-H1815-I1815-J1815,1)</f>
        <v>0</v>
      </c>
    </row>
    <row r="1816" customFormat="false" ht="15" hidden="false" customHeight="false" outlineLevel="0" collapsed="false">
      <c r="A1816" s="25" t="n">
        <v>46377</v>
      </c>
      <c r="B1816" s="23" t="str">
        <f aca="false">IF(A1816="","",IF(A1816&lt;=profil!$B$9,"Realisasi","Rencana"))</f>
        <v>Rencana</v>
      </c>
      <c r="C1816" s="18" t="s">
        <v>162</v>
      </c>
      <c r="D1816" s="18" t="s">
        <v>163</v>
      </c>
      <c r="E1816" s="29" t="n">
        <f aca="false">J1815</f>
        <v>0</v>
      </c>
      <c r="F1816" s="28"/>
      <c r="G1816" s="30" t="n">
        <v>0</v>
      </c>
      <c r="H1816" s="28"/>
      <c r="I1816" s="28"/>
      <c r="J1816" s="29" t="n">
        <f aca="false">E1816+F1816+G1816-H1816-I1816</f>
        <v>0</v>
      </c>
      <c r="K1816" s="29" t="n">
        <f aca="false">ROUND(E1816+F1816+G1816-H1816-I1816-J1816,1)</f>
        <v>0</v>
      </c>
    </row>
    <row r="1817" customFormat="false" ht="15" hidden="false" customHeight="false" outlineLevel="0" collapsed="false">
      <c r="A1817" s="25" t="n">
        <v>46378</v>
      </c>
      <c r="B1817" s="23" t="str">
        <f aca="false">IF(A1817="","",IF(A1817&lt;=profil!$B$9,"Realisasi","Rencana"))</f>
        <v>Rencana</v>
      </c>
      <c r="C1817" s="18" t="s">
        <v>162</v>
      </c>
      <c r="D1817" s="18" t="s">
        <v>163</v>
      </c>
      <c r="E1817" s="29" t="n">
        <f aca="false">J1816</f>
        <v>0</v>
      </c>
      <c r="F1817" s="28"/>
      <c r="G1817" s="30" t="n">
        <v>0</v>
      </c>
      <c r="H1817" s="28"/>
      <c r="I1817" s="28"/>
      <c r="J1817" s="29" t="n">
        <f aca="false">E1817+F1817+G1817-H1817-I1817</f>
        <v>0</v>
      </c>
      <c r="K1817" s="29" t="n">
        <f aca="false">ROUND(E1817+F1817+G1817-H1817-I1817-J1817,1)</f>
        <v>0</v>
      </c>
    </row>
    <row r="1818" customFormat="false" ht="15" hidden="false" customHeight="false" outlineLevel="0" collapsed="false">
      <c r="A1818" s="25" t="n">
        <v>46379</v>
      </c>
      <c r="B1818" s="23" t="str">
        <f aca="false">IF(A1818="","",IF(A1818&lt;=profil!$B$9,"Realisasi","Rencana"))</f>
        <v>Rencana</v>
      </c>
      <c r="C1818" s="18" t="s">
        <v>162</v>
      </c>
      <c r="D1818" s="18" t="s">
        <v>163</v>
      </c>
      <c r="E1818" s="29" t="n">
        <f aca="false">J1817</f>
        <v>0</v>
      </c>
      <c r="F1818" s="28"/>
      <c r="G1818" s="30" t="n">
        <v>0</v>
      </c>
      <c r="H1818" s="28"/>
      <c r="I1818" s="28"/>
      <c r="J1818" s="29" t="n">
        <f aca="false">E1818+F1818+G1818-H1818-I1818</f>
        <v>0</v>
      </c>
      <c r="K1818" s="29" t="n">
        <f aca="false">ROUND(E1818+F1818+G1818-H1818-I1818-J1818,1)</f>
        <v>0</v>
      </c>
    </row>
    <row r="1819" customFormat="false" ht="15" hidden="false" customHeight="false" outlineLevel="0" collapsed="false">
      <c r="A1819" s="25" t="n">
        <v>46380</v>
      </c>
      <c r="B1819" s="23" t="str">
        <f aca="false">IF(A1819="","",IF(A1819&lt;=profil!$B$9,"Realisasi","Rencana"))</f>
        <v>Rencana</v>
      </c>
      <c r="C1819" s="18" t="s">
        <v>162</v>
      </c>
      <c r="D1819" s="18" t="s">
        <v>163</v>
      </c>
      <c r="E1819" s="29" t="n">
        <f aca="false">J1818</f>
        <v>0</v>
      </c>
      <c r="F1819" s="28"/>
      <c r="G1819" s="30" t="n">
        <v>0</v>
      </c>
      <c r="H1819" s="28"/>
      <c r="I1819" s="28"/>
      <c r="J1819" s="29" t="n">
        <f aca="false">E1819+F1819+G1819-H1819-I1819</f>
        <v>0</v>
      </c>
      <c r="K1819" s="29" t="n">
        <f aca="false">ROUND(E1819+F1819+G1819-H1819-I1819-J1819,1)</f>
        <v>0</v>
      </c>
    </row>
    <row r="1820" customFormat="false" ht="15" hidden="false" customHeight="false" outlineLevel="0" collapsed="false">
      <c r="A1820" s="25" t="n">
        <v>46381</v>
      </c>
      <c r="B1820" s="23" t="str">
        <f aca="false">IF(A1820="","",IF(A1820&lt;=profil!$B$9,"Realisasi","Rencana"))</f>
        <v>Rencana</v>
      </c>
      <c r="C1820" s="18" t="s">
        <v>162</v>
      </c>
      <c r="D1820" s="18" t="s">
        <v>163</v>
      </c>
      <c r="E1820" s="29" t="n">
        <f aca="false">J1819</f>
        <v>0</v>
      </c>
      <c r="F1820" s="28"/>
      <c r="G1820" s="30" t="n">
        <v>0</v>
      </c>
      <c r="H1820" s="28"/>
      <c r="I1820" s="28"/>
      <c r="J1820" s="29" t="n">
        <f aca="false">E1820+F1820+G1820-H1820-I1820</f>
        <v>0</v>
      </c>
      <c r="K1820" s="29" t="n">
        <f aca="false">ROUND(E1820+F1820+G1820-H1820-I1820-J1820,1)</f>
        <v>0</v>
      </c>
    </row>
    <row r="1821" customFormat="false" ht="15" hidden="false" customHeight="false" outlineLevel="0" collapsed="false">
      <c r="A1821" s="25" t="n">
        <v>46382</v>
      </c>
      <c r="B1821" s="23" t="str">
        <f aca="false">IF(A1821="","",IF(A1821&lt;=profil!$B$9,"Realisasi","Rencana"))</f>
        <v>Rencana</v>
      </c>
      <c r="C1821" s="18" t="s">
        <v>162</v>
      </c>
      <c r="D1821" s="18" t="s">
        <v>163</v>
      </c>
      <c r="E1821" s="29" t="n">
        <f aca="false">J1820</f>
        <v>0</v>
      </c>
      <c r="F1821" s="28"/>
      <c r="G1821" s="30" t="n">
        <v>0</v>
      </c>
      <c r="H1821" s="28"/>
      <c r="I1821" s="28"/>
      <c r="J1821" s="29" t="n">
        <f aca="false">E1821+F1821+G1821-H1821-I1821</f>
        <v>0</v>
      </c>
      <c r="K1821" s="29" t="n">
        <f aca="false">ROUND(E1821+F1821+G1821-H1821-I1821-J1821,1)</f>
        <v>0</v>
      </c>
    </row>
    <row r="1822" customFormat="false" ht="15" hidden="false" customHeight="false" outlineLevel="0" collapsed="false">
      <c r="A1822" s="25" t="n">
        <v>46383</v>
      </c>
      <c r="B1822" s="23" t="str">
        <f aca="false">IF(A1822="","",IF(A1822&lt;=profil!$B$9,"Realisasi","Rencana"))</f>
        <v>Rencana</v>
      </c>
      <c r="C1822" s="18" t="s">
        <v>162</v>
      </c>
      <c r="D1822" s="18" t="s">
        <v>163</v>
      </c>
      <c r="E1822" s="29" t="n">
        <f aca="false">J1821</f>
        <v>0</v>
      </c>
      <c r="F1822" s="28"/>
      <c r="G1822" s="30" t="n">
        <v>0</v>
      </c>
      <c r="H1822" s="28"/>
      <c r="I1822" s="28"/>
      <c r="J1822" s="29" t="n">
        <f aca="false">E1822+F1822+G1822-H1822-I1822</f>
        <v>0</v>
      </c>
      <c r="K1822" s="29" t="n">
        <f aca="false">ROUND(E1822+F1822+G1822-H1822-I1822-J1822,1)</f>
        <v>0</v>
      </c>
    </row>
    <row r="1823" customFormat="false" ht="15" hidden="false" customHeight="false" outlineLevel="0" collapsed="false">
      <c r="A1823" s="25" t="n">
        <v>46384</v>
      </c>
      <c r="B1823" s="23" t="str">
        <f aca="false">IF(A1823="","",IF(A1823&lt;=profil!$B$9,"Realisasi","Rencana"))</f>
        <v>Rencana</v>
      </c>
      <c r="C1823" s="18" t="s">
        <v>162</v>
      </c>
      <c r="D1823" s="18" t="s">
        <v>163</v>
      </c>
      <c r="E1823" s="29" t="n">
        <f aca="false">J1822</f>
        <v>0</v>
      </c>
      <c r="F1823" s="28"/>
      <c r="G1823" s="30" t="n">
        <v>0</v>
      </c>
      <c r="H1823" s="28"/>
      <c r="I1823" s="28"/>
      <c r="J1823" s="29" t="n">
        <f aca="false">E1823+F1823+G1823-H1823-I1823</f>
        <v>0</v>
      </c>
      <c r="K1823" s="29" t="n">
        <f aca="false">ROUND(E1823+F1823+G1823-H1823-I1823-J1823,1)</f>
        <v>0</v>
      </c>
    </row>
    <row r="1824" customFormat="false" ht="15" hidden="false" customHeight="false" outlineLevel="0" collapsed="false">
      <c r="A1824" s="25" t="n">
        <v>46385</v>
      </c>
      <c r="B1824" s="23" t="str">
        <f aca="false">IF(A1824="","",IF(A1824&lt;=profil!$B$9,"Realisasi","Rencana"))</f>
        <v>Rencana</v>
      </c>
      <c r="C1824" s="18" t="s">
        <v>162</v>
      </c>
      <c r="D1824" s="18" t="s">
        <v>163</v>
      </c>
      <c r="E1824" s="29" t="n">
        <f aca="false">J1823</f>
        <v>0</v>
      </c>
      <c r="F1824" s="28"/>
      <c r="G1824" s="30" t="n">
        <v>0</v>
      </c>
      <c r="H1824" s="28"/>
      <c r="I1824" s="28"/>
      <c r="J1824" s="29" t="n">
        <f aca="false">E1824+F1824+G1824-H1824-I1824</f>
        <v>0</v>
      </c>
      <c r="K1824" s="29" t="n">
        <f aca="false">ROUND(E1824+F1824+G1824-H1824-I1824-J1824,1)</f>
        <v>0</v>
      </c>
    </row>
    <row r="1825" customFormat="false" ht="15" hidden="false" customHeight="false" outlineLevel="0" collapsed="false">
      <c r="A1825" s="25" t="n">
        <v>46386</v>
      </c>
      <c r="B1825" s="23" t="str">
        <f aca="false">IF(A1825="","",IF(A1825&lt;=profil!$B$9,"Realisasi","Rencana"))</f>
        <v>Rencana</v>
      </c>
      <c r="C1825" s="18" t="s">
        <v>162</v>
      </c>
      <c r="D1825" s="18" t="s">
        <v>163</v>
      </c>
      <c r="E1825" s="29" t="n">
        <f aca="false">J1824</f>
        <v>0</v>
      </c>
      <c r="F1825" s="28"/>
      <c r="G1825" s="30" t="n">
        <v>0</v>
      </c>
      <c r="H1825" s="28"/>
      <c r="I1825" s="28"/>
      <c r="J1825" s="29" t="n">
        <f aca="false">E1825+F1825+G1825-H1825-I1825</f>
        <v>0</v>
      </c>
      <c r="K1825" s="29" t="n">
        <f aca="false">ROUND(E1825+F1825+G1825-H1825-I1825-J1825,1)</f>
        <v>0</v>
      </c>
    </row>
    <row r="1826" customFormat="false" ht="15" hidden="false" customHeight="false" outlineLevel="0" collapsed="false">
      <c r="A1826" s="25" t="n">
        <v>46387</v>
      </c>
      <c r="B1826" s="23" t="str">
        <f aca="false">IF(A1826="","",IF(A1826&lt;=profil!$B$9,"Realisasi","Rencana"))</f>
        <v>Rencana</v>
      </c>
      <c r="C1826" s="18" t="s">
        <v>162</v>
      </c>
      <c r="D1826" s="18" t="s">
        <v>163</v>
      </c>
      <c r="E1826" s="29" t="n">
        <f aca="false">J1825</f>
        <v>0</v>
      </c>
      <c r="F1826" s="28"/>
      <c r="G1826" s="30" t="n">
        <v>0</v>
      </c>
      <c r="H1826" s="28"/>
      <c r="I1826" s="28"/>
      <c r="J1826" s="29" t="n">
        <f aca="false">E1826+F1826+G1826-H1826-I1826</f>
        <v>0</v>
      </c>
      <c r="K1826" s="29" t="n">
        <f aca="false">ROUND(E1826+F1826+G1826-H1826-I1826-J1826,1)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164</v>
      </c>
      <c r="D1" s="9" t="s">
        <v>165</v>
      </c>
      <c r="E1" s="9" t="s">
        <v>166</v>
      </c>
      <c r="F1" s="9" t="s">
        <v>167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168</v>
      </c>
      <c r="D2" s="18" t="s">
        <v>159</v>
      </c>
      <c r="E2" s="24"/>
      <c r="F2" s="28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168</v>
      </c>
      <c r="D3" s="18" t="s">
        <v>159</v>
      </c>
      <c r="E3" s="31" t="n">
        <f aca="false">E2</f>
        <v>0</v>
      </c>
      <c r="F3" s="28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168</v>
      </c>
      <c r="D4" s="18" t="s">
        <v>159</v>
      </c>
      <c r="E4" s="31" t="n">
        <f aca="false">E3</f>
        <v>0</v>
      </c>
      <c r="F4" s="28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168</v>
      </c>
      <c r="D5" s="18" t="s">
        <v>159</v>
      </c>
      <c r="E5" s="31" t="n">
        <f aca="false">E4</f>
        <v>0</v>
      </c>
      <c r="F5" s="28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168</v>
      </c>
      <c r="D6" s="18" t="s">
        <v>159</v>
      </c>
      <c r="E6" s="31" t="n">
        <f aca="false">E5</f>
        <v>0</v>
      </c>
      <c r="F6" s="28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168</v>
      </c>
      <c r="D7" s="18" t="s">
        <v>159</v>
      </c>
      <c r="E7" s="31" t="n">
        <f aca="false">E6</f>
        <v>0</v>
      </c>
      <c r="F7" s="28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168</v>
      </c>
      <c r="D8" s="18" t="s">
        <v>159</v>
      </c>
      <c r="E8" s="31" t="n">
        <f aca="false">E7</f>
        <v>0</v>
      </c>
      <c r="F8" s="28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168</v>
      </c>
      <c r="D9" s="18" t="s">
        <v>159</v>
      </c>
      <c r="E9" s="31" t="n">
        <f aca="false">E8</f>
        <v>0</v>
      </c>
      <c r="F9" s="28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168</v>
      </c>
      <c r="D10" s="18" t="s">
        <v>159</v>
      </c>
      <c r="E10" s="31" t="n">
        <f aca="false">E9</f>
        <v>0</v>
      </c>
      <c r="F10" s="28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168</v>
      </c>
      <c r="D11" s="18" t="s">
        <v>159</v>
      </c>
      <c r="E11" s="31" t="n">
        <f aca="false">E10</f>
        <v>0</v>
      </c>
      <c r="F11" s="28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168</v>
      </c>
      <c r="D12" s="18" t="s">
        <v>159</v>
      </c>
      <c r="E12" s="31" t="n">
        <f aca="false">E11</f>
        <v>0</v>
      </c>
      <c r="F12" s="28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168</v>
      </c>
      <c r="D13" s="18" t="s">
        <v>159</v>
      </c>
      <c r="E13" s="31" t="n">
        <f aca="false">E12</f>
        <v>0</v>
      </c>
      <c r="F13" s="28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168</v>
      </c>
      <c r="D14" s="18" t="s">
        <v>159</v>
      </c>
      <c r="E14" s="31" t="n">
        <f aca="false">E13</f>
        <v>0</v>
      </c>
      <c r="F14" s="28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168</v>
      </c>
      <c r="D15" s="18" t="s">
        <v>159</v>
      </c>
      <c r="E15" s="31" t="n">
        <f aca="false">E14</f>
        <v>0</v>
      </c>
      <c r="F15" s="28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168</v>
      </c>
      <c r="D16" s="18" t="s">
        <v>159</v>
      </c>
      <c r="E16" s="31" t="n">
        <f aca="false">E15</f>
        <v>0</v>
      </c>
      <c r="F16" s="28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168</v>
      </c>
      <c r="D17" s="18" t="s">
        <v>159</v>
      </c>
      <c r="E17" s="31" t="n">
        <f aca="false">E16</f>
        <v>0</v>
      </c>
      <c r="F17" s="28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168</v>
      </c>
      <c r="D18" s="18" t="s">
        <v>159</v>
      </c>
      <c r="E18" s="31" t="n">
        <f aca="false">E17</f>
        <v>0</v>
      </c>
      <c r="F18" s="28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168</v>
      </c>
      <c r="D19" s="18" t="s">
        <v>159</v>
      </c>
      <c r="E19" s="31" t="n">
        <f aca="false">E18</f>
        <v>0</v>
      </c>
      <c r="F19" s="28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168</v>
      </c>
      <c r="D20" s="18" t="s">
        <v>159</v>
      </c>
      <c r="E20" s="31" t="n">
        <f aca="false">E19</f>
        <v>0</v>
      </c>
      <c r="F20" s="28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168</v>
      </c>
      <c r="D21" s="18" t="s">
        <v>159</v>
      </c>
      <c r="E21" s="31" t="n">
        <f aca="false">E20</f>
        <v>0</v>
      </c>
      <c r="F21" s="28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168</v>
      </c>
      <c r="D22" s="18" t="s">
        <v>159</v>
      </c>
      <c r="E22" s="31" t="n">
        <f aca="false">E21</f>
        <v>0</v>
      </c>
      <c r="F22" s="28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168</v>
      </c>
      <c r="D23" s="18" t="s">
        <v>159</v>
      </c>
      <c r="E23" s="31" t="n">
        <f aca="false">E22</f>
        <v>0</v>
      </c>
      <c r="F23" s="28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168</v>
      </c>
      <c r="D24" s="18" t="s">
        <v>159</v>
      </c>
      <c r="E24" s="31" t="n">
        <f aca="false">E23</f>
        <v>0</v>
      </c>
      <c r="F24" s="28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168</v>
      </c>
      <c r="D25" s="18" t="s">
        <v>159</v>
      </c>
      <c r="E25" s="31" t="n">
        <f aca="false">E24</f>
        <v>0</v>
      </c>
      <c r="F25" s="28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168</v>
      </c>
      <c r="D26" s="18" t="s">
        <v>159</v>
      </c>
      <c r="E26" s="31" t="n">
        <f aca="false">E25</f>
        <v>0</v>
      </c>
      <c r="F26" s="28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168</v>
      </c>
      <c r="D27" s="18" t="s">
        <v>159</v>
      </c>
      <c r="E27" s="31" t="n">
        <f aca="false">E26</f>
        <v>0</v>
      </c>
      <c r="F27" s="28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168</v>
      </c>
      <c r="D28" s="18" t="s">
        <v>159</v>
      </c>
      <c r="E28" s="31" t="n">
        <f aca="false">E27</f>
        <v>0</v>
      </c>
      <c r="F28" s="28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168</v>
      </c>
      <c r="D29" s="18" t="s">
        <v>159</v>
      </c>
      <c r="E29" s="31" t="n">
        <f aca="false">E28</f>
        <v>0</v>
      </c>
      <c r="F29" s="28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168</v>
      </c>
      <c r="D30" s="18" t="s">
        <v>159</v>
      </c>
      <c r="E30" s="31" t="n">
        <f aca="false">E29</f>
        <v>0</v>
      </c>
      <c r="F30" s="28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168</v>
      </c>
      <c r="D31" s="18" t="s">
        <v>159</v>
      </c>
      <c r="E31" s="31" t="n">
        <f aca="false">E30</f>
        <v>0</v>
      </c>
      <c r="F31" s="28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168</v>
      </c>
      <c r="D32" s="18" t="s">
        <v>159</v>
      </c>
      <c r="E32" s="31" t="n">
        <f aca="false">E31</f>
        <v>0</v>
      </c>
      <c r="F32" s="28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168</v>
      </c>
      <c r="D33" s="18" t="s">
        <v>159</v>
      </c>
      <c r="E33" s="31" t="n">
        <f aca="false">E32</f>
        <v>0</v>
      </c>
      <c r="F33" s="28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168</v>
      </c>
      <c r="D34" s="18" t="s">
        <v>159</v>
      </c>
      <c r="E34" s="31" t="n">
        <f aca="false">E33</f>
        <v>0</v>
      </c>
      <c r="F34" s="28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168</v>
      </c>
      <c r="D35" s="18" t="s">
        <v>159</v>
      </c>
      <c r="E35" s="31" t="n">
        <f aca="false">E34</f>
        <v>0</v>
      </c>
      <c r="F35" s="28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168</v>
      </c>
      <c r="D36" s="18" t="s">
        <v>159</v>
      </c>
      <c r="E36" s="31" t="n">
        <f aca="false">E35</f>
        <v>0</v>
      </c>
      <c r="F36" s="28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168</v>
      </c>
      <c r="D37" s="18" t="s">
        <v>159</v>
      </c>
      <c r="E37" s="31" t="n">
        <f aca="false">E36</f>
        <v>0</v>
      </c>
      <c r="F37" s="28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168</v>
      </c>
      <c r="D38" s="18" t="s">
        <v>159</v>
      </c>
      <c r="E38" s="31" t="n">
        <f aca="false">E37</f>
        <v>0</v>
      </c>
      <c r="F38" s="28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168</v>
      </c>
      <c r="D39" s="18" t="s">
        <v>159</v>
      </c>
      <c r="E39" s="31" t="n">
        <f aca="false">E38</f>
        <v>0</v>
      </c>
      <c r="F39" s="28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168</v>
      </c>
      <c r="D40" s="18" t="s">
        <v>159</v>
      </c>
      <c r="E40" s="31" t="n">
        <f aca="false">E39</f>
        <v>0</v>
      </c>
      <c r="F40" s="28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168</v>
      </c>
      <c r="D41" s="18" t="s">
        <v>159</v>
      </c>
      <c r="E41" s="31" t="n">
        <f aca="false">E40</f>
        <v>0</v>
      </c>
      <c r="F41" s="28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168</v>
      </c>
      <c r="D42" s="18" t="s">
        <v>159</v>
      </c>
      <c r="E42" s="31" t="n">
        <f aca="false">E41</f>
        <v>0</v>
      </c>
      <c r="F42" s="28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168</v>
      </c>
      <c r="D43" s="18" t="s">
        <v>159</v>
      </c>
      <c r="E43" s="31" t="n">
        <f aca="false">E42</f>
        <v>0</v>
      </c>
      <c r="F43" s="28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168</v>
      </c>
      <c r="D44" s="18" t="s">
        <v>159</v>
      </c>
      <c r="E44" s="31" t="n">
        <f aca="false">E43</f>
        <v>0</v>
      </c>
      <c r="F44" s="28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168</v>
      </c>
      <c r="D45" s="18" t="s">
        <v>159</v>
      </c>
      <c r="E45" s="31" t="n">
        <f aca="false">E44</f>
        <v>0</v>
      </c>
      <c r="F45" s="28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168</v>
      </c>
      <c r="D46" s="18" t="s">
        <v>159</v>
      </c>
      <c r="E46" s="31" t="n">
        <f aca="false">E45</f>
        <v>0</v>
      </c>
      <c r="F46" s="28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168</v>
      </c>
      <c r="D47" s="18" t="s">
        <v>159</v>
      </c>
      <c r="E47" s="31" t="n">
        <f aca="false">E46</f>
        <v>0</v>
      </c>
      <c r="F47" s="28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168</v>
      </c>
      <c r="D48" s="18" t="s">
        <v>159</v>
      </c>
      <c r="E48" s="31" t="n">
        <f aca="false">E47</f>
        <v>0</v>
      </c>
      <c r="F48" s="28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168</v>
      </c>
      <c r="D49" s="18" t="s">
        <v>159</v>
      </c>
      <c r="E49" s="31" t="n">
        <f aca="false">E48</f>
        <v>0</v>
      </c>
      <c r="F49" s="28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168</v>
      </c>
      <c r="D50" s="18" t="s">
        <v>159</v>
      </c>
      <c r="E50" s="31" t="n">
        <f aca="false">E49</f>
        <v>0</v>
      </c>
      <c r="F50" s="28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168</v>
      </c>
      <c r="D51" s="18" t="s">
        <v>159</v>
      </c>
      <c r="E51" s="31" t="n">
        <f aca="false">E50</f>
        <v>0</v>
      </c>
      <c r="F51" s="28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168</v>
      </c>
      <c r="D52" s="18" t="s">
        <v>159</v>
      </c>
      <c r="E52" s="31" t="n">
        <f aca="false">E51</f>
        <v>0</v>
      </c>
      <c r="F52" s="28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168</v>
      </c>
      <c r="D53" s="18" t="s">
        <v>159</v>
      </c>
      <c r="E53" s="31" t="n">
        <f aca="false">E52</f>
        <v>0</v>
      </c>
      <c r="F53" s="28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168</v>
      </c>
      <c r="D54" s="18" t="s">
        <v>159</v>
      </c>
      <c r="E54" s="31" t="n">
        <f aca="false">E53</f>
        <v>0</v>
      </c>
      <c r="F54" s="28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168</v>
      </c>
      <c r="D55" s="18" t="s">
        <v>159</v>
      </c>
      <c r="E55" s="31" t="n">
        <f aca="false">E54</f>
        <v>0</v>
      </c>
      <c r="F55" s="28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168</v>
      </c>
      <c r="D56" s="18" t="s">
        <v>159</v>
      </c>
      <c r="E56" s="31" t="n">
        <f aca="false">E55</f>
        <v>0</v>
      </c>
      <c r="F56" s="28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168</v>
      </c>
      <c r="D57" s="18" t="s">
        <v>159</v>
      </c>
      <c r="E57" s="31" t="n">
        <f aca="false">E56</f>
        <v>0</v>
      </c>
      <c r="F57" s="28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168</v>
      </c>
      <c r="D58" s="18" t="s">
        <v>159</v>
      </c>
      <c r="E58" s="31" t="n">
        <f aca="false">E57</f>
        <v>0</v>
      </c>
      <c r="F58" s="28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168</v>
      </c>
      <c r="D59" s="18" t="s">
        <v>159</v>
      </c>
      <c r="E59" s="31" t="n">
        <f aca="false">E58</f>
        <v>0</v>
      </c>
      <c r="F59" s="28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168</v>
      </c>
      <c r="D60" s="18" t="s">
        <v>159</v>
      </c>
      <c r="E60" s="31" t="n">
        <f aca="false">E59</f>
        <v>0</v>
      </c>
      <c r="F60" s="28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168</v>
      </c>
      <c r="D61" s="18" t="s">
        <v>159</v>
      </c>
      <c r="E61" s="31" t="n">
        <f aca="false">E60</f>
        <v>0</v>
      </c>
      <c r="F61" s="28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168</v>
      </c>
      <c r="D62" s="18" t="s">
        <v>159</v>
      </c>
      <c r="E62" s="31" t="n">
        <f aca="false">E61</f>
        <v>0</v>
      </c>
      <c r="F62" s="28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168</v>
      </c>
      <c r="D63" s="18" t="s">
        <v>159</v>
      </c>
      <c r="E63" s="31" t="n">
        <f aca="false">E62</f>
        <v>0</v>
      </c>
      <c r="F63" s="28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168</v>
      </c>
      <c r="D64" s="18" t="s">
        <v>159</v>
      </c>
      <c r="E64" s="31" t="n">
        <f aca="false">E63</f>
        <v>0</v>
      </c>
      <c r="F64" s="28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168</v>
      </c>
      <c r="D65" s="18" t="s">
        <v>159</v>
      </c>
      <c r="E65" s="31" t="n">
        <f aca="false">E64</f>
        <v>0</v>
      </c>
      <c r="F65" s="28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168</v>
      </c>
      <c r="D66" s="18" t="s">
        <v>159</v>
      </c>
      <c r="E66" s="31" t="n">
        <f aca="false">E65</f>
        <v>0</v>
      </c>
      <c r="F66" s="28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168</v>
      </c>
      <c r="D67" s="18" t="s">
        <v>159</v>
      </c>
      <c r="E67" s="31" t="n">
        <f aca="false">E66</f>
        <v>0</v>
      </c>
      <c r="F67" s="28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168</v>
      </c>
      <c r="D68" s="18" t="s">
        <v>159</v>
      </c>
      <c r="E68" s="31" t="n">
        <f aca="false">E67</f>
        <v>0</v>
      </c>
      <c r="F68" s="28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168</v>
      </c>
      <c r="D69" s="18" t="s">
        <v>159</v>
      </c>
      <c r="E69" s="31" t="n">
        <f aca="false">E68</f>
        <v>0</v>
      </c>
      <c r="F69" s="28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168</v>
      </c>
      <c r="D70" s="18" t="s">
        <v>159</v>
      </c>
      <c r="E70" s="31" t="n">
        <f aca="false">E69</f>
        <v>0</v>
      </c>
      <c r="F70" s="28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168</v>
      </c>
      <c r="D71" s="18" t="s">
        <v>159</v>
      </c>
      <c r="E71" s="31" t="n">
        <f aca="false">E70</f>
        <v>0</v>
      </c>
      <c r="F71" s="28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168</v>
      </c>
      <c r="D72" s="18" t="s">
        <v>159</v>
      </c>
      <c r="E72" s="31" t="n">
        <f aca="false">E71</f>
        <v>0</v>
      </c>
      <c r="F72" s="28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168</v>
      </c>
      <c r="D73" s="18" t="s">
        <v>159</v>
      </c>
      <c r="E73" s="31" t="n">
        <f aca="false">E72</f>
        <v>0</v>
      </c>
      <c r="F73" s="28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168</v>
      </c>
      <c r="D74" s="18" t="s">
        <v>159</v>
      </c>
      <c r="E74" s="31" t="n">
        <f aca="false">E73</f>
        <v>0</v>
      </c>
      <c r="F74" s="28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168</v>
      </c>
      <c r="D75" s="18" t="s">
        <v>159</v>
      </c>
      <c r="E75" s="31" t="n">
        <f aca="false">E74</f>
        <v>0</v>
      </c>
      <c r="F75" s="28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168</v>
      </c>
      <c r="D76" s="18" t="s">
        <v>159</v>
      </c>
      <c r="E76" s="31" t="n">
        <f aca="false">E75</f>
        <v>0</v>
      </c>
      <c r="F76" s="28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168</v>
      </c>
      <c r="D77" s="18" t="s">
        <v>159</v>
      </c>
      <c r="E77" s="31" t="n">
        <f aca="false">E76</f>
        <v>0</v>
      </c>
      <c r="F77" s="28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168</v>
      </c>
      <c r="D78" s="18" t="s">
        <v>159</v>
      </c>
      <c r="E78" s="31" t="n">
        <f aca="false">E77</f>
        <v>0</v>
      </c>
      <c r="F78" s="28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168</v>
      </c>
      <c r="D79" s="18" t="s">
        <v>159</v>
      </c>
      <c r="E79" s="31" t="n">
        <f aca="false">E78</f>
        <v>0</v>
      </c>
      <c r="F79" s="28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168</v>
      </c>
      <c r="D80" s="18" t="s">
        <v>159</v>
      </c>
      <c r="E80" s="31" t="n">
        <f aca="false">E79</f>
        <v>0</v>
      </c>
      <c r="F80" s="28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168</v>
      </c>
      <c r="D81" s="18" t="s">
        <v>159</v>
      </c>
      <c r="E81" s="31" t="n">
        <f aca="false">E80</f>
        <v>0</v>
      </c>
      <c r="F81" s="28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168</v>
      </c>
      <c r="D82" s="18" t="s">
        <v>159</v>
      </c>
      <c r="E82" s="31" t="n">
        <f aca="false">E81</f>
        <v>0</v>
      </c>
      <c r="F82" s="28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168</v>
      </c>
      <c r="D83" s="18" t="s">
        <v>159</v>
      </c>
      <c r="E83" s="31" t="n">
        <f aca="false">E82</f>
        <v>0</v>
      </c>
      <c r="F83" s="28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168</v>
      </c>
      <c r="D84" s="18" t="s">
        <v>159</v>
      </c>
      <c r="E84" s="31" t="n">
        <f aca="false">E83</f>
        <v>0</v>
      </c>
      <c r="F84" s="28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168</v>
      </c>
      <c r="D85" s="18" t="s">
        <v>159</v>
      </c>
      <c r="E85" s="31" t="n">
        <f aca="false">E84</f>
        <v>0</v>
      </c>
      <c r="F85" s="28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168</v>
      </c>
      <c r="D86" s="18" t="s">
        <v>159</v>
      </c>
      <c r="E86" s="31" t="n">
        <f aca="false">E85</f>
        <v>0</v>
      </c>
      <c r="F86" s="28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168</v>
      </c>
      <c r="D87" s="18" t="s">
        <v>159</v>
      </c>
      <c r="E87" s="31" t="n">
        <f aca="false">E86</f>
        <v>0</v>
      </c>
      <c r="F87" s="28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168</v>
      </c>
      <c r="D88" s="18" t="s">
        <v>159</v>
      </c>
      <c r="E88" s="31" t="n">
        <f aca="false">E87</f>
        <v>0</v>
      </c>
      <c r="F88" s="28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168</v>
      </c>
      <c r="D89" s="18" t="s">
        <v>159</v>
      </c>
      <c r="E89" s="31" t="n">
        <f aca="false">E88</f>
        <v>0</v>
      </c>
      <c r="F89" s="28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168</v>
      </c>
      <c r="D90" s="18" t="s">
        <v>159</v>
      </c>
      <c r="E90" s="31" t="n">
        <f aca="false">E89</f>
        <v>0</v>
      </c>
      <c r="F90" s="28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168</v>
      </c>
      <c r="D91" s="18" t="s">
        <v>159</v>
      </c>
      <c r="E91" s="31" t="n">
        <f aca="false">E90</f>
        <v>0</v>
      </c>
      <c r="F91" s="28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168</v>
      </c>
      <c r="D92" s="18" t="s">
        <v>159</v>
      </c>
      <c r="E92" s="31" t="n">
        <f aca="false">E91</f>
        <v>0</v>
      </c>
      <c r="F92" s="28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168</v>
      </c>
      <c r="D93" s="18" t="s">
        <v>159</v>
      </c>
      <c r="E93" s="31" t="n">
        <f aca="false">E92</f>
        <v>0</v>
      </c>
      <c r="F93" s="28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168</v>
      </c>
      <c r="D94" s="18" t="s">
        <v>159</v>
      </c>
      <c r="E94" s="31" t="n">
        <f aca="false">E93</f>
        <v>0</v>
      </c>
      <c r="F94" s="28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168</v>
      </c>
      <c r="D95" s="18" t="s">
        <v>159</v>
      </c>
      <c r="E95" s="31" t="n">
        <f aca="false">E94</f>
        <v>0</v>
      </c>
      <c r="F95" s="28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168</v>
      </c>
      <c r="D96" s="18" t="s">
        <v>159</v>
      </c>
      <c r="E96" s="31" t="n">
        <f aca="false">E95</f>
        <v>0</v>
      </c>
      <c r="F96" s="28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168</v>
      </c>
      <c r="D97" s="18" t="s">
        <v>159</v>
      </c>
      <c r="E97" s="31" t="n">
        <f aca="false">E96</f>
        <v>0</v>
      </c>
      <c r="F97" s="28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168</v>
      </c>
      <c r="D98" s="18" t="s">
        <v>159</v>
      </c>
      <c r="E98" s="31" t="n">
        <f aca="false">E97</f>
        <v>0</v>
      </c>
      <c r="F98" s="28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168</v>
      </c>
      <c r="D99" s="18" t="s">
        <v>159</v>
      </c>
      <c r="E99" s="31" t="n">
        <f aca="false">E98</f>
        <v>0</v>
      </c>
      <c r="F99" s="28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168</v>
      </c>
      <c r="D100" s="18" t="s">
        <v>159</v>
      </c>
      <c r="E100" s="31" t="n">
        <f aca="false">E99</f>
        <v>0</v>
      </c>
      <c r="F100" s="28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168</v>
      </c>
      <c r="D101" s="18" t="s">
        <v>159</v>
      </c>
      <c r="E101" s="31" t="n">
        <f aca="false">E100</f>
        <v>0</v>
      </c>
      <c r="F101" s="28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168</v>
      </c>
      <c r="D102" s="18" t="s">
        <v>159</v>
      </c>
      <c r="E102" s="31" t="n">
        <f aca="false">E101</f>
        <v>0</v>
      </c>
      <c r="F102" s="28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168</v>
      </c>
      <c r="D103" s="18" t="s">
        <v>159</v>
      </c>
      <c r="E103" s="31" t="n">
        <f aca="false">E102</f>
        <v>0</v>
      </c>
      <c r="F103" s="28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168</v>
      </c>
      <c r="D104" s="18" t="s">
        <v>159</v>
      </c>
      <c r="E104" s="31" t="n">
        <f aca="false">E103</f>
        <v>0</v>
      </c>
      <c r="F104" s="28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168</v>
      </c>
      <c r="D105" s="18" t="s">
        <v>159</v>
      </c>
      <c r="E105" s="31" t="n">
        <f aca="false">E104</f>
        <v>0</v>
      </c>
      <c r="F105" s="28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168</v>
      </c>
      <c r="D106" s="18" t="s">
        <v>159</v>
      </c>
      <c r="E106" s="31" t="n">
        <f aca="false">E105</f>
        <v>0</v>
      </c>
      <c r="F106" s="28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168</v>
      </c>
      <c r="D107" s="18" t="s">
        <v>159</v>
      </c>
      <c r="E107" s="31" t="n">
        <f aca="false">E106</f>
        <v>0</v>
      </c>
      <c r="F107" s="28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168</v>
      </c>
      <c r="D108" s="18" t="s">
        <v>159</v>
      </c>
      <c r="E108" s="31" t="n">
        <f aca="false">E107</f>
        <v>0</v>
      </c>
      <c r="F108" s="28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168</v>
      </c>
      <c r="D109" s="18" t="s">
        <v>159</v>
      </c>
      <c r="E109" s="31" t="n">
        <f aca="false">E108</f>
        <v>0</v>
      </c>
      <c r="F109" s="28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168</v>
      </c>
      <c r="D110" s="18" t="s">
        <v>159</v>
      </c>
      <c r="E110" s="31" t="n">
        <f aca="false">E109</f>
        <v>0</v>
      </c>
      <c r="F110" s="28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168</v>
      </c>
      <c r="D111" s="18" t="s">
        <v>159</v>
      </c>
      <c r="E111" s="31" t="n">
        <f aca="false">E110</f>
        <v>0</v>
      </c>
      <c r="F111" s="28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168</v>
      </c>
      <c r="D112" s="18" t="s">
        <v>159</v>
      </c>
      <c r="E112" s="31" t="n">
        <f aca="false">E111</f>
        <v>0</v>
      </c>
      <c r="F112" s="28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168</v>
      </c>
      <c r="D113" s="18" t="s">
        <v>159</v>
      </c>
      <c r="E113" s="31" t="n">
        <f aca="false">E112</f>
        <v>0</v>
      </c>
      <c r="F113" s="28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168</v>
      </c>
      <c r="D114" s="18" t="s">
        <v>159</v>
      </c>
      <c r="E114" s="31" t="n">
        <f aca="false">E113</f>
        <v>0</v>
      </c>
      <c r="F114" s="28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168</v>
      </c>
      <c r="D115" s="18" t="s">
        <v>159</v>
      </c>
      <c r="E115" s="31" t="n">
        <f aca="false">E114</f>
        <v>0</v>
      </c>
      <c r="F115" s="28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168</v>
      </c>
      <c r="D116" s="18" t="s">
        <v>159</v>
      </c>
      <c r="E116" s="31" t="n">
        <f aca="false">E115</f>
        <v>0</v>
      </c>
      <c r="F116" s="28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168</v>
      </c>
      <c r="D117" s="18" t="s">
        <v>159</v>
      </c>
      <c r="E117" s="31" t="n">
        <f aca="false">E116</f>
        <v>0</v>
      </c>
      <c r="F117" s="28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168</v>
      </c>
      <c r="D118" s="18" t="s">
        <v>159</v>
      </c>
      <c r="E118" s="31" t="n">
        <f aca="false">E117</f>
        <v>0</v>
      </c>
      <c r="F118" s="28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168</v>
      </c>
      <c r="D119" s="18" t="s">
        <v>159</v>
      </c>
      <c r="E119" s="31" t="n">
        <f aca="false">E118</f>
        <v>0</v>
      </c>
      <c r="F119" s="28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168</v>
      </c>
      <c r="D120" s="18" t="s">
        <v>159</v>
      </c>
      <c r="E120" s="31" t="n">
        <f aca="false">E119</f>
        <v>0</v>
      </c>
      <c r="F120" s="28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168</v>
      </c>
      <c r="D121" s="18" t="s">
        <v>159</v>
      </c>
      <c r="E121" s="31" t="n">
        <f aca="false">E120</f>
        <v>0</v>
      </c>
      <c r="F121" s="28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168</v>
      </c>
      <c r="D122" s="18" t="s">
        <v>159</v>
      </c>
      <c r="E122" s="31" t="n">
        <f aca="false">E121</f>
        <v>0</v>
      </c>
      <c r="F122" s="28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168</v>
      </c>
      <c r="D123" s="18" t="s">
        <v>159</v>
      </c>
      <c r="E123" s="31" t="n">
        <f aca="false">E122</f>
        <v>0</v>
      </c>
      <c r="F123" s="28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168</v>
      </c>
      <c r="D124" s="18" t="s">
        <v>159</v>
      </c>
      <c r="E124" s="31" t="n">
        <f aca="false">E123</f>
        <v>0</v>
      </c>
      <c r="F124" s="28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168</v>
      </c>
      <c r="D125" s="18" t="s">
        <v>159</v>
      </c>
      <c r="E125" s="31" t="n">
        <f aca="false">E124</f>
        <v>0</v>
      </c>
      <c r="F125" s="28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168</v>
      </c>
      <c r="D126" s="18" t="s">
        <v>159</v>
      </c>
      <c r="E126" s="31" t="n">
        <f aca="false">E125</f>
        <v>0</v>
      </c>
      <c r="F126" s="28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168</v>
      </c>
      <c r="D127" s="18" t="s">
        <v>159</v>
      </c>
      <c r="E127" s="31" t="n">
        <f aca="false">E126</f>
        <v>0</v>
      </c>
      <c r="F127" s="28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168</v>
      </c>
      <c r="D128" s="18" t="s">
        <v>159</v>
      </c>
      <c r="E128" s="31" t="n">
        <f aca="false">E127</f>
        <v>0</v>
      </c>
      <c r="F128" s="28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168</v>
      </c>
      <c r="D129" s="18" t="s">
        <v>159</v>
      </c>
      <c r="E129" s="31" t="n">
        <f aca="false">E128</f>
        <v>0</v>
      </c>
      <c r="F129" s="28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168</v>
      </c>
      <c r="D130" s="18" t="s">
        <v>159</v>
      </c>
      <c r="E130" s="31" t="n">
        <f aca="false">E129</f>
        <v>0</v>
      </c>
      <c r="F130" s="28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168</v>
      </c>
      <c r="D131" s="18" t="s">
        <v>159</v>
      </c>
      <c r="E131" s="31" t="n">
        <f aca="false">E130</f>
        <v>0</v>
      </c>
      <c r="F131" s="28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168</v>
      </c>
      <c r="D132" s="18" t="s">
        <v>159</v>
      </c>
      <c r="E132" s="31" t="n">
        <f aca="false">E131</f>
        <v>0</v>
      </c>
      <c r="F132" s="28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168</v>
      </c>
      <c r="D133" s="18" t="s">
        <v>159</v>
      </c>
      <c r="E133" s="31" t="n">
        <f aca="false">E132</f>
        <v>0</v>
      </c>
      <c r="F133" s="28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168</v>
      </c>
      <c r="D134" s="18" t="s">
        <v>159</v>
      </c>
      <c r="E134" s="31" t="n">
        <f aca="false">E133</f>
        <v>0</v>
      </c>
      <c r="F134" s="28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168</v>
      </c>
      <c r="D135" s="18" t="s">
        <v>159</v>
      </c>
      <c r="E135" s="31" t="n">
        <f aca="false">E134</f>
        <v>0</v>
      </c>
      <c r="F135" s="28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168</v>
      </c>
      <c r="D136" s="18" t="s">
        <v>159</v>
      </c>
      <c r="E136" s="31" t="n">
        <f aca="false">E135</f>
        <v>0</v>
      </c>
      <c r="F136" s="28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168</v>
      </c>
      <c r="D137" s="18" t="s">
        <v>159</v>
      </c>
      <c r="E137" s="31" t="n">
        <f aca="false">E136</f>
        <v>0</v>
      </c>
      <c r="F137" s="28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168</v>
      </c>
      <c r="D138" s="18" t="s">
        <v>159</v>
      </c>
      <c r="E138" s="31" t="n">
        <f aca="false">E137</f>
        <v>0</v>
      </c>
      <c r="F138" s="28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168</v>
      </c>
      <c r="D139" s="18" t="s">
        <v>159</v>
      </c>
      <c r="E139" s="31" t="n">
        <f aca="false">E138</f>
        <v>0</v>
      </c>
      <c r="F139" s="28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168</v>
      </c>
      <c r="D140" s="18" t="s">
        <v>159</v>
      </c>
      <c r="E140" s="31" t="n">
        <f aca="false">E139</f>
        <v>0</v>
      </c>
      <c r="F140" s="28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168</v>
      </c>
      <c r="D141" s="18" t="s">
        <v>159</v>
      </c>
      <c r="E141" s="31" t="n">
        <f aca="false">E140</f>
        <v>0</v>
      </c>
      <c r="F141" s="28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168</v>
      </c>
      <c r="D142" s="18" t="s">
        <v>159</v>
      </c>
      <c r="E142" s="31" t="n">
        <f aca="false">E141</f>
        <v>0</v>
      </c>
      <c r="F142" s="28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168</v>
      </c>
      <c r="D143" s="18" t="s">
        <v>159</v>
      </c>
      <c r="E143" s="31" t="n">
        <f aca="false">E142</f>
        <v>0</v>
      </c>
      <c r="F143" s="28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168</v>
      </c>
      <c r="D144" s="18" t="s">
        <v>159</v>
      </c>
      <c r="E144" s="31" t="n">
        <f aca="false">E143</f>
        <v>0</v>
      </c>
      <c r="F144" s="28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168</v>
      </c>
      <c r="D145" s="18" t="s">
        <v>159</v>
      </c>
      <c r="E145" s="31" t="n">
        <f aca="false">E144</f>
        <v>0</v>
      </c>
      <c r="F145" s="28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168</v>
      </c>
      <c r="D146" s="18" t="s">
        <v>159</v>
      </c>
      <c r="E146" s="31" t="n">
        <f aca="false">E145</f>
        <v>0</v>
      </c>
      <c r="F146" s="28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168</v>
      </c>
      <c r="D147" s="18" t="s">
        <v>159</v>
      </c>
      <c r="E147" s="31" t="n">
        <f aca="false">E146</f>
        <v>0</v>
      </c>
      <c r="F147" s="28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168</v>
      </c>
      <c r="D148" s="18" t="s">
        <v>159</v>
      </c>
      <c r="E148" s="31" t="n">
        <f aca="false">E147</f>
        <v>0</v>
      </c>
      <c r="F148" s="28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168</v>
      </c>
      <c r="D149" s="18" t="s">
        <v>159</v>
      </c>
      <c r="E149" s="31" t="n">
        <f aca="false">E148</f>
        <v>0</v>
      </c>
      <c r="F149" s="28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168</v>
      </c>
      <c r="D150" s="18" t="s">
        <v>159</v>
      </c>
      <c r="E150" s="31" t="n">
        <f aca="false">E149</f>
        <v>0</v>
      </c>
      <c r="F150" s="28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168</v>
      </c>
      <c r="D151" s="18" t="s">
        <v>159</v>
      </c>
      <c r="E151" s="31" t="n">
        <f aca="false">E150</f>
        <v>0</v>
      </c>
      <c r="F151" s="28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168</v>
      </c>
      <c r="D152" s="18" t="s">
        <v>159</v>
      </c>
      <c r="E152" s="31" t="n">
        <f aca="false">E151</f>
        <v>0</v>
      </c>
      <c r="F152" s="28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168</v>
      </c>
      <c r="D153" s="18" t="s">
        <v>159</v>
      </c>
      <c r="E153" s="31" t="n">
        <f aca="false">E152</f>
        <v>0</v>
      </c>
      <c r="F153" s="28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168</v>
      </c>
      <c r="D154" s="18" t="s">
        <v>159</v>
      </c>
      <c r="E154" s="31" t="n">
        <f aca="false">E153</f>
        <v>0</v>
      </c>
      <c r="F154" s="28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168</v>
      </c>
      <c r="D155" s="18" t="s">
        <v>159</v>
      </c>
      <c r="E155" s="31" t="n">
        <f aca="false">E154</f>
        <v>0</v>
      </c>
      <c r="F155" s="28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168</v>
      </c>
      <c r="D156" s="18" t="s">
        <v>159</v>
      </c>
      <c r="E156" s="31" t="n">
        <f aca="false">E155</f>
        <v>0</v>
      </c>
      <c r="F156" s="28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168</v>
      </c>
      <c r="D157" s="18" t="s">
        <v>159</v>
      </c>
      <c r="E157" s="31" t="n">
        <f aca="false">E156</f>
        <v>0</v>
      </c>
      <c r="F157" s="28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168</v>
      </c>
      <c r="D158" s="18" t="s">
        <v>159</v>
      </c>
      <c r="E158" s="31" t="n">
        <f aca="false">E157</f>
        <v>0</v>
      </c>
      <c r="F158" s="28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168</v>
      </c>
      <c r="D159" s="18" t="s">
        <v>159</v>
      </c>
      <c r="E159" s="31" t="n">
        <f aca="false">E158</f>
        <v>0</v>
      </c>
      <c r="F159" s="28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168</v>
      </c>
      <c r="D160" s="18" t="s">
        <v>159</v>
      </c>
      <c r="E160" s="31" t="n">
        <f aca="false">E159</f>
        <v>0</v>
      </c>
      <c r="F160" s="28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168</v>
      </c>
      <c r="D161" s="18" t="s">
        <v>159</v>
      </c>
      <c r="E161" s="31" t="n">
        <f aca="false">E160</f>
        <v>0</v>
      </c>
      <c r="F161" s="28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168</v>
      </c>
      <c r="D162" s="18" t="s">
        <v>159</v>
      </c>
      <c r="E162" s="31" t="n">
        <f aca="false">E161</f>
        <v>0</v>
      </c>
      <c r="F162" s="28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168</v>
      </c>
      <c r="D163" s="18" t="s">
        <v>159</v>
      </c>
      <c r="E163" s="31" t="n">
        <f aca="false">E162</f>
        <v>0</v>
      </c>
      <c r="F163" s="28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168</v>
      </c>
      <c r="D164" s="18" t="s">
        <v>159</v>
      </c>
      <c r="E164" s="31" t="n">
        <f aca="false">E163</f>
        <v>0</v>
      </c>
      <c r="F164" s="28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168</v>
      </c>
      <c r="D165" s="18" t="s">
        <v>159</v>
      </c>
      <c r="E165" s="31" t="n">
        <f aca="false">E164</f>
        <v>0</v>
      </c>
      <c r="F165" s="28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168</v>
      </c>
      <c r="D166" s="18" t="s">
        <v>159</v>
      </c>
      <c r="E166" s="31" t="n">
        <f aca="false">E165</f>
        <v>0</v>
      </c>
      <c r="F166" s="28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168</v>
      </c>
      <c r="D167" s="18" t="s">
        <v>159</v>
      </c>
      <c r="E167" s="31" t="n">
        <f aca="false">E166</f>
        <v>0</v>
      </c>
      <c r="F167" s="28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168</v>
      </c>
      <c r="D168" s="18" t="s">
        <v>159</v>
      </c>
      <c r="E168" s="31" t="n">
        <f aca="false">E167</f>
        <v>0</v>
      </c>
      <c r="F168" s="28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168</v>
      </c>
      <c r="D169" s="18" t="s">
        <v>159</v>
      </c>
      <c r="E169" s="31" t="n">
        <f aca="false">E168</f>
        <v>0</v>
      </c>
      <c r="F169" s="28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168</v>
      </c>
      <c r="D170" s="18" t="s">
        <v>159</v>
      </c>
      <c r="E170" s="31" t="n">
        <f aca="false">E169</f>
        <v>0</v>
      </c>
      <c r="F170" s="28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168</v>
      </c>
      <c r="D171" s="18" t="s">
        <v>159</v>
      </c>
      <c r="E171" s="31" t="n">
        <f aca="false">E170</f>
        <v>0</v>
      </c>
      <c r="F171" s="28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168</v>
      </c>
      <c r="D172" s="18" t="s">
        <v>159</v>
      </c>
      <c r="E172" s="31" t="n">
        <f aca="false">E171</f>
        <v>0</v>
      </c>
      <c r="F172" s="28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168</v>
      </c>
      <c r="D173" s="18" t="s">
        <v>159</v>
      </c>
      <c r="E173" s="31" t="n">
        <f aca="false">E172</f>
        <v>0</v>
      </c>
      <c r="F173" s="28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168</v>
      </c>
      <c r="D174" s="18" t="s">
        <v>159</v>
      </c>
      <c r="E174" s="31" t="n">
        <f aca="false">E173</f>
        <v>0</v>
      </c>
      <c r="F174" s="28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168</v>
      </c>
      <c r="D175" s="18" t="s">
        <v>159</v>
      </c>
      <c r="E175" s="31" t="n">
        <f aca="false">E174</f>
        <v>0</v>
      </c>
      <c r="F175" s="28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168</v>
      </c>
      <c r="D176" s="18" t="s">
        <v>159</v>
      </c>
      <c r="E176" s="31" t="n">
        <f aca="false">E175</f>
        <v>0</v>
      </c>
      <c r="F176" s="28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168</v>
      </c>
      <c r="D177" s="18" t="s">
        <v>159</v>
      </c>
      <c r="E177" s="31" t="n">
        <f aca="false">E176</f>
        <v>0</v>
      </c>
      <c r="F177" s="28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168</v>
      </c>
      <c r="D178" s="18" t="s">
        <v>159</v>
      </c>
      <c r="E178" s="31" t="n">
        <f aca="false">E177</f>
        <v>0</v>
      </c>
      <c r="F178" s="28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168</v>
      </c>
      <c r="D179" s="18" t="s">
        <v>159</v>
      </c>
      <c r="E179" s="31" t="n">
        <f aca="false">E178</f>
        <v>0</v>
      </c>
      <c r="F179" s="28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168</v>
      </c>
      <c r="D180" s="18" t="s">
        <v>159</v>
      </c>
      <c r="E180" s="31" t="n">
        <f aca="false">E179</f>
        <v>0</v>
      </c>
      <c r="F180" s="28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168</v>
      </c>
      <c r="D181" s="18" t="s">
        <v>159</v>
      </c>
      <c r="E181" s="31" t="n">
        <f aca="false">E180</f>
        <v>0</v>
      </c>
      <c r="F181" s="28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168</v>
      </c>
      <c r="D182" s="18" t="s">
        <v>159</v>
      </c>
      <c r="E182" s="31" t="n">
        <f aca="false">E181</f>
        <v>0</v>
      </c>
      <c r="F182" s="28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168</v>
      </c>
      <c r="D183" s="18" t="s">
        <v>159</v>
      </c>
      <c r="E183" s="31" t="n">
        <f aca="false">E182</f>
        <v>0</v>
      </c>
      <c r="F183" s="28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168</v>
      </c>
      <c r="D184" s="18" t="s">
        <v>159</v>
      </c>
      <c r="E184" s="31" t="n">
        <f aca="false">E183</f>
        <v>0</v>
      </c>
      <c r="F184" s="28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168</v>
      </c>
      <c r="D185" s="18" t="s">
        <v>159</v>
      </c>
      <c r="E185" s="31" t="n">
        <f aca="false">E184</f>
        <v>0</v>
      </c>
      <c r="F185" s="28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168</v>
      </c>
      <c r="D186" s="18" t="s">
        <v>159</v>
      </c>
      <c r="E186" s="31" t="n">
        <f aca="false">E185</f>
        <v>0</v>
      </c>
      <c r="F186" s="28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168</v>
      </c>
      <c r="D187" s="18" t="s">
        <v>159</v>
      </c>
      <c r="E187" s="31" t="n">
        <f aca="false">E186</f>
        <v>0</v>
      </c>
      <c r="F187" s="28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168</v>
      </c>
      <c r="D188" s="18" t="s">
        <v>159</v>
      </c>
      <c r="E188" s="31" t="n">
        <f aca="false">E187</f>
        <v>0</v>
      </c>
      <c r="F188" s="28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168</v>
      </c>
      <c r="D189" s="18" t="s">
        <v>159</v>
      </c>
      <c r="E189" s="31" t="n">
        <f aca="false">E188</f>
        <v>0</v>
      </c>
      <c r="F189" s="28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168</v>
      </c>
      <c r="D190" s="18" t="s">
        <v>159</v>
      </c>
      <c r="E190" s="31" t="n">
        <f aca="false">E189</f>
        <v>0</v>
      </c>
      <c r="F190" s="28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168</v>
      </c>
      <c r="D191" s="18" t="s">
        <v>159</v>
      </c>
      <c r="E191" s="31" t="n">
        <f aca="false">E190</f>
        <v>0</v>
      </c>
      <c r="F191" s="28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168</v>
      </c>
      <c r="D192" s="18" t="s">
        <v>159</v>
      </c>
      <c r="E192" s="31" t="n">
        <f aca="false">E191</f>
        <v>0</v>
      </c>
      <c r="F192" s="28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168</v>
      </c>
      <c r="D193" s="18" t="s">
        <v>159</v>
      </c>
      <c r="E193" s="31" t="n">
        <f aca="false">E192</f>
        <v>0</v>
      </c>
      <c r="F193" s="28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168</v>
      </c>
      <c r="D194" s="18" t="s">
        <v>159</v>
      </c>
      <c r="E194" s="31" t="n">
        <f aca="false">E193</f>
        <v>0</v>
      </c>
      <c r="F194" s="28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168</v>
      </c>
      <c r="D195" s="18" t="s">
        <v>159</v>
      </c>
      <c r="E195" s="31" t="n">
        <f aca="false">E194</f>
        <v>0</v>
      </c>
      <c r="F195" s="28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168</v>
      </c>
      <c r="D196" s="18" t="s">
        <v>159</v>
      </c>
      <c r="E196" s="31" t="n">
        <f aca="false">E195</f>
        <v>0</v>
      </c>
      <c r="F196" s="28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168</v>
      </c>
      <c r="D197" s="18" t="s">
        <v>159</v>
      </c>
      <c r="E197" s="31" t="n">
        <f aca="false">E196</f>
        <v>0</v>
      </c>
      <c r="F197" s="28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168</v>
      </c>
      <c r="D198" s="18" t="s">
        <v>159</v>
      </c>
      <c r="E198" s="31" t="n">
        <f aca="false">E197</f>
        <v>0</v>
      </c>
      <c r="F198" s="28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168</v>
      </c>
      <c r="D199" s="18" t="s">
        <v>159</v>
      </c>
      <c r="E199" s="31" t="n">
        <f aca="false">E198</f>
        <v>0</v>
      </c>
      <c r="F199" s="28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168</v>
      </c>
      <c r="D200" s="18" t="s">
        <v>159</v>
      </c>
      <c r="E200" s="31" t="n">
        <f aca="false">E199</f>
        <v>0</v>
      </c>
      <c r="F200" s="28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168</v>
      </c>
      <c r="D201" s="18" t="s">
        <v>159</v>
      </c>
      <c r="E201" s="31" t="n">
        <f aca="false">E200</f>
        <v>0</v>
      </c>
      <c r="F201" s="28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168</v>
      </c>
      <c r="D202" s="18" t="s">
        <v>159</v>
      </c>
      <c r="E202" s="31" t="n">
        <f aca="false">E201</f>
        <v>0</v>
      </c>
      <c r="F202" s="28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168</v>
      </c>
      <c r="D203" s="18" t="s">
        <v>159</v>
      </c>
      <c r="E203" s="31" t="n">
        <f aca="false">E202</f>
        <v>0</v>
      </c>
      <c r="F203" s="28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168</v>
      </c>
      <c r="D204" s="18" t="s">
        <v>159</v>
      </c>
      <c r="E204" s="31" t="n">
        <f aca="false">E203</f>
        <v>0</v>
      </c>
      <c r="F204" s="28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168</v>
      </c>
      <c r="D205" s="18" t="s">
        <v>159</v>
      </c>
      <c r="E205" s="31" t="n">
        <f aca="false">E204</f>
        <v>0</v>
      </c>
      <c r="F205" s="28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168</v>
      </c>
      <c r="D206" s="18" t="s">
        <v>159</v>
      </c>
      <c r="E206" s="31" t="n">
        <f aca="false">E205</f>
        <v>0</v>
      </c>
      <c r="F206" s="28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168</v>
      </c>
      <c r="D207" s="18" t="s">
        <v>159</v>
      </c>
      <c r="E207" s="31" t="n">
        <f aca="false">E206</f>
        <v>0</v>
      </c>
      <c r="F207" s="28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168</v>
      </c>
      <c r="D208" s="18" t="s">
        <v>159</v>
      </c>
      <c r="E208" s="31" t="n">
        <f aca="false">E207</f>
        <v>0</v>
      </c>
      <c r="F208" s="28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168</v>
      </c>
      <c r="D209" s="18" t="s">
        <v>159</v>
      </c>
      <c r="E209" s="31" t="n">
        <f aca="false">E208</f>
        <v>0</v>
      </c>
      <c r="F209" s="28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168</v>
      </c>
      <c r="D210" s="18" t="s">
        <v>159</v>
      </c>
      <c r="E210" s="31" t="n">
        <f aca="false">E209</f>
        <v>0</v>
      </c>
      <c r="F210" s="28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168</v>
      </c>
      <c r="D211" s="18" t="s">
        <v>159</v>
      </c>
      <c r="E211" s="31" t="n">
        <f aca="false">E210</f>
        <v>0</v>
      </c>
      <c r="F211" s="28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168</v>
      </c>
      <c r="D212" s="18" t="s">
        <v>159</v>
      </c>
      <c r="E212" s="31" t="n">
        <f aca="false">E211</f>
        <v>0</v>
      </c>
      <c r="F212" s="28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168</v>
      </c>
      <c r="D213" s="18" t="s">
        <v>159</v>
      </c>
      <c r="E213" s="31" t="n">
        <f aca="false">E212</f>
        <v>0</v>
      </c>
      <c r="F213" s="28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168</v>
      </c>
      <c r="D214" s="18" t="s">
        <v>159</v>
      </c>
      <c r="E214" s="31" t="n">
        <f aca="false">E213</f>
        <v>0</v>
      </c>
      <c r="F214" s="28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168</v>
      </c>
      <c r="D215" s="18" t="s">
        <v>159</v>
      </c>
      <c r="E215" s="31" t="n">
        <f aca="false">E214</f>
        <v>0</v>
      </c>
      <c r="F215" s="28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168</v>
      </c>
      <c r="D216" s="18" t="s">
        <v>159</v>
      </c>
      <c r="E216" s="31" t="n">
        <f aca="false">E215</f>
        <v>0</v>
      </c>
      <c r="F216" s="28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168</v>
      </c>
      <c r="D217" s="18" t="s">
        <v>159</v>
      </c>
      <c r="E217" s="31" t="n">
        <f aca="false">E216</f>
        <v>0</v>
      </c>
      <c r="F217" s="28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168</v>
      </c>
      <c r="D218" s="18" t="s">
        <v>159</v>
      </c>
      <c r="E218" s="31" t="n">
        <f aca="false">E217</f>
        <v>0</v>
      </c>
      <c r="F218" s="28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168</v>
      </c>
      <c r="D219" s="18" t="s">
        <v>159</v>
      </c>
      <c r="E219" s="31" t="n">
        <f aca="false">E218</f>
        <v>0</v>
      </c>
      <c r="F219" s="28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168</v>
      </c>
      <c r="D220" s="18" t="s">
        <v>159</v>
      </c>
      <c r="E220" s="31" t="n">
        <f aca="false">E219</f>
        <v>0</v>
      </c>
      <c r="F220" s="28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168</v>
      </c>
      <c r="D221" s="18" t="s">
        <v>159</v>
      </c>
      <c r="E221" s="31" t="n">
        <f aca="false">E220</f>
        <v>0</v>
      </c>
      <c r="F221" s="28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168</v>
      </c>
      <c r="D222" s="18" t="s">
        <v>159</v>
      </c>
      <c r="E222" s="31" t="n">
        <f aca="false">E221</f>
        <v>0</v>
      </c>
      <c r="F222" s="28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168</v>
      </c>
      <c r="D223" s="18" t="s">
        <v>159</v>
      </c>
      <c r="E223" s="31" t="n">
        <f aca="false">E222</f>
        <v>0</v>
      </c>
      <c r="F223" s="28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168</v>
      </c>
      <c r="D224" s="18" t="s">
        <v>159</v>
      </c>
      <c r="E224" s="31" t="n">
        <f aca="false">E223</f>
        <v>0</v>
      </c>
      <c r="F224" s="28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168</v>
      </c>
      <c r="D225" s="18" t="s">
        <v>159</v>
      </c>
      <c r="E225" s="31" t="n">
        <f aca="false">E224</f>
        <v>0</v>
      </c>
      <c r="F225" s="28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168</v>
      </c>
      <c r="D226" s="18" t="s">
        <v>159</v>
      </c>
      <c r="E226" s="31" t="n">
        <f aca="false">E225</f>
        <v>0</v>
      </c>
      <c r="F226" s="28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168</v>
      </c>
      <c r="D227" s="18" t="s">
        <v>159</v>
      </c>
      <c r="E227" s="31" t="n">
        <f aca="false">E226</f>
        <v>0</v>
      </c>
      <c r="F227" s="28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168</v>
      </c>
      <c r="D228" s="18" t="s">
        <v>159</v>
      </c>
      <c r="E228" s="31" t="n">
        <f aca="false">E227</f>
        <v>0</v>
      </c>
      <c r="F228" s="28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168</v>
      </c>
      <c r="D229" s="18" t="s">
        <v>159</v>
      </c>
      <c r="E229" s="31" t="n">
        <f aca="false">E228</f>
        <v>0</v>
      </c>
      <c r="F229" s="28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168</v>
      </c>
      <c r="D230" s="18" t="s">
        <v>159</v>
      </c>
      <c r="E230" s="31" t="n">
        <f aca="false">E229</f>
        <v>0</v>
      </c>
      <c r="F230" s="28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168</v>
      </c>
      <c r="D231" s="18" t="s">
        <v>159</v>
      </c>
      <c r="E231" s="31" t="n">
        <f aca="false">E230</f>
        <v>0</v>
      </c>
      <c r="F231" s="28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168</v>
      </c>
      <c r="D232" s="18" t="s">
        <v>159</v>
      </c>
      <c r="E232" s="31" t="n">
        <f aca="false">E231</f>
        <v>0</v>
      </c>
      <c r="F232" s="28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168</v>
      </c>
      <c r="D233" s="18" t="s">
        <v>159</v>
      </c>
      <c r="E233" s="31" t="n">
        <f aca="false">E232</f>
        <v>0</v>
      </c>
      <c r="F233" s="28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168</v>
      </c>
      <c r="D234" s="18" t="s">
        <v>159</v>
      </c>
      <c r="E234" s="31" t="n">
        <f aca="false">E233</f>
        <v>0</v>
      </c>
      <c r="F234" s="28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168</v>
      </c>
      <c r="D235" s="18" t="s">
        <v>159</v>
      </c>
      <c r="E235" s="31" t="n">
        <f aca="false">E234</f>
        <v>0</v>
      </c>
      <c r="F235" s="28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168</v>
      </c>
      <c r="D236" s="18" t="s">
        <v>159</v>
      </c>
      <c r="E236" s="31" t="n">
        <f aca="false">E235</f>
        <v>0</v>
      </c>
      <c r="F236" s="28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168</v>
      </c>
      <c r="D237" s="18" t="s">
        <v>159</v>
      </c>
      <c r="E237" s="31" t="n">
        <f aca="false">E236</f>
        <v>0</v>
      </c>
      <c r="F237" s="28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168</v>
      </c>
      <c r="D238" s="18" t="s">
        <v>159</v>
      </c>
      <c r="E238" s="31" t="n">
        <f aca="false">E237</f>
        <v>0</v>
      </c>
      <c r="F238" s="28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168</v>
      </c>
      <c r="D239" s="18" t="s">
        <v>159</v>
      </c>
      <c r="E239" s="31" t="n">
        <f aca="false">E238</f>
        <v>0</v>
      </c>
      <c r="F239" s="28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168</v>
      </c>
      <c r="D240" s="18" t="s">
        <v>159</v>
      </c>
      <c r="E240" s="31" t="n">
        <f aca="false">E239</f>
        <v>0</v>
      </c>
      <c r="F240" s="28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168</v>
      </c>
      <c r="D241" s="18" t="s">
        <v>159</v>
      </c>
      <c r="E241" s="31" t="n">
        <f aca="false">E240</f>
        <v>0</v>
      </c>
      <c r="F241" s="28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168</v>
      </c>
      <c r="D242" s="18" t="s">
        <v>159</v>
      </c>
      <c r="E242" s="31" t="n">
        <f aca="false">E241</f>
        <v>0</v>
      </c>
      <c r="F242" s="28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168</v>
      </c>
      <c r="D243" s="18" t="s">
        <v>159</v>
      </c>
      <c r="E243" s="31" t="n">
        <f aca="false">E242</f>
        <v>0</v>
      </c>
      <c r="F243" s="28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168</v>
      </c>
      <c r="D244" s="18" t="s">
        <v>159</v>
      </c>
      <c r="E244" s="31" t="n">
        <f aca="false">E243</f>
        <v>0</v>
      </c>
      <c r="F244" s="28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168</v>
      </c>
      <c r="D245" s="18" t="s">
        <v>159</v>
      </c>
      <c r="E245" s="31" t="n">
        <f aca="false">E244</f>
        <v>0</v>
      </c>
      <c r="F245" s="28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168</v>
      </c>
      <c r="D246" s="18" t="s">
        <v>159</v>
      </c>
      <c r="E246" s="31" t="n">
        <f aca="false">E245</f>
        <v>0</v>
      </c>
      <c r="F246" s="28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168</v>
      </c>
      <c r="D247" s="18" t="s">
        <v>159</v>
      </c>
      <c r="E247" s="31" t="n">
        <f aca="false">E246</f>
        <v>0</v>
      </c>
      <c r="F247" s="28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168</v>
      </c>
      <c r="D248" s="18" t="s">
        <v>159</v>
      </c>
      <c r="E248" s="31" t="n">
        <f aca="false">E247</f>
        <v>0</v>
      </c>
      <c r="F248" s="28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168</v>
      </c>
      <c r="D249" s="18" t="s">
        <v>159</v>
      </c>
      <c r="E249" s="31" t="n">
        <f aca="false">E248</f>
        <v>0</v>
      </c>
      <c r="F249" s="28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168</v>
      </c>
      <c r="D250" s="18" t="s">
        <v>159</v>
      </c>
      <c r="E250" s="31" t="n">
        <f aca="false">E249</f>
        <v>0</v>
      </c>
      <c r="F250" s="28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168</v>
      </c>
      <c r="D251" s="18" t="s">
        <v>159</v>
      </c>
      <c r="E251" s="31" t="n">
        <f aca="false">E250</f>
        <v>0</v>
      </c>
      <c r="F251" s="28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168</v>
      </c>
      <c r="D252" s="18" t="s">
        <v>159</v>
      </c>
      <c r="E252" s="31" t="n">
        <f aca="false">E251</f>
        <v>0</v>
      </c>
      <c r="F252" s="28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168</v>
      </c>
      <c r="D253" s="18" t="s">
        <v>159</v>
      </c>
      <c r="E253" s="31" t="n">
        <f aca="false">E252</f>
        <v>0</v>
      </c>
      <c r="F253" s="28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168</v>
      </c>
      <c r="D254" s="18" t="s">
        <v>159</v>
      </c>
      <c r="E254" s="31" t="n">
        <f aca="false">E253</f>
        <v>0</v>
      </c>
      <c r="F254" s="28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168</v>
      </c>
      <c r="D255" s="18" t="s">
        <v>159</v>
      </c>
      <c r="E255" s="31" t="n">
        <f aca="false">E254</f>
        <v>0</v>
      </c>
      <c r="F255" s="28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168</v>
      </c>
      <c r="D256" s="18" t="s">
        <v>159</v>
      </c>
      <c r="E256" s="31" t="n">
        <f aca="false">E255</f>
        <v>0</v>
      </c>
      <c r="F256" s="28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168</v>
      </c>
      <c r="D257" s="18" t="s">
        <v>159</v>
      </c>
      <c r="E257" s="31" t="n">
        <f aca="false">E256</f>
        <v>0</v>
      </c>
      <c r="F257" s="28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168</v>
      </c>
      <c r="D258" s="18" t="s">
        <v>159</v>
      </c>
      <c r="E258" s="31" t="n">
        <f aca="false">E257</f>
        <v>0</v>
      </c>
      <c r="F258" s="28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168</v>
      </c>
      <c r="D259" s="18" t="s">
        <v>159</v>
      </c>
      <c r="E259" s="31" t="n">
        <f aca="false">E258</f>
        <v>0</v>
      </c>
      <c r="F259" s="28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168</v>
      </c>
      <c r="D260" s="18" t="s">
        <v>159</v>
      </c>
      <c r="E260" s="31" t="n">
        <f aca="false">E259</f>
        <v>0</v>
      </c>
      <c r="F260" s="28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168</v>
      </c>
      <c r="D261" s="18" t="s">
        <v>159</v>
      </c>
      <c r="E261" s="31" t="n">
        <f aca="false">E260</f>
        <v>0</v>
      </c>
      <c r="F261" s="28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168</v>
      </c>
      <c r="D262" s="18" t="s">
        <v>159</v>
      </c>
      <c r="E262" s="31" t="n">
        <f aca="false">E261</f>
        <v>0</v>
      </c>
      <c r="F262" s="28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168</v>
      </c>
      <c r="D263" s="18" t="s">
        <v>159</v>
      </c>
      <c r="E263" s="31" t="n">
        <f aca="false">E262</f>
        <v>0</v>
      </c>
      <c r="F263" s="28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168</v>
      </c>
      <c r="D264" s="18" t="s">
        <v>159</v>
      </c>
      <c r="E264" s="31" t="n">
        <f aca="false">E263</f>
        <v>0</v>
      </c>
      <c r="F264" s="28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168</v>
      </c>
      <c r="D265" s="18" t="s">
        <v>159</v>
      </c>
      <c r="E265" s="31" t="n">
        <f aca="false">E264</f>
        <v>0</v>
      </c>
      <c r="F265" s="28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168</v>
      </c>
      <c r="D266" s="18" t="s">
        <v>159</v>
      </c>
      <c r="E266" s="31" t="n">
        <f aca="false">E265</f>
        <v>0</v>
      </c>
      <c r="F266" s="28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168</v>
      </c>
      <c r="D267" s="18" t="s">
        <v>159</v>
      </c>
      <c r="E267" s="31" t="n">
        <f aca="false">E266</f>
        <v>0</v>
      </c>
      <c r="F267" s="28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168</v>
      </c>
      <c r="D268" s="18" t="s">
        <v>159</v>
      </c>
      <c r="E268" s="31" t="n">
        <f aca="false">E267</f>
        <v>0</v>
      </c>
      <c r="F268" s="28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168</v>
      </c>
      <c r="D269" s="18" t="s">
        <v>159</v>
      </c>
      <c r="E269" s="31" t="n">
        <f aca="false">E268</f>
        <v>0</v>
      </c>
      <c r="F269" s="28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168</v>
      </c>
      <c r="D270" s="18" t="s">
        <v>159</v>
      </c>
      <c r="E270" s="31" t="n">
        <f aca="false">E269</f>
        <v>0</v>
      </c>
      <c r="F270" s="28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168</v>
      </c>
      <c r="D271" s="18" t="s">
        <v>159</v>
      </c>
      <c r="E271" s="31" t="n">
        <f aca="false">E270</f>
        <v>0</v>
      </c>
      <c r="F271" s="28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168</v>
      </c>
      <c r="D272" s="18" t="s">
        <v>159</v>
      </c>
      <c r="E272" s="31" t="n">
        <f aca="false">E271</f>
        <v>0</v>
      </c>
      <c r="F272" s="28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168</v>
      </c>
      <c r="D273" s="18" t="s">
        <v>159</v>
      </c>
      <c r="E273" s="31" t="n">
        <f aca="false">E272</f>
        <v>0</v>
      </c>
      <c r="F273" s="28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168</v>
      </c>
      <c r="D274" s="18" t="s">
        <v>159</v>
      </c>
      <c r="E274" s="31" t="n">
        <f aca="false">E273</f>
        <v>0</v>
      </c>
      <c r="F274" s="28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168</v>
      </c>
      <c r="D275" s="18" t="s">
        <v>159</v>
      </c>
      <c r="E275" s="31" t="n">
        <f aca="false">E274</f>
        <v>0</v>
      </c>
      <c r="F275" s="28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168</v>
      </c>
      <c r="D276" s="18" t="s">
        <v>159</v>
      </c>
      <c r="E276" s="31" t="n">
        <f aca="false">E275</f>
        <v>0</v>
      </c>
      <c r="F276" s="28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168</v>
      </c>
      <c r="D277" s="18" t="s">
        <v>159</v>
      </c>
      <c r="E277" s="31" t="n">
        <f aca="false">E276</f>
        <v>0</v>
      </c>
      <c r="F277" s="28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168</v>
      </c>
      <c r="D278" s="18" t="s">
        <v>159</v>
      </c>
      <c r="E278" s="31" t="n">
        <f aca="false">E277</f>
        <v>0</v>
      </c>
      <c r="F278" s="28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168</v>
      </c>
      <c r="D279" s="18" t="s">
        <v>159</v>
      </c>
      <c r="E279" s="31" t="n">
        <f aca="false">E278</f>
        <v>0</v>
      </c>
      <c r="F279" s="28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168</v>
      </c>
      <c r="D280" s="18" t="s">
        <v>159</v>
      </c>
      <c r="E280" s="31" t="n">
        <f aca="false">E279</f>
        <v>0</v>
      </c>
      <c r="F280" s="28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168</v>
      </c>
      <c r="D281" s="18" t="s">
        <v>159</v>
      </c>
      <c r="E281" s="31" t="n">
        <f aca="false">E280</f>
        <v>0</v>
      </c>
      <c r="F281" s="28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168</v>
      </c>
      <c r="D282" s="18" t="s">
        <v>159</v>
      </c>
      <c r="E282" s="31" t="n">
        <f aca="false">E281</f>
        <v>0</v>
      </c>
      <c r="F282" s="28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168</v>
      </c>
      <c r="D283" s="18" t="s">
        <v>159</v>
      </c>
      <c r="E283" s="31" t="n">
        <f aca="false">E282</f>
        <v>0</v>
      </c>
      <c r="F283" s="28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168</v>
      </c>
      <c r="D284" s="18" t="s">
        <v>159</v>
      </c>
      <c r="E284" s="31" t="n">
        <f aca="false">E283</f>
        <v>0</v>
      </c>
      <c r="F284" s="28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168</v>
      </c>
      <c r="D285" s="18" t="s">
        <v>159</v>
      </c>
      <c r="E285" s="31" t="n">
        <f aca="false">E284</f>
        <v>0</v>
      </c>
      <c r="F285" s="28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168</v>
      </c>
      <c r="D286" s="18" t="s">
        <v>159</v>
      </c>
      <c r="E286" s="31" t="n">
        <f aca="false">E285</f>
        <v>0</v>
      </c>
      <c r="F286" s="28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168</v>
      </c>
      <c r="D287" s="18" t="s">
        <v>159</v>
      </c>
      <c r="E287" s="31" t="n">
        <f aca="false">E286</f>
        <v>0</v>
      </c>
      <c r="F287" s="28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168</v>
      </c>
      <c r="D288" s="18" t="s">
        <v>159</v>
      </c>
      <c r="E288" s="31" t="n">
        <f aca="false">E287</f>
        <v>0</v>
      </c>
      <c r="F288" s="28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168</v>
      </c>
      <c r="D289" s="18" t="s">
        <v>159</v>
      </c>
      <c r="E289" s="31" t="n">
        <f aca="false">E288</f>
        <v>0</v>
      </c>
      <c r="F289" s="28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168</v>
      </c>
      <c r="D290" s="18" t="s">
        <v>159</v>
      </c>
      <c r="E290" s="31" t="n">
        <f aca="false">E289</f>
        <v>0</v>
      </c>
      <c r="F290" s="28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168</v>
      </c>
      <c r="D291" s="18" t="s">
        <v>159</v>
      </c>
      <c r="E291" s="31" t="n">
        <f aca="false">E290</f>
        <v>0</v>
      </c>
      <c r="F291" s="28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168</v>
      </c>
      <c r="D292" s="18" t="s">
        <v>159</v>
      </c>
      <c r="E292" s="31" t="n">
        <f aca="false">E291</f>
        <v>0</v>
      </c>
      <c r="F292" s="28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168</v>
      </c>
      <c r="D293" s="18" t="s">
        <v>159</v>
      </c>
      <c r="E293" s="31" t="n">
        <f aca="false">E292</f>
        <v>0</v>
      </c>
      <c r="F293" s="28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168</v>
      </c>
      <c r="D294" s="18" t="s">
        <v>159</v>
      </c>
      <c r="E294" s="31" t="n">
        <f aca="false">E293</f>
        <v>0</v>
      </c>
      <c r="F294" s="28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168</v>
      </c>
      <c r="D295" s="18" t="s">
        <v>159</v>
      </c>
      <c r="E295" s="31" t="n">
        <f aca="false">E294</f>
        <v>0</v>
      </c>
      <c r="F295" s="28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168</v>
      </c>
      <c r="D296" s="18" t="s">
        <v>159</v>
      </c>
      <c r="E296" s="31" t="n">
        <f aca="false">E295</f>
        <v>0</v>
      </c>
      <c r="F296" s="28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168</v>
      </c>
      <c r="D297" s="18" t="s">
        <v>159</v>
      </c>
      <c r="E297" s="31" t="n">
        <f aca="false">E296</f>
        <v>0</v>
      </c>
      <c r="F297" s="28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168</v>
      </c>
      <c r="D298" s="18" t="s">
        <v>159</v>
      </c>
      <c r="E298" s="31" t="n">
        <f aca="false">E297</f>
        <v>0</v>
      </c>
      <c r="F298" s="28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168</v>
      </c>
      <c r="D299" s="18" t="s">
        <v>159</v>
      </c>
      <c r="E299" s="31" t="n">
        <f aca="false">E298</f>
        <v>0</v>
      </c>
      <c r="F299" s="28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168</v>
      </c>
      <c r="D300" s="18" t="s">
        <v>159</v>
      </c>
      <c r="E300" s="31" t="n">
        <f aca="false">E299</f>
        <v>0</v>
      </c>
      <c r="F300" s="28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168</v>
      </c>
      <c r="D301" s="18" t="s">
        <v>159</v>
      </c>
      <c r="E301" s="31" t="n">
        <f aca="false">E300</f>
        <v>0</v>
      </c>
      <c r="F301" s="28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168</v>
      </c>
      <c r="D302" s="18" t="s">
        <v>159</v>
      </c>
      <c r="E302" s="31" t="n">
        <f aca="false">E301</f>
        <v>0</v>
      </c>
      <c r="F302" s="28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168</v>
      </c>
      <c r="D303" s="18" t="s">
        <v>159</v>
      </c>
      <c r="E303" s="31" t="n">
        <f aca="false">E302</f>
        <v>0</v>
      </c>
      <c r="F303" s="28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168</v>
      </c>
      <c r="D304" s="18" t="s">
        <v>159</v>
      </c>
      <c r="E304" s="31" t="n">
        <f aca="false">E303</f>
        <v>0</v>
      </c>
      <c r="F304" s="28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168</v>
      </c>
      <c r="D305" s="18" t="s">
        <v>159</v>
      </c>
      <c r="E305" s="31" t="n">
        <f aca="false">E304</f>
        <v>0</v>
      </c>
      <c r="F305" s="28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168</v>
      </c>
      <c r="D306" s="18" t="s">
        <v>159</v>
      </c>
      <c r="E306" s="31" t="n">
        <f aca="false">E305</f>
        <v>0</v>
      </c>
      <c r="F306" s="28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168</v>
      </c>
      <c r="D307" s="18" t="s">
        <v>159</v>
      </c>
      <c r="E307" s="31" t="n">
        <f aca="false">E306</f>
        <v>0</v>
      </c>
      <c r="F307" s="28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168</v>
      </c>
      <c r="D308" s="18" t="s">
        <v>159</v>
      </c>
      <c r="E308" s="31" t="n">
        <f aca="false">E307</f>
        <v>0</v>
      </c>
      <c r="F308" s="28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168</v>
      </c>
      <c r="D309" s="18" t="s">
        <v>159</v>
      </c>
      <c r="E309" s="31" t="n">
        <f aca="false">E308</f>
        <v>0</v>
      </c>
      <c r="F309" s="28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168</v>
      </c>
      <c r="D310" s="18" t="s">
        <v>159</v>
      </c>
      <c r="E310" s="31" t="n">
        <f aca="false">E309</f>
        <v>0</v>
      </c>
      <c r="F310" s="28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168</v>
      </c>
      <c r="D311" s="18" t="s">
        <v>159</v>
      </c>
      <c r="E311" s="31" t="n">
        <f aca="false">E310</f>
        <v>0</v>
      </c>
      <c r="F311" s="28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168</v>
      </c>
      <c r="D312" s="18" t="s">
        <v>159</v>
      </c>
      <c r="E312" s="31" t="n">
        <f aca="false">E311</f>
        <v>0</v>
      </c>
      <c r="F312" s="28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168</v>
      </c>
      <c r="D313" s="18" t="s">
        <v>159</v>
      </c>
      <c r="E313" s="31" t="n">
        <f aca="false">E312</f>
        <v>0</v>
      </c>
      <c r="F313" s="28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168</v>
      </c>
      <c r="D314" s="18" t="s">
        <v>159</v>
      </c>
      <c r="E314" s="31" t="n">
        <f aca="false">E313</f>
        <v>0</v>
      </c>
      <c r="F314" s="28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168</v>
      </c>
      <c r="D315" s="18" t="s">
        <v>159</v>
      </c>
      <c r="E315" s="31" t="n">
        <f aca="false">E314</f>
        <v>0</v>
      </c>
      <c r="F315" s="28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168</v>
      </c>
      <c r="D316" s="18" t="s">
        <v>159</v>
      </c>
      <c r="E316" s="31" t="n">
        <f aca="false">E315</f>
        <v>0</v>
      </c>
      <c r="F316" s="28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168</v>
      </c>
      <c r="D317" s="18" t="s">
        <v>159</v>
      </c>
      <c r="E317" s="31" t="n">
        <f aca="false">E316</f>
        <v>0</v>
      </c>
      <c r="F317" s="28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168</v>
      </c>
      <c r="D318" s="18" t="s">
        <v>159</v>
      </c>
      <c r="E318" s="31" t="n">
        <f aca="false">E317</f>
        <v>0</v>
      </c>
      <c r="F318" s="28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168</v>
      </c>
      <c r="D319" s="18" t="s">
        <v>159</v>
      </c>
      <c r="E319" s="31" t="n">
        <f aca="false">E318</f>
        <v>0</v>
      </c>
      <c r="F319" s="28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168</v>
      </c>
      <c r="D320" s="18" t="s">
        <v>159</v>
      </c>
      <c r="E320" s="31" t="n">
        <f aca="false">E319</f>
        <v>0</v>
      </c>
      <c r="F320" s="28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168</v>
      </c>
      <c r="D321" s="18" t="s">
        <v>159</v>
      </c>
      <c r="E321" s="31" t="n">
        <f aca="false">E320</f>
        <v>0</v>
      </c>
      <c r="F321" s="28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168</v>
      </c>
      <c r="D322" s="18" t="s">
        <v>159</v>
      </c>
      <c r="E322" s="31" t="n">
        <f aca="false">E321</f>
        <v>0</v>
      </c>
      <c r="F322" s="28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168</v>
      </c>
      <c r="D323" s="18" t="s">
        <v>159</v>
      </c>
      <c r="E323" s="31" t="n">
        <f aca="false">E322</f>
        <v>0</v>
      </c>
      <c r="F323" s="28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168</v>
      </c>
      <c r="D324" s="18" t="s">
        <v>159</v>
      </c>
      <c r="E324" s="31" t="n">
        <f aca="false">E323</f>
        <v>0</v>
      </c>
      <c r="F324" s="28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168</v>
      </c>
      <c r="D325" s="18" t="s">
        <v>159</v>
      </c>
      <c r="E325" s="31" t="n">
        <f aca="false">E324</f>
        <v>0</v>
      </c>
      <c r="F325" s="28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168</v>
      </c>
      <c r="D326" s="18" t="s">
        <v>159</v>
      </c>
      <c r="E326" s="31" t="n">
        <f aca="false">E325</f>
        <v>0</v>
      </c>
      <c r="F326" s="28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168</v>
      </c>
      <c r="D327" s="18" t="s">
        <v>159</v>
      </c>
      <c r="E327" s="31" t="n">
        <f aca="false">E326</f>
        <v>0</v>
      </c>
      <c r="F327" s="28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168</v>
      </c>
      <c r="D328" s="18" t="s">
        <v>159</v>
      </c>
      <c r="E328" s="31" t="n">
        <f aca="false">E327</f>
        <v>0</v>
      </c>
      <c r="F328" s="28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168</v>
      </c>
      <c r="D329" s="18" t="s">
        <v>159</v>
      </c>
      <c r="E329" s="31" t="n">
        <f aca="false">E328</f>
        <v>0</v>
      </c>
      <c r="F329" s="28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168</v>
      </c>
      <c r="D330" s="18" t="s">
        <v>159</v>
      </c>
      <c r="E330" s="31" t="n">
        <f aca="false">E329</f>
        <v>0</v>
      </c>
      <c r="F330" s="28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168</v>
      </c>
      <c r="D331" s="18" t="s">
        <v>159</v>
      </c>
      <c r="E331" s="31" t="n">
        <f aca="false">E330</f>
        <v>0</v>
      </c>
      <c r="F331" s="28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168</v>
      </c>
      <c r="D332" s="18" t="s">
        <v>159</v>
      </c>
      <c r="E332" s="31" t="n">
        <f aca="false">E331</f>
        <v>0</v>
      </c>
      <c r="F332" s="28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168</v>
      </c>
      <c r="D333" s="18" t="s">
        <v>159</v>
      </c>
      <c r="E333" s="31" t="n">
        <f aca="false">E332</f>
        <v>0</v>
      </c>
      <c r="F333" s="28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168</v>
      </c>
      <c r="D334" s="18" t="s">
        <v>159</v>
      </c>
      <c r="E334" s="31" t="n">
        <f aca="false">E333</f>
        <v>0</v>
      </c>
      <c r="F334" s="28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168</v>
      </c>
      <c r="D335" s="18" t="s">
        <v>159</v>
      </c>
      <c r="E335" s="31" t="n">
        <f aca="false">E334</f>
        <v>0</v>
      </c>
      <c r="F335" s="28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168</v>
      </c>
      <c r="D336" s="18" t="s">
        <v>159</v>
      </c>
      <c r="E336" s="31" t="n">
        <f aca="false">E335</f>
        <v>0</v>
      </c>
      <c r="F336" s="28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168</v>
      </c>
      <c r="D337" s="18" t="s">
        <v>159</v>
      </c>
      <c r="E337" s="31" t="n">
        <f aca="false">E336</f>
        <v>0</v>
      </c>
      <c r="F337" s="28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168</v>
      </c>
      <c r="D338" s="18" t="s">
        <v>159</v>
      </c>
      <c r="E338" s="31" t="n">
        <f aca="false">E337</f>
        <v>0</v>
      </c>
      <c r="F338" s="28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168</v>
      </c>
      <c r="D339" s="18" t="s">
        <v>159</v>
      </c>
      <c r="E339" s="31" t="n">
        <f aca="false">E338</f>
        <v>0</v>
      </c>
      <c r="F339" s="28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168</v>
      </c>
      <c r="D340" s="18" t="s">
        <v>159</v>
      </c>
      <c r="E340" s="31" t="n">
        <f aca="false">E339</f>
        <v>0</v>
      </c>
      <c r="F340" s="28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168</v>
      </c>
      <c r="D341" s="18" t="s">
        <v>159</v>
      </c>
      <c r="E341" s="31" t="n">
        <f aca="false">E340</f>
        <v>0</v>
      </c>
      <c r="F341" s="28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168</v>
      </c>
      <c r="D342" s="18" t="s">
        <v>159</v>
      </c>
      <c r="E342" s="31" t="n">
        <f aca="false">E341</f>
        <v>0</v>
      </c>
      <c r="F342" s="28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168</v>
      </c>
      <c r="D343" s="18" t="s">
        <v>159</v>
      </c>
      <c r="E343" s="31" t="n">
        <f aca="false">E342</f>
        <v>0</v>
      </c>
      <c r="F343" s="28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168</v>
      </c>
      <c r="D344" s="18" t="s">
        <v>159</v>
      </c>
      <c r="E344" s="31" t="n">
        <f aca="false">E343</f>
        <v>0</v>
      </c>
      <c r="F344" s="28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168</v>
      </c>
      <c r="D345" s="18" t="s">
        <v>159</v>
      </c>
      <c r="E345" s="31" t="n">
        <f aca="false">E344</f>
        <v>0</v>
      </c>
      <c r="F345" s="28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168</v>
      </c>
      <c r="D346" s="18" t="s">
        <v>159</v>
      </c>
      <c r="E346" s="31" t="n">
        <f aca="false">E345</f>
        <v>0</v>
      </c>
      <c r="F346" s="28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168</v>
      </c>
      <c r="D347" s="18" t="s">
        <v>159</v>
      </c>
      <c r="E347" s="31" t="n">
        <f aca="false">E346</f>
        <v>0</v>
      </c>
      <c r="F347" s="28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168</v>
      </c>
      <c r="D348" s="18" t="s">
        <v>159</v>
      </c>
      <c r="E348" s="31" t="n">
        <f aca="false">E347</f>
        <v>0</v>
      </c>
      <c r="F348" s="28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168</v>
      </c>
      <c r="D349" s="18" t="s">
        <v>159</v>
      </c>
      <c r="E349" s="31" t="n">
        <f aca="false">E348</f>
        <v>0</v>
      </c>
      <c r="F349" s="28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168</v>
      </c>
      <c r="D350" s="18" t="s">
        <v>159</v>
      </c>
      <c r="E350" s="31" t="n">
        <f aca="false">E349</f>
        <v>0</v>
      </c>
      <c r="F350" s="28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168</v>
      </c>
      <c r="D351" s="18" t="s">
        <v>159</v>
      </c>
      <c r="E351" s="31" t="n">
        <f aca="false">E350</f>
        <v>0</v>
      </c>
      <c r="F351" s="28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168</v>
      </c>
      <c r="D352" s="18" t="s">
        <v>159</v>
      </c>
      <c r="E352" s="31" t="n">
        <f aca="false">E351</f>
        <v>0</v>
      </c>
      <c r="F352" s="28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168</v>
      </c>
      <c r="D353" s="18" t="s">
        <v>159</v>
      </c>
      <c r="E353" s="31" t="n">
        <f aca="false">E352</f>
        <v>0</v>
      </c>
      <c r="F353" s="28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168</v>
      </c>
      <c r="D354" s="18" t="s">
        <v>159</v>
      </c>
      <c r="E354" s="31" t="n">
        <f aca="false">E353</f>
        <v>0</v>
      </c>
      <c r="F354" s="28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168</v>
      </c>
      <c r="D355" s="18" t="s">
        <v>159</v>
      </c>
      <c r="E355" s="31" t="n">
        <f aca="false">E354</f>
        <v>0</v>
      </c>
      <c r="F355" s="28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168</v>
      </c>
      <c r="D356" s="18" t="s">
        <v>159</v>
      </c>
      <c r="E356" s="31" t="n">
        <f aca="false">E355</f>
        <v>0</v>
      </c>
      <c r="F356" s="28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168</v>
      </c>
      <c r="D357" s="18" t="s">
        <v>159</v>
      </c>
      <c r="E357" s="31" t="n">
        <f aca="false">E356</f>
        <v>0</v>
      </c>
      <c r="F357" s="28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168</v>
      </c>
      <c r="D358" s="18" t="s">
        <v>159</v>
      </c>
      <c r="E358" s="31" t="n">
        <f aca="false">E357</f>
        <v>0</v>
      </c>
      <c r="F358" s="28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168</v>
      </c>
      <c r="D359" s="18" t="s">
        <v>159</v>
      </c>
      <c r="E359" s="31" t="n">
        <f aca="false">E358</f>
        <v>0</v>
      </c>
      <c r="F359" s="28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168</v>
      </c>
      <c r="D360" s="18" t="s">
        <v>159</v>
      </c>
      <c r="E360" s="31" t="n">
        <f aca="false">E359</f>
        <v>0</v>
      </c>
      <c r="F360" s="28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168</v>
      </c>
      <c r="D361" s="18" t="s">
        <v>159</v>
      </c>
      <c r="E361" s="31" t="n">
        <f aca="false">E360</f>
        <v>0</v>
      </c>
      <c r="F361" s="28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168</v>
      </c>
      <c r="D362" s="18" t="s">
        <v>159</v>
      </c>
      <c r="E362" s="31" t="n">
        <f aca="false">E361</f>
        <v>0</v>
      </c>
      <c r="F362" s="28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168</v>
      </c>
      <c r="D363" s="18" t="s">
        <v>159</v>
      </c>
      <c r="E363" s="31" t="n">
        <f aca="false">E362</f>
        <v>0</v>
      </c>
      <c r="F363" s="28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168</v>
      </c>
      <c r="D364" s="18" t="s">
        <v>159</v>
      </c>
      <c r="E364" s="31" t="n">
        <f aca="false">E363</f>
        <v>0</v>
      </c>
      <c r="F364" s="28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168</v>
      </c>
      <c r="D365" s="18" t="s">
        <v>159</v>
      </c>
      <c r="E365" s="31" t="n">
        <f aca="false">E364</f>
        <v>0</v>
      </c>
      <c r="F365" s="28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168</v>
      </c>
      <c r="D366" s="18" t="s">
        <v>159</v>
      </c>
      <c r="E366" s="31" t="n">
        <f aca="false">E365</f>
        <v>0</v>
      </c>
      <c r="F366" s="28"/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169</v>
      </c>
      <c r="D367" s="18" t="s">
        <v>170</v>
      </c>
      <c r="E367" s="24"/>
      <c r="F367" s="28"/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169</v>
      </c>
      <c r="D368" s="18" t="s">
        <v>170</v>
      </c>
      <c r="E368" s="31" t="n">
        <f aca="false">E367</f>
        <v>0</v>
      </c>
      <c r="F368" s="28"/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169</v>
      </c>
      <c r="D369" s="18" t="s">
        <v>170</v>
      </c>
      <c r="E369" s="31" t="n">
        <f aca="false">E368</f>
        <v>0</v>
      </c>
      <c r="F369" s="28"/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169</v>
      </c>
      <c r="D370" s="18" t="s">
        <v>170</v>
      </c>
      <c r="E370" s="31" t="n">
        <f aca="false">E369</f>
        <v>0</v>
      </c>
      <c r="F370" s="28"/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169</v>
      </c>
      <c r="D371" s="18" t="s">
        <v>170</v>
      </c>
      <c r="E371" s="31" t="n">
        <f aca="false">E370</f>
        <v>0</v>
      </c>
      <c r="F371" s="28"/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169</v>
      </c>
      <c r="D372" s="18" t="s">
        <v>170</v>
      </c>
      <c r="E372" s="31" t="n">
        <f aca="false">E371</f>
        <v>0</v>
      </c>
      <c r="F372" s="28"/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169</v>
      </c>
      <c r="D373" s="18" t="s">
        <v>170</v>
      </c>
      <c r="E373" s="31" t="n">
        <f aca="false">E372</f>
        <v>0</v>
      </c>
      <c r="F373" s="28"/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169</v>
      </c>
      <c r="D374" s="18" t="s">
        <v>170</v>
      </c>
      <c r="E374" s="31" t="n">
        <f aca="false">E373</f>
        <v>0</v>
      </c>
      <c r="F374" s="28"/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169</v>
      </c>
      <c r="D375" s="18" t="s">
        <v>170</v>
      </c>
      <c r="E375" s="31" t="n">
        <f aca="false">E374</f>
        <v>0</v>
      </c>
      <c r="F375" s="28"/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169</v>
      </c>
      <c r="D376" s="18" t="s">
        <v>170</v>
      </c>
      <c r="E376" s="31" t="n">
        <f aca="false">E375</f>
        <v>0</v>
      </c>
      <c r="F376" s="28"/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169</v>
      </c>
      <c r="D377" s="18" t="s">
        <v>170</v>
      </c>
      <c r="E377" s="31" t="n">
        <f aca="false">E376</f>
        <v>0</v>
      </c>
      <c r="F377" s="28"/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169</v>
      </c>
      <c r="D378" s="18" t="s">
        <v>170</v>
      </c>
      <c r="E378" s="31" t="n">
        <f aca="false">E377</f>
        <v>0</v>
      </c>
      <c r="F378" s="28"/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169</v>
      </c>
      <c r="D379" s="18" t="s">
        <v>170</v>
      </c>
      <c r="E379" s="31" t="n">
        <f aca="false">E378</f>
        <v>0</v>
      </c>
      <c r="F379" s="28"/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169</v>
      </c>
      <c r="D380" s="18" t="s">
        <v>170</v>
      </c>
      <c r="E380" s="31" t="n">
        <f aca="false">E379</f>
        <v>0</v>
      </c>
      <c r="F380" s="28"/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169</v>
      </c>
      <c r="D381" s="18" t="s">
        <v>170</v>
      </c>
      <c r="E381" s="31" t="n">
        <f aca="false">E380</f>
        <v>0</v>
      </c>
      <c r="F381" s="28"/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169</v>
      </c>
      <c r="D382" s="18" t="s">
        <v>170</v>
      </c>
      <c r="E382" s="31" t="n">
        <f aca="false">E381</f>
        <v>0</v>
      </c>
      <c r="F382" s="28"/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169</v>
      </c>
      <c r="D383" s="18" t="s">
        <v>170</v>
      </c>
      <c r="E383" s="31" t="n">
        <f aca="false">E382</f>
        <v>0</v>
      </c>
      <c r="F383" s="28"/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169</v>
      </c>
      <c r="D384" s="18" t="s">
        <v>170</v>
      </c>
      <c r="E384" s="31" t="n">
        <f aca="false">E383</f>
        <v>0</v>
      </c>
      <c r="F384" s="28"/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169</v>
      </c>
      <c r="D385" s="18" t="s">
        <v>170</v>
      </c>
      <c r="E385" s="31" t="n">
        <f aca="false">E384</f>
        <v>0</v>
      </c>
      <c r="F385" s="28"/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169</v>
      </c>
      <c r="D386" s="18" t="s">
        <v>170</v>
      </c>
      <c r="E386" s="31" t="n">
        <f aca="false">E385</f>
        <v>0</v>
      </c>
      <c r="F386" s="28"/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169</v>
      </c>
      <c r="D387" s="18" t="s">
        <v>170</v>
      </c>
      <c r="E387" s="31" t="n">
        <f aca="false">E386</f>
        <v>0</v>
      </c>
      <c r="F387" s="28"/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169</v>
      </c>
      <c r="D388" s="18" t="s">
        <v>170</v>
      </c>
      <c r="E388" s="31" t="n">
        <f aca="false">E387</f>
        <v>0</v>
      </c>
      <c r="F388" s="28"/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169</v>
      </c>
      <c r="D389" s="18" t="s">
        <v>170</v>
      </c>
      <c r="E389" s="31" t="n">
        <f aca="false">E388</f>
        <v>0</v>
      </c>
      <c r="F389" s="28"/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169</v>
      </c>
      <c r="D390" s="18" t="s">
        <v>170</v>
      </c>
      <c r="E390" s="31" t="n">
        <f aca="false">E389</f>
        <v>0</v>
      </c>
      <c r="F390" s="28"/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169</v>
      </c>
      <c r="D391" s="18" t="s">
        <v>170</v>
      </c>
      <c r="E391" s="31" t="n">
        <f aca="false">E390</f>
        <v>0</v>
      </c>
      <c r="F391" s="28"/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169</v>
      </c>
      <c r="D392" s="18" t="s">
        <v>170</v>
      </c>
      <c r="E392" s="31" t="n">
        <f aca="false">E391</f>
        <v>0</v>
      </c>
      <c r="F392" s="28"/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169</v>
      </c>
      <c r="D393" s="18" t="s">
        <v>170</v>
      </c>
      <c r="E393" s="31" t="n">
        <f aca="false">E392</f>
        <v>0</v>
      </c>
      <c r="F393" s="28"/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169</v>
      </c>
      <c r="D394" s="18" t="s">
        <v>170</v>
      </c>
      <c r="E394" s="31" t="n">
        <f aca="false">E393</f>
        <v>0</v>
      </c>
      <c r="F394" s="28"/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169</v>
      </c>
      <c r="D395" s="18" t="s">
        <v>170</v>
      </c>
      <c r="E395" s="31" t="n">
        <f aca="false">E394</f>
        <v>0</v>
      </c>
      <c r="F395" s="28"/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169</v>
      </c>
      <c r="D396" s="18" t="s">
        <v>170</v>
      </c>
      <c r="E396" s="31" t="n">
        <f aca="false">E395</f>
        <v>0</v>
      </c>
      <c r="F396" s="28"/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169</v>
      </c>
      <c r="D397" s="18" t="s">
        <v>170</v>
      </c>
      <c r="E397" s="31" t="n">
        <f aca="false">E396</f>
        <v>0</v>
      </c>
      <c r="F397" s="28"/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169</v>
      </c>
      <c r="D398" s="18" t="s">
        <v>170</v>
      </c>
      <c r="E398" s="31" t="n">
        <f aca="false">E397</f>
        <v>0</v>
      </c>
      <c r="F398" s="28"/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169</v>
      </c>
      <c r="D399" s="18" t="s">
        <v>170</v>
      </c>
      <c r="E399" s="31" t="n">
        <f aca="false">E398</f>
        <v>0</v>
      </c>
      <c r="F399" s="28"/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169</v>
      </c>
      <c r="D400" s="18" t="s">
        <v>170</v>
      </c>
      <c r="E400" s="31" t="n">
        <f aca="false">E399</f>
        <v>0</v>
      </c>
      <c r="F400" s="28"/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169</v>
      </c>
      <c r="D401" s="18" t="s">
        <v>170</v>
      </c>
      <c r="E401" s="31" t="n">
        <f aca="false">E400</f>
        <v>0</v>
      </c>
      <c r="F401" s="28"/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169</v>
      </c>
      <c r="D402" s="18" t="s">
        <v>170</v>
      </c>
      <c r="E402" s="31" t="n">
        <f aca="false">E401</f>
        <v>0</v>
      </c>
      <c r="F402" s="28"/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169</v>
      </c>
      <c r="D403" s="18" t="s">
        <v>170</v>
      </c>
      <c r="E403" s="31" t="n">
        <f aca="false">E402</f>
        <v>0</v>
      </c>
      <c r="F403" s="28"/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169</v>
      </c>
      <c r="D404" s="18" t="s">
        <v>170</v>
      </c>
      <c r="E404" s="31" t="n">
        <f aca="false">E403</f>
        <v>0</v>
      </c>
      <c r="F404" s="28"/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169</v>
      </c>
      <c r="D405" s="18" t="s">
        <v>170</v>
      </c>
      <c r="E405" s="31" t="n">
        <f aca="false">E404</f>
        <v>0</v>
      </c>
      <c r="F405" s="28"/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169</v>
      </c>
      <c r="D406" s="18" t="s">
        <v>170</v>
      </c>
      <c r="E406" s="31" t="n">
        <f aca="false">E405</f>
        <v>0</v>
      </c>
      <c r="F406" s="28"/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169</v>
      </c>
      <c r="D407" s="18" t="s">
        <v>170</v>
      </c>
      <c r="E407" s="31" t="n">
        <f aca="false">E406</f>
        <v>0</v>
      </c>
      <c r="F407" s="28"/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169</v>
      </c>
      <c r="D408" s="18" t="s">
        <v>170</v>
      </c>
      <c r="E408" s="31" t="n">
        <f aca="false">E407</f>
        <v>0</v>
      </c>
      <c r="F408" s="28"/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169</v>
      </c>
      <c r="D409" s="18" t="s">
        <v>170</v>
      </c>
      <c r="E409" s="31" t="n">
        <f aca="false">E408</f>
        <v>0</v>
      </c>
      <c r="F409" s="28"/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169</v>
      </c>
      <c r="D410" s="18" t="s">
        <v>170</v>
      </c>
      <c r="E410" s="31" t="n">
        <f aca="false">E409</f>
        <v>0</v>
      </c>
      <c r="F410" s="28"/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169</v>
      </c>
      <c r="D411" s="18" t="s">
        <v>170</v>
      </c>
      <c r="E411" s="31" t="n">
        <f aca="false">E410</f>
        <v>0</v>
      </c>
      <c r="F411" s="28"/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169</v>
      </c>
      <c r="D412" s="18" t="s">
        <v>170</v>
      </c>
      <c r="E412" s="31" t="n">
        <f aca="false">E411</f>
        <v>0</v>
      </c>
      <c r="F412" s="28"/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169</v>
      </c>
      <c r="D413" s="18" t="s">
        <v>170</v>
      </c>
      <c r="E413" s="31" t="n">
        <f aca="false">E412</f>
        <v>0</v>
      </c>
      <c r="F413" s="28"/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169</v>
      </c>
      <c r="D414" s="18" t="s">
        <v>170</v>
      </c>
      <c r="E414" s="31" t="n">
        <f aca="false">E413</f>
        <v>0</v>
      </c>
      <c r="F414" s="28"/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169</v>
      </c>
      <c r="D415" s="18" t="s">
        <v>170</v>
      </c>
      <c r="E415" s="31" t="n">
        <f aca="false">E414</f>
        <v>0</v>
      </c>
      <c r="F415" s="28"/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169</v>
      </c>
      <c r="D416" s="18" t="s">
        <v>170</v>
      </c>
      <c r="E416" s="31" t="n">
        <f aca="false">E415</f>
        <v>0</v>
      </c>
      <c r="F416" s="28"/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169</v>
      </c>
      <c r="D417" s="18" t="s">
        <v>170</v>
      </c>
      <c r="E417" s="31" t="n">
        <f aca="false">E416</f>
        <v>0</v>
      </c>
      <c r="F417" s="28"/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169</v>
      </c>
      <c r="D418" s="18" t="s">
        <v>170</v>
      </c>
      <c r="E418" s="31" t="n">
        <f aca="false">E417</f>
        <v>0</v>
      </c>
      <c r="F418" s="28"/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169</v>
      </c>
      <c r="D419" s="18" t="s">
        <v>170</v>
      </c>
      <c r="E419" s="31" t="n">
        <f aca="false">E418</f>
        <v>0</v>
      </c>
      <c r="F419" s="28"/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169</v>
      </c>
      <c r="D420" s="18" t="s">
        <v>170</v>
      </c>
      <c r="E420" s="31" t="n">
        <f aca="false">E419</f>
        <v>0</v>
      </c>
      <c r="F420" s="28"/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169</v>
      </c>
      <c r="D421" s="18" t="s">
        <v>170</v>
      </c>
      <c r="E421" s="31" t="n">
        <f aca="false">E420</f>
        <v>0</v>
      </c>
      <c r="F421" s="28"/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169</v>
      </c>
      <c r="D422" s="18" t="s">
        <v>170</v>
      </c>
      <c r="E422" s="31" t="n">
        <f aca="false">E421</f>
        <v>0</v>
      </c>
      <c r="F422" s="28"/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169</v>
      </c>
      <c r="D423" s="18" t="s">
        <v>170</v>
      </c>
      <c r="E423" s="31" t="n">
        <f aca="false">E422</f>
        <v>0</v>
      </c>
      <c r="F423" s="28"/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169</v>
      </c>
      <c r="D424" s="18" t="s">
        <v>170</v>
      </c>
      <c r="E424" s="31" t="n">
        <f aca="false">E423</f>
        <v>0</v>
      </c>
      <c r="F424" s="28"/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169</v>
      </c>
      <c r="D425" s="18" t="s">
        <v>170</v>
      </c>
      <c r="E425" s="31" t="n">
        <f aca="false">E424</f>
        <v>0</v>
      </c>
      <c r="F425" s="28"/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169</v>
      </c>
      <c r="D426" s="18" t="s">
        <v>170</v>
      </c>
      <c r="E426" s="31" t="n">
        <f aca="false">E425</f>
        <v>0</v>
      </c>
      <c r="F426" s="28"/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169</v>
      </c>
      <c r="D427" s="18" t="s">
        <v>170</v>
      </c>
      <c r="E427" s="31" t="n">
        <f aca="false">E426</f>
        <v>0</v>
      </c>
      <c r="F427" s="28"/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169</v>
      </c>
      <c r="D428" s="18" t="s">
        <v>170</v>
      </c>
      <c r="E428" s="31" t="n">
        <f aca="false">E427</f>
        <v>0</v>
      </c>
      <c r="F428" s="28"/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169</v>
      </c>
      <c r="D429" s="18" t="s">
        <v>170</v>
      </c>
      <c r="E429" s="31" t="n">
        <f aca="false">E428</f>
        <v>0</v>
      </c>
      <c r="F429" s="28"/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169</v>
      </c>
      <c r="D430" s="18" t="s">
        <v>170</v>
      </c>
      <c r="E430" s="31" t="n">
        <f aca="false">E429</f>
        <v>0</v>
      </c>
      <c r="F430" s="28"/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169</v>
      </c>
      <c r="D431" s="18" t="s">
        <v>170</v>
      </c>
      <c r="E431" s="31" t="n">
        <f aca="false">E430</f>
        <v>0</v>
      </c>
      <c r="F431" s="28"/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169</v>
      </c>
      <c r="D432" s="18" t="s">
        <v>170</v>
      </c>
      <c r="E432" s="31" t="n">
        <f aca="false">E431</f>
        <v>0</v>
      </c>
      <c r="F432" s="28"/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169</v>
      </c>
      <c r="D433" s="18" t="s">
        <v>170</v>
      </c>
      <c r="E433" s="31" t="n">
        <f aca="false">E432</f>
        <v>0</v>
      </c>
      <c r="F433" s="28"/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169</v>
      </c>
      <c r="D434" s="18" t="s">
        <v>170</v>
      </c>
      <c r="E434" s="31" t="n">
        <f aca="false">E433</f>
        <v>0</v>
      </c>
      <c r="F434" s="28"/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169</v>
      </c>
      <c r="D435" s="18" t="s">
        <v>170</v>
      </c>
      <c r="E435" s="31" t="n">
        <f aca="false">E434</f>
        <v>0</v>
      </c>
      <c r="F435" s="28"/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169</v>
      </c>
      <c r="D436" s="18" t="s">
        <v>170</v>
      </c>
      <c r="E436" s="31" t="n">
        <f aca="false">E435</f>
        <v>0</v>
      </c>
      <c r="F436" s="28"/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169</v>
      </c>
      <c r="D437" s="18" t="s">
        <v>170</v>
      </c>
      <c r="E437" s="31" t="n">
        <f aca="false">E436</f>
        <v>0</v>
      </c>
      <c r="F437" s="28"/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169</v>
      </c>
      <c r="D438" s="18" t="s">
        <v>170</v>
      </c>
      <c r="E438" s="31" t="n">
        <f aca="false">E437</f>
        <v>0</v>
      </c>
      <c r="F438" s="28"/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169</v>
      </c>
      <c r="D439" s="18" t="s">
        <v>170</v>
      </c>
      <c r="E439" s="31" t="n">
        <f aca="false">E438</f>
        <v>0</v>
      </c>
      <c r="F439" s="28"/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169</v>
      </c>
      <c r="D440" s="18" t="s">
        <v>170</v>
      </c>
      <c r="E440" s="31" t="n">
        <f aca="false">E439</f>
        <v>0</v>
      </c>
      <c r="F440" s="28"/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169</v>
      </c>
      <c r="D441" s="18" t="s">
        <v>170</v>
      </c>
      <c r="E441" s="31" t="n">
        <f aca="false">E440</f>
        <v>0</v>
      </c>
      <c r="F441" s="28"/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169</v>
      </c>
      <c r="D442" s="18" t="s">
        <v>170</v>
      </c>
      <c r="E442" s="31" t="n">
        <f aca="false">E441</f>
        <v>0</v>
      </c>
      <c r="F442" s="28"/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169</v>
      </c>
      <c r="D443" s="18" t="s">
        <v>170</v>
      </c>
      <c r="E443" s="31" t="n">
        <f aca="false">E442</f>
        <v>0</v>
      </c>
      <c r="F443" s="28"/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169</v>
      </c>
      <c r="D444" s="18" t="s">
        <v>170</v>
      </c>
      <c r="E444" s="31" t="n">
        <f aca="false">E443</f>
        <v>0</v>
      </c>
      <c r="F444" s="28"/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169</v>
      </c>
      <c r="D445" s="18" t="s">
        <v>170</v>
      </c>
      <c r="E445" s="31" t="n">
        <f aca="false">E444</f>
        <v>0</v>
      </c>
      <c r="F445" s="28"/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169</v>
      </c>
      <c r="D446" s="18" t="s">
        <v>170</v>
      </c>
      <c r="E446" s="31" t="n">
        <f aca="false">E445</f>
        <v>0</v>
      </c>
      <c r="F446" s="28"/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169</v>
      </c>
      <c r="D447" s="18" t="s">
        <v>170</v>
      </c>
      <c r="E447" s="31" t="n">
        <f aca="false">E446</f>
        <v>0</v>
      </c>
      <c r="F447" s="28"/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169</v>
      </c>
      <c r="D448" s="18" t="s">
        <v>170</v>
      </c>
      <c r="E448" s="31" t="n">
        <f aca="false">E447</f>
        <v>0</v>
      </c>
      <c r="F448" s="28"/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169</v>
      </c>
      <c r="D449" s="18" t="s">
        <v>170</v>
      </c>
      <c r="E449" s="31" t="n">
        <f aca="false">E448</f>
        <v>0</v>
      </c>
      <c r="F449" s="28"/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169</v>
      </c>
      <c r="D450" s="18" t="s">
        <v>170</v>
      </c>
      <c r="E450" s="31" t="n">
        <f aca="false">E449</f>
        <v>0</v>
      </c>
      <c r="F450" s="28"/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169</v>
      </c>
      <c r="D451" s="18" t="s">
        <v>170</v>
      </c>
      <c r="E451" s="31" t="n">
        <f aca="false">E450</f>
        <v>0</v>
      </c>
      <c r="F451" s="28"/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169</v>
      </c>
      <c r="D452" s="18" t="s">
        <v>170</v>
      </c>
      <c r="E452" s="31" t="n">
        <f aca="false">E451</f>
        <v>0</v>
      </c>
      <c r="F452" s="28"/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169</v>
      </c>
      <c r="D453" s="18" t="s">
        <v>170</v>
      </c>
      <c r="E453" s="31" t="n">
        <f aca="false">E452</f>
        <v>0</v>
      </c>
      <c r="F453" s="28"/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169</v>
      </c>
      <c r="D454" s="18" t="s">
        <v>170</v>
      </c>
      <c r="E454" s="31" t="n">
        <f aca="false">E453</f>
        <v>0</v>
      </c>
      <c r="F454" s="28"/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169</v>
      </c>
      <c r="D455" s="18" t="s">
        <v>170</v>
      </c>
      <c r="E455" s="31" t="n">
        <f aca="false">E454</f>
        <v>0</v>
      </c>
      <c r="F455" s="28"/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169</v>
      </c>
      <c r="D456" s="18" t="s">
        <v>170</v>
      </c>
      <c r="E456" s="31" t="n">
        <f aca="false">E455</f>
        <v>0</v>
      </c>
      <c r="F456" s="28"/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169</v>
      </c>
      <c r="D457" s="18" t="s">
        <v>170</v>
      </c>
      <c r="E457" s="31" t="n">
        <f aca="false">E456</f>
        <v>0</v>
      </c>
      <c r="F457" s="28"/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169</v>
      </c>
      <c r="D458" s="18" t="s">
        <v>170</v>
      </c>
      <c r="E458" s="31" t="n">
        <f aca="false">E457</f>
        <v>0</v>
      </c>
      <c r="F458" s="28"/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169</v>
      </c>
      <c r="D459" s="18" t="s">
        <v>170</v>
      </c>
      <c r="E459" s="31" t="n">
        <f aca="false">E458</f>
        <v>0</v>
      </c>
      <c r="F459" s="28"/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169</v>
      </c>
      <c r="D460" s="18" t="s">
        <v>170</v>
      </c>
      <c r="E460" s="31" t="n">
        <f aca="false">E459</f>
        <v>0</v>
      </c>
      <c r="F460" s="28"/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169</v>
      </c>
      <c r="D461" s="18" t="s">
        <v>170</v>
      </c>
      <c r="E461" s="31" t="n">
        <f aca="false">E460</f>
        <v>0</v>
      </c>
      <c r="F461" s="28"/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169</v>
      </c>
      <c r="D462" s="18" t="s">
        <v>170</v>
      </c>
      <c r="E462" s="31" t="n">
        <f aca="false">E461</f>
        <v>0</v>
      </c>
      <c r="F462" s="28"/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169</v>
      </c>
      <c r="D463" s="18" t="s">
        <v>170</v>
      </c>
      <c r="E463" s="31" t="n">
        <f aca="false">E462</f>
        <v>0</v>
      </c>
      <c r="F463" s="28"/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169</v>
      </c>
      <c r="D464" s="18" t="s">
        <v>170</v>
      </c>
      <c r="E464" s="31" t="n">
        <f aca="false">E463</f>
        <v>0</v>
      </c>
      <c r="F464" s="28"/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169</v>
      </c>
      <c r="D465" s="18" t="s">
        <v>170</v>
      </c>
      <c r="E465" s="31" t="n">
        <f aca="false">E464</f>
        <v>0</v>
      </c>
      <c r="F465" s="28"/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169</v>
      </c>
      <c r="D466" s="18" t="s">
        <v>170</v>
      </c>
      <c r="E466" s="31" t="n">
        <f aca="false">E465</f>
        <v>0</v>
      </c>
      <c r="F466" s="28"/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169</v>
      </c>
      <c r="D467" s="18" t="s">
        <v>170</v>
      </c>
      <c r="E467" s="31" t="n">
        <f aca="false">E466</f>
        <v>0</v>
      </c>
      <c r="F467" s="28"/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169</v>
      </c>
      <c r="D468" s="18" t="s">
        <v>170</v>
      </c>
      <c r="E468" s="31" t="n">
        <f aca="false">E467</f>
        <v>0</v>
      </c>
      <c r="F468" s="28"/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169</v>
      </c>
      <c r="D469" s="18" t="s">
        <v>170</v>
      </c>
      <c r="E469" s="31" t="n">
        <f aca="false">E468</f>
        <v>0</v>
      </c>
      <c r="F469" s="28"/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169</v>
      </c>
      <c r="D470" s="18" t="s">
        <v>170</v>
      </c>
      <c r="E470" s="31" t="n">
        <f aca="false">E469</f>
        <v>0</v>
      </c>
      <c r="F470" s="28"/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169</v>
      </c>
      <c r="D471" s="18" t="s">
        <v>170</v>
      </c>
      <c r="E471" s="31" t="n">
        <f aca="false">E470</f>
        <v>0</v>
      </c>
      <c r="F471" s="28"/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169</v>
      </c>
      <c r="D472" s="18" t="s">
        <v>170</v>
      </c>
      <c r="E472" s="31" t="n">
        <f aca="false">E471</f>
        <v>0</v>
      </c>
      <c r="F472" s="28"/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169</v>
      </c>
      <c r="D473" s="18" t="s">
        <v>170</v>
      </c>
      <c r="E473" s="31" t="n">
        <f aca="false">E472</f>
        <v>0</v>
      </c>
      <c r="F473" s="28"/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169</v>
      </c>
      <c r="D474" s="18" t="s">
        <v>170</v>
      </c>
      <c r="E474" s="31" t="n">
        <f aca="false">E473</f>
        <v>0</v>
      </c>
      <c r="F474" s="28"/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169</v>
      </c>
      <c r="D475" s="18" t="s">
        <v>170</v>
      </c>
      <c r="E475" s="31" t="n">
        <f aca="false">E474</f>
        <v>0</v>
      </c>
      <c r="F475" s="28"/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169</v>
      </c>
      <c r="D476" s="18" t="s">
        <v>170</v>
      </c>
      <c r="E476" s="31" t="n">
        <f aca="false">E475</f>
        <v>0</v>
      </c>
      <c r="F476" s="28"/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169</v>
      </c>
      <c r="D477" s="18" t="s">
        <v>170</v>
      </c>
      <c r="E477" s="31" t="n">
        <f aca="false">E476</f>
        <v>0</v>
      </c>
      <c r="F477" s="28"/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169</v>
      </c>
      <c r="D478" s="18" t="s">
        <v>170</v>
      </c>
      <c r="E478" s="31" t="n">
        <f aca="false">E477</f>
        <v>0</v>
      </c>
      <c r="F478" s="28"/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169</v>
      </c>
      <c r="D479" s="18" t="s">
        <v>170</v>
      </c>
      <c r="E479" s="31" t="n">
        <f aca="false">E478</f>
        <v>0</v>
      </c>
      <c r="F479" s="28"/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169</v>
      </c>
      <c r="D480" s="18" t="s">
        <v>170</v>
      </c>
      <c r="E480" s="31" t="n">
        <f aca="false">E479</f>
        <v>0</v>
      </c>
      <c r="F480" s="28"/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169</v>
      </c>
      <c r="D481" s="18" t="s">
        <v>170</v>
      </c>
      <c r="E481" s="31" t="n">
        <f aca="false">E480</f>
        <v>0</v>
      </c>
      <c r="F481" s="28"/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169</v>
      </c>
      <c r="D482" s="18" t="s">
        <v>170</v>
      </c>
      <c r="E482" s="31" t="n">
        <f aca="false">E481</f>
        <v>0</v>
      </c>
      <c r="F482" s="28"/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169</v>
      </c>
      <c r="D483" s="18" t="s">
        <v>170</v>
      </c>
      <c r="E483" s="31" t="n">
        <f aca="false">E482</f>
        <v>0</v>
      </c>
      <c r="F483" s="28"/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169</v>
      </c>
      <c r="D484" s="18" t="s">
        <v>170</v>
      </c>
      <c r="E484" s="31" t="n">
        <f aca="false">E483</f>
        <v>0</v>
      </c>
      <c r="F484" s="28"/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169</v>
      </c>
      <c r="D485" s="18" t="s">
        <v>170</v>
      </c>
      <c r="E485" s="31" t="n">
        <f aca="false">E484</f>
        <v>0</v>
      </c>
      <c r="F485" s="28"/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169</v>
      </c>
      <c r="D486" s="18" t="s">
        <v>170</v>
      </c>
      <c r="E486" s="31" t="n">
        <f aca="false">E485</f>
        <v>0</v>
      </c>
      <c r="F486" s="28"/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169</v>
      </c>
      <c r="D487" s="18" t="s">
        <v>170</v>
      </c>
      <c r="E487" s="31" t="n">
        <f aca="false">E486</f>
        <v>0</v>
      </c>
      <c r="F487" s="28"/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169</v>
      </c>
      <c r="D488" s="18" t="s">
        <v>170</v>
      </c>
      <c r="E488" s="31" t="n">
        <f aca="false">E487</f>
        <v>0</v>
      </c>
      <c r="F488" s="28"/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169</v>
      </c>
      <c r="D489" s="18" t="s">
        <v>170</v>
      </c>
      <c r="E489" s="31" t="n">
        <f aca="false">E488</f>
        <v>0</v>
      </c>
      <c r="F489" s="28"/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169</v>
      </c>
      <c r="D490" s="18" t="s">
        <v>170</v>
      </c>
      <c r="E490" s="31" t="n">
        <f aca="false">E489</f>
        <v>0</v>
      </c>
      <c r="F490" s="28"/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169</v>
      </c>
      <c r="D491" s="18" t="s">
        <v>170</v>
      </c>
      <c r="E491" s="31" t="n">
        <f aca="false">E490</f>
        <v>0</v>
      </c>
      <c r="F491" s="28"/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169</v>
      </c>
      <c r="D492" s="18" t="s">
        <v>170</v>
      </c>
      <c r="E492" s="31" t="n">
        <f aca="false">E491</f>
        <v>0</v>
      </c>
      <c r="F492" s="28"/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169</v>
      </c>
      <c r="D493" s="18" t="s">
        <v>170</v>
      </c>
      <c r="E493" s="31" t="n">
        <f aca="false">E492</f>
        <v>0</v>
      </c>
      <c r="F493" s="28"/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169</v>
      </c>
      <c r="D494" s="18" t="s">
        <v>170</v>
      </c>
      <c r="E494" s="31" t="n">
        <f aca="false">E493</f>
        <v>0</v>
      </c>
      <c r="F494" s="28"/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169</v>
      </c>
      <c r="D495" s="18" t="s">
        <v>170</v>
      </c>
      <c r="E495" s="31" t="n">
        <f aca="false">E494</f>
        <v>0</v>
      </c>
      <c r="F495" s="28"/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169</v>
      </c>
      <c r="D496" s="18" t="s">
        <v>170</v>
      </c>
      <c r="E496" s="31" t="n">
        <f aca="false">E495</f>
        <v>0</v>
      </c>
      <c r="F496" s="28"/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169</v>
      </c>
      <c r="D497" s="18" t="s">
        <v>170</v>
      </c>
      <c r="E497" s="31" t="n">
        <f aca="false">E496</f>
        <v>0</v>
      </c>
      <c r="F497" s="28"/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169</v>
      </c>
      <c r="D498" s="18" t="s">
        <v>170</v>
      </c>
      <c r="E498" s="31" t="n">
        <f aca="false">E497</f>
        <v>0</v>
      </c>
      <c r="F498" s="28"/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169</v>
      </c>
      <c r="D499" s="18" t="s">
        <v>170</v>
      </c>
      <c r="E499" s="31" t="n">
        <f aca="false">E498</f>
        <v>0</v>
      </c>
      <c r="F499" s="28"/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169</v>
      </c>
      <c r="D500" s="18" t="s">
        <v>170</v>
      </c>
      <c r="E500" s="31" t="n">
        <f aca="false">E499</f>
        <v>0</v>
      </c>
      <c r="F500" s="28"/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169</v>
      </c>
      <c r="D501" s="18" t="s">
        <v>170</v>
      </c>
      <c r="E501" s="31" t="n">
        <f aca="false">E500</f>
        <v>0</v>
      </c>
      <c r="F501" s="28"/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169</v>
      </c>
      <c r="D502" s="18" t="s">
        <v>170</v>
      </c>
      <c r="E502" s="31" t="n">
        <f aca="false">E501</f>
        <v>0</v>
      </c>
      <c r="F502" s="28"/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169</v>
      </c>
      <c r="D503" s="18" t="s">
        <v>170</v>
      </c>
      <c r="E503" s="31" t="n">
        <f aca="false">E502</f>
        <v>0</v>
      </c>
      <c r="F503" s="28"/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169</v>
      </c>
      <c r="D504" s="18" t="s">
        <v>170</v>
      </c>
      <c r="E504" s="31" t="n">
        <f aca="false">E503</f>
        <v>0</v>
      </c>
      <c r="F504" s="28"/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169</v>
      </c>
      <c r="D505" s="18" t="s">
        <v>170</v>
      </c>
      <c r="E505" s="31" t="n">
        <f aca="false">E504</f>
        <v>0</v>
      </c>
      <c r="F505" s="28"/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169</v>
      </c>
      <c r="D506" s="18" t="s">
        <v>170</v>
      </c>
      <c r="E506" s="31" t="n">
        <f aca="false">E505</f>
        <v>0</v>
      </c>
      <c r="F506" s="28"/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169</v>
      </c>
      <c r="D507" s="18" t="s">
        <v>170</v>
      </c>
      <c r="E507" s="31" t="n">
        <f aca="false">E506</f>
        <v>0</v>
      </c>
      <c r="F507" s="28"/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169</v>
      </c>
      <c r="D508" s="18" t="s">
        <v>170</v>
      </c>
      <c r="E508" s="31" t="n">
        <f aca="false">E507</f>
        <v>0</v>
      </c>
      <c r="F508" s="28"/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169</v>
      </c>
      <c r="D509" s="18" t="s">
        <v>170</v>
      </c>
      <c r="E509" s="31" t="n">
        <f aca="false">E508</f>
        <v>0</v>
      </c>
      <c r="F509" s="28"/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169</v>
      </c>
      <c r="D510" s="18" t="s">
        <v>170</v>
      </c>
      <c r="E510" s="31" t="n">
        <f aca="false">E509</f>
        <v>0</v>
      </c>
      <c r="F510" s="28"/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169</v>
      </c>
      <c r="D511" s="18" t="s">
        <v>170</v>
      </c>
      <c r="E511" s="31" t="n">
        <f aca="false">E510</f>
        <v>0</v>
      </c>
      <c r="F511" s="28"/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169</v>
      </c>
      <c r="D512" s="18" t="s">
        <v>170</v>
      </c>
      <c r="E512" s="31" t="n">
        <f aca="false">E511</f>
        <v>0</v>
      </c>
      <c r="F512" s="28"/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169</v>
      </c>
      <c r="D513" s="18" t="s">
        <v>170</v>
      </c>
      <c r="E513" s="31" t="n">
        <f aca="false">E512</f>
        <v>0</v>
      </c>
      <c r="F513" s="28"/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169</v>
      </c>
      <c r="D514" s="18" t="s">
        <v>170</v>
      </c>
      <c r="E514" s="31" t="n">
        <f aca="false">E513</f>
        <v>0</v>
      </c>
      <c r="F514" s="28"/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169</v>
      </c>
      <c r="D515" s="18" t="s">
        <v>170</v>
      </c>
      <c r="E515" s="31" t="n">
        <f aca="false">E514</f>
        <v>0</v>
      </c>
      <c r="F515" s="28"/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169</v>
      </c>
      <c r="D516" s="18" t="s">
        <v>170</v>
      </c>
      <c r="E516" s="31" t="n">
        <f aca="false">E515</f>
        <v>0</v>
      </c>
      <c r="F516" s="28"/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169</v>
      </c>
      <c r="D517" s="18" t="s">
        <v>170</v>
      </c>
      <c r="E517" s="31" t="n">
        <f aca="false">E516</f>
        <v>0</v>
      </c>
      <c r="F517" s="28"/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169</v>
      </c>
      <c r="D518" s="18" t="s">
        <v>170</v>
      </c>
      <c r="E518" s="31" t="n">
        <f aca="false">E517</f>
        <v>0</v>
      </c>
      <c r="F518" s="28"/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169</v>
      </c>
      <c r="D519" s="18" t="s">
        <v>170</v>
      </c>
      <c r="E519" s="31" t="n">
        <f aca="false">E518</f>
        <v>0</v>
      </c>
      <c r="F519" s="28"/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169</v>
      </c>
      <c r="D520" s="18" t="s">
        <v>170</v>
      </c>
      <c r="E520" s="31" t="n">
        <f aca="false">E519</f>
        <v>0</v>
      </c>
      <c r="F520" s="28"/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169</v>
      </c>
      <c r="D521" s="18" t="s">
        <v>170</v>
      </c>
      <c r="E521" s="31" t="n">
        <f aca="false">E520</f>
        <v>0</v>
      </c>
      <c r="F521" s="28"/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169</v>
      </c>
      <c r="D522" s="18" t="s">
        <v>170</v>
      </c>
      <c r="E522" s="31" t="n">
        <f aca="false">E521</f>
        <v>0</v>
      </c>
      <c r="F522" s="28"/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169</v>
      </c>
      <c r="D523" s="18" t="s">
        <v>170</v>
      </c>
      <c r="E523" s="31" t="n">
        <f aca="false">E522</f>
        <v>0</v>
      </c>
      <c r="F523" s="28"/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169</v>
      </c>
      <c r="D524" s="18" t="s">
        <v>170</v>
      </c>
      <c r="E524" s="31" t="n">
        <f aca="false">E523</f>
        <v>0</v>
      </c>
      <c r="F524" s="28"/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169</v>
      </c>
      <c r="D525" s="18" t="s">
        <v>170</v>
      </c>
      <c r="E525" s="31" t="n">
        <f aca="false">E524</f>
        <v>0</v>
      </c>
      <c r="F525" s="28"/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169</v>
      </c>
      <c r="D526" s="18" t="s">
        <v>170</v>
      </c>
      <c r="E526" s="31" t="n">
        <f aca="false">E525</f>
        <v>0</v>
      </c>
      <c r="F526" s="28"/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169</v>
      </c>
      <c r="D527" s="18" t="s">
        <v>170</v>
      </c>
      <c r="E527" s="31" t="n">
        <f aca="false">E526</f>
        <v>0</v>
      </c>
      <c r="F527" s="28"/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169</v>
      </c>
      <c r="D528" s="18" t="s">
        <v>170</v>
      </c>
      <c r="E528" s="31" t="n">
        <f aca="false">E527</f>
        <v>0</v>
      </c>
      <c r="F528" s="28"/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169</v>
      </c>
      <c r="D529" s="18" t="s">
        <v>170</v>
      </c>
      <c r="E529" s="31" t="n">
        <f aca="false">E528</f>
        <v>0</v>
      </c>
      <c r="F529" s="28"/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169</v>
      </c>
      <c r="D530" s="18" t="s">
        <v>170</v>
      </c>
      <c r="E530" s="31" t="n">
        <f aca="false">E529</f>
        <v>0</v>
      </c>
      <c r="F530" s="28"/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169</v>
      </c>
      <c r="D531" s="18" t="s">
        <v>170</v>
      </c>
      <c r="E531" s="31" t="n">
        <f aca="false">E530</f>
        <v>0</v>
      </c>
      <c r="F531" s="28"/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169</v>
      </c>
      <c r="D532" s="18" t="s">
        <v>170</v>
      </c>
      <c r="E532" s="31" t="n">
        <f aca="false">E531</f>
        <v>0</v>
      </c>
      <c r="F532" s="28"/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169</v>
      </c>
      <c r="D533" s="18" t="s">
        <v>170</v>
      </c>
      <c r="E533" s="31" t="n">
        <f aca="false">E532</f>
        <v>0</v>
      </c>
      <c r="F533" s="28"/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169</v>
      </c>
      <c r="D534" s="18" t="s">
        <v>170</v>
      </c>
      <c r="E534" s="31" t="n">
        <f aca="false">E533</f>
        <v>0</v>
      </c>
      <c r="F534" s="28"/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169</v>
      </c>
      <c r="D535" s="18" t="s">
        <v>170</v>
      </c>
      <c r="E535" s="31" t="n">
        <f aca="false">E534</f>
        <v>0</v>
      </c>
      <c r="F535" s="28"/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169</v>
      </c>
      <c r="D536" s="18" t="s">
        <v>170</v>
      </c>
      <c r="E536" s="31" t="n">
        <f aca="false">E535</f>
        <v>0</v>
      </c>
      <c r="F536" s="28"/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169</v>
      </c>
      <c r="D537" s="18" t="s">
        <v>170</v>
      </c>
      <c r="E537" s="31" t="n">
        <f aca="false">E536</f>
        <v>0</v>
      </c>
      <c r="F537" s="28"/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169</v>
      </c>
      <c r="D538" s="18" t="s">
        <v>170</v>
      </c>
      <c r="E538" s="31" t="n">
        <f aca="false">E537</f>
        <v>0</v>
      </c>
      <c r="F538" s="28"/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169</v>
      </c>
      <c r="D539" s="18" t="s">
        <v>170</v>
      </c>
      <c r="E539" s="31" t="n">
        <f aca="false">E538</f>
        <v>0</v>
      </c>
      <c r="F539" s="28"/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169</v>
      </c>
      <c r="D540" s="18" t="s">
        <v>170</v>
      </c>
      <c r="E540" s="31" t="n">
        <f aca="false">E539</f>
        <v>0</v>
      </c>
      <c r="F540" s="28"/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169</v>
      </c>
      <c r="D541" s="18" t="s">
        <v>170</v>
      </c>
      <c r="E541" s="31" t="n">
        <f aca="false">E540</f>
        <v>0</v>
      </c>
      <c r="F541" s="28"/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169</v>
      </c>
      <c r="D542" s="18" t="s">
        <v>170</v>
      </c>
      <c r="E542" s="31" t="n">
        <f aca="false">E541</f>
        <v>0</v>
      </c>
      <c r="F542" s="28"/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169</v>
      </c>
      <c r="D543" s="18" t="s">
        <v>170</v>
      </c>
      <c r="E543" s="31" t="n">
        <f aca="false">E542</f>
        <v>0</v>
      </c>
      <c r="F543" s="28"/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169</v>
      </c>
      <c r="D544" s="18" t="s">
        <v>170</v>
      </c>
      <c r="E544" s="31" t="n">
        <f aca="false">E543</f>
        <v>0</v>
      </c>
      <c r="F544" s="28"/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169</v>
      </c>
      <c r="D545" s="18" t="s">
        <v>170</v>
      </c>
      <c r="E545" s="31" t="n">
        <f aca="false">E544</f>
        <v>0</v>
      </c>
      <c r="F545" s="28"/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169</v>
      </c>
      <c r="D546" s="18" t="s">
        <v>170</v>
      </c>
      <c r="E546" s="31" t="n">
        <f aca="false">E545</f>
        <v>0</v>
      </c>
      <c r="F546" s="28"/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169</v>
      </c>
      <c r="D547" s="18" t="s">
        <v>170</v>
      </c>
      <c r="E547" s="31" t="n">
        <f aca="false">E546</f>
        <v>0</v>
      </c>
      <c r="F547" s="28"/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169</v>
      </c>
      <c r="D548" s="18" t="s">
        <v>170</v>
      </c>
      <c r="E548" s="31" t="n">
        <f aca="false">E547</f>
        <v>0</v>
      </c>
      <c r="F548" s="28"/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169</v>
      </c>
      <c r="D549" s="18" t="s">
        <v>170</v>
      </c>
      <c r="E549" s="31" t="n">
        <f aca="false">E548</f>
        <v>0</v>
      </c>
      <c r="F549" s="28"/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169</v>
      </c>
      <c r="D550" s="18" t="s">
        <v>170</v>
      </c>
      <c r="E550" s="31" t="n">
        <f aca="false">E549</f>
        <v>0</v>
      </c>
      <c r="F550" s="28"/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169</v>
      </c>
      <c r="D551" s="18" t="s">
        <v>170</v>
      </c>
      <c r="E551" s="31" t="n">
        <f aca="false">E550</f>
        <v>0</v>
      </c>
      <c r="F551" s="28"/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169</v>
      </c>
      <c r="D552" s="18" t="s">
        <v>170</v>
      </c>
      <c r="E552" s="31" t="n">
        <f aca="false">E551</f>
        <v>0</v>
      </c>
      <c r="F552" s="28"/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169</v>
      </c>
      <c r="D553" s="18" t="s">
        <v>170</v>
      </c>
      <c r="E553" s="31" t="n">
        <f aca="false">E552</f>
        <v>0</v>
      </c>
      <c r="F553" s="28"/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169</v>
      </c>
      <c r="D554" s="18" t="s">
        <v>170</v>
      </c>
      <c r="E554" s="31" t="n">
        <f aca="false">E553</f>
        <v>0</v>
      </c>
      <c r="F554" s="28"/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169</v>
      </c>
      <c r="D555" s="18" t="s">
        <v>170</v>
      </c>
      <c r="E555" s="31" t="n">
        <f aca="false">E554</f>
        <v>0</v>
      </c>
      <c r="F555" s="28"/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169</v>
      </c>
      <c r="D556" s="18" t="s">
        <v>170</v>
      </c>
      <c r="E556" s="31" t="n">
        <f aca="false">E555</f>
        <v>0</v>
      </c>
      <c r="F556" s="28"/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169</v>
      </c>
      <c r="D557" s="18" t="s">
        <v>170</v>
      </c>
      <c r="E557" s="31" t="n">
        <f aca="false">E556</f>
        <v>0</v>
      </c>
      <c r="F557" s="28"/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169</v>
      </c>
      <c r="D558" s="18" t="s">
        <v>170</v>
      </c>
      <c r="E558" s="31" t="n">
        <f aca="false">E557</f>
        <v>0</v>
      </c>
      <c r="F558" s="28"/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169</v>
      </c>
      <c r="D559" s="18" t="s">
        <v>170</v>
      </c>
      <c r="E559" s="31" t="n">
        <f aca="false">E558</f>
        <v>0</v>
      </c>
      <c r="F559" s="28"/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169</v>
      </c>
      <c r="D560" s="18" t="s">
        <v>170</v>
      </c>
      <c r="E560" s="31" t="n">
        <f aca="false">E559</f>
        <v>0</v>
      </c>
      <c r="F560" s="28"/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169</v>
      </c>
      <c r="D561" s="18" t="s">
        <v>170</v>
      </c>
      <c r="E561" s="31" t="n">
        <f aca="false">E560</f>
        <v>0</v>
      </c>
      <c r="F561" s="28"/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169</v>
      </c>
      <c r="D562" s="18" t="s">
        <v>170</v>
      </c>
      <c r="E562" s="31" t="n">
        <f aca="false">E561</f>
        <v>0</v>
      </c>
      <c r="F562" s="28"/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169</v>
      </c>
      <c r="D563" s="18" t="s">
        <v>170</v>
      </c>
      <c r="E563" s="31" t="n">
        <f aca="false">E562</f>
        <v>0</v>
      </c>
      <c r="F563" s="28"/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169</v>
      </c>
      <c r="D564" s="18" t="s">
        <v>170</v>
      </c>
      <c r="E564" s="31" t="n">
        <f aca="false">E563</f>
        <v>0</v>
      </c>
      <c r="F564" s="28"/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169</v>
      </c>
      <c r="D565" s="18" t="s">
        <v>170</v>
      </c>
      <c r="E565" s="31" t="n">
        <f aca="false">E564</f>
        <v>0</v>
      </c>
      <c r="F565" s="28"/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169</v>
      </c>
      <c r="D566" s="18" t="s">
        <v>170</v>
      </c>
      <c r="E566" s="31" t="n">
        <f aca="false">E565</f>
        <v>0</v>
      </c>
      <c r="F566" s="28"/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169</v>
      </c>
      <c r="D567" s="18" t="s">
        <v>170</v>
      </c>
      <c r="E567" s="31" t="n">
        <f aca="false">E566</f>
        <v>0</v>
      </c>
      <c r="F567" s="28"/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169</v>
      </c>
      <c r="D568" s="18" t="s">
        <v>170</v>
      </c>
      <c r="E568" s="31" t="n">
        <f aca="false">E567</f>
        <v>0</v>
      </c>
      <c r="F568" s="28"/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169</v>
      </c>
      <c r="D569" s="18" t="s">
        <v>170</v>
      </c>
      <c r="E569" s="31" t="n">
        <f aca="false">E568</f>
        <v>0</v>
      </c>
      <c r="F569" s="28"/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169</v>
      </c>
      <c r="D570" s="18" t="s">
        <v>170</v>
      </c>
      <c r="E570" s="31" t="n">
        <f aca="false">E569</f>
        <v>0</v>
      </c>
      <c r="F570" s="28"/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169</v>
      </c>
      <c r="D571" s="18" t="s">
        <v>170</v>
      </c>
      <c r="E571" s="31" t="n">
        <f aca="false">E570</f>
        <v>0</v>
      </c>
      <c r="F571" s="28"/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169</v>
      </c>
      <c r="D572" s="18" t="s">
        <v>170</v>
      </c>
      <c r="E572" s="31" t="n">
        <f aca="false">E571</f>
        <v>0</v>
      </c>
      <c r="F572" s="28"/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169</v>
      </c>
      <c r="D573" s="18" t="s">
        <v>170</v>
      </c>
      <c r="E573" s="31" t="n">
        <f aca="false">E572</f>
        <v>0</v>
      </c>
      <c r="F573" s="28"/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169</v>
      </c>
      <c r="D574" s="18" t="s">
        <v>170</v>
      </c>
      <c r="E574" s="31" t="n">
        <f aca="false">E573</f>
        <v>0</v>
      </c>
      <c r="F574" s="28"/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169</v>
      </c>
      <c r="D575" s="18" t="s">
        <v>170</v>
      </c>
      <c r="E575" s="31" t="n">
        <f aca="false">E574</f>
        <v>0</v>
      </c>
      <c r="F575" s="28"/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169</v>
      </c>
      <c r="D576" s="18" t="s">
        <v>170</v>
      </c>
      <c r="E576" s="31" t="n">
        <f aca="false">E575</f>
        <v>0</v>
      </c>
      <c r="F576" s="28"/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169</v>
      </c>
      <c r="D577" s="18" t="s">
        <v>170</v>
      </c>
      <c r="E577" s="31" t="n">
        <f aca="false">E576</f>
        <v>0</v>
      </c>
      <c r="F577" s="28"/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169</v>
      </c>
      <c r="D578" s="18" t="s">
        <v>170</v>
      </c>
      <c r="E578" s="31" t="n">
        <f aca="false">E577</f>
        <v>0</v>
      </c>
      <c r="F578" s="28"/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169</v>
      </c>
      <c r="D579" s="18" t="s">
        <v>170</v>
      </c>
      <c r="E579" s="31" t="n">
        <f aca="false">E578</f>
        <v>0</v>
      </c>
      <c r="F579" s="28"/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169</v>
      </c>
      <c r="D580" s="18" t="s">
        <v>170</v>
      </c>
      <c r="E580" s="31" t="n">
        <f aca="false">E579</f>
        <v>0</v>
      </c>
      <c r="F580" s="28"/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169</v>
      </c>
      <c r="D581" s="18" t="s">
        <v>170</v>
      </c>
      <c r="E581" s="31" t="n">
        <f aca="false">E580</f>
        <v>0</v>
      </c>
      <c r="F581" s="28"/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169</v>
      </c>
      <c r="D582" s="18" t="s">
        <v>170</v>
      </c>
      <c r="E582" s="31" t="n">
        <f aca="false">E581</f>
        <v>0</v>
      </c>
      <c r="F582" s="28"/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169</v>
      </c>
      <c r="D583" s="18" t="s">
        <v>170</v>
      </c>
      <c r="E583" s="31" t="n">
        <f aca="false">E582</f>
        <v>0</v>
      </c>
      <c r="F583" s="28"/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169</v>
      </c>
      <c r="D584" s="18" t="s">
        <v>170</v>
      </c>
      <c r="E584" s="31" t="n">
        <f aca="false">E583</f>
        <v>0</v>
      </c>
      <c r="F584" s="28"/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169</v>
      </c>
      <c r="D585" s="18" t="s">
        <v>170</v>
      </c>
      <c r="E585" s="31" t="n">
        <f aca="false">E584</f>
        <v>0</v>
      </c>
      <c r="F585" s="28"/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169</v>
      </c>
      <c r="D586" s="18" t="s">
        <v>170</v>
      </c>
      <c r="E586" s="31" t="n">
        <f aca="false">E585</f>
        <v>0</v>
      </c>
      <c r="F586" s="28"/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169</v>
      </c>
      <c r="D587" s="18" t="s">
        <v>170</v>
      </c>
      <c r="E587" s="31" t="n">
        <f aca="false">E586</f>
        <v>0</v>
      </c>
      <c r="F587" s="28"/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169</v>
      </c>
      <c r="D588" s="18" t="s">
        <v>170</v>
      </c>
      <c r="E588" s="31" t="n">
        <f aca="false">E587</f>
        <v>0</v>
      </c>
      <c r="F588" s="28"/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169</v>
      </c>
      <c r="D589" s="18" t="s">
        <v>170</v>
      </c>
      <c r="E589" s="31" t="n">
        <f aca="false">E588</f>
        <v>0</v>
      </c>
      <c r="F589" s="28"/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169</v>
      </c>
      <c r="D590" s="18" t="s">
        <v>170</v>
      </c>
      <c r="E590" s="31" t="n">
        <f aca="false">E589</f>
        <v>0</v>
      </c>
      <c r="F590" s="28"/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169</v>
      </c>
      <c r="D591" s="18" t="s">
        <v>170</v>
      </c>
      <c r="E591" s="31" t="n">
        <f aca="false">E590</f>
        <v>0</v>
      </c>
      <c r="F591" s="28"/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169</v>
      </c>
      <c r="D592" s="18" t="s">
        <v>170</v>
      </c>
      <c r="E592" s="31" t="n">
        <f aca="false">E591</f>
        <v>0</v>
      </c>
      <c r="F592" s="28"/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169</v>
      </c>
      <c r="D593" s="18" t="s">
        <v>170</v>
      </c>
      <c r="E593" s="31" t="n">
        <f aca="false">E592</f>
        <v>0</v>
      </c>
      <c r="F593" s="28"/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169</v>
      </c>
      <c r="D594" s="18" t="s">
        <v>170</v>
      </c>
      <c r="E594" s="31" t="n">
        <f aca="false">E593</f>
        <v>0</v>
      </c>
      <c r="F594" s="28"/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169</v>
      </c>
      <c r="D595" s="18" t="s">
        <v>170</v>
      </c>
      <c r="E595" s="31" t="n">
        <f aca="false">E594</f>
        <v>0</v>
      </c>
      <c r="F595" s="28"/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169</v>
      </c>
      <c r="D596" s="18" t="s">
        <v>170</v>
      </c>
      <c r="E596" s="31" t="n">
        <f aca="false">E595</f>
        <v>0</v>
      </c>
      <c r="F596" s="28"/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169</v>
      </c>
      <c r="D597" s="18" t="s">
        <v>170</v>
      </c>
      <c r="E597" s="31" t="n">
        <f aca="false">E596</f>
        <v>0</v>
      </c>
      <c r="F597" s="28"/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169</v>
      </c>
      <c r="D598" s="18" t="s">
        <v>170</v>
      </c>
      <c r="E598" s="31" t="n">
        <f aca="false">E597</f>
        <v>0</v>
      </c>
      <c r="F598" s="28"/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169</v>
      </c>
      <c r="D599" s="18" t="s">
        <v>170</v>
      </c>
      <c r="E599" s="31" t="n">
        <f aca="false">E598</f>
        <v>0</v>
      </c>
      <c r="F599" s="28"/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169</v>
      </c>
      <c r="D600" s="18" t="s">
        <v>170</v>
      </c>
      <c r="E600" s="31" t="n">
        <f aca="false">E599</f>
        <v>0</v>
      </c>
      <c r="F600" s="28"/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169</v>
      </c>
      <c r="D601" s="18" t="s">
        <v>170</v>
      </c>
      <c r="E601" s="31" t="n">
        <f aca="false">E600</f>
        <v>0</v>
      </c>
      <c r="F601" s="28"/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169</v>
      </c>
      <c r="D602" s="18" t="s">
        <v>170</v>
      </c>
      <c r="E602" s="31" t="n">
        <f aca="false">E601</f>
        <v>0</v>
      </c>
      <c r="F602" s="28"/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169</v>
      </c>
      <c r="D603" s="18" t="s">
        <v>170</v>
      </c>
      <c r="E603" s="31" t="n">
        <f aca="false">E602</f>
        <v>0</v>
      </c>
      <c r="F603" s="28"/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169</v>
      </c>
      <c r="D604" s="18" t="s">
        <v>170</v>
      </c>
      <c r="E604" s="31" t="n">
        <f aca="false">E603</f>
        <v>0</v>
      </c>
      <c r="F604" s="28"/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169</v>
      </c>
      <c r="D605" s="18" t="s">
        <v>170</v>
      </c>
      <c r="E605" s="31" t="n">
        <f aca="false">E604</f>
        <v>0</v>
      </c>
      <c r="F605" s="28"/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169</v>
      </c>
      <c r="D606" s="18" t="s">
        <v>170</v>
      </c>
      <c r="E606" s="31" t="n">
        <f aca="false">E605</f>
        <v>0</v>
      </c>
      <c r="F606" s="28"/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169</v>
      </c>
      <c r="D607" s="18" t="s">
        <v>170</v>
      </c>
      <c r="E607" s="31" t="n">
        <f aca="false">E606</f>
        <v>0</v>
      </c>
      <c r="F607" s="28"/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169</v>
      </c>
      <c r="D608" s="18" t="s">
        <v>170</v>
      </c>
      <c r="E608" s="31" t="n">
        <f aca="false">E607</f>
        <v>0</v>
      </c>
      <c r="F608" s="28"/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169</v>
      </c>
      <c r="D609" s="18" t="s">
        <v>170</v>
      </c>
      <c r="E609" s="31" t="n">
        <f aca="false">E608</f>
        <v>0</v>
      </c>
      <c r="F609" s="28"/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169</v>
      </c>
      <c r="D610" s="18" t="s">
        <v>170</v>
      </c>
      <c r="E610" s="31" t="n">
        <f aca="false">E609</f>
        <v>0</v>
      </c>
      <c r="F610" s="28"/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169</v>
      </c>
      <c r="D611" s="18" t="s">
        <v>170</v>
      </c>
      <c r="E611" s="31" t="n">
        <f aca="false">E610</f>
        <v>0</v>
      </c>
      <c r="F611" s="28"/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169</v>
      </c>
      <c r="D612" s="18" t="s">
        <v>170</v>
      </c>
      <c r="E612" s="31" t="n">
        <f aca="false">E611</f>
        <v>0</v>
      </c>
      <c r="F612" s="28"/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169</v>
      </c>
      <c r="D613" s="18" t="s">
        <v>170</v>
      </c>
      <c r="E613" s="31" t="n">
        <f aca="false">E612</f>
        <v>0</v>
      </c>
      <c r="F613" s="28"/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169</v>
      </c>
      <c r="D614" s="18" t="s">
        <v>170</v>
      </c>
      <c r="E614" s="31" t="n">
        <f aca="false">E613</f>
        <v>0</v>
      </c>
      <c r="F614" s="28"/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169</v>
      </c>
      <c r="D615" s="18" t="s">
        <v>170</v>
      </c>
      <c r="E615" s="31" t="n">
        <f aca="false">E614</f>
        <v>0</v>
      </c>
      <c r="F615" s="28"/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169</v>
      </c>
      <c r="D616" s="18" t="s">
        <v>170</v>
      </c>
      <c r="E616" s="31" t="n">
        <f aca="false">E615</f>
        <v>0</v>
      </c>
      <c r="F616" s="28"/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169</v>
      </c>
      <c r="D617" s="18" t="s">
        <v>170</v>
      </c>
      <c r="E617" s="31" t="n">
        <f aca="false">E616</f>
        <v>0</v>
      </c>
      <c r="F617" s="28"/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169</v>
      </c>
      <c r="D618" s="18" t="s">
        <v>170</v>
      </c>
      <c r="E618" s="31" t="n">
        <f aca="false">E617</f>
        <v>0</v>
      </c>
      <c r="F618" s="28"/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169</v>
      </c>
      <c r="D619" s="18" t="s">
        <v>170</v>
      </c>
      <c r="E619" s="31" t="n">
        <f aca="false">E618</f>
        <v>0</v>
      </c>
      <c r="F619" s="28"/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169</v>
      </c>
      <c r="D620" s="18" t="s">
        <v>170</v>
      </c>
      <c r="E620" s="31" t="n">
        <f aca="false">E619</f>
        <v>0</v>
      </c>
      <c r="F620" s="28"/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169</v>
      </c>
      <c r="D621" s="18" t="s">
        <v>170</v>
      </c>
      <c r="E621" s="31" t="n">
        <f aca="false">E620</f>
        <v>0</v>
      </c>
      <c r="F621" s="28"/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169</v>
      </c>
      <c r="D622" s="18" t="s">
        <v>170</v>
      </c>
      <c r="E622" s="31" t="n">
        <f aca="false">E621</f>
        <v>0</v>
      </c>
      <c r="F622" s="28"/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169</v>
      </c>
      <c r="D623" s="18" t="s">
        <v>170</v>
      </c>
      <c r="E623" s="31" t="n">
        <f aca="false">E622</f>
        <v>0</v>
      </c>
      <c r="F623" s="28"/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169</v>
      </c>
      <c r="D624" s="18" t="s">
        <v>170</v>
      </c>
      <c r="E624" s="31" t="n">
        <f aca="false">E623</f>
        <v>0</v>
      </c>
      <c r="F624" s="28"/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169</v>
      </c>
      <c r="D625" s="18" t="s">
        <v>170</v>
      </c>
      <c r="E625" s="31" t="n">
        <f aca="false">E624</f>
        <v>0</v>
      </c>
      <c r="F625" s="28"/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169</v>
      </c>
      <c r="D626" s="18" t="s">
        <v>170</v>
      </c>
      <c r="E626" s="31" t="n">
        <f aca="false">E625</f>
        <v>0</v>
      </c>
      <c r="F626" s="28"/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169</v>
      </c>
      <c r="D627" s="18" t="s">
        <v>170</v>
      </c>
      <c r="E627" s="31" t="n">
        <f aca="false">E626</f>
        <v>0</v>
      </c>
      <c r="F627" s="28"/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169</v>
      </c>
      <c r="D628" s="18" t="s">
        <v>170</v>
      </c>
      <c r="E628" s="31" t="n">
        <f aca="false">E627</f>
        <v>0</v>
      </c>
      <c r="F628" s="28"/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169</v>
      </c>
      <c r="D629" s="18" t="s">
        <v>170</v>
      </c>
      <c r="E629" s="31" t="n">
        <f aca="false">E628</f>
        <v>0</v>
      </c>
      <c r="F629" s="28"/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169</v>
      </c>
      <c r="D630" s="18" t="s">
        <v>170</v>
      </c>
      <c r="E630" s="31" t="n">
        <f aca="false">E629</f>
        <v>0</v>
      </c>
      <c r="F630" s="28"/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169</v>
      </c>
      <c r="D631" s="18" t="s">
        <v>170</v>
      </c>
      <c r="E631" s="31" t="n">
        <f aca="false">E630</f>
        <v>0</v>
      </c>
      <c r="F631" s="28"/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169</v>
      </c>
      <c r="D632" s="18" t="s">
        <v>170</v>
      </c>
      <c r="E632" s="31" t="n">
        <f aca="false">E631</f>
        <v>0</v>
      </c>
      <c r="F632" s="28"/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169</v>
      </c>
      <c r="D633" s="18" t="s">
        <v>170</v>
      </c>
      <c r="E633" s="31" t="n">
        <f aca="false">E632</f>
        <v>0</v>
      </c>
      <c r="F633" s="28"/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169</v>
      </c>
      <c r="D634" s="18" t="s">
        <v>170</v>
      </c>
      <c r="E634" s="31" t="n">
        <f aca="false">E633</f>
        <v>0</v>
      </c>
      <c r="F634" s="28"/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169</v>
      </c>
      <c r="D635" s="18" t="s">
        <v>170</v>
      </c>
      <c r="E635" s="31" t="n">
        <f aca="false">E634</f>
        <v>0</v>
      </c>
      <c r="F635" s="28"/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169</v>
      </c>
      <c r="D636" s="18" t="s">
        <v>170</v>
      </c>
      <c r="E636" s="31" t="n">
        <f aca="false">E635</f>
        <v>0</v>
      </c>
      <c r="F636" s="28"/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169</v>
      </c>
      <c r="D637" s="18" t="s">
        <v>170</v>
      </c>
      <c r="E637" s="31" t="n">
        <f aca="false">E636</f>
        <v>0</v>
      </c>
      <c r="F637" s="28"/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169</v>
      </c>
      <c r="D638" s="18" t="s">
        <v>170</v>
      </c>
      <c r="E638" s="31" t="n">
        <f aca="false">E637</f>
        <v>0</v>
      </c>
      <c r="F638" s="28"/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169</v>
      </c>
      <c r="D639" s="18" t="s">
        <v>170</v>
      </c>
      <c r="E639" s="31" t="n">
        <f aca="false">E638</f>
        <v>0</v>
      </c>
      <c r="F639" s="28"/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169</v>
      </c>
      <c r="D640" s="18" t="s">
        <v>170</v>
      </c>
      <c r="E640" s="31" t="n">
        <f aca="false">E639</f>
        <v>0</v>
      </c>
      <c r="F640" s="28"/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169</v>
      </c>
      <c r="D641" s="18" t="s">
        <v>170</v>
      </c>
      <c r="E641" s="31" t="n">
        <f aca="false">E640</f>
        <v>0</v>
      </c>
      <c r="F641" s="28"/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169</v>
      </c>
      <c r="D642" s="18" t="s">
        <v>170</v>
      </c>
      <c r="E642" s="31" t="n">
        <f aca="false">E641</f>
        <v>0</v>
      </c>
      <c r="F642" s="28"/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169</v>
      </c>
      <c r="D643" s="18" t="s">
        <v>170</v>
      </c>
      <c r="E643" s="31" t="n">
        <f aca="false">E642</f>
        <v>0</v>
      </c>
      <c r="F643" s="28"/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169</v>
      </c>
      <c r="D644" s="18" t="s">
        <v>170</v>
      </c>
      <c r="E644" s="31" t="n">
        <f aca="false">E643</f>
        <v>0</v>
      </c>
      <c r="F644" s="28"/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169</v>
      </c>
      <c r="D645" s="18" t="s">
        <v>170</v>
      </c>
      <c r="E645" s="31" t="n">
        <f aca="false">E644</f>
        <v>0</v>
      </c>
      <c r="F645" s="28"/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169</v>
      </c>
      <c r="D646" s="18" t="s">
        <v>170</v>
      </c>
      <c r="E646" s="31" t="n">
        <f aca="false">E645</f>
        <v>0</v>
      </c>
      <c r="F646" s="28"/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169</v>
      </c>
      <c r="D647" s="18" t="s">
        <v>170</v>
      </c>
      <c r="E647" s="31" t="n">
        <f aca="false">E646</f>
        <v>0</v>
      </c>
      <c r="F647" s="28"/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169</v>
      </c>
      <c r="D648" s="18" t="s">
        <v>170</v>
      </c>
      <c r="E648" s="31" t="n">
        <f aca="false">E647</f>
        <v>0</v>
      </c>
      <c r="F648" s="28"/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169</v>
      </c>
      <c r="D649" s="18" t="s">
        <v>170</v>
      </c>
      <c r="E649" s="31" t="n">
        <f aca="false">E648</f>
        <v>0</v>
      </c>
      <c r="F649" s="28"/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169</v>
      </c>
      <c r="D650" s="18" t="s">
        <v>170</v>
      </c>
      <c r="E650" s="31" t="n">
        <f aca="false">E649</f>
        <v>0</v>
      </c>
      <c r="F650" s="28"/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169</v>
      </c>
      <c r="D651" s="18" t="s">
        <v>170</v>
      </c>
      <c r="E651" s="31" t="n">
        <f aca="false">E650</f>
        <v>0</v>
      </c>
      <c r="F651" s="28"/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169</v>
      </c>
      <c r="D652" s="18" t="s">
        <v>170</v>
      </c>
      <c r="E652" s="31" t="n">
        <f aca="false">E651</f>
        <v>0</v>
      </c>
      <c r="F652" s="28"/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169</v>
      </c>
      <c r="D653" s="18" t="s">
        <v>170</v>
      </c>
      <c r="E653" s="31" t="n">
        <f aca="false">E652</f>
        <v>0</v>
      </c>
      <c r="F653" s="28"/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169</v>
      </c>
      <c r="D654" s="18" t="s">
        <v>170</v>
      </c>
      <c r="E654" s="31" t="n">
        <f aca="false">E653</f>
        <v>0</v>
      </c>
      <c r="F654" s="28"/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169</v>
      </c>
      <c r="D655" s="18" t="s">
        <v>170</v>
      </c>
      <c r="E655" s="31" t="n">
        <f aca="false">E654</f>
        <v>0</v>
      </c>
      <c r="F655" s="28"/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169</v>
      </c>
      <c r="D656" s="18" t="s">
        <v>170</v>
      </c>
      <c r="E656" s="31" t="n">
        <f aca="false">E655</f>
        <v>0</v>
      </c>
      <c r="F656" s="28"/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169</v>
      </c>
      <c r="D657" s="18" t="s">
        <v>170</v>
      </c>
      <c r="E657" s="31" t="n">
        <f aca="false">E656</f>
        <v>0</v>
      </c>
      <c r="F657" s="28"/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169</v>
      </c>
      <c r="D658" s="18" t="s">
        <v>170</v>
      </c>
      <c r="E658" s="31" t="n">
        <f aca="false">E657</f>
        <v>0</v>
      </c>
      <c r="F658" s="28"/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169</v>
      </c>
      <c r="D659" s="18" t="s">
        <v>170</v>
      </c>
      <c r="E659" s="31" t="n">
        <f aca="false">E658</f>
        <v>0</v>
      </c>
      <c r="F659" s="28"/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169</v>
      </c>
      <c r="D660" s="18" t="s">
        <v>170</v>
      </c>
      <c r="E660" s="31" t="n">
        <f aca="false">E659</f>
        <v>0</v>
      </c>
      <c r="F660" s="28"/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169</v>
      </c>
      <c r="D661" s="18" t="s">
        <v>170</v>
      </c>
      <c r="E661" s="31" t="n">
        <f aca="false">E660</f>
        <v>0</v>
      </c>
      <c r="F661" s="28"/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169</v>
      </c>
      <c r="D662" s="18" t="s">
        <v>170</v>
      </c>
      <c r="E662" s="31" t="n">
        <f aca="false">E661</f>
        <v>0</v>
      </c>
      <c r="F662" s="28"/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169</v>
      </c>
      <c r="D663" s="18" t="s">
        <v>170</v>
      </c>
      <c r="E663" s="31" t="n">
        <f aca="false">E662</f>
        <v>0</v>
      </c>
      <c r="F663" s="28"/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169</v>
      </c>
      <c r="D664" s="18" t="s">
        <v>170</v>
      </c>
      <c r="E664" s="31" t="n">
        <f aca="false">E663</f>
        <v>0</v>
      </c>
      <c r="F664" s="28"/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169</v>
      </c>
      <c r="D665" s="18" t="s">
        <v>170</v>
      </c>
      <c r="E665" s="31" t="n">
        <f aca="false">E664</f>
        <v>0</v>
      </c>
      <c r="F665" s="28"/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169</v>
      </c>
      <c r="D666" s="18" t="s">
        <v>170</v>
      </c>
      <c r="E666" s="31" t="n">
        <f aca="false">E665</f>
        <v>0</v>
      </c>
      <c r="F666" s="28"/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169</v>
      </c>
      <c r="D667" s="18" t="s">
        <v>170</v>
      </c>
      <c r="E667" s="31" t="n">
        <f aca="false">E666</f>
        <v>0</v>
      </c>
      <c r="F667" s="28"/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169</v>
      </c>
      <c r="D668" s="18" t="s">
        <v>170</v>
      </c>
      <c r="E668" s="31" t="n">
        <f aca="false">E667</f>
        <v>0</v>
      </c>
      <c r="F668" s="28"/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169</v>
      </c>
      <c r="D669" s="18" t="s">
        <v>170</v>
      </c>
      <c r="E669" s="31" t="n">
        <f aca="false">E668</f>
        <v>0</v>
      </c>
      <c r="F669" s="28"/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169</v>
      </c>
      <c r="D670" s="18" t="s">
        <v>170</v>
      </c>
      <c r="E670" s="31" t="n">
        <f aca="false">E669</f>
        <v>0</v>
      </c>
      <c r="F670" s="28"/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169</v>
      </c>
      <c r="D671" s="18" t="s">
        <v>170</v>
      </c>
      <c r="E671" s="31" t="n">
        <f aca="false">E670</f>
        <v>0</v>
      </c>
      <c r="F671" s="28"/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169</v>
      </c>
      <c r="D672" s="18" t="s">
        <v>170</v>
      </c>
      <c r="E672" s="31" t="n">
        <f aca="false">E671</f>
        <v>0</v>
      </c>
      <c r="F672" s="28"/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169</v>
      </c>
      <c r="D673" s="18" t="s">
        <v>170</v>
      </c>
      <c r="E673" s="31" t="n">
        <f aca="false">E672</f>
        <v>0</v>
      </c>
      <c r="F673" s="28"/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169</v>
      </c>
      <c r="D674" s="18" t="s">
        <v>170</v>
      </c>
      <c r="E674" s="31" t="n">
        <f aca="false">E673</f>
        <v>0</v>
      </c>
      <c r="F674" s="28"/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169</v>
      </c>
      <c r="D675" s="18" t="s">
        <v>170</v>
      </c>
      <c r="E675" s="31" t="n">
        <f aca="false">E674</f>
        <v>0</v>
      </c>
      <c r="F675" s="28"/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169</v>
      </c>
      <c r="D676" s="18" t="s">
        <v>170</v>
      </c>
      <c r="E676" s="31" t="n">
        <f aca="false">E675</f>
        <v>0</v>
      </c>
      <c r="F676" s="28"/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169</v>
      </c>
      <c r="D677" s="18" t="s">
        <v>170</v>
      </c>
      <c r="E677" s="31" t="n">
        <f aca="false">E676</f>
        <v>0</v>
      </c>
      <c r="F677" s="28"/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169</v>
      </c>
      <c r="D678" s="18" t="s">
        <v>170</v>
      </c>
      <c r="E678" s="31" t="n">
        <f aca="false">E677</f>
        <v>0</v>
      </c>
      <c r="F678" s="28"/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169</v>
      </c>
      <c r="D679" s="18" t="s">
        <v>170</v>
      </c>
      <c r="E679" s="31" t="n">
        <f aca="false">E678</f>
        <v>0</v>
      </c>
      <c r="F679" s="28"/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169</v>
      </c>
      <c r="D680" s="18" t="s">
        <v>170</v>
      </c>
      <c r="E680" s="31" t="n">
        <f aca="false">E679</f>
        <v>0</v>
      </c>
      <c r="F680" s="28"/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169</v>
      </c>
      <c r="D681" s="18" t="s">
        <v>170</v>
      </c>
      <c r="E681" s="31" t="n">
        <f aca="false">E680</f>
        <v>0</v>
      </c>
      <c r="F681" s="28"/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169</v>
      </c>
      <c r="D682" s="18" t="s">
        <v>170</v>
      </c>
      <c r="E682" s="31" t="n">
        <f aca="false">E681</f>
        <v>0</v>
      </c>
      <c r="F682" s="28"/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169</v>
      </c>
      <c r="D683" s="18" t="s">
        <v>170</v>
      </c>
      <c r="E683" s="31" t="n">
        <f aca="false">E682</f>
        <v>0</v>
      </c>
      <c r="F683" s="28"/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169</v>
      </c>
      <c r="D684" s="18" t="s">
        <v>170</v>
      </c>
      <c r="E684" s="31" t="n">
        <f aca="false">E683</f>
        <v>0</v>
      </c>
      <c r="F684" s="28"/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169</v>
      </c>
      <c r="D685" s="18" t="s">
        <v>170</v>
      </c>
      <c r="E685" s="31" t="n">
        <f aca="false">E684</f>
        <v>0</v>
      </c>
      <c r="F685" s="28"/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169</v>
      </c>
      <c r="D686" s="18" t="s">
        <v>170</v>
      </c>
      <c r="E686" s="31" t="n">
        <f aca="false">E685</f>
        <v>0</v>
      </c>
      <c r="F686" s="28"/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169</v>
      </c>
      <c r="D687" s="18" t="s">
        <v>170</v>
      </c>
      <c r="E687" s="31" t="n">
        <f aca="false">E686</f>
        <v>0</v>
      </c>
      <c r="F687" s="28"/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169</v>
      </c>
      <c r="D688" s="18" t="s">
        <v>170</v>
      </c>
      <c r="E688" s="31" t="n">
        <f aca="false">E687</f>
        <v>0</v>
      </c>
      <c r="F688" s="28"/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169</v>
      </c>
      <c r="D689" s="18" t="s">
        <v>170</v>
      </c>
      <c r="E689" s="31" t="n">
        <f aca="false">E688</f>
        <v>0</v>
      </c>
      <c r="F689" s="28"/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169</v>
      </c>
      <c r="D690" s="18" t="s">
        <v>170</v>
      </c>
      <c r="E690" s="31" t="n">
        <f aca="false">E689</f>
        <v>0</v>
      </c>
      <c r="F690" s="28"/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169</v>
      </c>
      <c r="D691" s="18" t="s">
        <v>170</v>
      </c>
      <c r="E691" s="31" t="n">
        <f aca="false">E690</f>
        <v>0</v>
      </c>
      <c r="F691" s="28"/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169</v>
      </c>
      <c r="D692" s="18" t="s">
        <v>170</v>
      </c>
      <c r="E692" s="31" t="n">
        <f aca="false">E691</f>
        <v>0</v>
      </c>
      <c r="F692" s="28"/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169</v>
      </c>
      <c r="D693" s="18" t="s">
        <v>170</v>
      </c>
      <c r="E693" s="31" t="n">
        <f aca="false">E692</f>
        <v>0</v>
      </c>
      <c r="F693" s="28"/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169</v>
      </c>
      <c r="D694" s="18" t="s">
        <v>170</v>
      </c>
      <c r="E694" s="31" t="n">
        <f aca="false">E693</f>
        <v>0</v>
      </c>
      <c r="F694" s="28"/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169</v>
      </c>
      <c r="D695" s="18" t="s">
        <v>170</v>
      </c>
      <c r="E695" s="31" t="n">
        <f aca="false">E694</f>
        <v>0</v>
      </c>
      <c r="F695" s="28"/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169</v>
      </c>
      <c r="D696" s="18" t="s">
        <v>170</v>
      </c>
      <c r="E696" s="31" t="n">
        <f aca="false">E695</f>
        <v>0</v>
      </c>
      <c r="F696" s="28"/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169</v>
      </c>
      <c r="D697" s="18" t="s">
        <v>170</v>
      </c>
      <c r="E697" s="31" t="n">
        <f aca="false">E696</f>
        <v>0</v>
      </c>
      <c r="F697" s="28"/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169</v>
      </c>
      <c r="D698" s="18" t="s">
        <v>170</v>
      </c>
      <c r="E698" s="31" t="n">
        <f aca="false">E697</f>
        <v>0</v>
      </c>
      <c r="F698" s="28"/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169</v>
      </c>
      <c r="D699" s="18" t="s">
        <v>170</v>
      </c>
      <c r="E699" s="31" t="n">
        <f aca="false">E698</f>
        <v>0</v>
      </c>
      <c r="F699" s="28"/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169</v>
      </c>
      <c r="D700" s="18" t="s">
        <v>170</v>
      </c>
      <c r="E700" s="31" t="n">
        <f aca="false">E699</f>
        <v>0</v>
      </c>
      <c r="F700" s="28"/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169</v>
      </c>
      <c r="D701" s="18" t="s">
        <v>170</v>
      </c>
      <c r="E701" s="31" t="n">
        <f aca="false">E700</f>
        <v>0</v>
      </c>
      <c r="F701" s="28"/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169</v>
      </c>
      <c r="D702" s="18" t="s">
        <v>170</v>
      </c>
      <c r="E702" s="31" t="n">
        <f aca="false">E701</f>
        <v>0</v>
      </c>
      <c r="F702" s="28"/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169</v>
      </c>
      <c r="D703" s="18" t="s">
        <v>170</v>
      </c>
      <c r="E703" s="31" t="n">
        <f aca="false">E702</f>
        <v>0</v>
      </c>
      <c r="F703" s="28"/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169</v>
      </c>
      <c r="D704" s="18" t="s">
        <v>170</v>
      </c>
      <c r="E704" s="31" t="n">
        <f aca="false">E703</f>
        <v>0</v>
      </c>
      <c r="F704" s="28"/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169</v>
      </c>
      <c r="D705" s="18" t="s">
        <v>170</v>
      </c>
      <c r="E705" s="31" t="n">
        <f aca="false">E704</f>
        <v>0</v>
      </c>
      <c r="F705" s="28"/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169</v>
      </c>
      <c r="D706" s="18" t="s">
        <v>170</v>
      </c>
      <c r="E706" s="31" t="n">
        <f aca="false">E705</f>
        <v>0</v>
      </c>
      <c r="F706" s="28"/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169</v>
      </c>
      <c r="D707" s="18" t="s">
        <v>170</v>
      </c>
      <c r="E707" s="31" t="n">
        <f aca="false">E706</f>
        <v>0</v>
      </c>
      <c r="F707" s="28"/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169</v>
      </c>
      <c r="D708" s="18" t="s">
        <v>170</v>
      </c>
      <c r="E708" s="31" t="n">
        <f aca="false">E707</f>
        <v>0</v>
      </c>
      <c r="F708" s="28"/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169</v>
      </c>
      <c r="D709" s="18" t="s">
        <v>170</v>
      </c>
      <c r="E709" s="31" t="n">
        <f aca="false">E708</f>
        <v>0</v>
      </c>
      <c r="F709" s="28"/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169</v>
      </c>
      <c r="D710" s="18" t="s">
        <v>170</v>
      </c>
      <c r="E710" s="31" t="n">
        <f aca="false">E709</f>
        <v>0</v>
      </c>
      <c r="F710" s="28"/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169</v>
      </c>
      <c r="D711" s="18" t="s">
        <v>170</v>
      </c>
      <c r="E711" s="31" t="n">
        <f aca="false">E710</f>
        <v>0</v>
      </c>
      <c r="F711" s="28"/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169</v>
      </c>
      <c r="D712" s="18" t="s">
        <v>170</v>
      </c>
      <c r="E712" s="31" t="n">
        <f aca="false">E711</f>
        <v>0</v>
      </c>
      <c r="F712" s="28"/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169</v>
      </c>
      <c r="D713" s="18" t="s">
        <v>170</v>
      </c>
      <c r="E713" s="31" t="n">
        <f aca="false">E712</f>
        <v>0</v>
      </c>
      <c r="F713" s="28"/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169</v>
      </c>
      <c r="D714" s="18" t="s">
        <v>170</v>
      </c>
      <c r="E714" s="31" t="n">
        <f aca="false">E713</f>
        <v>0</v>
      </c>
      <c r="F714" s="28"/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169</v>
      </c>
      <c r="D715" s="18" t="s">
        <v>170</v>
      </c>
      <c r="E715" s="31" t="n">
        <f aca="false">E714</f>
        <v>0</v>
      </c>
      <c r="F715" s="28"/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169</v>
      </c>
      <c r="D716" s="18" t="s">
        <v>170</v>
      </c>
      <c r="E716" s="31" t="n">
        <f aca="false">E715</f>
        <v>0</v>
      </c>
      <c r="F716" s="28"/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169</v>
      </c>
      <c r="D717" s="18" t="s">
        <v>170</v>
      </c>
      <c r="E717" s="31" t="n">
        <f aca="false">E716</f>
        <v>0</v>
      </c>
      <c r="F717" s="28"/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169</v>
      </c>
      <c r="D718" s="18" t="s">
        <v>170</v>
      </c>
      <c r="E718" s="31" t="n">
        <f aca="false">E717</f>
        <v>0</v>
      </c>
      <c r="F718" s="28"/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169</v>
      </c>
      <c r="D719" s="18" t="s">
        <v>170</v>
      </c>
      <c r="E719" s="31" t="n">
        <f aca="false">E718</f>
        <v>0</v>
      </c>
      <c r="F719" s="28"/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169</v>
      </c>
      <c r="D720" s="18" t="s">
        <v>170</v>
      </c>
      <c r="E720" s="31" t="n">
        <f aca="false">E719</f>
        <v>0</v>
      </c>
      <c r="F720" s="28"/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169</v>
      </c>
      <c r="D721" s="18" t="s">
        <v>170</v>
      </c>
      <c r="E721" s="31" t="n">
        <f aca="false">E720</f>
        <v>0</v>
      </c>
      <c r="F721" s="28"/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169</v>
      </c>
      <c r="D722" s="18" t="s">
        <v>170</v>
      </c>
      <c r="E722" s="31" t="n">
        <f aca="false">E721</f>
        <v>0</v>
      </c>
      <c r="F722" s="28"/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169</v>
      </c>
      <c r="D723" s="18" t="s">
        <v>170</v>
      </c>
      <c r="E723" s="31" t="n">
        <f aca="false">E722</f>
        <v>0</v>
      </c>
      <c r="F723" s="28"/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169</v>
      </c>
      <c r="D724" s="18" t="s">
        <v>170</v>
      </c>
      <c r="E724" s="31" t="n">
        <f aca="false">E723</f>
        <v>0</v>
      </c>
      <c r="F724" s="28"/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169</v>
      </c>
      <c r="D725" s="18" t="s">
        <v>170</v>
      </c>
      <c r="E725" s="31" t="n">
        <f aca="false">E724</f>
        <v>0</v>
      </c>
      <c r="F725" s="28"/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169</v>
      </c>
      <c r="D726" s="18" t="s">
        <v>170</v>
      </c>
      <c r="E726" s="31" t="n">
        <f aca="false">E725</f>
        <v>0</v>
      </c>
      <c r="F726" s="28"/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169</v>
      </c>
      <c r="D727" s="18" t="s">
        <v>170</v>
      </c>
      <c r="E727" s="31" t="n">
        <f aca="false">E726</f>
        <v>0</v>
      </c>
      <c r="F727" s="28"/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169</v>
      </c>
      <c r="D728" s="18" t="s">
        <v>170</v>
      </c>
      <c r="E728" s="31" t="n">
        <f aca="false">E727</f>
        <v>0</v>
      </c>
      <c r="F728" s="28"/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169</v>
      </c>
      <c r="D729" s="18" t="s">
        <v>170</v>
      </c>
      <c r="E729" s="31" t="n">
        <f aca="false">E728</f>
        <v>0</v>
      </c>
      <c r="F729" s="28"/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169</v>
      </c>
      <c r="D730" s="18" t="s">
        <v>170</v>
      </c>
      <c r="E730" s="31" t="n">
        <f aca="false">E729</f>
        <v>0</v>
      </c>
      <c r="F730" s="28"/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169</v>
      </c>
      <c r="D731" s="18" t="s">
        <v>170</v>
      </c>
      <c r="E731" s="31" t="n">
        <f aca="false">E730</f>
        <v>0</v>
      </c>
      <c r="F731" s="28"/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171</v>
      </c>
      <c r="D732" s="18" t="s">
        <v>172</v>
      </c>
      <c r="E732" s="24"/>
      <c r="F732" s="28"/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171</v>
      </c>
      <c r="D733" s="18" t="s">
        <v>172</v>
      </c>
      <c r="E733" s="31" t="n">
        <f aca="false">E732</f>
        <v>0</v>
      </c>
      <c r="F733" s="28"/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171</v>
      </c>
      <c r="D734" s="18" t="s">
        <v>172</v>
      </c>
      <c r="E734" s="31" t="n">
        <f aca="false">E733</f>
        <v>0</v>
      </c>
      <c r="F734" s="28"/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171</v>
      </c>
      <c r="D735" s="18" t="s">
        <v>172</v>
      </c>
      <c r="E735" s="31" t="n">
        <f aca="false">E734</f>
        <v>0</v>
      </c>
      <c r="F735" s="28"/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171</v>
      </c>
      <c r="D736" s="18" t="s">
        <v>172</v>
      </c>
      <c r="E736" s="31" t="n">
        <f aca="false">E735</f>
        <v>0</v>
      </c>
      <c r="F736" s="28"/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171</v>
      </c>
      <c r="D737" s="18" t="s">
        <v>172</v>
      </c>
      <c r="E737" s="31" t="n">
        <f aca="false">E736</f>
        <v>0</v>
      </c>
      <c r="F737" s="28"/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171</v>
      </c>
      <c r="D738" s="18" t="s">
        <v>172</v>
      </c>
      <c r="E738" s="31" t="n">
        <f aca="false">E737</f>
        <v>0</v>
      </c>
      <c r="F738" s="28"/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171</v>
      </c>
      <c r="D739" s="18" t="s">
        <v>172</v>
      </c>
      <c r="E739" s="31" t="n">
        <f aca="false">E738</f>
        <v>0</v>
      </c>
      <c r="F739" s="28"/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171</v>
      </c>
      <c r="D740" s="18" t="s">
        <v>172</v>
      </c>
      <c r="E740" s="31" t="n">
        <f aca="false">E739</f>
        <v>0</v>
      </c>
      <c r="F740" s="28"/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171</v>
      </c>
      <c r="D741" s="18" t="s">
        <v>172</v>
      </c>
      <c r="E741" s="31" t="n">
        <f aca="false">E740</f>
        <v>0</v>
      </c>
      <c r="F741" s="28"/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171</v>
      </c>
      <c r="D742" s="18" t="s">
        <v>172</v>
      </c>
      <c r="E742" s="31" t="n">
        <f aca="false">E741</f>
        <v>0</v>
      </c>
      <c r="F742" s="28"/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171</v>
      </c>
      <c r="D743" s="18" t="s">
        <v>172</v>
      </c>
      <c r="E743" s="31" t="n">
        <f aca="false">E742</f>
        <v>0</v>
      </c>
      <c r="F743" s="28"/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171</v>
      </c>
      <c r="D744" s="18" t="s">
        <v>172</v>
      </c>
      <c r="E744" s="31" t="n">
        <f aca="false">E743</f>
        <v>0</v>
      </c>
      <c r="F744" s="28"/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171</v>
      </c>
      <c r="D745" s="18" t="s">
        <v>172</v>
      </c>
      <c r="E745" s="31" t="n">
        <f aca="false">E744</f>
        <v>0</v>
      </c>
      <c r="F745" s="28"/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171</v>
      </c>
      <c r="D746" s="18" t="s">
        <v>172</v>
      </c>
      <c r="E746" s="31" t="n">
        <f aca="false">E745</f>
        <v>0</v>
      </c>
      <c r="F746" s="28"/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171</v>
      </c>
      <c r="D747" s="18" t="s">
        <v>172</v>
      </c>
      <c r="E747" s="31" t="n">
        <f aca="false">E746</f>
        <v>0</v>
      </c>
      <c r="F747" s="28"/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171</v>
      </c>
      <c r="D748" s="18" t="s">
        <v>172</v>
      </c>
      <c r="E748" s="31" t="n">
        <f aca="false">E747</f>
        <v>0</v>
      </c>
      <c r="F748" s="28"/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171</v>
      </c>
      <c r="D749" s="18" t="s">
        <v>172</v>
      </c>
      <c r="E749" s="31" t="n">
        <f aca="false">E748</f>
        <v>0</v>
      </c>
      <c r="F749" s="28"/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171</v>
      </c>
      <c r="D750" s="18" t="s">
        <v>172</v>
      </c>
      <c r="E750" s="31" t="n">
        <f aca="false">E749</f>
        <v>0</v>
      </c>
      <c r="F750" s="28"/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171</v>
      </c>
      <c r="D751" s="18" t="s">
        <v>172</v>
      </c>
      <c r="E751" s="31" t="n">
        <f aca="false">E750</f>
        <v>0</v>
      </c>
      <c r="F751" s="28"/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171</v>
      </c>
      <c r="D752" s="18" t="s">
        <v>172</v>
      </c>
      <c r="E752" s="31" t="n">
        <f aca="false">E751</f>
        <v>0</v>
      </c>
      <c r="F752" s="28"/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171</v>
      </c>
      <c r="D753" s="18" t="s">
        <v>172</v>
      </c>
      <c r="E753" s="31" t="n">
        <f aca="false">E752</f>
        <v>0</v>
      </c>
      <c r="F753" s="28"/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171</v>
      </c>
      <c r="D754" s="18" t="s">
        <v>172</v>
      </c>
      <c r="E754" s="31" t="n">
        <f aca="false">E753</f>
        <v>0</v>
      </c>
      <c r="F754" s="28"/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171</v>
      </c>
      <c r="D755" s="18" t="s">
        <v>172</v>
      </c>
      <c r="E755" s="31" t="n">
        <f aca="false">E754</f>
        <v>0</v>
      </c>
      <c r="F755" s="28"/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171</v>
      </c>
      <c r="D756" s="18" t="s">
        <v>172</v>
      </c>
      <c r="E756" s="31" t="n">
        <f aca="false">E755</f>
        <v>0</v>
      </c>
      <c r="F756" s="28"/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171</v>
      </c>
      <c r="D757" s="18" t="s">
        <v>172</v>
      </c>
      <c r="E757" s="31" t="n">
        <f aca="false">E756</f>
        <v>0</v>
      </c>
      <c r="F757" s="28"/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171</v>
      </c>
      <c r="D758" s="18" t="s">
        <v>172</v>
      </c>
      <c r="E758" s="31" t="n">
        <f aca="false">E757</f>
        <v>0</v>
      </c>
      <c r="F758" s="28"/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171</v>
      </c>
      <c r="D759" s="18" t="s">
        <v>172</v>
      </c>
      <c r="E759" s="31" t="n">
        <f aca="false">E758</f>
        <v>0</v>
      </c>
      <c r="F759" s="28"/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171</v>
      </c>
      <c r="D760" s="18" t="s">
        <v>172</v>
      </c>
      <c r="E760" s="31" t="n">
        <f aca="false">E759</f>
        <v>0</v>
      </c>
      <c r="F760" s="28"/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171</v>
      </c>
      <c r="D761" s="18" t="s">
        <v>172</v>
      </c>
      <c r="E761" s="31" t="n">
        <f aca="false">E760</f>
        <v>0</v>
      </c>
      <c r="F761" s="28"/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171</v>
      </c>
      <c r="D762" s="18" t="s">
        <v>172</v>
      </c>
      <c r="E762" s="31" t="n">
        <f aca="false">E761</f>
        <v>0</v>
      </c>
      <c r="F762" s="28"/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171</v>
      </c>
      <c r="D763" s="18" t="s">
        <v>172</v>
      </c>
      <c r="E763" s="31" t="n">
        <f aca="false">E762</f>
        <v>0</v>
      </c>
      <c r="F763" s="28"/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171</v>
      </c>
      <c r="D764" s="18" t="s">
        <v>172</v>
      </c>
      <c r="E764" s="31" t="n">
        <f aca="false">E763</f>
        <v>0</v>
      </c>
      <c r="F764" s="28"/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171</v>
      </c>
      <c r="D765" s="18" t="s">
        <v>172</v>
      </c>
      <c r="E765" s="31" t="n">
        <f aca="false">E764</f>
        <v>0</v>
      </c>
      <c r="F765" s="28"/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171</v>
      </c>
      <c r="D766" s="18" t="s">
        <v>172</v>
      </c>
      <c r="E766" s="31" t="n">
        <f aca="false">E765</f>
        <v>0</v>
      </c>
      <c r="F766" s="28"/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171</v>
      </c>
      <c r="D767" s="18" t="s">
        <v>172</v>
      </c>
      <c r="E767" s="31" t="n">
        <f aca="false">E766</f>
        <v>0</v>
      </c>
      <c r="F767" s="28"/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171</v>
      </c>
      <c r="D768" s="18" t="s">
        <v>172</v>
      </c>
      <c r="E768" s="31" t="n">
        <f aca="false">E767</f>
        <v>0</v>
      </c>
      <c r="F768" s="28"/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171</v>
      </c>
      <c r="D769" s="18" t="s">
        <v>172</v>
      </c>
      <c r="E769" s="31" t="n">
        <f aca="false">E768</f>
        <v>0</v>
      </c>
      <c r="F769" s="28"/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171</v>
      </c>
      <c r="D770" s="18" t="s">
        <v>172</v>
      </c>
      <c r="E770" s="31" t="n">
        <f aca="false">E769</f>
        <v>0</v>
      </c>
      <c r="F770" s="28"/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171</v>
      </c>
      <c r="D771" s="18" t="s">
        <v>172</v>
      </c>
      <c r="E771" s="31" t="n">
        <f aca="false">E770</f>
        <v>0</v>
      </c>
      <c r="F771" s="28"/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171</v>
      </c>
      <c r="D772" s="18" t="s">
        <v>172</v>
      </c>
      <c r="E772" s="31" t="n">
        <f aca="false">E771</f>
        <v>0</v>
      </c>
      <c r="F772" s="28"/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171</v>
      </c>
      <c r="D773" s="18" t="s">
        <v>172</v>
      </c>
      <c r="E773" s="31" t="n">
        <f aca="false">E772</f>
        <v>0</v>
      </c>
      <c r="F773" s="28"/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171</v>
      </c>
      <c r="D774" s="18" t="s">
        <v>172</v>
      </c>
      <c r="E774" s="31" t="n">
        <f aca="false">E773</f>
        <v>0</v>
      </c>
      <c r="F774" s="28"/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171</v>
      </c>
      <c r="D775" s="18" t="s">
        <v>172</v>
      </c>
      <c r="E775" s="31" t="n">
        <f aca="false">E774</f>
        <v>0</v>
      </c>
      <c r="F775" s="28"/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171</v>
      </c>
      <c r="D776" s="18" t="s">
        <v>172</v>
      </c>
      <c r="E776" s="31" t="n">
        <f aca="false">E775</f>
        <v>0</v>
      </c>
      <c r="F776" s="28"/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171</v>
      </c>
      <c r="D777" s="18" t="s">
        <v>172</v>
      </c>
      <c r="E777" s="31" t="n">
        <f aca="false">E776</f>
        <v>0</v>
      </c>
      <c r="F777" s="28"/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171</v>
      </c>
      <c r="D778" s="18" t="s">
        <v>172</v>
      </c>
      <c r="E778" s="31" t="n">
        <f aca="false">E777</f>
        <v>0</v>
      </c>
      <c r="F778" s="28"/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171</v>
      </c>
      <c r="D779" s="18" t="s">
        <v>172</v>
      </c>
      <c r="E779" s="31" t="n">
        <f aca="false">E778</f>
        <v>0</v>
      </c>
      <c r="F779" s="28"/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171</v>
      </c>
      <c r="D780" s="18" t="s">
        <v>172</v>
      </c>
      <c r="E780" s="31" t="n">
        <f aca="false">E779</f>
        <v>0</v>
      </c>
      <c r="F780" s="28"/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171</v>
      </c>
      <c r="D781" s="18" t="s">
        <v>172</v>
      </c>
      <c r="E781" s="31" t="n">
        <f aca="false">E780</f>
        <v>0</v>
      </c>
      <c r="F781" s="28"/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171</v>
      </c>
      <c r="D782" s="18" t="s">
        <v>172</v>
      </c>
      <c r="E782" s="31" t="n">
        <f aca="false">E781</f>
        <v>0</v>
      </c>
      <c r="F782" s="28"/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171</v>
      </c>
      <c r="D783" s="18" t="s">
        <v>172</v>
      </c>
      <c r="E783" s="31" t="n">
        <f aca="false">E782</f>
        <v>0</v>
      </c>
      <c r="F783" s="28"/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171</v>
      </c>
      <c r="D784" s="18" t="s">
        <v>172</v>
      </c>
      <c r="E784" s="31" t="n">
        <f aca="false">E783</f>
        <v>0</v>
      </c>
      <c r="F784" s="28"/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171</v>
      </c>
      <c r="D785" s="18" t="s">
        <v>172</v>
      </c>
      <c r="E785" s="31" t="n">
        <f aca="false">E784</f>
        <v>0</v>
      </c>
      <c r="F785" s="28"/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171</v>
      </c>
      <c r="D786" s="18" t="s">
        <v>172</v>
      </c>
      <c r="E786" s="31" t="n">
        <f aca="false">E785</f>
        <v>0</v>
      </c>
      <c r="F786" s="28"/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171</v>
      </c>
      <c r="D787" s="18" t="s">
        <v>172</v>
      </c>
      <c r="E787" s="31" t="n">
        <f aca="false">E786</f>
        <v>0</v>
      </c>
      <c r="F787" s="28"/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171</v>
      </c>
      <c r="D788" s="18" t="s">
        <v>172</v>
      </c>
      <c r="E788" s="31" t="n">
        <f aca="false">E787</f>
        <v>0</v>
      </c>
      <c r="F788" s="28"/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171</v>
      </c>
      <c r="D789" s="18" t="s">
        <v>172</v>
      </c>
      <c r="E789" s="31" t="n">
        <f aca="false">E788</f>
        <v>0</v>
      </c>
      <c r="F789" s="28"/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171</v>
      </c>
      <c r="D790" s="18" t="s">
        <v>172</v>
      </c>
      <c r="E790" s="31" t="n">
        <f aca="false">E789</f>
        <v>0</v>
      </c>
      <c r="F790" s="28"/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171</v>
      </c>
      <c r="D791" s="18" t="s">
        <v>172</v>
      </c>
      <c r="E791" s="31" t="n">
        <f aca="false">E790</f>
        <v>0</v>
      </c>
      <c r="F791" s="28"/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171</v>
      </c>
      <c r="D792" s="18" t="s">
        <v>172</v>
      </c>
      <c r="E792" s="31" t="n">
        <f aca="false">E791</f>
        <v>0</v>
      </c>
      <c r="F792" s="28"/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171</v>
      </c>
      <c r="D793" s="18" t="s">
        <v>172</v>
      </c>
      <c r="E793" s="31" t="n">
        <f aca="false">E792</f>
        <v>0</v>
      </c>
      <c r="F793" s="28"/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171</v>
      </c>
      <c r="D794" s="18" t="s">
        <v>172</v>
      </c>
      <c r="E794" s="31" t="n">
        <f aca="false">E793</f>
        <v>0</v>
      </c>
      <c r="F794" s="28"/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171</v>
      </c>
      <c r="D795" s="18" t="s">
        <v>172</v>
      </c>
      <c r="E795" s="31" t="n">
        <f aca="false">E794</f>
        <v>0</v>
      </c>
      <c r="F795" s="28"/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171</v>
      </c>
      <c r="D796" s="18" t="s">
        <v>172</v>
      </c>
      <c r="E796" s="31" t="n">
        <f aca="false">E795</f>
        <v>0</v>
      </c>
      <c r="F796" s="28"/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171</v>
      </c>
      <c r="D797" s="18" t="s">
        <v>172</v>
      </c>
      <c r="E797" s="31" t="n">
        <f aca="false">E796</f>
        <v>0</v>
      </c>
      <c r="F797" s="28"/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171</v>
      </c>
      <c r="D798" s="18" t="s">
        <v>172</v>
      </c>
      <c r="E798" s="31" t="n">
        <f aca="false">E797</f>
        <v>0</v>
      </c>
      <c r="F798" s="28"/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171</v>
      </c>
      <c r="D799" s="18" t="s">
        <v>172</v>
      </c>
      <c r="E799" s="31" t="n">
        <f aca="false">E798</f>
        <v>0</v>
      </c>
      <c r="F799" s="28"/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171</v>
      </c>
      <c r="D800" s="18" t="s">
        <v>172</v>
      </c>
      <c r="E800" s="31" t="n">
        <f aca="false">E799</f>
        <v>0</v>
      </c>
      <c r="F800" s="28"/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171</v>
      </c>
      <c r="D801" s="18" t="s">
        <v>172</v>
      </c>
      <c r="E801" s="31" t="n">
        <f aca="false">E800</f>
        <v>0</v>
      </c>
      <c r="F801" s="28"/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171</v>
      </c>
      <c r="D802" s="18" t="s">
        <v>172</v>
      </c>
      <c r="E802" s="31" t="n">
        <f aca="false">E801</f>
        <v>0</v>
      </c>
      <c r="F802" s="28"/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171</v>
      </c>
      <c r="D803" s="18" t="s">
        <v>172</v>
      </c>
      <c r="E803" s="31" t="n">
        <f aca="false">E802</f>
        <v>0</v>
      </c>
      <c r="F803" s="28"/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171</v>
      </c>
      <c r="D804" s="18" t="s">
        <v>172</v>
      </c>
      <c r="E804" s="31" t="n">
        <f aca="false">E803</f>
        <v>0</v>
      </c>
      <c r="F804" s="28"/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171</v>
      </c>
      <c r="D805" s="18" t="s">
        <v>172</v>
      </c>
      <c r="E805" s="31" t="n">
        <f aca="false">E804</f>
        <v>0</v>
      </c>
      <c r="F805" s="28"/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171</v>
      </c>
      <c r="D806" s="18" t="s">
        <v>172</v>
      </c>
      <c r="E806" s="31" t="n">
        <f aca="false">E805</f>
        <v>0</v>
      </c>
      <c r="F806" s="28"/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171</v>
      </c>
      <c r="D807" s="18" t="s">
        <v>172</v>
      </c>
      <c r="E807" s="31" t="n">
        <f aca="false">E806</f>
        <v>0</v>
      </c>
      <c r="F807" s="28"/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171</v>
      </c>
      <c r="D808" s="18" t="s">
        <v>172</v>
      </c>
      <c r="E808" s="31" t="n">
        <f aca="false">E807</f>
        <v>0</v>
      </c>
      <c r="F808" s="28"/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171</v>
      </c>
      <c r="D809" s="18" t="s">
        <v>172</v>
      </c>
      <c r="E809" s="31" t="n">
        <f aca="false">E808</f>
        <v>0</v>
      </c>
      <c r="F809" s="28"/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171</v>
      </c>
      <c r="D810" s="18" t="s">
        <v>172</v>
      </c>
      <c r="E810" s="31" t="n">
        <f aca="false">E809</f>
        <v>0</v>
      </c>
      <c r="F810" s="28"/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171</v>
      </c>
      <c r="D811" s="18" t="s">
        <v>172</v>
      </c>
      <c r="E811" s="31" t="n">
        <f aca="false">E810</f>
        <v>0</v>
      </c>
      <c r="F811" s="28"/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171</v>
      </c>
      <c r="D812" s="18" t="s">
        <v>172</v>
      </c>
      <c r="E812" s="31" t="n">
        <f aca="false">E811</f>
        <v>0</v>
      </c>
      <c r="F812" s="28"/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171</v>
      </c>
      <c r="D813" s="18" t="s">
        <v>172</v>
      </c>
      <c r="E813" s="31" t="n">
        <f aca="false">E812</f>
        <v>0</v>
      </c>
      <c r="F813" s="28"/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171</v>
      </c>
      <c r="D814" s="18" t="s">
        <v>172</v>
      </c>
      <c r="E814" s="31" t="n">
        <f aca="false">E813</f>
        <v>0</v>
      </c>
      <c r="F814" s="28"/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171</v>
      </c>
      <c r="D815" s="18" t="s">
        <v>172</v>
      </c>
      <c r="E815" s="31" t="n">
        <f aca="false">E814</f>
        <v>0</v>
      </c>
      <c r="F815" s="28"/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171</v>
      </c>
      <c r="D816" s="18" t="s">
        <v>172</v>
      </c>
      <c r="E816" s="31" t="n">
        <f aca="false">E815</f>
        <v>0</v>
      </c>
      <c r="F816" s="28"/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171</v>
      </c>
      <c r="D817" s="18" t="s">
        <v>172</v>
      </c>
      <c r="E817" s="31" t="n">
        <f aca="false">E816</f>
        <v>0</v>
      </c>
      <c r="F817" s="28"/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171</v>
      </c>
      <c r="D818" s="18" t="s">
        <v>172</v>
      </c>
      <c r="E818" s="31" t="n">
        <f aca="false">E817</f>
        <v>0</v>
      </c>
      <c r="F818" s="28"/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171</v>
      </c>
      <c r="D819" s="18" t="s">
        <v>172</v>
      </c>
      <c r="E819" s="31" t="n">
        <f aca="false">E818</f>
        <v>0</v>
      </c>
      <c r="F819" s="28"/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171</v>
      </c>
      <c r="D820" s="18" t="s">
        <v>172</v>
      </c>
      <c r="E820" s="31" t="n">
        <f aca="false">E819</f>
        <v>0</v>
      </c>
      <c r="F820" s="28"/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171</v>
      </c>
      <c r="D821" s="18" t="s">
        <v>172</v>
      </c>
      <c r="E821" s="31" t="n">
        <f aca="false">E820</f>
        <v>0</v>
      </c>
      <c r="F821" s="28"/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171</v>
      </c>
      <c r="D822" s="18" t="s">
        <v>172</v>
      </c>
      <c r="E822" s="31" t="n">
        <f aca="false">E821</f>
        <v>0</v>
      </c>
      <c r="F822" s="28"/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171</v>
      </c>
      <c r="D823" s="18" t="s">
        <v>172</v>
      </c>
      <c r="E823" s="31" t="n">
        <f aca="false">E822</f>
        <v>0</v>
      </c>
      <c r="F823" s="28"/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171</v>
      </c>
      <c r="D824" s="18" t="s">
        <v>172</v>
      </c>
      <c r="E824" s="31" t="n">
        <f aca="false">E823</f>
        <v>0</v>
      </c>
      <c r="F824" s="28"/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171</v>
      </c>
      <c r="D825" s="18" t="s">
        <v>172</v>
      </c>
      <c r="E825" s="31" t="n">
        <f aca="false">E824</f>
        <v>0</v>
      </c>
      <c r="F825" s="28"/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171</v>
      </c>
      <c r="D826" s="18" t="s">
        <v>172</v>
      </c>
      <c r="E826" s="31" t="n">
        <f aca="false">E825</f>
        <v>0</v>
      </c>
      <c r="F826" s="28"/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171</v>
      </c>
      <c r="D827" s="18" t="s">
        <v>172</v>
      </c>
      <c r="E827" s="31" t="n">
        <f aca="false">E826</f>
        <v>0</v>
      </c>
      <c r="F827" s="28"/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171</v>
      </c>
      <c r="D828" s="18" t="s">
        <v>172</v>
      </c>
      <c r="E828" s="31" t="n">
        <f aca="false">E827</f>
        <v>0</v>
      </c>
      <c r="F828" s="28"/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171</v>
      </c>
      <c r="D829" s="18" t="s">
        <v>172</v>
      </c>
      <c r="E829" s="31" t="n">
        <f aca="false">E828</f>
        <v>0</v>
      </c>
      <c r="F829" s="28"/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171</v>
      </c>
      <c r="D830" s="18" t="s">
        <v>172</v>
      </c>
      <c r="E830" s="31" t="n">
        <f aca="false">E829</f>
        <v>0</v>
      </c>
      <c r="F830" s="28"/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171</v>
      </c>
      <c r="D831" s="18" t="s">
        <v>172</v>
      </c>
      <c r="E831" s="31" t="n">
        <f aca="false">E830</f>
        <v>0</v>
      </c>
      <c r="F831" s="28"/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171</v>
      </c>
      <c r="D832" s="18" t="s">
        <v>172</v>
      </c>
      <c r="E832" s="31" t="n">
        <f aca="false">E831</f>
        <v>0</v>
      </c>
      <c r="F832" s="28"/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171</v>
      </c>
      <c r="D833" s="18" t="s">
        <v>172</v>
      </c>
      <c r="E833" s="31" t="n">
        <f aca="false">E832</f>
        <v>0</v>
      </c>
      <c r="F833" s="28"/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171</v>
      </c>
      <c r="D834" s="18" t="s">
        <v>172</v>
      </c>
      <c r="E834" s="31" t="n">
        <f aca="false">E833</f>
        <v>0</v>
      </c>
      <c r="F834" s="28"/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171</v>
      </c>
      <c r="D835" s="18" t="s">
        <v>172</v>
      </c>
      <c r="E835" s="31" t="n">
        <f aca="false">E834</f>
        <v>0</v>
      </c>
      <c r="F835" s="28"/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171</v>
      </c>
      <c r="D836" s="18" t="s">
        <v>172</v>
      </c>
      <c r="E836" s="31" t="n">
        <f aca="false">E835</f>
        <v>0</v>
      </c>
      <c r="F836" s="28"/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171</v>
      </c>
      <c r="D837" s="18" t="s">
        <v>172</v>
      </c>
      <c r="E837" s="31" t="n">
        <f aca="false">E836</f>
        <v>0</v>
      </c>
      <c r="F837" s="28"/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171</v>
      </c>
      <c r="D838" s="18" t="s">
        <v>172</v>
      </c>
      <c r="E838" s="31" t="n">
        <f aca="false">E837</f>
        <v>0</v>
      </c>
      <c r="F838" s="28"/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171</v>
      </c>
      <c r="D839" s="18" t="s">
        <v>172</v>
      </c>
      <c r="E839" s="31" t="n">
        <f aca="false">E838</f>
        <v>0</v>
      </c>
      <c r="F839" s="28"/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171</v>
      </c>
      <c r="D840" s="18" t="s">
        <v>172</v>
      </c>
      <c r="E840" s="31" t="n">
        <f aca="false">E839</f>
        <v>0</v>
      </c>
      <c r="F840" s="28"/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171</v>
      </c>
      <c r="D841" s="18" t="s">
        <v>172</v>
      </c>
      <c r="E841" s="31" t="n">
        <f aca="false">E840</f>
        <v>0</v>
      </c>
      <c r="F841" s="28"/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171</v>
      </c>
      <c r="D842" s="18" t="s">
        <v>172</v>
      </c>
      <c r="E842" s="31" t="n">
        <f aca="false">E841</f>
        <v>0</v>
      </c>
      <c r="F842" s="28"/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171</v>
      </c>
      <c r="D843" s="18" t="s">
        <v>172</v>
      </c>
      <c r="E843" s="31" t="n">
        <f aca="false">E842</f>
        <v>0</v>
      </c>
      <c r="F843" s="28"/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171</v>
      </c>
      <c r="D844" s="18" t="s">
        <v>172</v>
      </c>
      <c r="E844" s="31" t="n">
        <f aca="false">E843</f>
        <v>0</v>
      </c>
      <c r="F844" s="28"/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171</v>
      </c>
      <c r="D845" s="18" t="s">
        <v>172</v>
      </c>
      <c r="E845" s="31" t="n">
        <f aca="false">E844</f>
        <v>0</v>
      </c>
      <c r="F845" s="28"/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171</v>
      </c>
      <c r="D846" s="18" t="s">
        <v>172</v>
      </c>
      <c r="E846" s="31" t="n">
        <f aca="false">E845</f>
        <v>0</v>
      </c>
      <c r="F846" s="28"/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171</v>
      </c>
      <c r="D847" s="18" t="s">
        <v>172</v>
      </c>
      <c r="E847" s="31" t="n">
        <f aca="false">E846</f>
        <v>0</v>
      </c>
      <c r="F847" s="28"/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171</v>
      </c>
      <c r="D848" s="18" t="s">
        <v>172</v>
      </c>
      <c r="E848" s="31" t="n">
        <f aca="false">E847</f>
        <v>0</v>
      </c>
      <c r="F848" s="28"/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171</v>
      </c>
      <c r="D849" s="18" t="s">
        <v>172</v>
      </c>
      <c r="E849" s="31" t="n">
        <f aca="false">E848</f>
        <v>0</v>
      </c>
      <c r="F849" s="28"/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171</v>
      </c>
      <c r="D850" s="18" t="s">
        <v>172</v>
      </c>
      <c r="E850" s="31" t="n">
        <f aca="false">E849</f>
        <v>0</v>
      </c>
      <c r="F850" s="28"/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171</v>
      </c>
      <c r="D851" s="18" t="s">
        <v>172</v>
      </c>
      <c r="E851" s="31" t="n">
        <f aca="false">E850</f>
        <v>0</v>
      </c>
      <c r="F851" s="28"/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171</v>
      </c>
      <c r="D852" s="18" t="s">
        <v>172</v>
      </c>
      <c r="E852" s="31" t="n">
        <f aca="false">E851</f>
        <v>0</v>
      </c>
      <c r="F852" s="28"/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171</v>
      </c>
      <c r="D853" s="18" t="s">
        <v>172</v>
      </c>
      <c r="E853" s="31" t="n">
        <f aca="false">E852</f>
        <v>0</v>
      </c>
      <c r="F853" s="28"/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171</v>
      </c>
      <c r="D854" s="18" t="s">
        <v>172</v>
      </c>
      <c r="E854" s="31" t="n">
        <f aca="false">E853</f>
        <v>0</v>
      </c>
      <c r="F854" s="28"/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171</v>
      </c>
      <c r="D855" s="18" t="s">
        <v>172</v>
      </c>
      <c r="E855" s="31" t="n">
        <f aca="false">E854</f>
        <v>0</v>
      </c>
      <c r="F855" s="28"/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171</v>
      </c>
      <c r="D856" s="18" t="s">
        <v>172</v>
      </c>
      <c r="E856" s="31" t="n">
        <f aca="false">E855</f>
        <v>0</v>
      </c>
      <c r="F856" s="28"/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171</v>
      </c>
      <c r="D857" s="18" t="s">
        <v>172</v>
      </c>
      <c r="E857" s="31" t="n">
        <f aca="false">E856</f>
        <v>0</v>
      </c>
      <c r="F857" s="28"/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171</v>
      </c>
      <c r="D858" s="18" t="s">
        <v>172</v>
      </c>
      <c r="E858" s="31" t="n">
        <f aca="false">E857</f>
        <v>0</v>
      </c>
      <c r="F858" s="28"/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171</v>
      </c>
      <c r="D859" s="18" t="s">
        <v>172</v>
      </c>
      <c r="E859" s="31" t="n">
        <f aca="false">E858</f>
        <v>0</v>
      </c>
      <c r="F859" s="28"/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171</v>
      </c>
      <c r="D860" s="18" t="s">
        <v>172</v>
      </c>
      <c r="E860" s="31" t="n">
        <f aca="false">E859</f>
        <v>0</v>
      </c>
      <c r="F860" s="28"/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171</v>
      </c>
      <c r="D861" s="18" t="s">
        <v>172</v>
      </c>
      <c r="E861" s="31" t="n">
        <f aca="false">E860</f>
        <v>0</v>
      </c>
      <c r="F861" s="28"/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171</v>
      </c>
      <c r="D862" s="18" t="s">
        <v>172</v>
      </c>
      <c r="E862" s="31" t="n">
        <f aca="false">E861</f>
        <v>0</v>
      </c>
      <c r="F862" s="28"/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171</v>
      </c>
      <c r="D863" s="18" t="s">
        <v>172</v>
      </c>
      <c r="E863" s="31" t="n">
        <f aca="false">E862</f>
        <v>0</v>
      </c>
      <c r="F863" s="28"/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171</v>
      </c>
      <c r="D864" s="18" t="s">
        <v>172</v>
      </c>
      <c r="E864" s="31" t="n">
        <f aca="false">E863</f>
        <v>0</v>
      </c>
      <c r="F864" s="28"/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171</v>
      </c>
      <c r="D865" s="18" t="s">
        <v>172</v>
      </c>
      <c r="E865" s="31" t="n">
        <f aca="false">E864</f>
        <v>0</v>
      </c>
      <c r="F865" s="28"/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171</v>
      </c>
      <c r="D866" s="18" t="s">
        <v>172</v>
      </c>
      <c r="E866" s="31" t="n">
        <f aca="false">E865</f>
        <v>0</v>
      </c>
      <c r="F866" s="28"/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171</v>
      </c>
      <c r="D867" s="18" t="s">
        <v>172</v>
      </c>
      <c r="E867" s="31" t="n">
        <f aca="false">E866</f>
        <v>0</v>
      </c>
      <c r="F867" s="28"/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171</v>
      </c>
      <c r="D868" s="18" t="s">
        <v>172</v>
      </c>
      <c r="E868" s="31" t="n">
        <f aca="false">E867</f>
        <v>0</v>
      </c>
      <c r="F868" s="28"/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171</v>
      </c>
      <c r="D869" s="18" t="s">
        <v>172</v>
      </c>
      <c r="E869" s="31" t="n">
        <f aca="false">E868</f>
        <v>0</v>
      </c>
      <c r="F869" s="28"/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171</v>
      </c>
      <c r="D870" s="18" t="s">
        <v>172</v>
      </c>
      <c r="E870" s="31" t="n">
        <f aca="false">E869</f>
        <v>0</v>
      </c>
      <c r="F870" s="28"/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171</v>
      </c>
      <c r="D871" s="18" t="s">
        <v>172</v>
      </c>
      <c r="E871" s="31" t="n">
        <f aca="false">E870</f>
        <v>0</v>
      </c>
      <c r="F871" s="28"/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171</v>
      </c>
      <c r="D872" s="18" t="s">
        <v>172</v>
      </c>
      <c r="E872" s="31" t="n">
        <f aca="false">E871</f>
        <v>0</v>
      </c>
      <c r="F872" s="28"/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171</v>
      </c>
      <c r="D873" s="18" t="s">
        <v>172</v>
      </c>
      <c r="E873" s="31" t="n">
        <f aca="false">E872</f>
        <v>0</v>
      </c>
      <c r="F873" s="28"/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171</v>
      </c>
      <c r="D874" s="18" t="s">
        <v>172</v>
      </c>
      <c r="E874" s="31" t="n">
        <f aca="false">E873</f>
        <v>0</v>
      </c>
      <c r="F874" s="28"/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171</v>
      </c>
      <c r="D875" s="18" t="s">
        <v>172</v>
      </c>
      <c r="E875" s="31" t="n">
        <f aca="false">E874</f>
        <v>0</v>
      </c>
      <c r="F875" s="28"/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171</v>
      </c>
      <c r="D876" s="18" t="s">
        <v>172</v>
      </c>
      <c r="E876" s="31" t="n">
        <f aca="false">E875</f>
        <v>0</v>
      </c>
      <c r="F876" s="28"/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171</v>
      </c>
      <c r="D877" s="18" t="s">
        <v>172</v>
      </c>
      <c r="E877" s="31" t="n">
        <f aca="false">E876</f>
        <v>0</v>
      </c>
      <c r="F877" s="28"/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171</v>
      </c>
      <c r="D878" s="18" t="s">
        <v>172</v>
      </c>
      <c r="E878" s="31" t="n">
        <f aca="false">E877</f>
        <v>0</v>
      </c>
      <c r="F878" s="28"/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171</v>
      </c>
      <c r="D879" s="18" t="s">
        <v>172</v>
      </c>
      <c r="E879" s="31" t="n">
        <f aca="false">E878</f>
        <v>0</v>
      </c>
      <c r="F879" s="28"/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171</v>
      </c>
      <c r="D880" s="18" t="s">
        <v>172</v>
      </c>
      <c r="E880" s="31" t="n">
        <f aca="false">E879</f>
        <v>0</v>
      </c>
      <c r="F880" s="28"/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171</v>
      </c>
      <c r="D881" s="18" t="s">
        <v>172</v>
      </c>
      <c r="E881" s="31" t="n">
        <f aca="false">E880</f>
        <v>0</v>
      </c>
      <c r="F881" s="28"/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171</v>
      </c>
      <c r="D882" s="18" t="s">
        <v>172</v>
      </c>
      <c r="E882" s="31" t="n">
        <f aca="false">E881</f>
        <v>0</v>
      </c>
      <c r="F882" s="28"/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171</v>
      </c>
      <c r="D883" s="18" t="s">
        <v>172</v>
      </c>
      <c r="E883" s="31" t="n">
        <f aca="false">E882</f>
        <v>0</v>
      </c>
      <c r="F883" s="28"/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171</v>
      </c>
      <c r="D884" s="18" t="s">
        <v>172</v>
      </c>
      <c r="E884" s="31" t="n">
        <f aca="false">E883</f>
        <v>0</v>
      </c>
      <c r="F884" s="28"/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171</v>
      </c>
      <c r="D885" s="18" t="s">
        <v>172</v>
      </c>
      <c r="E885" s="31" t="n">
        <f aca="false">E884</f>
        <v>0</v>
      </c>
      <c r="F885" s="28"/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171</v>
      </c>
      <c r="D886" s="18" t="s">
        <v>172</v>
      </c>
      <c r="E886" s="31" t="n">
        <f aca="false">E885</f>
        <v>0</v>
      </c>
      <c r="F886" s="28"/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171</v>
      </c>
      <c r="D887" s="18" t="s">
        <v>172</v>
      </c>
      <c r="E887" s="31" t="n">
        <f aca="false">E886</f>
        <v>0</v>
      </c>
      <c r="F887" s="28"/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171</v>
      </c>
      <c r="D888" s="18" t="s">
        <v>172</v>
      </c>
      <c r="E888" s="31" t="n">
        <f aca="false">E887</f>
        <v>0</v>
      </c>
      <c r="F888" s="28"/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171</v>
      </c>
      <c r="D889" s="18" t="s">
        <v>172</v>
      </c>
      <c r="E889" s="31" t="n">
        <f aca="false">E888</f>
        <v>0</v>
      </c>
      <c r="F889" s="28"/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171</v>
      </c>
      <c r="D890" s="18" t="s">
        <v>172</v>
      </c>
      <c r="E890" s="31" t="n">
        <f aca="false">E889</f>
        <v>0</v>
      </c>
      <c r="F890" s="28"/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171</v>
      </c>
      <c r="D891" s="18" t="s">
        <v>172</v>
      </c>
      <c r="E891" s="31" t="n">
        <f aca="false">E890</f>
        <v>0</v>
      </c>
      <c r="F891" s="28"/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171</v>
      </c>
      <c r="D892" s="18" t="s">
        <v>172</v>
      </c>
      <c r="E892" s="31" t="n">
        <f aca="false">E891</f>
        <v>0</v>
      </c>
      <c r="F892" s="28"/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171</v>
      </c>
      <c r="D893" s="18" t="s">
        <v>172</v>
      </c>
      <c r="E893" s="31" t="n">
        <f aca="false">E892</f>
        <v>0</v>
      </c>
      <c r="F893" s="28"/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171</v>
      </c>
      <c r="D894" s="18" t="s">
        <v>172</v>
      </c>
      <c r="E894" s="31" t="n">
        <f aca="false">E893</f>
        <v>0</v>
      </c>
      <c r="F894" s="28"/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171</v>
      </c>
      <c r="D895" s="18" t="s">
        <v>172</v>
      </c>
      <c r="E895" s="31" t="n">
        <f aca="false">E894</f>
        <v>0</v>
      </c>
      <c r="F895" s="28"/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171</v>
      </c>
      <c r="D896" s="18" t="s">
        <v>172</v>
      </c>
      <c r="E896" s="31" t="n">
        <f aca="false">E895</f>
        <v>0</v>
      </c>
      <c r="F896" s="28"/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171</v>
      </c>
      <c r="D897" s="18" t="s">
        <v>172</v>
      </c>
      <c r="E897" s="31" t="n">
        <f aca="false">E896</f>
        <v>0</v>
      </c>
      <c r="F897" s="28"/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171</v>
      </c>
      <c r="D898" s="18" t="s">
        <v>172</v>
      </c>
      <c r="E898" s="31" t="n">
        <f aca="false">E897</f>
        <v>0</v>
      </c>
      <c r="F898" s="28"/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171</v>
      </c>
      <c r="D899" s="18" t="s">
        <v>172</v>
      </c>
      <c r="E899" s="31" t="n">
        <f aca="false">E898</f>
        <v>0</v>
      </c>
      <c r="F899" s="28"/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171</v>
      </c>
      <c r="D900" s="18" t="s">
        <v>172</v>
      </c>
      <c r="E900" s="31" t="n">
        <f aca="false">E899</f>
        <v>0</v>
      </c>
      <c r="F900" s="28"/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171</v>
      </c>
      <c r="D901" s="18" t="s">
        <v>172</v>
      </c>
      <c r="E901" s="31" t="n">
        <f aca="false">E900</f>
        <v>0</v>
      </c>
      <c r="F901" s="28"/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171</v>
      </c>
      <c r="D902" s="18" t="s">
        <v>172</v>
      </c>
      <c r="E902" s="31" t="n">
        <f aca="false">E901</f>
        <v>0</v>
      </c>
      <c r="F902" s="28"/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171</v>
      </c>
      <c r="D903" s="18" t="s">
        <v>172</v>
      </c>
      <c r="E903" s="31" t="n">
        <f aca="false">E902</f>
        <v>0</v>
      </c>
      <c r="F903" s="28"/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171</v>
      </c>
      <c r="D904" s="18" t="s">
        <v>172</v>
      </c>
      <c r="E904" s="31" t="n">
        <f aca="false">E903</f>
        <v>0</v>
      </c>
      <c r="F904" s="28"/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171</v>
      </c>
      <c r="D905" s="18" t="s">
        <v>172</v>
      </c>
      <c r="E905" s="31" t="n">
        <f aca="false">E904</f>
        <v>0</v>
      </c>
      <c r="F905" s="28"/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171</v>
      </c>
      <c r="D906" s="18" t="s">
        <v>172</v>
      </c>
      <c r="E906" s="31" t="n">
        <f aca="false">E905</f>
        <v>0</v>
      </c>
      <c r="F906" s="28"/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171</v>
      </c>
      <c r="D907" s="18" t="s">
        <v>172</v>
      </c>
      <c r="E907" s="31" t="n">
        <f aca="false">E906</f>
        <v>0</v>
      </c>
      <c r="F907" s="28"/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171</v>
      </c>
      <c r="D908" s="18" t="s">
        <v>172</v>
      </c>
      <c r="E908" s="31" t="n">
        <f aca="false">E907</f>
        <v>0</v>
      </c>
      <c r="F908" s="28"/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171</v>
      </c>
      <c r="D909" s="18" t="s">
        <v>172</v>
      </c>
      <c r="E909" s="31" t="n">
        <f aca="false">E908</f>
        <v>0</v>
      </c>
      <c r="F909" s="28"/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171</v>
      </c>
      <c r="D910" s="18" t="s">
        <v>172</v>
      </c>
      <c r="E910" s="31" t="n">
        <f aca="false">E909</f>
        <v>0</v>
      </c>
      <c r="F910" s="28"/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171</v>
      </c>
      <c r="D911" s="18" t="s">
        <v>172</v>
      </c>
      <c r="E911" s="31" t="n">
        <f aca="false">E910</f>
        <v>0</v>
      </c>
      <c r="F911" s="28"/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171</v>
      </c>
      <c r="D912" s="18" t="s">
        <v>172</v>
      </c>
      <c r="E912" s="31" t="n">
        <f aca="false">E911</f>
        <v>0</v>
      </c>
      <c r="F912" s="28"/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171</v>
      </c>
      <c r="D913" s="18" t="s">
        <v>172</v>
      </c>
      <c r="E913" s="31" t="n">
        <f aca="false">E912</f>
        <v>0</v>
      </c>
      <c r="F913" s="28"/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171</v>
      </c>
      <c r="D914" s="18" t="s">
        <v>172</v>
      </c>
      <c r="E914" s="31" t="n">
        <f aca="false">E913</f>
        <v>0</v>
      </c>
      <c r="F914" s="28"/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171</v>
      </c>
      <c r="D915" s="18" t="s">
        <v>172</v>
      </c>
      <c r="E915" s="31" t="n">
        <f aca="false">E914</f>
        <v>0</v>
      </c>
      <c r="F915" s="28"/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171</v>
      </c>
      <c r="D916" s="18" t="s">
        <v>172</v>
      </c>
      <c r="E916" s="31" t="n">
        <f aca="false">E915</f>
        <v>0</v>
      </c>
      <c r="F916" s="28"/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171</v>
      </c>
      <c r="D917" s="18" t="s">
        <v>172</v>
      </c>
      <c r="E917" s="31" t="n">
        <f aca="false">E916</f>
        <v>0</v>
      </c>
      <c r="F917" s="28"/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171</v>
      </c>
      <c r="D918" s="18" t="s">
        <v>172</v>
      </c>
      <c r="E918" s="31" t="n">
        <f aca="false">E917</f>
        <v>0</v>
      </c>
      <c r="F918" s="28"/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171</v>
      </c>
      <c r="D919" s="18" t="s">
        <v>172</v>
      </c>
      <c r="E919" s="31" t="n">
        <f aca="false">E918</f>
        <v>0</v>
      </c>
      <c r="F919" s="28"/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171</v>
      </c>
      <c r="D920" s="18" t="s">
        <v>172</v>
      </c>
      <c r="E920" s="31" t="n">
        <f aca="false">E919</f>
        <v>0</v>
      </c>
      <c r="F920" s="28"/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171</v>
      </c>
      <c r="D921" s="18" t="s">
        <v>172</v>
      </c>
      <c r="E921" s="31" t="n">
        <f aca="false">E920</f>
        <v>0</v>
      </c>
      <c r="F921" s="28"/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171</v>
      </c>
      <c r="D922" s="18" t="s">
        <v>172</v>
      </c>
      <c r="E922" s="31" t="n">
        <f aca="false">E921</f>
        <v>0</v>
      </c>
      <c r="F922" s="28"/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171</v>
      </c>
      <c r="D923" s="18" t="s">
        <v>172</v>
      </c>
      <c r="E923" s="31" t="n">
        <f aca="false">E922</f>
        <v>0</v>
      </c>
      <c r="F923" s="28"/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171</v>
      </c>
      <c r="D924" s="18" t="s">
        <v>172</v>
      </c>
      <c r="E924" s="31" t="n">
        <f aca="false">E923</f>
        <v>0</v>
      </c>
      <c r="F924" s="28"/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171</v>
      </c>
      <c r="D925" s="18" t="s">
        <v>172</v>
      </c>
      <c r="E925" s="31" t="n">
        <f aca="false">E924</f>
        <v>0</v>
      </c>
      <c r="F925" s="28"/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171</v>
      </c>
      <c r="D926" s="18" t="s">
        <v>172</v>
      </c>
      <c r="E926" s="31" t="n">
        <f aca="false">E925</f>
        <v>0</v>
      </c>
      <c r="F926" s="28"/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171</v>
      </c>
      <c r="D927" s="18" t="s">
        <v>172</v>
      </c>
      <c r="E927" s="31" t="n">
        <f aca="false">E926</f>
        <v>0</v>
      </c>
      <c r="F927" s="28"/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171</v>
      </c>
      <c r="D928" s="18" t="s">
        <v>172</v>
      </c>
      <c r="E928" s="31" t="n">
        <f aca="false">E927</f>
        <v>0</v>
      </c>
      <c r="F928" s="28"/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171</v>
      </c>
      <c r="D929" s="18" t="s">
        <v>172</v>
      </c>
      <c r="E929" s="31" t="n">
        <f aca="false">E928</f>
        <v>0</v>
      </c>
      <c r="F929" s="28"/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171</v>
      </c>
      <c r="D930" s="18" t="s">
        <v>172</v>
      </c>
      <c r="E930" s="31" t="n">
        <f aca="false">E929</f>
        <v>0</v>
      </c>
      <c r="F930" s="28"/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171</v>
      </c>
      <c r="D931" s="18" t="s">
        <v>172</v>
      </c>
      <c r="E931" s="31" t="n">
        <f aca="false">E930</f>
        <v>0</v>
      </c>
      <c r="F931" s="28"/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171</v>
      </c>
      <c r="D932" s="18" t="s">
        <v>172</v>
      </c>
      <c r="E932" s="31" t="n">
        <f aca="false">E931</f>
        <v>0</v>
      </c>
      <c r="F932" s="28"/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171</v>
      </c>
      <c r="D933" s="18" t="s">
        <v>172</v>
      </c>
      <c r="E933" s="31" t="n">
        <f aca="false">E932</f>
        <v>0</v>
      </c>
      <c r="F933" s="28"/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171</v>
      </c>
      <c r="D934" s="18" t="s">
        <v>172</v>
      </c>
      <c r="E934" s="31" t="n">
        <f aca="false">E933</f>
        <v>0</v>
      </c>
      <c r="F934" s="28"/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171</v>
      </c>
      <c r="D935" s="18" t="s">
        <v>172</v>
      </c>
      <c r="E935" s="31" t="n">
        <f aca="false">E934</f>
        <v>0</v>
      </c>
      <c r="F935" s="28"/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171</v>
      </c>
      <c r="D936" s="18" t="s">
        <v>172</v>
      </c>
      <c r="E936" s="31" t="n">
        <f aca="false">E935</f>
        <v>0</v>
      </c>
      <c r="F936" s="28"/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171</v>
      </c>
      <c r="D937" s="18" t="s">
        <v>172</v>
      </c>
      <c r="E937" s="31" t="n">
        <f aca="false">E936</f>
        <v>0</v>
      </c>
      <c r="F937" s="28"/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171</v>
      </c>
      <c r="D938" s="18" t="s">
        <v>172</v>
      </c>
      <c r="E938" s="31" t="n">
        <f aca="false">E937</f>
        <v>0</v>
      </c>
      <c r="F938" s="28"/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171</v>
      </c>
      <c r="D939" s="18" t="s">
        <v>172</v>
      </c>
      <c r="E939" s="31" t="n">
        <f aca="false">E938</f>
        <v>0</v>
      </c>
      <c r="F939" s="28"/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171</v>
      </c>
      <c r="D940" s="18" t="s">
        <v>172</v>
      </c>
      <c r="E940" s="31" t="n">
        <f aca="false">E939</f>
        <v>0</v>
      </c>
      <c r="F940" s="28"/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171</v>
      </c>
      <c r="D941" s="18" t="s">
        <v>172</v>
      </c>
      <c r="E941" s="31" t="n">
        <f aca="false">E940</f>
        <v>0</v>
      </c>
      <c r="F941" s="28"/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171</v>
      </c>
      <c r="D942" s="18" t="s">
        <v>172</v>
      </c>
      <c r="E942" s="31" t="n">
        <f aca="false">E941</f>
        <v>0</v>
      </c>
      <c r="F942" s="28"/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171</v>
      </c>
      <c r="D943" s="18" t="s">
        <v>172</v>
      </c>
      <c r="E943" s="31" t="n">
        <f aca="false">E942</f>
        <v>0</v>
      </c>
      <c r="F943" s="28"/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171</v>
      </c>
      <c r="D944" s="18" t="s">
        <v>172</v>
      </c>
      <c r="E944" s="31" t="n">
        <f aca="false">E943</f>
        <v>0</v>
      </c>
      <c r="F944" s="28"/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171</v>
      </c>
      <c r="D945" s="18" t="s">
        <v>172</v>
      </c>
      <c r="E945" s="31" t="n">
        <f aca="false">E944</f>
        <v>0</v>
      </c>
      <c r="F945" s="28"/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171</v>
      </c>
      <c r="D946" s="18" t="s">
        <v>172</v>
      </c>
      <c r="E946" s="31" t="n">
        <f aca="false">E945</f>
        <v>0</v>
      </c>
      <c r="F946" s="28"/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171</v>
      </c>
      <c r="D947" s="18" t="s">
        <v>172</v>
      </c>
      <c r="E947" s="31" t="n">
        <f aca="false">E946</f>
        <v>0</v>
      </c>
      <c r="F947" s="28"/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171</v>
      </c>
      <c r="D948" s="18" t="s">
        <v>172</v>
      </c>
      <c r="E948" s="31" t="n">
        <f aca="false">E947</f>
        <v>0</v>
      </c>
      <c r="F948" s="28"/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171</v>
      </c>
      <c r="D949" s="18" t="s">
        <v>172</v>
      </c>
      <c r="E949" s="31" t="n">
        <f aca="false">E948</f>
        <v>0</v>
      </c>
      <c r="F949" s="28"/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171</v>
      </c>
      <c r="D950" s="18" t="s">
        <v>172</v>
      </c>
      <c r="E950" s="31" t="n">
        <f aca="false">E949</f>
        <v>0</v>
      </c>
      <c r="F950" s="28"/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171</v>
      </c>
      <c r="D951" s="18" t="s">
        <v>172</v>
      </c>
      <c r="E951" s="31" t="n">
        <f aca="false">E950</f>
        <v>0</v>
      </c>
      <c r="F951" s="28"/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171</v>
      </c>
      <c r="D952" s="18" t="s">
        <v>172</v>
      </c>
      <c r="E952" s="31" t="n">
        <f aca="false">E951</f>
        <v>0</v>
      </c>
      <c r="F952" s="28"/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171</v>
      </c>
      <c r="D953" s="18" t="s">
        <v>172</v>
      </c>
      <c r="E953" s="31" t="n">
        <f aca="false">E952</f>
        <v>0</v>
      </c>
      <c r="F953" s="28"/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171</v>
      </c>
      <c r="D954" s="18" t="s">
        <v>172</v>
      </c>
      <c r="E954" s="31" t="n">
        <f aca="false">E953</f>
        <v>0</v>
      </c>
      <c r="F954" s="28"/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171</v>
      </c>
      <c r="D955" s="18" t="s">
        <v>172</v>
      </c>
      <c r="E955" s="31" t="n">
        <f aca="false">E954</f>
        <v>0</v>
      </c>
      <c r="F955" s="28"/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171</v>
      </c>
      <c r="D956" s="18" t="s">
        <v>172</v>
      </c>
      <c r="E956" s="31" t="n">
        <f aca="false">E955</f>
        <v>0</v>
      </c>
      <c r="F956" s="28"/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171</v>
      </c>
      <c r="D957" s="18" t="s">
        <v>172</v>
      </c>
      <c r="E957" s="31" t="n">
        <f aca="false">E956</f>
        <v>0</v>
      </c>
      <c r="F957" s="28"/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171</v>
      </c>
      <c r="D958" s="18" t="s">
        <v>172</v>
      </c>
      <c r="E958" s="31" t="n">
        <f aca="false">E957</f>
        <v>0</v>
      </c>
      <c r="F958" s="28"/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171</v>
      </c>
      <c r="D959" s="18" t="s">
        <v>172</v>
      </c>
      <c r="E959" s="31" t="n">
        <f aca="false">E958</f>
        <v>0</v>
      </c>
      <c r="F959" s="28"/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171</v>
      </c>
      <c r="D960" s="18" t="s">
        <v>172</v>
      </c>
      <c r="E960" s="31" t="n">
        <f aca="false">E959</f>
        <v>0</v>
      </c>
      <c r="F960" s="28"/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171</v>
      </c>
      <c r="D961" s="18" t="s">
        <v>172</v>
      </c>
      <c r="E961" s="31" t="n">
        <f aca="false">E960</f>
        <v>0</v>
      </c>
      <c r="F961" s="28"/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171</v>
      </c>
      <c r="D962" s="18" t="s">
        <v>172</v>
      </c>
      <c r="E962" s="31" t="n">
        <f aca="false">E961</f>
        <v>0</v>
      </c>
      <c r="F962" s="28"/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171</v>
      </c>
      <c r="D963" s="18" t="s">
        <v>172</v>
      </c>
      <c r="E963" s="31" t="n">
        <f aca="false">E962</f>
        <v>0</v>
      </c>
      <c r="F963" s="28"/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171</v>
      </c>
      <c r="D964" s="18" t="s">
        <v>172</v>
      </c>
      <c r="E964" s="31" t="n">
        <f aca="false">E963</f>
        <v>0</v>
      </c>
      <c r="F964" s="28"/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171</v>
      </c>
      <c r="D965" s="18" t="s">
        <v>172</v>
      </c>
      <c r="E965" s="31" t="n">
        <f aca="false">E964</f>
        <v>0</v>
      </c>
      <c r="F965" s="28"/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171</v>
      </c>
      <c r="D966" s="18" t="s">
        <v>172</v>
      </c>
      <c r="E966" s="31" t="n">
        <f aca="false">E965</f>
        <v>0</v>
      </c>
      <c r="F966" s="28"/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171</v>
      </c>
      <c r="D967" s="18" t="s">
        <v>172</v>
      </c>
      <c r="E967" s="31" t="n">
        <f aca="false">E966</f>
        <v>0</v>
      </c>
      <c r="F967" s="28"/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171</v>
      </c>
      <c r="D968" s="18" t="s">
        <v>172</v>
      </c>
      <c r="E968" s="31" t="n">
        <f aca="false">E967</f>
        <v>0</v>
      </c>
      <c r="F968" s="28"/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171</v>
      </c>
      <c r="D969" s="18" t="s">
        <v>172</v>
      </c>
      <c r="E969" s="31" t="n">
        <f aca="false">E968</f>
        <v>0</v>
      </c>
      <c r="F969" s="28"/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171</v>
      </c>
      <c r="D970" s="18" t="s">
        <v>172</v>
      </c>
      <c r="E970" s="31" t="n">
        <f aca="false">E969</f>
        <v>0</v>
      </c>
      <c r="F970" s="28"/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171</v>
      </c>
      <c r="D971" s="18" t="s">
        <v>172</v>
      </c>
      <c r="E971" s="31" t="n">
        <f aca="false">E970</f>
        <v>0</v>
      </c>
      <c r="F971" s="28"/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171</v>
      </c>
      <c r="D972" s="18" t="s">
        <v>172</v>
      </c>
      <c r="E972" s="31" t="n">
        <f aca="false">E971</f>
        <v>0</v>
      </c>
      <c r="F972" s="28"/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171</v>
      </c>
      <c r="D973" s="18" t="s">
        <v>172</v>
      </c>
      <c r="E973" s="31" t="n">
        <f aca="false">E972</f>
        <v>0</v>
      </c>
      <c r="F973" s="28"/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171</v>
      </c>
      <c r="D974" s="18" t="s">
        <v>172</v>
      </c>
      <c r="E974" s="31" t="n">
        <f aca="false">E973</f>
        <v>0</v>
      </c>
      <c r="F974" s="28"/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171</v>
      </c>
      <c r="D975" s="18" t="s">
        <v>172</v>
      </c>
      <c r="E975" s="31" t="n">
        <f aca="false">E974</f>
        <v>0</v>
      </c>
      <c r="F975" s="28"/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171</v>
      </c>
      <c r="D976" s="18" t="s">
        <v>172</v>
      </c>
      <c r="E976" s="31" t="n">
        <f aca="false">E975</f>
        <v>0</v>
      </c>
      <c r="F976" s="28"/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171</v>
      </c>
      <c r="D977" s="18" t="s">
        <v>172</v>
      </c>
      <c r="E977" s="31" t="n">
        <f aca="false">E976</f>
        <v>0</v>
      </c>
      <c r="F977" s="28"/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171</v>
      </c>
      <c r="D978" s="18" t="s">
        <v>172</v>
      </c>
      <c r="E978" s="31" t="n">
        <f aca="false">E977</f>
        <v>0</v>
      </c>
      <c r="F978" s="28"/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171</v>
      </c>
      <c r="D979" s="18" t="s">
        <v>172</v>
      </c>
      <c r="E979" s="31" t="n">
        <f aca="false">E978</f>
        <v>0</v>
      </c>
      <c r="F979" s="28"/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171</v>
      </c>
      <c r="D980" s="18" t="s">
        <v>172</v>
      </c>
      <c r="E980" s="31" t="n">
        <f aca="false">E979</f>
        <v>0</v>
      </c>
      <c r="F980" s="28"/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171</v>
      </c>
      <c r="D981" s="18" t="s">
        <v>172</v>
      </c>
      <c r="E981" s="31" t="n">
        <f aca="false">E980</f>
        <v>0</v>
      </c>
      <c r="F981" s="28"/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171</v>
      </c>
      <c r="D982" s="18" t="s">
        <v>172</v>
      </c>
      <c r="E982" s="31" t="n">
        <f aca="false">E981</f>
        <v>0</v>
      </c>
      <c r="F982" s="28"/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171</v>
      </c>
      <c r="D983" s="18" t="s">
        <v>172</v>
      </c>
      <c r="E983" s="31" t="n">
        <f aca="false">E982</f>
        <v>0</v>
      </c>
      <c r="F983" s="28"/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171</v>
      </c>
      <c r="D984" s="18" t="s">
        <v>172</v>
      </c>
      <c r="E984" s="31" t="n">
        <f aca="false">E983</f>
        <v>0</v>
      </c>
      <c r="F984" s="28"/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171</v>
      </c>
      <c r="D985" s="18" t="s">
        <v>172</v>
      </c>
      <c r="E985" s="31" t="n">
        <f aca="false">E984</f>
        <v>0</v>
      </c>
      <c r="F985" s="28"/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171</v>
      </c>
      <c r="D986" s="18" t="s">
        <v>172</v>
      </c>
      <c r="E986" s="31" t="n">
        <f aca="false">E985</f>
        <v>0</v>
      </c>
      <c r="F986" s="28"/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171</v>
      </c>
      <c r="D987" s="18" t="s">
        <v>172</v>
      </c>
      <c r="E987" s="31" t="n">
        <f aca="false">E986</f>
        <v>0</v>
      </c>
      <c r="F987" s="28"/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171</v>
      </c>
      <c r="D988" s="18" t="s">
        <v>172</v>
      </c>
      <c r="E988" s="31" t="n">
        <f aca="false">E987</f>
        <v>0</v>
      </c>
      <c r="F988" s="28"/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171</v>
      </c>
      <c r="D989" s="18" t="s">
        <v>172</v>
      </c>
      <c r="E989" s="31" t="n">
        <f aca="false">E988</f>
        <v>0</v>
      </c>
      <c r="F989" s="28"/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171</v>
      </c>
      <c r="D990" s="18" t="s">
        <v>172</v>
      </c>
      <c r="E990" s="31" t="n">
        <f aca="false">E989</f>
        <v>0</v>
      </c>
      <c r="F990" s="28"/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171</v>
      </c>
      <c r="D991" s="18" t="s">
        <v>172</v>
      </c>
      <c r="E991" s="31" t="n">
        <f aca="false">E990</f>
        <v>0</v>
      </c>
      <c r="F991" s="28"/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171</v>
      </c>
      <c r="D992" s="18" t="s">
        <v>172</v>
      </c>
      <c r="E992" s="31" t="n">
        <f aca="false">E991</f>
        <v>0</v>
      </c>
      <c r="F992" s="28"/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171</v>
      </c>
      <c r="D993" s="18" t="s">
        <v>172</v>
      </c>
      <c r="E993" s="31" t="n">
        <f aca="false">E992</f>
        <v>0</v>
      </c>
      <c r="F993" s="28"/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171</v>
      </c>
      <c r="D994" s="18" t="s">
        <v>172</v>
      </c>
      <c r="E994" s="31" t="n">
        <f aca="false">E993</f>
        <v>0</v>
      </c>
      <c r="F994" s="28"/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171</v>
      </c>
      <c r="D995" s="18" t="s">
        <v>172</v>
      </c>
      <c r="E995" s="31" t="n">
        <f aca="false">E994</f>
        <v>0</v>
      </c>
      <c r="F995" s="28"/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171</v>
      </c>
      <c r="D996" s="18" t="s">
        <v>172</v>
      </c>
      <c r="E996" s="31" t="n">
        <f aca="false">E995</f>
        <v>0</v>
      </c>
      <c r="F996" s="28"/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171</v>
      </c>
      <c r="D997" s="18" t="s">
        <v>172</v>
      </c>
      <c r="E997" s="31" t="n">
        <f aca="false">E996</f>
        <v>0</v>
      </c>
      <c r="F997" s="28"/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171</v>
      </c>
      <c r="D998" s="18" t="s">
        <v>172</v>
      </c>
      <c r="E998" s="31" t="n">
        <f aca="false">E997</f>
        <v>0</v>
      </c>
      <c r="F998" s="28"/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171</v>
      </c>
      <c r="D999" s="18" t="s">
        <v>172</v>
      </c>
      <c r="E999" s="31" t="n">
        <f aca="false">E998</f>
        <v>0</v>
      </c>
      <c r="F999" s="28"/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171</v>
      </c>
      <c r="D1000" s="18" t="s">
        <v>172</v>
      </c>
      <c r="E1000" s="31" t="n">
        <f aca="false">E999</f>
        <v>0</v>
      </c>
      <c r="F1000" s="28"/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171</v>
      </c>
      <c r="D1001" s="18" t="s">
        <v>172</v>
      </c>
      <c r="E1001" s="31" t="n">
        <f aca="false">E1000</f>
        <v>0</v>
      </c>
      <c r="F1001" s="28"/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171</v>
      </c>
      <c r="D1002" s="18" t="s">
        <v>172</v>
      </c>
      <c r="E1002" s="31" t="n">
        <f aca="false">E1001</f>
        <v>0</v>
      </c>
      <c r="F1002" s="28"/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171</v>
      </c>
      <c r="D1003" s="18" t="s">
        <v>172</v>
      </c>
      <c r="E1003" s="31" t="n">
        <f aca="false">E1002</f>
        <v>0</v>
      </c>
      <c r="F1003" s="28"/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171</v>
      </c>
      <c r="D1004" s="18" t="s">
        <v>172</v>
      </c>
      <c r="E1004" s="31" t="n">
        <f aca="false">E1003</f>
        <v>0</v>
      </c>
      <c r="F1004" s="28"/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171</v>
      </c>
      <c r="D1005" s="18" t="s">
        <v>172</v>
      </c>
      <c r="E1005" s="31" t="n">
        <f aca="false">E1004</f>
        <v>0</v>
      </c>
      <c r="F1005" s="28"/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171</v>
      </c>
      <c r="D1006" s="18" t="s">
        <v>172</v>
      </c>
      <c r="E1006" s="31" t="n">
        <f aca="false">E1005</f>
        <v>0</v>
      </c>
      <c r="F1006" s="28"/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171</v>
      </c>
      <c r="D1007" s="18" t="s">
        <v>172</v>
      </c>
      <c r="E1007" s="31" t="n">
        <f aca="false">E1006</f>
        <v>0</v>
      </c>
      <c r="F1007" s="28"/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171</v>
      </c>
      <c r="D1008" s="18" t="s">
        <v>172</v>
      </c>
      <c r="E1008" s="31" t="n">
        <f aca="false">E1007</f>
        <v>0</v>
      </c>
      <c r="F1008" s="28"/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171</v>
      </c>
      <c r="D1009" s="18" t="s">
        <v>172</v>
      </c>
      <c r="E1009" s="31" t="n">
        <f aca="false">E1008</f>
        <v>0</v>
      </c>
      <c r="F1009" s="28"/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171</v>
      </c>
      <c r="D1010" s="18" t="s">
        <v>172</v>
      </c>
      <c r="E1010" s="31" t="n">
        <f aca="false">E1009</f>
        <v>0</v>
      </c>
      <c r="F1010" s="28"/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171</v>
      </c>
      <c r="D1011" s="18" t="s">
        <v>172</v>
      </c>
      <c r="E1011" s="31" t="n">
        <f aca="false">E1010</f>
        <v>0</v>
      </c>
      <c r="F1011" s="28"/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171</v>
      </c>
      <c r="D1012" s="18" t="s">
        <v>172</v>
      </c>
      <c r="E1012" s="31" t="n">
        <f aca="false">E1011</f>
        <v>0</v>
      </c>
      <c r="F1012" s="28"/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171</v>
      </c>
      <c r="D1013" s="18" t="s">
        <v>172</v>
      </c>
      <c r="E1013" s="31" t="n">
        <f aca="false">E1012</f>
        <v>0</v>
      </c>
      <c r="F1013" s="28"/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171</v>
      </c>
      <c r="D1014" s="18" t="s">
        <v>172</v>
      </c>
      <c r="E1014" s="31" t="n">
        <f aca="false">E1013</f>
        <v>0</v>
      </c>
      <c r="F1014" s="28"/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171</v>
      </c>
      <c r="D1015" s="18" t="s">
        <v>172</v>
      </c>
      <c r="E1015" s="31" t="n">
        <f aca="false">E1014</f>
        <v>0</v>
      </c>
      <c r="F1015" s="28"/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171</v>
      </c>
      <c r="D1016" s="18" t="s">
        <v>172</v>
      </c>
      <c r="E1016" s="31" t="n">
        <f aca="false">E1015</f>
        <v>0</v>
      </c>
      <c r="F1016" s="28"/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171</v>
      </c>
      <c r="D1017" s="18" t="s">
        <v>172</v>
      </c>
      <c r="E1017" s="31" t="n">
        <f aca="false">E1016</f>
        <v>0</v>
      </c>
      <c r="F1017" s="28"/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171</v>
      </c>
      <c r="D1018" s="18" t="s">
        <v>172</v>
      </c>
      <c r="E1018" s="31" t="n">
        <f aca="false">E1017</f>
        <v>0</v>
      </c>
      <c r="F1018" s="28"/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171</v>
      </c>
      <c r="D1019" s="18" t="s">
        <v>172</v>
      </c>
      <c r="E1019" s="31" t="n">
        <f aca="false">E1018</f>
        <v>0</v>
      </c>
      <c r="F1019" s="28"/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171</v>
      </c>
      <c r="D1020" s="18" t="s">
        <v>172</v>
      </c>
      <c r="E1020" s="31" t="n">
        <f aca="false">E1019</f>
        <v>0</v>
      </c>
      <c r="F1020" s="28"/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171</v>
      </c>
      <c r="D1021" s="18" t="s">
        <v>172</v>
      </c>
      <c r="E1021" s="31" t="n">
        <f aca="false">E1020</f>
        <v>0</v>
      </c>
      <c r="F1021" s="28"/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171</v>
      </c>
      <c r="D1022" s="18" t="s">
        <v>172</v>
      </c>
      <c r="E1022" s="31" t="n">
        <f aca="false">E1021</f>
        <v>0</v>
      </c>
      <c r="F1022" s="28"/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171</v>
      </c>
      <c r="D1023" s="18" t="s">
        <v>172</v>
      </c>
      <c r="E1023" s="31" t="n">
        <f aca="false">E1022</f>
        <v>0</v>
      </c>
      <c r="F1023" s="28"/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171</v>
      </c>
      <c r="D1024" s="18" t="s">
        <v>172</v>
      </c>
      <c r="E1024" s="31" t="n">
        <f aca="false">E1023</f>
        <v>0</v>
      </c>
      <c r="F1024" s="28"/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171</v>
      </c>
      <c r="D1025" s="18" t="s">
        <v>172</v>
      </c>
      <c r="E1025" s="31" t="n">
        <f aca="false">E1024</f>
        <v>0</v>
      </c>
      <c r="F1025" s="28"/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171</v>
      </c>
      <c r="D1026" s="18" t="s">
        <v>172</v>
      </c>
      <c r="E1026" s="31" t="n">
        <f aca="false">E1025</f>
        <v>0</v>
      </c>
      <c r="F1026" s="28"/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171</v>
      </c>
      <c r="D1027" s="18" t="s">
        <v>172</v>
      </c>
      <c r="E1027" s="31" t="n">
        <f aca="false">E1026</f>
        <v>0</v>
      </c>
      <c r="F1027" s="28"/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171</v>
      </c>
      <c r="D1028" s="18" t="s">
        <v>172</v>
      </c>
      <c r="E1028" s="31" t="n">
        <f aca="false">E1027</f>
        <v>0</v>
      </c>
      <c r="F1028" s="28"/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171</v>
      </c>
      <c r="D1029" s="18" t="s">
        <v>172</v>
      </c>
      <c r="E1029" s="31" t="n">
        <f aca="false">E1028</f>
        <v>0</v>
      </c>
      <c r="F1029" s="28"/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171</v>
      </c>
      <c r="D1030" s="18" t="s">
        <v>172</v>
      </c>
      <c r="E1030" s="31" t="n">
        <f aca="false">E1029</f>
        <v>0</v>
      </c>
      <c r="F1030" s="28"/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171</v>
      </c>
      <c r="D1031" s="18" t="s">
        <v>172</v>
      </c>
      <c r="E1031" s="31" t="n">
        <f aca="false">E1030</f>
        <v>0</v>
      </c>
      <c r="F1031" s="28"/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171</v>
      </c>
      <c r="D1032" s="18" t="s">
        <v>172</v>
      </c>
      <c r="E1032" s="31" t="n">
        <f aca="false">E1031</f>
        <v>0</v>
      </c>
      <c r="F1032" s="28"/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171</v>
      </c>
      <c r="D1033" s="18" t="s">
        <v>172</v>
      </c>
      <c r="E1033" s="31" t="n">
        <f aca="false">E1032</f>
        <v>0</v>
      </c>
      <c r="F1033" s="28"/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171</v>
      </c>
      <c r="D1034" s="18" t="s">
        <v>172</v>
      </c>
      <c r="E1034" s="31" t="n">
        <f aca="false">E1033</f>
        <v>0</v>
      </c>
      <c r="F1034" s="28"/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171</v>
      </c>
      <c r="D1035" s="18" t="s">
        <v>172</v>
      </c>
      <c r="E1035" s="31" t="n">
        <f aca="false">E1034</f>
        <v>0</v>
      </c>
      <c r="F1035" s="28"/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171</v>
      </c>
      <c r="D1036" s="18" t="s">
        <v>172</v>
      </c>
      <c r="E1036" s="31" t="n">
        <f aca="false">E1035</f>
        <v>0</v>
      </c>
      <c r="F1036" s="28"/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171</v>
      </c>
      <c r="D1037" s="18" t="s">
        <v>172</v>
      </c>
      <c r="E1037" s="31" t="n">
        <f aca="false">E1036</f>
        <v>0</v>
      </c>
      <c r="F1037" s="28"/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171</v>
      </c>
      <c r="D1038" s="18" t="s">
        <v>172</v>
      </c>
      <c r="E1038" s="31" t="n">
        <f aca="false">E1037</f>
        <v>0</v>
      </c>
      <c r="F1038" s="28"/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171</v>
      </c>
      <c r="D1039" s="18" t="s">
        <v>172</v>
      </c>
      <c r="E1039" s="31" t="n">
        <f aca="false">E1038</f>
        <v>0</v>
      </c>
      <c r="F1039" s="28"/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171</v>
      </c>
      <c r="D1040" s="18" t="s">
        <v>172</v>
      </c>
      <c r="E1040" s="31" t="n">
        <f aca="false">E1039</f>
        <v>0</v>
      </c>
      <c r="F1040" s="28"/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171</v>
      </c>
      <c r="D1041" s="18" t="s">
        <v>172</v>
      </c>
      <c r="E1041" s="31" t="n">
        <f aca="false">E1040</f>
        <v>0</v>
      </c>
      <c r="F1041" s="28"/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171</v>
      </c>
      <c r="D1042" s="18" t="s">
        <v>172</v>
      </c>
      <c r="E1042" s="31" t="n">
        <f aca="false">E1041</f>
        <v>0</v>
      </c>
      <c r="F1042" s="28"/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171</v>
      </c>
      <c r="D1043" s="18" t="s">
        <v>172</v>
      </c>
      <c r="E1043" s="31" t="n">
        <f aca="false">E1042</f>
        <v>0</v>
      </c>
      <c r="F1043" s="28"/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171</v>
      </c>
      <c r="D1044" s="18" t="s">
        <v>172</v>
      </c>
      <c r="E1044" s="31" t="n">
        <f aca="false">E1043</f>
        <v>0</v>
      </c>
      <c r="F1044" s="28"/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171</v>
      </c>
      <c r="D1045" s="18" t="s">
        <v>172</v>
      </c>
      <c r="E1045" s="31" t="n">
        <f aca="false">E1044</f>
        <v>0</v>
      </c>
      <c r="F1045" s="28"/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171</v>
      </c>
      <c r="D1046" s="18" t="s">
        <v>172</v>
      </c>
      <c r="E1046" s="31" t="n">
        <f aca="false">E1045</f>
        <v>0</v>
      </c>
      <c r="F1046" s="28"/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171</v>
      </c>
      <c r="D1047" s="18" t="s">
        <v>172</v>
      </c>
      <c r="E1047" s="31" t="n">
        <f aca="false">E1046</f>
        <v>0</v>
      </c>
      <c r="F1047" s="28"/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171</v>
      </c>
      <c r="D1048" s="18" t="s">
        <v>172</v>
      </c>
      <c r="E1048" s="31" t="n">
        <f aca="false">E1047</f>
        <v>0</v>
      </c>
      <c r="F1048" s="28"/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171</v>
      </c>
      <c r="D1049" s="18" t="s">
        <v>172</v>
      </c>
      <c r="E1049" s="31" t="n">
        <f aca="false">E1048</f>
        <v>0</v>
      </c>
      <c r="F1049" s="28"/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171</v>
      </c>
      <c r="D1050" s="18" t="s">
        <v>172</v>
      </c>
      <c r="E1050" s="31" t="n">
        <f aca="false">E1049</f>
        <v>0</v>
      </c>
      <c r="F1050" s="28"/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171</v>
      </c>
      <c r="D1051" s="18" t="s">
        <v>172</v>
      </c>
      <c r="E1051" s="31" t="n">
        <f aca="false">E1050</f>
        <v>0</v>
      </c>
      <c r="F1051" s="28"/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171</v>
      </c>
      <c r="D1052" s="18" t="s">
        <v>172</v>
      </c>
      <c r="E1052" s="31" t="n">
        <f aca="false">E1051</f>
        <v>0</v>
      </c>
      <c r="F1052" s="28"/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171</v>
      </c>
      <c r="D1053" s="18" t="s">
        <v>172</v>
      </c>
      <c r="E1053" s="31" t="n">
        <f aca="false">E1052</f>
        <v>0</v>
      </c>
      <c r="F1053" s="28"/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171</v>
      </c>
      <c r="D1054" s="18" t="s">
        <v>172</v>
      </c>
      <c r="E1054" s="31" t="n">
        <f aca="false">E1053</f>
        <v>0</v>
      </c>
      <c r="F1054" s="28"/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171</v>
      </c>
      <c r="D1055" s="18" t="s">
        <v>172</v>
      </c>
      <c r="E1055" s="31" t="n">
        <f aca="false">E1054</f>
        <v>0</v>
      </c>
      <c r="F1055" s="28"/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171</v>
      </c>
      <c r="D1056" s="18" t="s">
        <v>172</v>
      </c>
      <c r="E1056" s="31" t="n">
        <f aca="false">E1055</f>
        <v>0</v>
      </c>
      <c r="F1056" s="28"/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171</v>
      </c>
      <c r="D1057" s="18" t="s">
        <v>172</v>
      </c>
      <c r="E1057" s="31" t="n">
        <f aca="false">E1056</f>
        <v>0</v>
      </c>
      <c r="F1057" s="28"/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171</v>
      </c>
      <c r="D1058" s="18" t="s">
        <v>172</v>
      </c>
      <c r="E1058" s="31" t="n">
        <f aca="false">E1057</f>
        <v>0</v>
      </c>
      <c r="F1058" s="28"/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171</v>
      </c>
      <c r="D1059" s="18" t="s">
        <v>172</v>
      </c>
      <c r="E1059" s="31" t="n">
        <f aca="false">E1058</f>
        <v>0</v>
      </c>
      <c r="F1059" s="28"/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171</v>
      </c>
      <c r="D1060" s="18" t="s">
        <v>172</v>
      </c>
      <c r="E1060" s="31" t="n">
        <f aca="false">E1059</f>
        <v>0</v>
      </c>
      <c r="F1060" s="28"/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171</v>
      </c>
      <c r="D1061" s="18" t="s">
        <v>172</v>
      </c>
      <c r="E1061" s="31" t="n">
        <f aca="false">E1060</f>
        <v>0</v>
      </c>
      <c r="F1061" s="28"/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171</v>
      </c>
      <c r="D1062" s="18" t="s">
        <v>172</v>
      </c>
      <c r="E1062" s="31" t="n">
        <f aca="false">E1061</f>
        <v>0</v>
      </c>
      <c r="F1062" s="28"/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171</v>
      </c>
      <c r="D1063" s="18" t="s">
        <v>172</v>
      </c>
      <c r="E1063" s="31" t="n">
        <f aca="false">E1062</f>
        <v>0</v>
      </c>
      <c r="F1063" s="28"/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171</v>
      </c>
      <c r="D1064" s="18" t="s">
        <v>172</v>
      </c>
      <c r="E1064" s="31" t="n">
        <f aca="false">E1063</f>
        <v>0</v>
      </c>
      <c r="F1064" s="28"/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171</v>
      </c>
      <c r="D1065" s="18" t="s">
        <v>172</v>
      </c>
      <c r="E1065" s="31" t="n">
        <f aca="false">E1064</f>
        <v>0</v>
      </c>
      <c r="F1065" s="28"/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171</v>
      </c>
      <c r="D1066" s="18" t="s">
        <v>172</v>
      </c>
      <c r="E1066" s="31" t="n">
        <f aca="false">E1065</f>
        <v>0</v>
      </c>
      <c r="F1066" s="28"/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171</v>
      </c>
      <c r="D1067" s="18" t="s">
        <v>172</v>
      </c>
      <c r="E1067" s="31" t="n">
        <f aca="false">E1066</f>
        <v>0</v>
      </c>
      <c r="F1067" s="28"/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171</v>
      </c>
      <c r="D1068" s="18" t="s">
        <v>172</v>
      </c>
      <c r="E1068" s="31" t="n">
        <f aca="false">E1067</f>
        <v>0</v>
      </c>
      <c r="F1068" s="28"/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171</v>
      </c>
      <c r="D1069" s="18" t="s">
        <v>172</v>
      </c>
      <c r="E1069" s="31" t="n">
        <f aca="false">E1068</f>
        <v>0</v>
      </c>
      <c r="F1069" s="28"/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171</v>
      </c>
      <c r="D1070" s="18" t="s">
        <v>172</v>
      </c>
      <c r="E1070" s="31" t="n">
        <f aca="false">E1069</f>
        <v>0</v>
      </c>
      <c r="F1070" s="28"/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171</v>
      </c>
      <c r="D1071" s="18" t="s">
        <v>172</v>
      </c>
      <c r="E1071" s="31" t="n">
        <f aca="false">E1070</f>
        <v>0</v>
      </c>
      <c r="F1071" s="28"/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171</v>
      </c>
      <c r="D1072" s="18" t="s">
        <v>172</v>
      </c>
      <c r="E1072" s="31" t="n">
        <f aca="false">E1071</f>
        <v>0</v>
      </c>
      <c r="F1072" s="28"/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171</v>
      </c>
      <c r="D1073" s="18" t="s">
        <v>172</v>
      </c>
      <c r="E1073" s="31" t="n">
        <f aca="false">E1072</f>
        <v>0</v>
      </c>
      <c r="F1073" s="28"/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171</v>
      </c>
      <c r="D1074" s="18" t="s">
        <v>172</v>
      </c>
      <c r="E1074" s="31" t="n">
        <f aca="false">E1073</f>
        <v>0</v>
      </c>
      <c r="F1074" s="28"/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171</v>
      </c>
      <c r="D1075" s="18" t="s">
        <v>172</v>
      </c>
      <c r="E1075" s="31" t="n">
        <f aca="false">E1074</f>
        <v>0</v>
      </c>
      <c r="F1075" s="28"/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171</v>
      </c>
      <c r="D1076" s="18" t="s">
        <v>172</v>
      </c>
      <c r="E1076" s="31" t="n">
        <f aca="false">E1075</f>
        <v>0</v>
      </c>
      <c r="F1076" s="28"/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171</v>
      </c>
      <c r="D1077" s="18" t="s">
        <v>172</v>
      </c>
      <c r="E1077" s="31" t="n">
        <f aca="false">E1076</f>
        <v>0</v>
      </c>
      <c r="F1077" s="28"/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171</v>
      </c>
      <c r="D1078" s="18" t="s">
        <v>172</v>
      </c>
      <c r="E1078" s="31" t="n">
        <f aca="false">E1077</f>
        <v>0</v>
      </c>
      <c r="F1078" s="28"/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171</v>
      </c>
      <c r="D1079" s="18" t="s">
        <v>172</v>
      </c>
      <c r="E1079" s="31" t="n">
        <f aca="false">E1078</f>
        <v>0</v>
      </c>
      <c r="F1079" s="28"/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171</v>
      </c>
      <c r="D1080" s="18" t="s">
        <v>172</v>
      </c>
      <c r="E1080" s="31" t="n">
        <f aca="false">E1079</f>
        <v>0</v>
      </c>
      <c r="F1080" s="28"/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171</v>
      </c>
      <c r="D1081" s="18" t="s">
        <v>172</v>
      </c>
      <c r="E1081" s="31" t="n">
        <f aca="false">E1080</f>
        <v>0</v>
      </c>
      <c r="F1081" s="28"/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171</v>
      </c>
      <c r="D1082" s="18" t="s">
        <v>172</v>
      </c>
      <c r="E1082" s="31" t="n">
        <f aca="false">E1081</f>
        <v>0</v>
      </c>
      <c r="F1082" s="28"/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171</v>
      </c>
      <c r="D1083" s="18" t="s">
        <v>172</v>
      </c>
      <c r="E1083" s="31" t="n">
        <f aca="false">E1082</f>
        <v>0</v>
      </c>
      <c r="F1083" s="28"/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171</v>
      </c>
      <c r="D1084" s="18" t="s">
        <v>172</v>
      </c>
      <c r="E1084" s="31" t="n">
        <f aca="false">E1083</f>
        <v>0</v>
      </c>
      <c r="F1084" s="28"/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171</v>
      </c>
      <c r="D1085" s="18" t="s">
        <v>172</v>
      </c>
      <c r="E1085" s="31" t="n">
        <f aca="false">E1084</f>
        <v>0</v>
      </c>
      <c r="F1085" s="28"/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171</v>
      </c>
      <c r="D1086" s="18" t="s">
        <v>172</v>
      </c>
      <c r="E1086" s="31" t="n">
        <f aca="false">E1085</f>
        <v>0</v>
      </c>
      <c r="F1086" s="28"/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171</v>
      </c>
      <c r="D1087" s="18" t="s">
        <v>172</v>
      </c>
      <c r="E1087" s="31" t="n">
        <f aca="false">E1086</f>
        <v>0</v>
      </c>
      <c r="F1087" s="28"/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171</v>
      </c>
      <c r="D1088" s="18" t="s">
        <v>172</v>
      </c>
      <c r="E1088" s="31" t="n">
        <f aca="false">E1087</f>
        <v>0</v>
      </c>
      <c r="F1088" s="28"/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171</v>
      </c>
      <c r="D1089" s="18" t="s">
        <v>172</v>
      </c>
      <c r="E1089" s="31" t="n">
        <f aca="false">E1088</f>
        <v>0</v>
      </c>
      <c r="F1089" s="28"/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171</v>
      </c>
      <c r="D1090" s="18" t="s">
        <v>172</v>
      </c>
      <c r="E1090" s="31" t="n">
        <f aca="false">E1089</f>
        <v>0</v>
      </c>
      <c r="F1090" s="28"/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171</v>
      </c>
      <c r="D1091" s="18" t="s">
        <v>172</v>
      </c>
      <c r="E1091" s="31" t="n">
        <f aca="false">E1090</f>
        <v>0</v>
      </c>
      <c r="F1091" s="28"/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171</v>
      </c>
      <c r="D1092" s="18" t="s">
        <v>172</v>
      </c>
      <c r="E1092" s="31" t="n">
        <f aca="false">E1091</f>
        <v>0</v>
      </c>
      <c r="F1092" s="28"/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171</v>
      </c>
      <c r="D1093" s="18" t="s">
        <v>172</v>
      </c>
      <c r="E1093" s="31" t="n">
        <f aca="false">E1092</f>
        <v>0</v>
      </c>
      <c r="F1093" s="28"/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171</v>
      </c>
      <c r="D1094" s="18" t="s">
        <v>172</v>
      </c>
      <c r="E1094" s="31" t="n">
        <f aca="false">E1093</f>
        <v>0</v>
      </c>
      <c r="F1094" s="28"/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171</v>
      </c>
      <c r="D1095" s="18" t="s">
        <v>172</v>
      </c>
      <c r="E1095" s="31" t="n">
        <f aca="false">E1094</f>
        <v>0</v>
      </c>
      <c r="F1095" s="28"/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171</v>
      </c>
      <c r="D1096" s="18" t="s">
        <v>172</v>
      </c>
      <c r="E1096" s="31" t="n">
        <f aca="false">E1095</f>
        <v>0</v>
      </c>
      <c r="F1096" s="28"/>
    </row>
  </sheetData>
  <dataValidations count="1">
    <dataValidation allowBlank="true" error="Pilih salah satu: Amoniak, Urea, NPK" errorStyle="stop" errorTitle="Isian tidak dikenal" operator="between" prompt="Pilih dari daftar" promptTitle="Produk" showDropDown="false" showErrorMessage="true" showInputMessage="false" sqref="D2:D1096" type="list">
      <formula1>"Amoniak,Urea,NPK"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9" t="s">
        <v>164</v>
      </c>
      <c r="B1" s="9" t="s">
        <v>165</v>
      </c>
      <c r="C1" s="9" t="s">
        <v>173</v>
      </c>
      <c r="D1" s="9" t="s">
        <v>174</v>
      </c>
      <c r="E1" s="9" t="s">
        <v>175</v>
      </c>
      <c r="F1" s="9" t="s">
        <v>176</v>
      </c>
      <c r="G1" s="9" t="s">
        <v>177</v>
      </c>
      <c r="H1" s="9" t="s">
        <v>178</v>
      </c>
      <c r="I1" s="9" t="s">
        <v>179</v>
      </c>
      <c r="J1" s="9" t="s">
        <v>180</v>
      </c>
      <c r="K1" s="9" t="s">
        <v>181</v>
      </c>
      <c r="L1" s="9" t="s">
        <v>182</v>
      </c>
      <c r="M1" s="9" t="s">
        <v>183</v>
      </c>
      <c r="N1" s="9" t="s">
        <v>184</v>
      </c>
      <c r="O1" s="9" t="s">
        <v>185</v>
      </c>
    </row>
    <row r="2" customFormat="false" ht="15" hidden="false" customHeight="false" outlineLevel="0" collapsed="false">
      <c r="A2" s="18" t="s">
        <v>168</v>
      </c>
      <c r="B2" s="18" t="s">
        <v>159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31" t="n">
        <f aca="false">SUM(C2:N2)</f>
        <v>0</v>
      </c>
    </row>
    <row r="3" customFormat="false" ht="15" hidden="false" customHeight="false" outlineLevel="0" collapsed="false">
      <c r="A3" s="18" t="s">
        <v>169</v>
      </c>
      <c r="B3" s="18" t="s">
        <v>170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31" t="n">
        <f aca="false">SUM(C3:N3)</f>
        <v>0</v>
      </c>
    </row>
    <row r="4" customFormat="false" ht="15" hidden="false" customHeight="false" outlineLevel="0" collapsed="false">
      <c r="A4" s="18" t="s">
        <v>171</v>
      </c>
      <c r="B4" s="18" t="s">
        <v>172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31" t="n">
        <f aca="false">SUM(C4:N4)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165</v>
      </c>
      <c r="D1" s="9" t="s">
        <v>70</v>
      </c>
      <c r="E1" s="9" t="s">
        <v>186</v>
      </c>
      <c r="F1" s="9" t="s">
        <v>187</v>
      </c>
      <c r="G1" s="9" t="s">
        <v>75</v>
      </c>
      <c r="H1" s="9" t="s">
        <v>188</v>
      </c>
      <c r="I1" s="9" t="s">
        <v>157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170</v>
      </c>
      <c r="D2" s="28"/>
      <c r="E2" s="28"/>
      <c r="F2" s="28"/>
      <c r="G2" s="29" t="n">
        <f aca="false">D2+E2-F2</f>
        <v>0</v>
      </c>
      <c r="H2" s="28"/>
      <c r="I2" s="29" t="n">
        <f aca="false">ROUND(D2+E2-F2-G2,1)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170</v>
      </c>
      <c r="D3" s="29" t="n">
        <f aca="false">G2</f>
        <v>0</v>
      </c>
      <c r="E3" s="28"/>
      <c r="F3" s="28"/>
      <c r="G3" s="29" t="n">
        <f aca="false">D3+E3-F3</f>
        <v>0</v>
      </c>
      <c r="H3" s="28"/>
      <c r="I3" s="29" t="n">
        <f aca="false">ROUND(D3+E3-F3-G3,1)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170</v>
      </c>
      <c r="D4" s="29" t="n">
        <f aca="false">G3</f>
        <v>0</v>
      </c>
      <c r="E4" s="28"/>
      <c r="F4" s="28"/>
      <c r="G4" s="29" t="n">
        <f aca="false">D4+E4-F4</f>
        <v>0</v>
      </c>
      <c r="H4" s="28"/>
      <c r="I4" s="29" t="n">
        <f aca="false">ROUND(D4+E4-F4-G4,1)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170</v>
      </c>
      <c r="D5" s="29" t="n">
        <f aca="false">G4</f>
        <v>0</v>
      </c>
      <c r="E5" s="28"/>
      <c r="F5" s="28"/>
      <c r="G5" s="29" t="n">
        <f aca="false">D5+E5-F5</f>
        <v>0</v>
      </c>
      <c r="H5" s="28"/>
      <c r="I5" s="29" t="n">
        <f aca="false">ROUND(D5+E5-F5-G5,1)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170</v>
      </c>
      <c r="D6" s="29" t="n">
        <f aca="false">G5</f>
        <v>0</v>
      </c>
      <c r="E6" s="28"/>
      <c r="F6" s="28"/>
      <c r="G6" s="29" t="n">
        <f aca="false">D6+E6-F6</f>
        <v>0</v>
      </c>
      <c r="H6" s="28"/>
      <c r="I6" s="29" t="n">
        <f aca="false">ROUND(D6+E6-F6-G6,1)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170</v>
      </c>
      <c r="D7" s="29" t="n">
        <f aca="false">G6</f>
        <v>0</v>
      </c>
      <c r="E7" s="28"/>
      <c r="F7" s="28"/>
      <c r="G7" s="29" t="n">
        <f aca="false">D7+E7-F7</f>
        <v>0</v>
      </c>
      <c r="H7" s="28"/>
      <c r="I7" s="29" t="n">
        <f aca="false">ROUND(D7+E7-F7-G7,1)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170</v>
      </c>
      <c r="D8" s="29" t="n">
        <f aca="false">G7</f>
        <v>0</v>
      </c>
      <c r="E8" s="28"/>
      <c r="F8" s="28"/>
      <c r="G8" s="29" t="n">
        <f aca="false">D8+E8-F8</f>
        <v>0</v>
      </c>
      <c r="H8" s="28"/>
      <c r="I8" s="29" t="n">
        <f aca="false">ROUND(D8+E8-F8-G8,1)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170</v>
      </c>
      <c r="D9" s="29" t="n">
        <f aca="false">G8</f>
        <v>0</v>
      </c>
      <c r="E9" s="28"/>
      <c r="F9" s="28"/>
      <c r="G9" s="29" t="n">
        <f aca="false">D9+E9-F9</f>
        <v>0</v>
      </c>
      <c r="H9" s="28"/>
      <c r="I9" s="29" t="n">
        <f aca="false">ROUND(D9+E9-F9-G9,1)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170</v>
      </c>
      <c r="D10" s="29" t="n">
        <f aca="false">G9</f>
        <v>0</v>
      </c>
      <c r="E10" s="28"/>
      <c r="F10" s="28"/>
      <c r="G10" s="29" t="n">
        <f aca="false">D10+E10-F10</f>
        <v>0</v>
      </c>
      <c r="H10" s="28"/>
      <c r="I10" s="29" t="n">
        <f aca="false">ROUND(D10+E10-F10-G10,1)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170</v>
      </c>
      <c r="D11" s="29" t="n">
        <f aca="false">G10</f>
        <v>0</v>
      </c>
      <c r="E11" s="28"/>
      <c r="F11" s="28"/>
      <c r="G11" s="29" t="n">
        <f aca="false">D11+E11-F11</f>
        <v>0</v>
      </c>
      <c r="H11" s="28"/>
      <c r="I11" s="29" t="n">
        <f aca="false">ROUND(D11+E11-F11-G11,1)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170</v>
      </c>
      <c r="D12" s="29" t="n">
        <f aca="false">G11</f>
        <v>0</v>
      </c>
      <c r="E12" s="28"/>
      <c r="F12" s="28"/>
      <c r="G12" s="29" t="n">
        <f aca="false">D12+E12-F12</f>
        <v>0</v>
      </c>
      <c r="H12" s="28"/>
      <c r="I12" s="29" t="n">
        <f aca="false">ROUND(D12+E12-F12-G12,1)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170</v>
      </c>
      <c r="D13" s="29" t="n">
        <f aca="false">G12</f>
        <v>0</v>
      </c>
      <c r="E13" s="28"/>
      <c r="F13" s="28"/>
      <c r="G13" s="29" t="n">
        <f aca="false">D13+E13-F13</f>
        <v>0</v>
      </c>
      <c r="H13" s="28"/>
      <c r="I13" s="29" t="n">
        <f aca="false">ROUND(D13+E13-F13-G13,1)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170</v>
      </c>
      <c r="D14" s="29" t="n">
        <f aca="false">G13</f>
        <v>0</v>
      </c>
      <c r="E14" s="28"/>
      <c r="F14" s="28"/>
      <c r="G14" s="29" t="n">
        <f aca="false">D14+E14-F14</f>
        <v>0</v>
      </c>
      <c r="H14" s="28"/>
      <c r="I14" s="29" t="n">
        <f aca="false">ROUND(D14+E14-F14-G14,1)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170</v>
      </c>
      <c r="D15" s="29" t="n">
        <f aca="false">G14</f>
        <v>0</v>
      </c>
      <c r="E15" s="28"/>
      <c r="F15" s="28"/>
      <c r="G15" s="29" t="n">
        <f aca="false">D15+E15-F15</f>
        <v>0</v>
      </c>
      <c r="H15" s="28"/>
      <c r="I15" s="29" t="n">
        <f aca="false">ROUND(D15+E15-F15-G15,1)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170</v>
      </c>
      <c r="D16" s="29" t="n">
        <f aca="false">G15</f>
        <v>0</v>
      </c>
      <c r="E16" s="28"/>
      <c r="F16" s="28"/>
      <c r="G16" s="29" t="n">
        <f aca="false">D16+E16-F16</f>
        <v>0</v>
      </c>
      <c r="H16" s="28"/>
      <c r="I16" s="29" t="n">
        <f aca="false">ROUND(D16+E16-F16-G16,1)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170</v>
      </c>
      <c r="D17" s="29" t="n">
        <f aca="false">G16</f>
        <v>0</v>
      </c>
      <c r="E17" s="28"/>
      <c r="F17" s="28"/>
      <c r="G17" s="29" t="n">
        <f aca="false">D17+E17-F17</f>
        <v>0</v>
      </c>
      <c r="H17" s="28"/>
      <c r="I17" s="29" t="n">
        <f aca="false">ROUND(D17+E17-F17-G17,1)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170</v>
      </c>
      <c r="D18" s="29" t="n">
        <f aca="false">G17</f>
        <v>0</v>
      </c>
      <c r="E18" s="28"/>
      <c r="F18" s="28"/>
      <c r="G18" s="29" t="n">
        <f aca="false">D18+E18-F18</f>
        <v>0</v>
      </c>
      <c r="H18" s="28"/>
      <c r="I18" s="29" t="n">
        <f aca="false">ROUND(D18+E18-F18-G18,1)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170</v>
      </c>
      <c r="D19" s="29" t="n">
        <f aca="false">G18</f>
        <v>0</v>
      </c>
      <c r="E19" s="28"/>
      <c r="F19" s="28"/>
      <c r="G19" s="29" t="n">
        <f aca="false">D19+E19-F19</f>
        <v>0</v>
      </c>
      <c r="H19" s="28"/>
      <c r="I19" s="29" t="n">
        <f aca="false">ROUND(D19+E19-F19-G19,1)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170</v>
      </c>
      <c r="D20" s="29" t="n">
        <f aca="false">G19</f>
        <v>0</v>
      </c>
      <c r="E20" s="28"/>
      <c r="F20" s="28"/>
      <c r="G20" s="29" t="n">
        <f aca="false">D20+E20-F20</f>
        <v>0</v>
      </c>
      <c r="H20" s="28"/>
      <c r="I20" s="29" t="n">
        <f aca="false">ROUND(D20+E20-F20-G20,1)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170</v>
      </c>
      <c r="D21" s="29" t="n">
        <f aca="false">G20</f>
        <v>0</v>
      </c>
      <c r="E21" s="28"/>
      <c r="F21" s="28"/>
      <c r="G21" s="29" t="n">
        <f aca="false">D21+E21-F21</f>
        <v>0</v>
      </c>
      <c r="H21" s="28"/>
      <c r="I21" s="29" t="n">
        <f aca="false">ROUND(D21+E21-F21-G21,1)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170</v>
      </c>
      <c r="D22" s="29" t="n">
        <f aca="false">G21</f>
        <v>0</v>
      </c>
      <c r="E22" s="28"/>
      <c r="F22" s="28"/>
      <c r="G22" s="29" t="n">
        <f aca="false">D22+E22-F22</f>
        <v>0</v>
      </c>
      <c r="H22" s="28"/>
      <c r="I22" s="29" t="n">
        <f aca="false">ROUND(D22+E22-F22-G22,1)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170</v>
      </c>
      <c r="D23" s="29" t="n">
        <f aca="false">G22</f>
        <v>0</v>
      </c>
      <c r="E23" s="28"/>
      <c r="F23" s="28"/>
      <c r="G23" s="29" t="n">
        <f aca="false">D23+E23-F23</f>
        <v>0</v>
      </c>
      <c r="H23" s="28"/>
      <c r="I23" s="29" t="n">
        <f aca="false">ROUND(D23+E23-F23-G23,1)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170</v>
      </c>
      <c r="D24" s="29" t="n">
        <f aca="false">G23</f>
        <v>0</v>
      </c>
      <c r="E24" s="28"/>
      <c r="F24" s="28"/>
      <c r="G24" s="29" t="n">
        <f aca="false">D24+E24-F24</f>
        <v>0</v>
      </c>
      <c r="H24" s="28"/>
      <c r="I24" s="29" t="n">
        <f aca="false">ROUND(D24+E24-F24-G24,1)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170</v>
      </c>
      <c r="D25" s="29" t="n">
        <f aca="false">G24</f>
        <v>0</v>
      </c>
      <c r="E25" s="28"/>
      <c r="F25" s="28"/>
      <c r="G25" s="29" t="n">
        <f aca="false">D25+E25-F25</f>
        <v>0</v>
      </c>
      <c r="H25" s="28"/>
      <c r="I25" s="29" t="n">
        <f aca="false">ROUND(D25+E25-F25-G25,1)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170</v>
      </c>
      <c r="D26" s="29" t="n">
        <f aca="false">G25</f>
        <v>0</v>
      </c>
      <c r="E26" s="28"/>
      <c r="F26" s="28"/>
      <c r="G26" s="29" t="n">
        <f aca="false">D26+E26-F26</f>
        <v>0</v>
      </c>
      <c r="H26" s="28"/>
      <c r="I26" s="29" t="n">
        <f aca="false">ROUND(D26+E26-F26-G26,1)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170</v>
      </c>
      <c r="D27" s="29" t="n">
        <f aca="false">G26</f>
        <v>0</v>
      </c>
      <c r="E27" s="28"/>
      <c r="F27" s="28"/>
      <c r="G27" s="29" t="n">
        <f aca="false">D27+E27-F27</f>
        <v>0</v>
      </c>
      <c r="H27" s="28"/>
      <c r="I27" s="29" t="n">
        <f aca="false">ROUND(D27+E27-F27-G27,1)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170</v>
      </c>
      <c r="D28" s="29" t="n">
        <f aca="false">G27</f>
        <v>0</v>
      </c>
      <c r="E28" s="28"/>
      <c r="F28" s="28"/>
      <c r="G28" s="29" t="n">
        <f aca="false">D28+E28-F28</f>
        <v>0</v>
      </c>
      <c r="H28" s="28"/>
      <c r="I28" s="29" t="n">
        <f aca="false">ROUND(D28+E28-F28-G28,1)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170</v>
      </c>
      <c r="D29" s="29" t="n">
        <f aca="false">G28</f>
        <v>0</v>
      </c>
      <c r="E29" s="28"/>
      <c r="F29" s="28"/>
      <c r="G29" s="29" t="n">
        <f aca="false">D29+E29-F29</f>
        <v>0</v>
      </c>
      <c r="H29" s="28"/>
      <c r="I29" s="29" t="n">
        <f aca="false">ROUND(D29+E29-F29-G29,1)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170</v>
      </c>
      <c r="D30" s="29" t="n">
        <f aca="false">G29</f>
        <v>0</v>
      </c>
      <c r="E30" s="28"/>
      <c r="F30" s="28"/>
      <c r="G30" s="29" t="n">
        <f aca="false">D30+E30-F30</f>
        <v>0</v>
      </c>
      <c r="H30" s="28"/>
      <c r="I30" s="29" t="n">
        <f aca="false">ROUND(D30+E30-F30-G30,1)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170</v>
      </c>
      <c r="D31" s="29" t="n">
        <f aca="false">G30</f>
        <v>0</v>
      </c>
      <c r="E31" s="28"/>
      <c r="F31" s="28"/>
      <c r="G31" s="29" t="n">
        <f aca="false">D31+E31-F31</f>
        <v>0</v>
      </c>
      <c r="H31" s="28"/>
      <c r="I31" s="29" t="n">
        <f aca="false">ROUND(D31+E31-F31-G31,1)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170</v>
      </c>
      <c r="D32" s="29" t="n">
        <f aca="false">G31</f>
        <v>0</v>
      </c>
      <c r="E32" s="28"/>
      <c r="F32" s="28"/>
      <c r="G32" s="29" t="n">
        <f aca="false">D32+E32-F32</f>
        <v>0</v>
      </c>
      <c r="H32" s="28"/>
      <c r="I32" s="29" t="n">
        <f aca="false">ROUND(D32+E32-F32-G32,1)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170</v>
      </c>
      <c r="D33" s="29" t="n">
        <f aca="false">G32</f>
        <v>0</v>
      </c>
      <c r="E33" s="28"/>
      <c r="F33" s="28"/>
      <c r="G33" s="29" t="n">
        <f aca="false">D33+E33-F33</f>
        <v>0</v>
      </c>
      <c r="H33" s="28"/>
      <c r="I33" s="29" t="n">
        <f aca="false">ROUND(D33+E33-F33-G33,1)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170</v>
      </c>
      <c r="D34" s="29" t="n">
        <f aca="false">G33</f>
        <v>0</v>
      </c>
      <c r="E34" s="28"/>
      <c r="F34" s="28"/>
      <c r="G34" s="29" t="n">
        <f aca="false">D34+E34-F34</f>
        <v>0</v>
      </c>
      <c r="H34" s="28"/>
      <c r="I34" s="29" t="n">
        <f aca="false">ROUND(D34+E34-F34-G34,1)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170</v>
      </c>
      <c r="D35" s="29" t="n">
        <f aca="false">G34</f>
        <v>0</v>
      </c>
      <c r="E35" s="28"/>
      <c r="F35" s="28"/>
      <c r="G35" s="29" t="n">
        <f aca="false">D35+E35-F35</f>
        <v>0</v>
      </c>
      <c r="H35" s="28"/>
      <c r="I35" s="29" t="n">
        <f aca="false">ROUND(D35+E35-F35-G35,1)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170</v>
      </c>
      <c r="D36" s="29" t="n">
        <f aca="false">G35</f>
        <v>0</v>
      </c>
      <c r="E36" s="28"/>
      <c r="F36" s="28"/>
      <c r="G36" s="29" t="n">
        <f aca="false">D36+E36-F36</f>
        <v>0</v>
      </c>
      <c r="H36" s="28"/>
      <c r="I36" s="29" t="n">
        <f aca="false">ROUND(D36+E36-F36-G36,1)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170</v>
      </c>
      <c r="D37" s="29" t="n">
        <f aca="false">G36</f>
        <v>0</v>
      </c>
      <c r="E37" s="28"/>
      <c r="F37" s="28"/>
      <c r="G37" s="29" t="n">
        <f aca="false">D37+E37-F37</f>
        <v>0</v>
      </c>
      <c r="H37" s="28"/>
      <c r="I37" s="29" t="n">
        <f aca="false">ROUND(D37+E37-F37-G37,1)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170</v>
      </c>
      <c r="D38" s="29" t="n">
        <f aca="false">G37</f>
        <v>0</v>
      </c>
      <c r="E38" s="28"/>
      <c r="F38" s="28"/>
      <c r="G38" s="29" t="n">
        <f aca="false">D38+E38-F38</f>
        <v>0</v>
      </c>
      <c r="H38" s="28"/>
      <c r="I38" s="29" t="n">
        <f aca="false">ROUND(D38+E38-F38-G38,1)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170</v>
      </c>
      <c r="D39" s="29" t="n">
        <f aca="false">G38</f>
        <v>0</v>
      </c>
      <c r="E39" s="28"/>
      <c r="F39" s="28"/>
      <c r="G39" s="29" t="n">
        <f aca="false">D39+E39-F39</f>
        <v>0</v>
      </c>
      <c r="H39" s="28"/>
      <c r="I39" s="29" t="n">
        <f aca="false">ROUND(D39+E39-F39-G39,1)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170</v>
      </c>
      <c r="D40" s="29" t="n">
        <f aca="false">G39</f>
        <v>0</v>
      </c>
      <c r="E40" s="28"/>
      <c r="F40" s="28"/>
      <c r="G40" s="29" t="n">
        <f aca="false">D40+E40-F40</f>
        <v>0</v>
      </c>
      <c r="H40" s="28"/>
      <c r="I40" s="29" t="n">
        <f aca="false">ROUND(D40+E40-F40-G40,1)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170</v>
      </c>
      <c r="D41" s="29" t="n">
        <f aca="false">G40</f>
        <v>0</v>
      </c>
      <c r="E41" s="28"/>
      <c r="F41" s="28"/>
      <c r="G41" s="29" t="n">
        <f aca="false">D41+E41-F41</f>
        <v>0</v>
      </c>
      <c r="H41" s="28"/>
      <c r="I41" s="29" t="n">
        <f aca="false">ROUND(D41+E41-F41-G41,1)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170</v>
      </c>
      <c r="D42" s="29" t="n">
        <f aca="false">G41</f>
        <v>0</v>
      </c>
      <c r="E42" s="28"/>
      <c r="F42" s="28"/>
      <c r="G42" s="29" t="n">
        <f aca="false">D42+E42-F42</f>
        <v>0</v>
      </c>
      <c r="H42" s="28"/>
      <c r="I42" s="29" t="n">
        <f aca="false">ROUND(D42+E42-F42-G42,1)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170</v>
      </c>
      <c r="D43" s="29" t="n">
        <f aca="false">G42</f>
        <v>0</v>
      </c>
      <c r="E43" s="28"/>
      <c r="F43" s="28"/>
      <c r="G43" s="29" t="n">
        <f aca="false">D43+E43-F43</f>
        <v>0</v>
      </c>
      <c r="H43" s="28"/>
      <c r="I43" s="29" t="n">
        <f aca="false">ROUND(D43+E43-F43-G43,1)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170</v>
      </c>
      <c r="D44" s="29" t="n">
        <f aca="false">G43</f>
        <v>0</v>
      </c>
      <c r="E44" s="28"/>
      <c r="F44" s="28"/>
      <c r="G44" s="29" t="n">
        <f aca="false">D44+E44-F44</f>
        <v>0</v>
      </c>
      <c r="H44" s="28"/>
      <c r="I44" s="29" t="n">
        <f aca="false">ROUND(D44+E44-F44-G44,1)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170</v>
      </c>
      <c r="D45" s="29" t="n">
        <f aca="false">G44</f>
        <v>0</v>
      </c>
      <c r="E45" s="28"/>
      <c r="F45" s="28"/>
      <c r="G45" s="29" t="n">
        <f aca="false">D45+E45-F45</f>
        <v>0</v>
      </c>
      <c r="H45" s="28"/>
      <c r="I45" s="29" t="n">
        <f aca="false">ROUND(D45+E45-F45-G45,1)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170</v>
      </c>
      <c r="D46" s="29" t="n">
        <f aca="false">G45</f>
        <v>0</v>
      </c>
      <c r="E46" s="28"/>
      <c r="F46" s="28"/>
      <c r="G46" s="29" t="n">
        <f aca="false">D46+E46-F46</f>
        <v>0</v>
      </c>
      <c r="H46" s="28"/>
      <c r="I46" s="29" t="n">
        <f aca="false">ROUND(D46+E46-F46-G46,1)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170</v>
      </c>
      <c r="D47" s="29" t="n">
        <f aca="false">G46</f>
        <v>0</v>
      </c>
      <c r="E47" s="28"/>
      <c r="F47" s="28"/>
      <c r="G47" s="29" t="n">
        <f aca="false">D47+E47-F47</f>
        <v>0</v>
      </c>
      <c r="H47" s="28"/>
      <c r="I47" s="29" t="n">
        <f aca="false">ROUND(D47+E47-F47-G47,1)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170</v>
      </c>
      <c r="D48" s="29" t="n">
        <f aca="false">G47</f>
        <v>0</v>
      </c>
      <c r="E48" s="28"/>
      <c r="F48" s="28"/>
      <c r="G48" s="29" t="n">
        <f aca="false">D48+E48-F48</f>
        <v>0</v>
      </c>
      <c r="H48" s="28"/>
      <c r="I48" s="29" t="n">
        <f aca="false">ROUND(D48+E48-F48-G48,1)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170</v>
      </c>
      <c r="D49" s="29" t="n">
        <f aca="false">G48</f>
        <v>0</v>
      </c>
      <c r="E49" s="28"/>
      <c r="F49" s="28"/>
      <c r="G49" s="29" t="n">
        <f aca="false">D49+E49-F49</f>
        <v>0</v>
      </c>
      <c r="H49" s="28"/>
      <c r="I49" s="29" t="n">
        <f aca="false">ROUND(D49+E49-F49-G49,1)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170</v>
      </c>
      <c r="D50" s="29" t="n">
        <f aca="false">G49</f>
        <v>0</v>
      </c>
      <c r="E50" s="28"/>
      <c r="F50" s="28"/>
      <c r="G50" s="29" t="n">
        <f aca="false">D50+E50-F50</f>
        <v>0</v>
      </c>
      <c r="H50" s="28"/>
      <c r="I50" s="29" t="n">
        <f aca="false">ROUND(D50+E50-F50-G50,1)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170</v>
      </c>
      <c r="D51" s="29" t="n">
        <f aca="false">G50</f>
        <v>0</v>
      </c>
      <c r="E51" s="28"/>
      <c r="F51" s="28"/>
      <c r="G51" s="29" t="n">
        <f aca="false">D51+E51-F51</f>
        <v>0</v>
      </c>
      <c r="H51" s="28"/>
      <c r="I51" s="29" t="n">
        <f aca="false">ROUND(D51+E51-F51-G51,1)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170</v>
      </c>
      <c r="D52" s="29" t="n">
        <f aca="false">G51</f>
        <v>0</v>
      </c>
      <c r="E52" s="28"/>
      <c r="F52" s="28"/>
      <c r="G52" s="29" t="n">
        <f aca="false">D52+E52-F52</f>
        <v>0</v>
      </c>
      <c r="H52" s="28"/>
      <c r="I52" s="29" t="n">
        <f aca="false">ROUND(D52+E52-F52-G52,1)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170</v>
      </c>
      <c r="D53" s="29" t="n">
        <f aca="false">G52</f>
        <v>0</v>
      </c>
      <c r="E53" s="28"/>
      <c r="F53" s="28"/>
      <c r="G53" s="29" t="n">
        <f aca="false">D53+E53-F53</f>
        <v>0</v>
      </c>
      <c r="H53" s="28"/>
      <c r="I53" s="29" t="n">
        <f aca="false">ROUND(D53+E53-F53-G53,1)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170</v>
      </c>
      <c r="D54" s="29" t="n">
        <f aca="false">G53</f>
        <v>0</v>
      </c>
      <c r="E54" s="28"/>
      <c r="F54" s="28"/>
      <c r="G54" s="29" t="n">
        <f aca="false">D54+E54-F54</f>
        <v>0</v>
      </c>
      <c r="H54" s="28"/>
      <c r="I54" s="29" t="n">
        <f aca="false">ROUND(D54+E54-F54-G54,1)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170</v>
      </c>
      <c r="D55" s="29" t="n">
        <f aca="false">G54</f>
        <v>0</v>
      </c>
      <c r="E55" s="28"/>
      <c r="F55" s="28"/>
      <c r="G55" s="29" t="n">
        <f aca="false">D55+E55-F55</f>
        <v>0</v>
      </c>
      <c r="H55" s="28"/>
      <c r="I55" s="29" t="n">
        <f aca="false">ROUND(D55+E55-F55-G55,1)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170</v>
      </c>
      <c r="D56" s="29" t="n">
        <f aca="false">G55</f>
        <v>0</v>
      </c>
      <c r="E56" s="28"/>
      <c r="F56" s="28"/>
      <c r="G56" s="29" t="n">
        <f aca="false">D56+E56-F56</f>
        <v>0</v>
      </c>
      <c r="H56" s="28"/>
      <c r="I56" s="29" t="n">
        <f aca="false">ROUND(D56+E56-F56-G56,1)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170</v>
      </c>
      <c r="D57" s="29" t="n">
        <f aca="false">G56</f>
        <v>0</v>
      </c>
      <c r="E57" s="28"/>
      <c r="F57" s="28"/>
      <c r="G57" s="29" t="n">
        <f aca="false">D57+E57-F57</f>
        <v>0</v>
      </c>
      <c r="H57" s="28"/>
      <c r="I57" s="29" t="n">
        <f aca="false">ROUND(D57+E57-F57-G57,1)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170</v>
      </c>
      <c r="D58" s="29" t="n">
        <f aca="false">G57</f>
        <v>0</v>
      </c>
      <c r="E58" s="28"/>
      <c r="F58" s="28"/>
      <c r="G58" s="29" t="n">
        <f aca="false">D58+E58-F58</f>
        <v>0</v>
      </c>
      <c r="H58" s="28"/>
      <c r="I58" s="29" t="n">
        <f aca="false">ROUND(D58+E58-F58-G58,1)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170</v>
      </c>
      <c r="D59" s="29" t="n">
        <f aca="false">G58</f>
        <v>0</v>
      </c>
      <c r="E59" s="28"/>
      <c r="F59" s="28"/>
      <c r="G59" s="29" t="n">
        <f aca="false">D59+E59-F59</f>
        <v>0</v>
      </c>
      <c r="H59" s="28"/>
      <c r="I59" s="29" t="n">
        <f aca="false">ROUND(D59+E59-F59-G59,1)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170</v>
      </c>
      <c r="D60" s="29" t="n">
        <f aca="false">G59</f>
        <v>0</v>
      </c>
      <c r="E60" s="28"/>
      <c r="F60" s="28"/>
      <c r="G60" s="29" t="n">
        <f aca="false">D60+E60-F60</f>
        <v>0</v>
      </c>
      <c r="H60" s="28"/>
      <c r="I60" s="29" t="n">
        <f aca="false">ROUND(D60+E60-F60-G60,1)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170</v>
      </c>
      <c r="D61" s="29" t="n">
        <f aca="false">G60</f>
        <v>0</v>
      </c>
      <c r="E61" s="28"/>
      <c r="F61" s="28"/>
      <c r="G61" s="29" t="n">
        <f aca="false">D61+E61-F61</f>
        <v>0</v>
      </c>
      <c r="H61" s="28"/>
      <c r="I61" s="29" t="n">
        <f aca="false">ROUND(D61+E61-F61-G61,1)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170</v>
      </c>
      <c r="D62" s="29" t="n">
        <f aca="false">G61</f>
        <v>0</v>
      </c>
      <c r="E62" s="28"/>
      <c r="F62" s="28"/>
      <c r="G62" s="29" t="n">
        <f aca="false">D62+E62-F62</f>
        <v>0</v>
      </c>
      <c r="H62" s="28"/>
      <c r="I62" s="29" t="n">
        <f aca="false">ROUND(D62+E62-F62-G62,1)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170</v>
      </c>
      <c r="D63" s="29" t="n">
        <f aca="false">G62</f>
        <v>0</v>
      </c>
      <c r="E63" s="28"/>
      <c r="F63" s="28"/>
      <c r="G63" s="29" t="n">
        <f aca="false">D63+E63-F63</f>
        <v>0</v>
      </c>
      <c r="H63" s="28"/>
      <c r="I63" s="29" t="n">
        <f aca="false">ROUND(D63+E63-F63-G63,1)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170</v>
      </c>
      <c r="D64" s="29" t="n">
        <f aca="false">G63</f>
        <v>0</v>
      </c>
      <c r="E64" s="28"/>
      <c r="F64" s="28"/>
      <c r="G64" s="29" t="n">
        <f aca="false">D64+E64-F64</f>
        <v>0</v>
      </c>
      <c r="H64" s="28"/>
      <c r="I64" s="29" t="n">
        <f aca="false">ROUND(D64+E64-F64-G64,1)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170</v>
      </c>
      <c r="D65" s="29" t="n">
        <f aca="false">G64</f>
        <v>0</v>
      </c>
      <c r="E65" s="28"/>
      <c r="F65" s="28"/>
      <c r="G65" s="29" t="n">
        <f aca="false">D65+E65-F65</f>
        <v>0</v>
      </c>
      <c r="H65" s="28"/>
      <c r="I65" s="29" t="n">
        <f aca="false">ROUND(D65+E65-F65-G65,1)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170</v>
      </c>
      <c r="D66" s="29" t="n">
        <f aca="false">G65</f>
        <v>0</v>
      </c>
      <c r="E66" s="28"/>
      <c r="F66" s="28"/>
      <c r="G66" s="29" t="n">
        <f aca="false">D66+E66-F66</f>
        <v>0</v>
      </c>
      <c r="H66" s="28"/>
      <c r="I66" s="29" t="n">
        <f aca="false">ROUND(D66+E66-F66-G66,1)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170</v>
      </c>
      <c r="D67" s="29" t="n">
        <f aca="false">G66</f>
        <v>0</v>
      </c>
      <c r="E67" s="28"/>
      <c r="F67" s="28"/>
      <c r="G67" s="29" t="n">
        <f aca="false">D67+E67-F67</f>
        <v>0</v>
      </c>
      <c r="H67" s="28"/>
      <c r="I67" s="29" t="n">
        <f aca="false">ROUND(D67+E67-F67-G67,1)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170</v>
      </c>
      <c r="D68" s="29" t="n">
        <f aca="false">G67</f>
        <v>0</v>
      </c>
      <c r="E68" s="28"/>
      <c r="F68" s="28"/>
      <c r="G68" s="29" t="n">
        <f aca="false">D68+E68-F68</f>
        <v>0</v>
      </c>
      <c r="H68" s="28"/>
      <c r="I68" s="29" t="n">
        <f aca="false">ROUND(D68+E68-F68-G68,1)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170</v>
      </c>
      <c r="D69" s="29" t="n">
        <f aca="false">G68</f>
        <v>0</v>
      </c>
      <c r="E69" s="28"/>
      <c r="F69" s="28"/>
      <c r="G69" s="29" t="n">
        <f aca="false">D69+E69-F69</f>
        <v>0</v>
      </c>
      <c r="H69" s="28"/>
      <c r="I69" s="29" t="n">
        <f aca="false">ROUND(D69+E69-F69-G69,1)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170</v>
      </c>
      <c r="D70" s="29" t="n">
        <f aca="false">G69</f>
        <v>0</v>
      </c>
      <c r="E70" s="28"/>
      <c r="F70" s="28"/>
      <c r="G70" s="29" t="n">
        <f aca="false">D70+E70-F70</f>
        <v>0</v>
      </c>
      <c r="H70" s="28"/>
      <c r="I70" s="29" t="n">
        <f aca="false">ROUND(D70+E70-F70-G70,1)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170</v>
      </c>
      <c r="D71" s="29" t="n">
        <f aca="false">G70</f>
        <v>0</v>
      </c>
      <c r="E71" s="28"/>
      <c r="F71" s="28"/>
      <c r="G71" s="29" t="n">
        <f aca="false">D71+E71-F71</f>
        <v>0</v>
      </c>
      <c r="H71" s="28"/>
      <c r="I71" s="29" t="n">
        <f aca="false">ROUND(D71+E71-F71-G71,1)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170</v>
      </c>
      <c r="D72" s="29" t="n">
        <f aca="false">G71</f>
        <v>0</v>
      </c>
      <c r="E72" s="28"/>
      <c r="F72" s="28"/>
      <c r="G72" s="29" t="n">
        <f aca="false">D72+E72-F72</f>
        <v>0</v>
      </c>
      <c r="H72" s="28"/>
      <c r="I72" s="29" t="n">
        <f aca="false">ROUND(D72+E72-F72-G72,1)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170</v>
      </c>
      <c r="D73" s="29" t="n">
        <f aca="false">G72</f>
        <v>0</v>
      </c>
      <c r="E73" s="28"/>
      <c r="F73" s="28"/>
      <c r="G73" s="29" t="n">
        <f aca="false">D73+E73-F73</f>
        <v>0</v>
      </c>
      <c r="H73" s="28"/>
      <c r="I73" s="29" t="n">
        <f aca="false">ROUND(D73+E73-F73-G73,1)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170</v>
      </c>
      <c r="D74" s="29" t="n">
        <f aca="false">G73</f>
        <v>0</v>
      </c>
      <c r="E74" s="28"/>
      <c r="F74" s="28"/>
      <c r="G74" s="29" t="n">
        <f aca="false">D74+E74-F74</f>
        <v>0</v>
      </c>
      <c r="H74" s="28"/>
      <c r="I74" s="29" t="n">
        <f aca="false">ROUND(D74+E74-F74-G74,1)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170</v>
      </c>
      <c r="D75" s="29" t="n">
        <f aca="false">G74</f>
        <v>0</v>
      </c>
      <c r="E75" s="28"/>
      <c r="F75" s="28"/>
      <c r="G75" s="29" t="n">
        <f aca="false">D75+E75-F75</f>
        <v>0</v>
      </c>
      <c r="H75" s="28"/>
      <c r="I75" s="29" t="n">
        <f aca="false">ROUND(D75+E75-F75-G75,1)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170</v>
      </c>
      <c r="D76" s="29" t="n">
        <f aca="false">G75</f>
        <v>0</v>
      </c>
      <c r="E76" s="28"/>
      <c r="F76" s="28"/>
      <c r="G76" s="29" t="n">
        <f aca="false">D76+E76-F76</f>
        <v>0</v>
      </c>
      <c r="H76" s="28"/>
      <c r="I76" s="29" t="n">
        <f aca="false">ROUND(D76+E76-F76-G76,1)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170</v>
      </c>
      <c r="D77" s="29" t="n">
        <f aca="false">G76</f>
        <v>0</v>
      </c>
      <c r="E77" s="28"/>
      <c r="F77" s="28"/>
      <c r="G77" s="29" t="n">
        <f aca="false">D77+E77-F77</f>
        <v>0</v>
      </c>
      <c r="H77" s="28"/>
      <c r="I77" s="29" t="n">
        <f aca="false">ROUND(D77+E77-F77-G77,1)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170</v>
      </c>
      <c r="D78" s="29" t="n">
        <f aca="false">G77</f>
        <v>0</v>
      </c>
      <c r="E78" s="28"/>
      <c r="F78" s="28"/>
      <c r="G78" s="29" t="n">
        <f aca="false">D78+E78-F78</f>
        <v>0</v>
      </c>
      <c r="H78" s="28"/>
      <c r="I78" s="29" t="n">
        <f aca="false">ROUND(D78+E78-F78-G78,1)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170</v>
      </c>
      <c r="D79" s="29" t="n">
        <f aca="false">G78</f>
        <v>0</v>
      </c>
      <c r="E79" s="28"/>
      <c r="F79" s="28"/>
      <c r="G79" s="29" t="n">
        <f aca="false">D79+E79-F79</f>
        <v>0</v>
      </c>
      <c r="H79" s="28"/>
      <c r="I79" s="29" t="n">
        <f aca="false">ROUND(D79+E79-F79-G79,1)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170</v>
      </c>
      <c r="D80" s="29" t="n">
        <f aca="false">G79</f>
        <v>0</v>
      </c>
      <c r="E80" s="28"/>
      <c r="F80" s="28"/>
      <c r="G80" s="29" t="n">
        <f aca="false">D80+E80-F80</f>
        <v>0</v>
      </c>
      <c r="H80" s="28"/>
      <c r="I80" s="29" t="n">
        <f aca="false">ROUND(D80+E80-F80-G80,1)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170</v>
      </c>
      <c r="D81" s="29" t="n">
        <f aca="false">G80</f>
        <v>0</v>
      </c>
      <c r="E81" s="28"/>
      <c r="F81" s="28"/>
      <c r="G81" s="29" t="n">
        <f aca="false">D81+E81-F81</f>
        <v>0</v>
      </c>
      <c r="H81" s="28"/>
      <c r="I81" s="29" t="n">
        <f aca="false">ROUND(D81+E81-F81-G81,1)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170</v>
      </c>
      <c r="D82" s="29" t="n">
        <f aca="false">G81</f>
        <v>0</v>
      </c>
      <c r="E82" s="28"/>
      <c r="F82" s="28"/>
      <c r="G82" s="29" t="n">
        <f aca="false">D82+E82-F82</f>
        <v>0</v>
      </c>
      <c r="H82" s="28"/>
      <c r="I82" s="29" t="n">
        <f aca="false">ROUND(D82+E82-F82-G82,1)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170</v>
      </c>
      <c r="D83" s="29" t="n">
        <f aca="false">G82</f>
        <v>0</v>
      </c>
      <c r="E83" s="28"/>
      <c r="F83" s="28"/>
      <c r="G83" s="29" t="n">
        <f aca="false">D83+E83-F83</f>
        <v>0</v>
      </c>
      <c r="H83" s="28"/>
      <c r="I83" s="29" t="n">
        <f aca="false">ROUND(D83+E83-F83-G83,1)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170</v>
      </c>
      <c r="D84" s="29" t="n">
        <f aca="false">G83</f>
        <v>0</v>
      </c>
      <c r="E84" s="28"/>
      <c r="F84" s="28"/>
      <c r="G84" s="29" t="n">
        <f aca="false">D84+E84-F84</f>
        <v>0</v>
      </c>
      <c r="H84" s="28"/>
      <c r="I84" s="29" t="n">
        <f aca="false">ROUND(D84+E84-F84-G84,1)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170</v>
      </c>
      <c r="D85" s="29" t="n">
        <f aca="false">G84</f>
        <v>0</v>
      </c>
      <c r="E85" s="28"/>
      <c r="F85" s="28"/>
      <c r="G85" s="29" t="n">
        <f aca="false">D85+E85-F85</f>
        <v>0</v>
      </c>
      <c r="H85" s="28"/>
      <c r="I85" s="29" t="n">
        <f aca="false">ROUND(D85+E85-F85-G85,1)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170</v>
      </c>
      <c r="D86" s="29" t="n">
        <f aca="false">G85</f>
        <v>0</v>
      </c>
      <c r="E86" s="28"/>
      <c r="F86" s="28"/>
      <c r="G86" s="29" t="n">
        <f aca="false">D86+E86-F86</f>
        <v>0</v>
      </c>
      <c r="H86" s="28"/>
      <c r="I86" s="29" t="n">
        <f aca="false">ROUND(D86+E86-F86-G86,1)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170</v>
      </c>
      <c r="D87" s="29" t="n">
        <f aca="false">G86</f>
        <v>0</v>
      </c>
      <c r="E87" s="28"/>
      <c r="F87" s="28"/>
      <c r="G87" s="29" t="n">
        <f aca="false">D87+E87-F87</f>
        <v>0</v>
      </c>
      <c r="H87" s="28"/>
      <c r="I87" s="29" t="n">
        <f aca="false">ROUND(D87+E87-F87-G87,1)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170</v>
      </c>
      <c r="D88" s="29" t="n">
        <f aca="false">G87</f>
        <v>0</v>
      </c>
      <c r="E88" s="28"/>
      <c r="F88" s="28"/>
      <c r="G88" s="29" t="n">
        <f aca="false">D88+E88-F88</f>
        <v>0</v>
      </c>
      <c r="H88" s="28"/>
      <c r="I88" s="29" t="n">
        <f aca="false">ROUND(D88+E88-F88-G88,1)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170</v>
      </c>
      <c r="D89" s="29" t="n">
        <f aca="false">G88</f>
        <v>0</v>
      </c>
      <c r="E89" s="28"/>
      <c r="F89" s="28"/>
      <c r="G89" s="29" t="n">
        <f aca="false">D89+E89-F89</f>
        <v>0</v>
      </c>
      <c r="H89" s="28"/>
      <c r="I89" s="29" t="n">
        <f aca="false">ROUND(D89+E89-F89-G89,1)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170</v>
      </c>
      <c r="D90" s="29" t="n">
        <f aca="false">G89</f>
        <v>0</v>
      </c>
      <c r="E90" s="28"/>
      <c r="F90" s="28"/>
      <c r="G90" s="29" t="n">
        <f aca="false">D90+E90-F90</f>
        <v>0</v>
      </c>
      <c r="H90" s="28"/>
      <c r="I90" s="29" t="n">
        <f aca="false">ROUND(D90+E90-F90-G90,1)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170</v>
      </c>
      <c r="D91" s="29" t="n">
        <f aca="false">G90</f>
        <v>0</v>
      </c>
      <c r="E91" s="28"/>
      <c r="F91" s="28"/>
      <c r="G91" s="29" t="n">
        <f aca="false">D91+E91-F91</f>
        <v>0</v>
      </c>
      <c r="H91" s="28"/>
      <c r="I91" s="29" t="n">
        <f aca="false">ROUND(D91+E91-F91-G91,1)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170</v>
      </c>
      <c r="D92" s="29" t="n">
        <f aca="false">G91</f>
        <v>0</v>
      </c>
      <c r="E92" s="28"/>
      <c r="F92" s="28"/>
      <c r="G92" s="29" t="n">
        <f aca="false">D92+E92-F92</f>
        <v>0</v>
      </c>
      <c r="H92" s="28"/>
      <c r="I92" s="29" t="n">
        <f aca="false">ROUND(D92+E92-F92-G92,1)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170</v>
      </c>
      <c r="D93" s="29" t="n">
        <f aca="false">G92</f>
        <v>0</v>
      </c>
      <c r="E93" s="28"/>
      <c r="F93" s="28"/>
      <c r="G93" s="29" t="n">
        <f aca="false">D93+E93-F93</f>
        <v>0</v>
      </c>
      <c r="H93" s="28"/>
      <c r="I93" s="29" t="n">
        <f aca="false">ROUND(D93+E93-F93-G93,1)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170</v>
      </c>
      <c r="D94" s="29" t="n">
        <f aca="false">G93</f>
        <v>0</v>
      </c>
      <c r="E94" s="28"/>
      <c r="F94" s="28"/>
      <c r="G94" s="29" t="n">
        <f aca="false">D94+E94-F94</f>
        <v>0</v>
      </c>
      <c r="H94" s="28"/>
      <c r="I94" s="29" t="n">
        <f aca="false">ROUND(D94+E94-F94-G94,1)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170</v>
      </c>
      <c r="D95" s="29" t="n">
        <f aca="false">G94</f>
        <v>0</v>
      </c>
      <c r="E95" s="28"/>
      <c r="F95" s="28"/>
      <c r="G95" s="29" t="n">
        <f aca="false">D95+E95-F95</f>
        <v>0</v>
      </c>
      <c r="H95" s="28"/>
      <c r="I95" s="29" t="n">
        <f aca="false">ROUND(D95+E95-F95-G95,1)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170</v>
      </c>
      <c r="D96" s="29" t="n">
        <f aca="false">G95</f>
        <v>0</v>
      </c>
      <c r="E96" s="28"/>
      <c r="F96" s="28"/>
      <c r="G96" s="29" t="n">
        <f aca="false">D96+E96-F96</f>
        <v>0</v>
      </c>
      <c r="H96" s="28"/>
      <c r="I96" s="29" t="n">
        <f aca="false">ROUND(D96+E96-F96-G96,1)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170</v>
      </c>
      <c r="D97" s="29" t="n">
        <f aca="false">G96</f>
        <v>0</v>
      </c>
      <c r="E97" s="28"/>
      <c r="F97" s="28"/>
      <c r="G97" s="29" t="n">
        <f aca="false">D97+E97-F97</f>
        <v>0</v>
      </c>
      <c r="H97" s="28"/>
      <c r="I97" s="29" t="n">
        <f aca="false">ROUND(D97+E97-F97-G97,1)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170</v>
      </c>
      <c r="D98" s="29" t="n">
        <f aca="false">G97</f>
        <v>0</v>
      </c>
      <c r="E98" s="28"/>
      <c r="F98" s="28"/>
      <c r="G98" s="29" t="n">
        <f aca="false">D98+E98-F98</f>
        <v>0</v>
      </c>
      <c r="H98" s="28"/>
      <c r="I98" s="29" t="n">
        <f aca="false">ROUND(D98+E98-F98-G98,1)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170</v>
      </c>
      <c r="D99" s="29" t="n">
        <f aca="false">G98</f>
        <v>0</v>
      </c>
      <c r="E99" s="28"/>
      <c r="F99" s="28"/>
      <c r="G99" s="29" t="n">
        <f aca="false">D99+E99-F99</f>
        <v>0</v>
      </c>
      <c r="H99" s="28"/>
      <c r="I99" s="29" t="n">
        <f aca="false">ROUND(D99+E99-F99-G99,1)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170</v>
      </c>
      <c r="D100" s="29" t="n">
        <f aca="false">G99</f>
        <v>0</v>
      </c>
      <c r="E100" s="28"/>
      <c r="F100" s="28"/>
      <c r="G100" s="29" t="n">
        <f aca="false">D100+E100-F100</f>
        <v>0</v>
      </c>
      <c r="H100" s="28"/>
      <c r="I100" s="29" t="n">
        <f aca="false">ROUND(D100+E100-F100-G100,1)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170</v>
      </c>
      <c r="D101" s="29" t="n">
        <f aca="false">G100</f>
        <v>0</v>
      </c>
      <c r="E101" s="28"/>
      <c r="F101" s="28"/>
      <c r="G101" s="29" t="n">
        <f aca="false">D101+E101-F101</f>
        <v>0</v>
      </c>
      <c r="H101" s="28"/>
      <c r="I101" s="29" t="n">
        <f aca="false">ROUND(D101+E101-F101-G101,1)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170</v>
      </c>
      <c r="D102" s="29" t="n">
        <f aca="false">G101</f>
        <v>0</v>
      </c>
      <c r="E102" s="28"/>
      <c r="F102" s="28"/>
      <c r="G102" s="29" t="n">
        <f aca="false">D102+E102-F102</f>
        <v>0</v>
      </c>
      <c r="H102" s="28"/>
      <c r="I102" s="29" t="n">
        <f aca="false">ROUND(D102+E102-F102-G102,1)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170</v>
      </c>
      <c r="D103" s="29" t="n">
        <f aca="false">G102</f>
        <v>0</v>
      </c>
      <c r="E103" s="28"/>
      <c r="F103" s="28"/>
      <c r="G103" s="29" t="n">
        <f aca="false">D103+E103-F103</f>
        <v>0</v>
      </c>
      <c r="H103" s="28"/>
      <c r="I103" s="29" t="n">
        <f aca="false">ROUND(D103+E103-F103-G103,1)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170</v>
      </c>
      <c r="D104" s="29" t="n">
        <f aca="false">G103</f>
        <v>0</v>
      </c>
      <c r="E104" s="28"/>
      <c r="F104" s="28"/>
      <c r="G104" s="29" t="n">
        <f aca="false">D104+E104-F104</f>
        <v>0</v>
      </c>
      <c r="H104" s="28"/>
      <c r="I104" s="29" t="n">
        <f aca="false">ROUND(D104+E104-F104-G104,1)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170</v>
      </c>
      <c r="D105" s="29" t="n">
        <f aca="false">G104</f>
        <v>0</v>
      </c>
      <c r="E105" s="28"/>
      <c r="F105" s="28"/>
      <c r="G105" s="29" t="n">
        <f aca="false">D105+E105-F105</f>
        <v>0</v>
      </c>
      <c r="H105" s="28"/>
      <c r="I105" s="29" t="n">
        <f aca="false">ROUND(D105+E105-F105-G105,1)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170</v>
      </c>
      <c r="D106" s="29" t="n">
        <f aca="false">G105</f>
        <v>0</v>
      </c>
      <c r="E106" s="28"/>
      <c r="F106" s="28"/>
      <c r="G106" s="29" t="n">
        <f aca="false">D106+E106-F106</f>
        <v>0</v>
      </c>
      <c r="H106" s="28"/>
      <c r="I106" s="29" t="n">
        <f aca="false">ROUND(D106+E106-F106-G106,1)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170</v>
      </c>
      <c r="D107" s="29" t="n">
        <f aca="false">G106</f>
        <v>0</v>
      </c>
      <c r="E107" s="28"/>
      <c r="F107" s="28"/>
      <c r="G107" s="29" t="n">
        <f aca="false">D107+E107-F107</f>
        <v>0</v>
      </c>
      <c r="H107" s="28"/>
      <c r="I107" s="29" t="n">
        <f aca="false">ROUND(D107+E107-F107-G107,1)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170</v>
      </c>
      <c r="D108" s="29" t="n">
        <f aca="false">G107</f>
        <v>0</v>
      </c>
      <c r="E108" s="28"/>
      <c r="F108" s="28"/>
      <c r="G108" s="29" t="n">
        <f aca="false">D108+E108-F108</f>
        <v>0</v>
      </c>
      <c r="H108" s="28"/>
      <c r="I108" s="29" t="n">
        <f aca="false">ROUND(D108+E108-F108-G108,1)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170</v>
      </c>
      <c r="D109" s="29" t="n">
        <f aca="false">G108</f>
        <v>0</v>
      </c>
      <c r="E109" s="28"/>
      <c r="F109" s="28"/>
      <c r="G109" s="29" t="n">
        <f aca="false">D109+E109-F109</f>
        <v>0</v>
      </c>
      <c r="H109" s="28"/>
      <c r="I109" s="29" t="n">
        <f aca="false">ROUND(D109+E109-F109-G109,1)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170</v>
      </c>
      <c r="D110" s="29" t="n">
        <f aca="false">G109</f>
        <v>0</v>
      </c>
      <c r="E110" s="28"/>
      <c r="F110" s="28"/>
      <c r="G110" s="29" t="n">
        <f aca="false">D110+E110-F110</f>
        <v>0</v>
      </c>
      <c r="H110" s="28"/>
      <c r="I110" s="29" t="n">
        <f aca="false">ROUND(D110+E110-F110-G110,1)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170</v>
      </c>
      <c r="D111" s="29" t="n">
        <f aca="false">G110</f>
        <v>0</v>
      </c>
      <c r="E111" s="28"/>
      <c r="F111" s="28"/>
      <c r="G111" s="29" t="n">
        <f aca="false">D111+E111-F111</f>
        <v>0</v>
      </c>
      <c r="H111" s="28"/>
      <c r="I111" s="29" t="n">
        <f aca="false">ROUND(D111+E111-F111-G111,1)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170</v>
      </c>
      <c r="D112" s="29" t="n">
        <f aca="false">G111</f>
        <v>0</v>
      </c>
      <c r="E112" s="28"/>
      <c r="F112" s="28"/>
      <c r="G112" s="29" t="n">
        <f aca="false">D112+E112-F112</f>
        <v>0</v>
      </c>
      <c r="H112" s="28"/>
      <c r="I112" s="29" t="n">
        <f aca="false">ROUND(D112+E112-F112-G112,1)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170</v>
      </c>
      <c r="D113" s="29" t="n">
        <f aca="false">G112</f>
        <v>0</v>
      </c>
      <c r="E113" s="28"/>
      <c r="F113" s="28"/>
      <c r="G113" s="29" t="n">
        <f aca="false">D113+E113-F113</f>
        <v>0</v>
      </c>
      <c r="H113" s="28"/>
      <c r="I113" s="29" t="n">
        <f aca="false">ROUND(D113+E113-F113-G113,1)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170</v>
      </c>
      <c r="D114" s="29" t="n">
        <f aca="false">G113</f>
        <v>0</v>
      </c>
      <c r="E114" s="28"/>
      <c r="F114" s="28"/>
      <c r="G114" s="29" t="n">
        <f aca="false">D114+E114-F114</f>
        <v>0</v>
      </c>
      <c r="H114" s="28"/>
      <c r="I114" s="29" t="n">
        <f aca="false">ROUND(D114+E114-F114-G114,1)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170</v>
      </c>
      <c r="D115" s="29" t="n">
        <f aca="false">G114</f>
        <v>0</v>
      </c>
      <c r="E115" s="28"/>
      <c r="F115" s="28"/>
      <c r="G115" s="29" t="n">
        <f aca="false">D115+E115-F115</f>
        <v>0</v>
      </c>
      <c r="H115" s="28"/>
      <c r="I115" s="29" t="n">
        <f aca="false">ROUND(D115+E115-F115-G115,1)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170</v>
      </c>
      <c r="D116" s="29" t="n">
        <f aca="false">G115</f>
        <v>0</v>
      </c>
      <c r="E116" s="28"/>
      <c r="F116" s="28"/>
      <c r="G116" s="29" t="n">
        <f aca="false">D116+E116-F116</f>
        <v>0</v>
      </c>
      <c r="H116" s="28"/>
      <c r="I116" s="29" t="n">
        <f aca="false">ROUND(D116+E116-F116-G116,1)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170</v>
      </c>
      <c r="D117" s="29" t="n">
        <f aca="false">G116</f>
        <v>0</v>
      </c>
      <c r="E117" s="28"/>
      <c r="F117" s="28"/>
      <c r="G117" s="29" t="n">
        <f aca="false">D117+E117-F117</f>
        <v>0</v>
      </c>
      <c r="H117" s="28"/>
      <c r="I117" s="29" t="n">
        <f aca="false">ROUND(D117+E117-F117-G117,1)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170</v>
      </c>
      <c r="D118" s="29" t="n">
        <f aca="false">G117</f>
        <v>0</v>
      </c>
      <c r="E118" s="28"/>
      <c r="F118" s="28"/>
      <c r="G118" s="29" t="n">
        <f aca="false">D118+E118-F118</f>
        <v>0</v>
      </c>
      <c r="H118" s="28"/>
      <c r="I118" s="29" t="n">
        <f aca="false">ROUND(D118+E118-F118-G118,1)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170</v>
      </c>
      <c r="D119" s="29" t="n">
        <f aca="false">G118</f>
        <v>0</v>
      </c>
      <c r="E119" s="28"/>
      <c r="F119" s="28"/>
      <c r="G119" s="29" t="n">
        <f aca="false">D119+E119-F119</f>
        <v>0</v>
      </c>
      <c r="H119" s="28"/>
      <c r="I119" s="29" t="n">
        <f aca="false">ROUND(D119+E119-F119-G119,1)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170</v>
      </c>
      <c r="D120" s="29" t="n">
        <f aca="false">G119</f>
        <v>0</v>
      </c>
      <c r="E120" s="28"/>
      <c r="F120" s="28"/>
      <c r="G120" s="29" t="n">
        <f aca="false">D120+E120-F120</f>
        <v>0</v>
      </c>
      <c r="H120" s="28"/>
      <c r="I120" s="29" t="n">
        <f aca="false">ROUND(D120+E120-F120-G120,1)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170</v>
      </c>
      <c r="D121" s="29" t="n">
        <f aca="false">G120</f>
        <v>0</v>
      </c>
      <c r="E121" s="28"/>
      <c r="F121" s="28"/>
      <c r="G121" s="29" t="n">
        <f aca="false">D121+E121-F121</f>
        <v>0</v>
      </c>
      <c r="H121" s="28"/>
      <c r="I121" s="29" t="n">
        <f aca="false">ROUND(D121+E121-F121-G121,1)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170</v>
      </c>
      <c r="D122" s="29" t="n">
        <f aca="false">G121</f>
        <v>0</v>
      </c>
      <c r="E122" s="28"/>
      <c r="F122" s="28"/>
      <c r="G122" s="29" t="n">
        <f aca="false">D122+E122-F122</f>
        <v>0</v>
      </c>
      <c r="H122" s="28"/>
      <c r="I122" s="29" t="n">
        <f aca="false">ROUND(D122+E122-F122-G122,1)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170</v>
      </c>
      <c r="D123" s="29" t="n">
        <f aca="false">G122</f>
        <v>0</v>
      </c>
      <c r="E123" s="28"/>
      <c r="F123" s="28"/>
      <c r="G123" s="29" t="n">
        <f aca="false">D123+E123-F123</f>
        <v>0</v>
      </c>
      <c r="H123" s="28"/>
      <c r="I123" s="29" t="n">
        <f aca="false">ROUND(D123+E123-F123-G123,1)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170</v>
      </c>
      <c r="D124" s="29" t="n">
        <f aca="false">G123</f>
        <v>0</v>
      </c>
      <c r="E124" s="28"/>
      <c r="F124" s="28"/>
      <c r="G124" s="29" t="n">
        <f aca="false">D124+E124-F124</f>
        <v>0</v>
      </c>
      <c r="H124" s="28"/>
      <c r="I124" s="29" t="n">
        <f aca="false">ROUND(D124+E124-F124-G124,1)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170</v>
      </c>
      <c r="D125" s="29" t="n">
        <f aca="false">G124</f>
        <v>0</v>
      </c>
      <c r="E125" s="28"/>
      <c r="F125" s="28"/>
      <c r="G125" s="29" t="n">
        <f aca="false">D125+E125-F125</f>
        <v>0</v>
      </c>
      <c r="H125" s="28"/>
      <c r="I125" s="29" t="n">
        <f aca="false">ROUND(D125+E125-F125-G125,1)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170</v>
      </c>
      <c r="D126" s="29" t="n">
        <f aca="false">G125</f>
        <v>0</v>
      </c>
      <c r="E126" s="28"/>
      <c r="F126" s="28"/>
      <c r="G126" s="29" t="n">
        <f aca="false">D126+E126-F126</f>
        <v>0</v>
      </c>
      <c r="H126" s="28"/>
      <c r="I126" s="29" t="n">
        <f aca="false">ROUND(D126+E126-F126-G126,1)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170</v>
      </c>
      <c r="D127" s="29" t="n">
        <f aca="false">G126</f>
        <v>0</v>
      </c>
      <c r="E127" s="28"/>
      <c r="F127" s="28"/>
      <c r="G127" s="29" t="n">
        <f aca="false">D127+E127-F127</f>
        <v>0</v>
      </c>
      <c r="H127" s="28"/>
      <c r="I127" s="29" t="n">
        <f aca="false">ROUND(D127+E127-F127-G127,1)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170</v>
      </c>
      <c r="D128" s="29" t="n">
        <f aca="false">G127</f>
        <v>0</v>
      </c>
      <c r="E128" s="28"/>
      <c r="F128" s="28"/>
      <c r="G128" s="29" t="n">
        <f aca="false">D128+E128-F128</f>
        <v>0</v>
      </c>
      <c r="H128" s="28"/>
      <c r="I128" s="29" t="n">
        <f aca="false">ROUND(D128+E128-F128-G128,1)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170</v>
      </c>
      <c r="D129" s="29" t="n">
        <f aca="false">G128</f>
        <v>0</v>
      </c>
      <c r="E129" s="28"/>
      <c r="F129" s="28"/>
      <c r="G129" s="29" t="n">
        <f aca="false">D129+E129-F129</f>
        <v>0</v>
      </c>
      <c r="H129" s="28"/>
      <c r="I129" s="29" t="n">
        <f aca="false">ROUND(D129+E129-F129-G129,1)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170</v>
      </c>
      <c r="D130" s="29" t="n">
        <f aca="false">G129</f>
        <v>0</v>
      </c>
      <c r="E130" s="28"/>
      <c r="F130" s="28"/>
      <c r="G130" s="29" t="n">
        <f aca="false">D130+E130-F130</f>
        <v>0</v>
      </c>
      <c r="H130" s="28"/>
      <c r="I130" s="29" t="n">
        <f aca="false">ROUND(D130+E130-F130-G130,1)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170</v>
      </c>
      <c r="D131" s="29" t="n">
        <f aca="false">G130</f>
        <v>0</v>
      </c>
      <c r="E131" s="28"/>
      <c r="F131" s="28"/>
      <c r="G131" s="29" t="n">
        <f aca="false">D131+E131-F131</f>
        <v>0</v>
      </c>
      <c r="H131" s="28"/>
      <c r="I131" s="29" t="n">
        <f aca="false">ROUND(D131+E131-F131-G131,1)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170</v>
      </c>
      <c r="D132" s="29" t="n">
        <f aca="false">G131</f>
        <v>0</v>
      </c>
      <c r="E132" s="28"/>
      <c r="F132" s="28"/>
      <c r="G132" s="29" t="n">
        <f aca="false">D132+E132-F132</f>
        <v>0</v>
      </c>
      <c r="H132" s="28"/>
      <c r="I132" s="29" t="n">
        <f aca="false">ROUND(D132+E132-F132-G132,1)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170</v>
      </c>
      <c r="D133" s="29" t="n">
        <f aca="false">G132</f>
        <v>0</v>
      </c>
      <c r="E133" s="28"/>
      <c r="F133" s="28"/>
      <c r="G133" s="29" t="n">
        <f aca="false">D133+E133-F133</f>
        <v>0</v>
      </c>
      <c r="H133" s="28"/>
      <c r="I133" s="29" t="n">
        <f aca="false">ROUND(D133+E133-F133-G133,1)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170</v>
      </c>
      <c r="D134" s="29" t="n">
        <f aca="false">G133</f>
        <v>0</v>
      </c>
      <c r="E134" s="28"/>
      <c r="F134" s="28"/>
      <c r="G134" s="29" t="n">
        <f aca="false">D134+E134-F134</f>
        <v>0</v>
      </c>
      <c r="H134" s="28"/>
      <c r="I134" s="29" t="n">
        <f aca="false">ROUND(D134+E134-F134-G134,1)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170</v>
      </c>
      <c r="D135" s="29" t="n">
        <f aca="false">G134</f>
        <v>0</v>
      </c>
      <c r="E135" s="28"/>
      <c r="F135" s="28"/>
      <c r="G135" s="29" t="n">
        <f aca="false">D135+E135-F135</f>
        <v>0</v>
      </c>
      <c r="H135" s="28"/>
      <c r="I135" s="29" t="n">
        <f aca="false">ROUND(D135+E135-F135-G135,1)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170</v>
      </c>
      <c r="D136" s="29" t="n">
        <f aca="false">G135</f>
        <v>0</v>
      </c>
      <c r="E136" s="28"/>
      <c r="F136" s="28"/>
      <c r="G136" s="29" t="n">
        <f aca="false">D136+E136-F136</f>
        <v>0</v>
      </c>
      <c r="H136" s="28"/>
      <c r="I136" s="29" t="n">
        <f aca="false">ROUND(D136+E136-F136-G136,1)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170</v>
      </c>
      <c r="D137" s="29" t="n">
        <f aca="false">G136</f>
        <v>0</v>
      </c>
      <c r="E137" s="28"/>
      <c r="F137" s="28"/>
      <c r="G137" s="29" t="n">
        <f aca="false">D137+E137-F137</f>
        <v>0</v>
      </c>
      <c r="H137" s="28"/>
      <c r="I137" s="29" t="n">
        <f aca="false">ROUND(D137+E137-F137-G137,1)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170</v>
      </c>
      <c r="D138" s="29" t="n">
        <f aca="false">G137</f>
        <v>0</v>
      </c>
      <c r="E138" s="28"/>
      <c r="F138" s="28"/>
      <c r="G138" s="29" t="n">
        <f aca="false">D138+E138-F138</f>
        <v>0</v>
      </c>
      <c r="H138" s="28"/>
      <c r="I138" s="29" t="n">
        <f aca="false">ROUND(D138+E138-F138-G138,1)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170</v>
      </c>
      <c r="D139" s="29" t="n">
        <f aca="false">G138</f>
        <v>0</v>
      </c>
      <c r="E139" s="28"/>
      <c r="F139" s="28"/>
      <c r="G139" s="29" t="n">
        <f aca="false">D139+E139-F139</f>
        <v>0</v>
      </c>
      <c r="H139" s="28"/>
      <c r="I139" s="29" t="n">
        <f aca="false">ROUND(D139+E139-F139-G139,1)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170</v>
      </c>
      <c r="D140" s="29" t="n">
        <f aca="false">G139</f>
        <v>0</v>
      </c>
      <c r="E140" s="28"/>
      <c r="F140" s="28"/>
      <c r="G140" s="29" t="n">
        <f aca="false">D140+E140-F140</f>
        <v>0</v>
      </c>
      <c r="H140" s="28"/>
      <c r="I140" s="29" t="n">
        <f aca="false">ROUND(D140+E140-F140-G140,1)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170</v>
      </c>
      <c r="D141" s="29" t="n">
        <f aca="false">G140</f>
        <v>0</v>
      </c>
      <c r="E141" s="28"/>
      <c r="F141" s="28"/>
      <c r="G141" s="29" t="n">
        <f aca="false">D141+E141-F141</f>
        <v>0</v>
      </c>
      <c r="H141" s="28"/>
      <c r="I141" s="29" t="n">
        <f aca="false">ROUND(D141+E141-F141-G141,1)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170</v>
      </c>
      <c r="D142" s="29" t="n">
        <f aca="false">G141</f>
        <v>0</v>
      </c>
      <c r="E142" s="28"/>
      <c r="F142" s="28"/>
      <c r="G142" s="29" t="n">
        <f aca="false">D142+E142-F142</f>
        <v>0</v>
      </c>
      <c r="H142" s="28"/>
      <c r="I142" s="29" t="n">
        <f aca="false">ROUND(D142+E142-F142-G142,1)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170</v>
      </c>
      <c r="D143" s="29" t="n">
        <f aca="false">G142</f>
        <v>0</v>
      </c>
      <c r="E143" s="28"/>
      <c r="F143" s="28"/>
      <c r="G143" s="29" t="n">
        <f aca="false">D143+E143-F143</f>
        <v>0</v>
      </c>
      <c r="H143" s="28"/>
      <c r="I143" s="29" t="n">
        <f aca="false">ROUND(D143+E143-F143-G143,1)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170</v>
      </c>
      <c r="D144" s="29" t="n">
        <f aca="false">G143</f>
        <v>0</v>
      </c>
      <c r="E144" s="28"/>
      <c r="F144" s="28"/>
      <c r="G144" s="29" t="n">
        <f aca="false">D144+E144-F144</f>
        <v>0</v>
      </c>
      <c r="H144" s="28"/>
      <c r="I144" s="29" t="n">
        <f aca="false">ROUND(D144+E144-F144-G144,1)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170</v>
      </c>
      <c r="D145" s="29" t="n">
        <f aca="false">G144</f>
        <v>0</v>
      </c>
      <c r="E145" s="28"/>
      <c r="F145" s="28"/>
      <c r="G145" s="29" t="n">
        <f aca="false">D145+E145-F145</f>
        <v>0</v>
      </c>
      <c r="H145" s="28"/>
      <c r="I145" s="29" t="n">
        <f aca="false">ROUND(D145+E145-F145-G145,1)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170</v>
      </c>
      <c r="D146" s="29" t="n">
        <f aca="false">G145</f>
        <v>0</v>
      </c>
      <c r="E146" s="28"/>
      <c r="F146" s="28"/>
      <c r="G146" s="29" t="n">
        <f aca="false">D146+E146-F146</f>
        <v>0</v>
      </c>
      <c r="H146" s="28"/>
      <c r="I146" s="29" t="n">
        <f aca="false">ROUND(D146+E146-F146-G146,1)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170</v>
      </c>
      <c r="D147" s="29" t="n">
        <f aca="false">G146</f>
        <v>0</v>
      </c>
      <c r="E147" s="28"/>
      <c r="F147" s="28"/>
      <c r="G147" s="29" t="n">
        <f aca="false">D147+E147-F147</f>
        <v>0</v>
      </c>
      <c r="H147" s="28"/>
      <c r="I147" s="29" t="n">
        <f aca="false">ROUND(D147+E147-F147-G147,1)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170</v>
      </c>
      <c r="D148" s="29" t="n">
        <f aca="false">G147</f>
        <v>0</v>
      </c>
      <c r="E148" s="28"/>
      <c r="F148" s="28"/>
      <c r="G148" s="29" t="n">
        <f aca="false">D148+E148-F148</f>
        <v>0</v>
      </c>
      <c r="H148" s="28"/>
      <c r="I148" s="29" t="n">
        <f aca="false">ROUND(D148+E148-F148-G148,1)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170</v>
      </c>
      <c r="D149" s="29" t="n">
        <f aca="false">G148</f>
        <v>0</v>
      </c>
      <c r="E149" s="28"/>
      <c r="F149" s="28"/>
      <c r="G149" s="29" t="n">
        <f aca="false">D149+E149-F149</f>
        <v>0</v>
      </c>
      <c r="H149" s="28"/>
      <c r="I149" s="29" t="n">
        <f aca="false">ROUND(D149+E149-F149-G149,1)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170</v>
      </c>
      <c r="D150" s="29" t="n">
        <f aca="false">G149</f>
        <v>0</v>
      </c>
      <c r="E150" s="28"/>
      <c r="F150" s="28"/>
      <c r="G150" s="29" t="n">
        <f aca="false">D150+E150-F150</f>
        <v>0</v>
      </c>
      <c r="H150" s="28"/>
      <c r="I150" s="29" t="n">
        <f aca="false">ROUND(D150+E150-F150-G150,1)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170</v>
      </c>
      <c r="D151" s="29" t="n">
        <f aca="false">G150</f>
        <v>0</v>
      </c>
      <c r="E151" s="28"/>
      <c r="F151" s="28"/>
      <c r="G151" s="29" t="n">
        <f aca="false">D151+E151-F151</f>
        <v>0</v>
      </c>
      <c r="H151" s="28"/>
      <c r="I151" s="29" t="n">
        <f aca="false">ROUND(D151+E151-F151-G151,1)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170</v>
      </c>
      <c r="D152" s="29" t="n">
        <f aca="false">G151</f>
        <v>0</v>
      </c>
      <c r="E152" s="28"/>
      <c r="F152" s="28"/>
      <c r="G152" s="29" t="n">
        <f aca="false">D152+E152-F152</f>
        <v>0</v>
      </c>
      <c r="H152" s="28"/>
      <c r="I152" s="29" t="n">
        <f aca="false">ROUND(D152+E152-F152-G152,1)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170</v>
      </c>
      <c r="D153" s="29" t="n">
        <f aca="false">G152</f>
        <v>0</v>
      </c>
      <c r="E153" s="28"/>
      <c r="F153" s="28"/>
      <c r="G153" s="29" t="n">
        <f aca="false">D153+E153-F153</f>
        <v>0</v>
      </c>
      <c r="H153" s="28"/>
      <c r="I153" s="29" t="n">
        <f aca="false">ROUND(D153+E153-F153-G153,1)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170</v>
      </c>
      <c r="D154" s="29" t="n">
        <f aca="false">G153</f>
        <v>0</v>
      </c>
      <c r="E154" s="28"/>
      <c r="F154" s="28"/>
      <c r="G154" s="29" t="n">
        <f aca="false">D154+E154-F154</f>
        <v>0</v>
      </c>
      <c r="H154" s="28"/>
      <c r="I154" s="29" t="n">
        <f aca="false">ROUND(D154+E154-F154-G154,1)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170</v>
      </c>
      <c r="D155" s="29" t="n">
        <f aca="false">G154</f>
        <v>0</v>
      </c>
      <c r="E155" s="28"/>
      <c r="F155" s="28"/>
      <c r="G155" s="29" t="n">
        <f aca="false">D155+E155-F155</f>
        <v>0</v>
      </c>
      <c r="H155" s="28"/>
      <c r="I155" s="29" t="n">
        <f aca="false">ROUND(D155+E155-F155-G155,1)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170</v>
      </c>
      <c r="D156" s="29" t="n">
        <f aca="false">G155</f>
        <v>0</v>
      </c>
      <c r="E156" s="28"/>
      <c r="F156" s="28"/>
      <c r="G156" s="29" t="n">
        <f aca="false">D156+E156-F156</f>
        <v>0</v>
      </c>
      <c r="H156" s="28"/>
      <c r="I156" s="29" t="n">
        <f aca="false">ROUND(D156+E156-F156-G156,1)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170</v>
      </c>
      <c r="D157" s="29" t="n">
        <f aca="false">G156</f>
        <v>0</v>
      </c>
      <c r="E157" s="28"/>
      <c r="F157" s="28"/>
      <c r="G157" s="29" t="n">
        <f aca="false">D157+E157-F157</f>
        <v>0</v>
      </c>
      <c r="H157" s="28"/>
      <c r="I157" s="29" t="n">
        <f aca="false">ROUND(D157+E157-F157-G157,1)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170</v>
      </c>
      <c r="D158" s="29" t="n">
        <f aca="false">G157</f>
        <v>0</v>
      </c>
      <c r="E158" s="28"/>
      <c r="F158" s="28"/>
      <c r="G158" s="29" t="n">
        <f aca="false">D158+E158-F158</f>
        <v>0</v>
      </c>
      <c r="H158" s="28"/>
      <c r="I158" s="29" t="n">
        <f aca="false">ROUND(D158+E158-F158-G158,1)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170</v>
      </c>
      <c r="D159" s="29" t="n">
        <f aca="false">G158</f>
        <v>0</v>
      </c>
      <c r="E159" s="28"/>
      <c r="F159" s="28"/>
      <c r="G159" s="29" t="n">
        <f aca="false">D159+E159-F159</f>
        <v>0</v>
      </c>
      <c r="H159" s="28"/>
      <c r="I159" s="29" t="n">
        <f aca="false">ROUND(D159+E159-F159-G159,1)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170</v>
      </c>
      <c r="D160" s="29" t="n">
        <f aca="false">G159</f>
        <v>0</v>
      </c>
      <c r="E160" s="28"/>
      <c r="F160" s="28"/>
      <c r="G160" s="29" t="n">
        <f aca="false">D160+E160-F160</f>
        <v>0</v>
      </c>
      <c r="H160" s="28"/>
      <c r="I160" s="29" t="n">
        <f aca="false">ROUND(D160+E160-F160-G160,1)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170</v>
      </c>
      <c r="D161" s="29" t="n">
        <f aca="false">G160</f>
        <v>0</v>
      </c>
      <c r="E161" s="28"/>
      <c r="F161" s="28"/>
      <c r="G161" s="29" t="n">
        <f aca="false">D161+E161-F161</f>
        <v>0</v>
      </c>
      <c r="H161" s="28"/>
      <c r="I161" s="29" t="n">
        <f aca="false">ROUND(D161+E161-F161-G161,1)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170</v>
      </c>
      <c r="D162" s="29" t="n">
        <f aca="false">G161</f>
        <v>0</v>
      </c>
      <c r="E162" s="28"/>
      <c r="F162" s="28"/>
      <c r="G162" s="29" t="n">
        <f aca="false">D162+E162-F162</f>
        <v>0</v>
      </c>
      <c r="H162" s="28"/>
      <c r="I162" s="29" t="n">
        <f aca="false">ROUND(D162+E162-F162-G162,1)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170</v>
      </c>
      <c r="D163" s="29" t="n">
        <f aca="false">G162</f>
        <v>0</v>
      </c>
      <c r="E163" s="28"/>
      <c r="F163" s="28"/>
      <c r="G163" s="29" t="n">
        <f aca="false">D163+E163-F163</f>
        <v>0</v>
      </c>
      <c r="H163" s="28"/>
      <c r="I163" s="29" t="n">
        <f aca="false">ROUND(D163+E163-F163-G163,1)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170</v>
      </c>
      <c r="D164" s="29" t="n">
        <f aca="false">G163</f>
        <v>0</v>
      </c>
      <c r="E164" s="28"/>
      <c r="F164" s="28"/>
      <c r="G164" s="29" t="n">
        <f aca="false">D164+E164-F164</f>
        <v>0</v>
      </c>
      <c r="H164" s="28"/>
      <c r="I164" s="29" t="n">
        <f aca="false">ROUND(D164+E164-F164-G164,1)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170</v>
      </c>
      <c r="D165" s="29" t="n">
        <f aca="false">G164</f>
        <v>0</v>
      </c>
      <c r="E165" s="28"/>
      <c r="F165" s="28"/>
      <c r="G165" s="29" t="n">
        <f aca="false">D165+E165-F165</f>
        <v>0</v>
      </c>
      <c r="H165" s="28"/>
      <c r="I165" s="29" t="n">
        <f aca="false">ROUND(D165+E165-F165-G165,1)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170</v>
      </c>
      <c r="D166" s="29" t="n">
        <f aca="false">G165</f>
        <v>0</v>
      </c>
      <c r="E166" s="28"/>
      <c r="F166" s="28"/>
      <c r="G166" s="29" t="n">
        <f aca="false">D166+E166-F166</f>
        <v>0</v>
      </c>
      <c r="H166" s="28"/>
      <c r="I166" s="29" t="n">
        <f aca="false">ROUND(D166+E166-F166-G166,1)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170</v>
      </c>
      <c r="D167" s="29" t="n">
        <f aca="false">G166</f>
        <v>0</v>
      </c>
      <c r="E167" s="28"/>
      <c r="F167" s="28"/>
      <c r="G167" s="29" t="n">
        <f aca="false">D167+E167-F167</f>
        <v>0</v>
      </c>
      <c r="H167" s="28"/>
      <c r="I167" s="29" t="n">
        <f aca="false">ROUND(D167+E167-F167-G167,1)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170</v>
      </c>
      <c r="D168" s="29" t="n">
        <f aca="false">G167</f>
        <v>0</v>
      </c>
      <c r="E168" s="28"/>
      <c r="F168" s="28"/>
      <c r="G168" s="29" t="n">
        <f aca="false">D168+E168-F168</f>
        <v>0</v>
      </c>
      <c r="H168" s="28"/>
      <c r="I168" s="29" t="n">
        <f aca="false">ROUND(D168+E168-F168-G168,1)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170</v>
      </c>
      <c r="D169" s="29" t="n">
        <f aca="false">G168</f>
        <v>0</v>
      </c>
      <c r="E169" s="28"/>
      <c r="F169" s="28"/>
      <c r="G169" s="29" t="n">
        <f aca="false">D169+E169-F169</f>
        <v>0</v>
      </c>
      <c r="H169" s="28"/>
      <c r="I169" s="29" t="n">
        <f aca="false">ROUND(D169+E169-F169-G169,1)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170</v>
      </c>
      <c r="D170" s="29" t="n">
        <f aca="false">G169</f>
        <v>0</v>
      </c>
      <c r="E170" s="28"/>
      <c r="F170" s="28"/>
      <c r="G170" s="29" t="n">
        <f aca="false">D170+E170-F170</f>
        <v>0</v>
      </c>
      <c r="H170" s="28"/>
      <c r="I170" s="29" t="n">
        <f aca="false">ROUND(D170+E170-F170-G170,1)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170</v>
      </c>
      <c r="D171" s="29" t="n">
        <f aca="false">G170</f>
        <v>0</v>
      </c>
      <c r="E171" s="28"/>
      <c r="F171" s="28"/>
      <c r="G171" s="29" t="n">
        <f aca="false">D171+E171-F171</f>
        <v>0</v>
      </c>
      <c r="H171" s="28"/>
      <c r="I171" s="29" t="n">
        <f aca="false">ROUND(D171+E171-F171-G171,1)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170</v>
      </c>
      <c r="D172" s="29" t="n">
        <f aca="false">G171</f>
        <v>0</v>
      </c>
      <c r="E172" s="28"/>
      <c r="F172" s="28"/>
      <c r="G172" s="29" t="n">
        <f aca="false">D172+E172-F172</f>
        <v>0</v>
      </c>
      <c r="H172" s="28"/>
      <c r="I172" s="29" t="n">
        <f aca="false">ROUND(D172+E172-F172-G172,1)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170</v>
      </c>
      <c r="D173" s="29" t="n">
        <f aca="false">G172</f>
        <v>0</v>
      </c>
      <c r="E173" s="28"/>
      <c r="F173" s="28"/>
      <c r="G173" s="29" t="n">
        <f aca="false">D173+E173-F173</f>
        <v>0</v>
      </c>
      <c r="H173" s="28"/>
      <c r="I173" s="29" t="n">
        <f aca="false">ROUND(D173+E173-F173-G173,1)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170</v>
      </c>
      <c r="D174" s="29" t="n">
        <f aca="false">G173</f>
        <v>0</v>
      </c>
      <c r="E174" s="28"/>
      <c r="F174" s="28"/>
      <c r="G174" s="29" t="n">
        <f aca="false">D174+E174-F174</f>
        <v>0</v>
      </c>
      <c r="H174" s="28"/>
      <c r="I174" s="29" t="n">
        <f aca="false">ROUND(D174+E174-F174-G174,1)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170</v>
      </c>
      <c r="D175" s="29" t="n">
        <f aca="false">G174</f>
        <v>0</v>
      </c>
      <c r="E175" s="28"/>
      <c r="F175" s="28"/>
      <c r="G175" s="29" t="n">
        <f aca="false">D175+E175-F175</f>
        <v>0</v>
      </c>
      <c r="H175" s="28"/>
      <c r="I175" s="29" t="n">
        <f aca="false">ROUND(D175+E175-F175-G175,1)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170</v>
      </c>
      <c r="D176" s="29" t="n">
        <f aca="false">G175</f>
        <v>0</v>
      </c>
      <c r="E176" s="28"/>
      <c r="F176" s="28"/>
      <c r="G176" s="29" t="n">
        <f aca="false">D176+E176-F176</f>
        <v>0</v>
      </c>
      <c r="H176" s="28"/>
      <c r="I176" s="29" t="n">
        <f aca="false">ROUND(D176+E176-F176-G176,1)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170</v>
      </c>
      <c r="D177" s="29" t="n">
        <f aca="false">G176</f>
        <v>0</v>
      </c>
      <c r="E177" s="28"/>
      <c r="F177" s="28"/>
      <c r="G177" s="29" t="n">
        <f aca="false">D177+E177-F177</f>
        <v>0</v>
      </c>
      <c r="H177" s="28"/>
      <c r="I177" s="29" t="n">
        <f aca="false">ROUND(D177+E177-F177-G177,1)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170</v>
      </c>
      <c r="D178" s="29" t="n">
        <f aca="false">G177</f>
        <v>0</v>
      </c>
      <c r="E178" s="28"/>
      <c r="F178" s="28"/>
      <c r="G178" s="29" t="n">
        <f aca="false">D178+E178-F178</f>
        <v>0</v>
      </c>
      <c r="H178" s="28"/>
      <c r="I178" s="29" t="n">
        <f aca="false">ROUND(D178+E178-F178-G178,1)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170</v>
      </c>
      <c r="D179" s="29" t="n">
        <f aca="false">G178</f>
        <v>0</v>
      </c>
      <c r="E179" s="28"/>
      <c r="F179" s="28"/>
      <c r="G179" s="29" t="n">
        <f aca="false">D179+E179-F179</f>
        <v>0</v>
      </c>
      <c r="H179" s="28"/>
      <c r="I179" s="29" t="n">
        <f aca="false">ROUND(D179+E179-F179-G179,1)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170</v>
      </c>
      <c r="D180" s="29" t="n">
        <f aca="false">G179</f>
        <v>0</v>
      </c>
      <c r="E180" s="28"/>
      <c r="F180" s="28"/>
      <c r="G180" s="29" t="n">
        <f aca="false">D180+E180-F180</f>
        <v>0</v>
      </c>
      <c r="H180" s="28"/>
      <c r="I180" s="29" t="n">
        <f aca="false">ROUND(D180+E180-F180-G180,1)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170</v>
      </c>
      <c r="D181" s="29" t="n">
        <f aca="false">G180</f>
        <v>0</v>
      </c>
      <c r="E181" s="28"/>
      <c r="F181" s="28"/>
      <c r="G181" s="29" t="n">
        <f aca="false">D181+E181-F181</f>
        <v>0</v>
      </c>
      <c r="H181" s="28"/>
      <c r="I181" s="29" t="n">
        <f aca="false">ROUND(D181+E181-F181-G181,1)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170</v>
      </c>
      <c r="D182" s="29" t="n">
        <f aca="false">G181</f>
        <v>0</v>
      </c>
      <c r="E182" s="28"/>
      <c r="F182" s="28"/>
      <c r="G182" s="29" t="n">
        <f aca="false">D182+E182-F182</f>
        <v>0</v>
      </c>
      <c r="H182" s="28"/>
      <c r="I182" s="29" t="n">
        <f aca="false">ROUND(D182+E182-F182-G182,1)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170</v>
      </c>
      <c r="D183" s="29" t="n">
        <f aca="false">G182</f>
        <v>0</v>
      </c>
      <c r="E183" s="28"/>
      <c r="F183" s="28"/>
      <c r="G183" s="29" t="n">
        <f aca="false">D183+E183-F183</f>
        <v>0</v>
      </c>
      <c r="H183" s="28"/>
      <c r="I183" s="29" t="n">
        <f aca="false">ROUND(D183+E183-F183-G183,1)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170</v>
      </c>
      <c r="D184" s="29" t="n">
        <f aca="false">G183</f>
        <v>0</v>
      </c>
      <c r="E184" s="28"/>
      <c r="F184" s="28"/>
      <c r="G184" s="29" t="n">
        <f aca="false">D184+E184-F184</f>
        <v>0</v>
      </c>
      <c r="H184" s="28"/>
      <c r="I184" s="29" t="n">
        <f aca="false">ROUND(D184+E184-F184-G184,1)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170</v>
      </c>
      <c r="D185" s="29" t="n">
        <f aca="false">G184</f>
        <v>0</v>
      </c>
      <c r="E185" s="28"/>
      <c r="F185" s="28"/>
      <c r="G185" s="29" t="n">
        <f aca="false">D185+E185-F185</f>
        <v>0</v>
      </c>
      <c r="H185" s="28"/>
      <c r="I185" s="29" t="n">
        <f aca="false">ROUND(D185+E185-F185-G185,1)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170</v>
      </c>
      <c r="D186" s="29" t="n">
        <f aca="false">G185</f>
        <v>0</v>
      </c>
      <c r="E186" s="28"/>
      <c r="F186" s="28"/>
      <c r="G186" s="29" t="n">
        <f aca="false">D186+E186-F186</f>
        <v>0</v>
      </c>
      <c r="H186" s="28"/>
      <c r="I186" s="29" t="n">
        <f aca="false">ROUND(D186+E186-F186-G186,1)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170</v>
      </c>
      <c r="D187" s="29" t="n">
        <f aca="false">G186</f>
        <v>0</v>
      </c>
      <c r="E187" s="28"/>
      <c r="F187" s="28"/>
      <c r="G187" s="29" t="n">
        <f aca="false">D187+E187-F187</f>
        <v>0</v>
      </c>
      <c r="H187" s="28"/>
      <c r="I187" s="29" t="n">
        <f aca="false">ROUND(D187+E187-F187-G187,1)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170</v>
      </c>
      <c r="D188" s="29" t="n">
        <f aca="false">G187</f>
        <v>0</v>
      </c>
      <c r="E188" s="28"/>
      <c r="F188" s="28"/>
      <c r="G188" s="29" t="n">
        <f aca="false">D188+E188-F188</f>
        <v>0</v>
      </c>
      <c r="H188" s="28"/>
      <c r="I188" s="29" t="n">
        <f aca="false">ROUND(D188+E188-F188-G188,1)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170</v>
      </c>
      <c r="D189" s="29" t="n">
        <f aca="false">G188</f>
        <v>0</v>
      </c>
      <c r="E189" s="28"/>
      <c r="F189" s="28"/>
      <c r="G189" s="29" t="n">
        <f aca="false">D189+E189-F189</f>
        <v>0</v>
      </c>
      <c r="H189" s="28"/>
      <c r="I189" s="29" t="n">
        <f aca="false">ROUND(D189+E189-F189-G189,1)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170</v>
      </c>
      <c r="D190" s="29" t="n">
        <f aca="false">G189</f>
        <v>0</v>
      </c>
      <c r="E190" s="28"/>
      <c r="F190" s="28"/>
      <c r="G190" s="29" t="n">
        <f aca="false">D190+E190-F190</f>
        <v>0</v>
      </c>
      <c r="H190" s="28"/>
      <c r="I190" s="29" t="n">
        <f aca="false">ROUND(D190+E190-F190-G190,1)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170</v>
      </c>
      <c r="D191" s="29" t="n">
        <f aca="false">G190</f>
        <v>0</v>
      </c>
      <c r="E191" s="28"/>
      <c r="F191" s="28"/>
      <c r="G191" s="29" t="n">
        <f aca="false">D191+E191-F191</f>
        <v>0</v>
      </c>
      <c r="H191" s="28"/>
      <c r="I191" s="29" t="n">
        <f aca="false">ROUND(D191+E191-F191-G191,1)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170</v>
      </c>
      <c r="D192" s="29" t="n">
        <f aca="false">G191</f>
        <v>0</v>
      </c>
      <c r="E192" s="28"/>
      <c r="F192" s="28"/>
      <c r="G192" s="29" t="n">
        <f aca="false">D192+E192-F192</f>
        <v>0</v>
      </c>
      <c r="H192" s="28"/>
      <c r="I192" s="29" t="n">
        <f aca="false">ROUND(D192+E192-F192-G192,1)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170</v>
      </c>
      <c r="D193" s="29" t="n">
        <f aca="false">G192</f>
        <v>0</v>
      </c>
      <c r="E193" s="28"/>
      <c r="F193" s="28"/>
      <c r="G193" s="29" t="n">
        <f aca="false">D193+E193-F193</f>
        <v>0</v>
      </c>
      <c r="H193" s="28"/>
      <c r="I193" s="29" t="n">
        <f aca="false">ROUND(D193+E193-F193-G193,1)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170</v>
      </c>
      <c r="D194" s="29" t="n">
        <f aca="false">G193</f>
        <v>0</v>
      </c>
      <c r="E194" s="28"/>
      <c r="F194" s="28"/>
      <c r="G194" s="29" t="n">
        <f aca="false">D194+E194-F194</f>
        <v>0</v>
      </c>
      <c r="H194" s="28"/>
      <c r="I194" s="29" t="n">
        <f aca="false">ROUND(D194+E194-F194-G194,1)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170</v>
      </c>
      <c r="D195" s="29" t="n">
        <f aca="false">G194</f>
        <v>0</v>
      </c>
      <c r="E195" s="28"/>
      <c r="F195" s="28"/>
      <c r="G195" s="29" t="n">
        <f aca="false">D195+E195-F195</f>
        <v>0</v>
      </c>
      <c r="H195" s="28"/>
      <c r="I195" s="29" t="n">
        <f aca="false">ROUND(D195+E195-F195-G195,1)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170</v>
      </c>
      <c r="D196" s="29" t="n">
        <f aca="false">G195</f>
        <v>0</v>
      </c>
      <c r="E196" s="28"/>
      <c r="F196" s="28"/>
      <c r="G196" s="29" t="n">
        <f aca="false">D196+E196-F196</f>
        <v>0</v>
      </c>
      <c r="H196" s="28"/>
      <c r="I196" s="29" t="n">
        <f aca="false">ROUND(D196+E196-F196-G196,1)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170</v>
      </c>
      <c r="D197" s="29" t="n">
        <f aca="false">G196</f>
        <v>0</v>
      </c>
      <c r="E197" s="28"/>
      <c r="F197" s="28"/>
      <c r="G197" s="29" t="n">
        <f aca="false">D197+E197-F197</f>
        <v>0</v>
      </c>
      <c r="H197" s="28"/>
      <c r="I197" s="29" t="n">
        <f aca="false">ROUND(D197+E197-F197-G197,1)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170</v>
      </c>
      <c r="D198" s="29" t="n">
        <f aca="false">G197</f>
        <v>0</v>
      </c>
      <c r="E198" s="28"/>
      <c r="F198" s="28"/>
      <c r="G198" s="29" t="n">
        <f aca="false">D198+E198-F198</f>
        <v>0</v>
      </c>
      <c r="H198" s="28"/>
      <c r="I198" s="29" t="n">
        <f aca="false">ROUND(D198+E198-F198-G198,1)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170</v>
      </c>
      <c r="D199" s="29" t="n">
        <f aca="false">G198</f>
        <v>0</v>
      </c>
      <c r="E199" s="28"/>
      <c r="F199" s="28"/>
      <c r="G199" s="29" t="n">
        <f aca="false">D199+E199-F199</f>
        <v>0</v>
      </c>
      <c r="H199" s="28"/>
      <c r="I199" s="29" t="n">
        <f aca="false">ROUND(D199+E199-F199-G199,1)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170</v>
      </c>
      <c r="D200" s="29" t="n">
        <f aca="false">G199</f>
        <v>0</v>
      </c>
      <c r="E200" s="28"/>
      <c r="F200" s="28"/>
      <c r="G200" s="29" t="n">
        <f aca="false">D200+E200-F200</f>
        <v>0</v>
      </c>
      <c r="H200" s="28"/>
      <c r="I200" s="29" t="n">
        <f aca="false">ROUND(D200+E200-F200-G200,1)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170</v>
      </c>
      <c r="D201" s="29" t="n">
        <f aca="false">G200</f>
        <v>0</v>
      </c>
      <c r="E201" s="28"/>
      <c r="F201" s="28"/>
      <c r="G201" s="29" t="n">
        <f aca="false">D201+E201-F201</f>
        <v>0</v>
      </c>
      <c r="H201" s="28"/>
      <c r="I201" s="29" t="n">
        <f aca="false">ROUND(D201+E201-F201-G201,1)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170</v>
      </c>
      <c r="D202" s="29" t="n">
        <f aca="false">G201</f>
        <v>0</v>
      </c>
      <c r="E202" s="28"/>
      <c r="F202" s="28"/>
      <c r="G202" s="29" t="n">
        <f aca="false">D202+E202-F202</f>
        <v>0</v>
      </c>
      <c r="H202" s="28"/>
      <c r="I202" s="29" t="n">
        <f aca="false">ROUND(D202+E202-F202-G202,1)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170</v>
      </c>
      <c r="D203" s="29" t="n">
        <f aca="false">G202</f>
        <v>0</v>
      </c>
      <c r="E203" s="28"/>
      <c r="F203" s="28"/>
      <c r="G203" s="29" t="n">
        <f aca="false">D203+E203-F203</f>
        <v>0</v>
      </c>
      <c r="H203" s="28"/>
      <c r="I203" s="29" t="n">
        <f aca="false">ROUND(D203+E203-F203-G203,1)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170</v>
      </c>
      <c r="D204" s="29" t="n">
        <f aca="false">G203</f>
        <v>0</v>
      </c>
      <c r="E204" s="28"/>
      <c r="F204" s="28"/>
      <c r="G204" s="29" t="n">
        <f aca="false">D204+E204-F204</f>
        <v>0</v>
      </c>
      <c r="H204" s="28"/>
      <c r="I204" s="29" t="n">
        <f aca="false">ROUND(D204+E204-F204-G204,1)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170</v>
      </c>
      <c r="D205" s="29" t="n">
        <f aca="false">G204</f>
        <v>0</v>
      </c>
      <c r="E205" s="28"/>
      <c r="F205" s="28"/>
      <c r="G205" s="29" t="n">
        <f aca="false">D205+E205-F205</f>
        <v>0</v>
      </c>
      <c r="H205" s="28"/>
      <c r="I205" s="29" t="n">
        <f aca="false">ROUND(D205+E205-F205-G205,1)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170</v>
      </c>
      <c r="D206" s="29" t="n">
        <f aca="false">G205</f>
        <v>0</v>
      </c>
      <c r="E206" s="28"/>
      <c r="F206" s="28"/>
      <c r="G206" s="29" t="n">
        <f aca="false">D206+E206-F206</f>
        <v>0</v>
      </c>
      <c r="H206" s="28"/>
      <c r="I206" s="29" t="n">
        <f aca="false">ROUND(D206+E206-F206-G206,1)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170</v>
      </c>
      <c r="D207" s="29" t="n">
        <f aca="false">G206</f>
        <v>0</v>
      </c>
      <c r="E207" s="28"/>
      <c r="F207" s="28"/>
      <c r="G207" s="29" t="n">
        <f aca="false">D207+E207-F207</f>
        <v>0</v>
      </c>
      <c r="H207" s="28"/>
      <c r="I207" s="29" t="n">
        <f aca="false">ROUND(D207+E207-F207-G207,1)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170</v>
      </c>
      <c r="D208" s="29" t="n">
        <f aca="false">G207</f>
        <v>0</v>
      </c>
      <c r="E208" s="28"/>
      <c r="F208" s="28"/>
      <c r="G208" s="29" t="n">
        <f aca="false">D208+E208-F208</f>
        <v>0</v>
      </c>
      <c r="H208" s="28"/>
      <c r="I208" s="29" t="n">
        <f aca="false">ROUND(D208+E208-F208-G208,1)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170</v>
      </c>
      <c r="D209" s="29" t="n">
        <f aca="false">G208</f>
        <v>0</v>
      </c>
      <c r="E209" s="28"/>
      <c r="F209" s="28"/>
      <c r="G209" s="29" t="n">
        <f aca="false">D209+E209-F209</f>
        <v>0</v>
      </c>
      <c r="H209" s="28"/>
      <c r="I209" s="29" t="n">
        <f aca="false">ROUND(D209+E209-F209-G209,1)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170</v>
      </c>
      <c r="D210" s="29" t="n">
        <f aca="false">G209</f>
        <v>0</v>
      </c>
      <c r="E210" s="28"/>
      <c r="F210" s="28"/>
      <c r="G210" s="29" t="n">
        <f aca="false">D210+E210-F210</f>
        <v>0</v>
      </c>
      <c r="H210" s="28"/>
      <c r="I210" s="29" t="n">
        <f aca="false">ROUND(D210+E210-F210-G210,1)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170</v>
      </c>
      <c r="D211" s="29" t="n">
        <f aca="false">G210</f>
        <v>0</v>
      </c>
      <c r="E211" s="28"/>
      <c r="F211" s="28"/>
      <c r="G211" s="29" t="n">
        <f aca="false">D211+E211-F211</f>
        <v>0</v>
      </c>
      <c r="H211" s="28"/>
      <c r="I211" s="29" t="n">
        <f aca="false">ROUND(D211+E211-F211-G211,1)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170</v>
      </c>
      <c r="D212" s="29" t="n">
        <f aca="false">G211</f>
        <v>0</v>
      </c>
      <c r="E212" s="28"/>
      <c r="F212" s="28"/>
      <c r="G212" s="29" t="n">
        <f aca="false">D212+E212-F212</f>
        <v>0</v>
      </c>
      <c r="H212" s="28"/>
      <c r="I212" s="29" t="n">
        <f aca="false">ROUND(D212+E212-F212-G212,1)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170</v>
      </c>
      <c r="D213" s="29" t="n">
        <f aca="false">G212</f>
        <v>0</v>
      </c>
      <c r="E213" s="28"/>
      <c r="F213" s="28"/>
      <c r="G213" s="29" t="n">
        <f aca="false">D213+E213-F213</f>
        <v>0</v>
      </c>
      <c r="H213" s="28"/>
      <c r="I213" s="29" t="n">
        <f aca="false">ROUND(D213+E213-F213-G213,1)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170</v>
      </c>
      <c r="D214" s="29" t="n">
        <f aca="false">G213</f>
        <v>0</v>
      </c>
      <c r="E214" s="28"/>
      <c r="F214" s="28"/>
      <c r="G214" s="29" t="n">
        <f aca="false">D214+E214-F214</f>
        <v>0</v>
      </c>
      <c r="H214" s="28"/>
      <c r="I214" s="29" t="n">
        <f aca="false">ROUND(D214+E214-F214-G214,1)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170</v>
      </c>
      <c r="D215" s="29" t="n">
        <f aca="false">G214</f>
        <v>0</v>
      </c>
      <c r="E215" s="28"/>
      <c r="F215" s="28"/>
      <c r="G215" s="29" t="n">
        <f aca="false">D215+E215-F215</f>
        <v>0</v>
      </c>
      <c r="H215" s="28"/>
      <c r="I215" s="29" t="n">
        <f aca="false">ROUND(D215+E215-F215-G215,1)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170</v>
      </c>
      <c r="D216" s="29" t="n">
        <f aca="false">G215</f>
        <v>0</v>
      </c>
      <c r="E216" s="28"/>
      <c r="F216" s="28"/>
      <c r="G216" s="29" t="n">
        <f aca="false">D216+E216-F216</f>
        <v>0</v>
      </c>
      <c r="H216" s="28"/>
      <c r="I216" s="29" t="n">
        <f aca="false">ROUND(D216+E216-F216-G216,1)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170</v>
      </c>
      <c r="D217" s="29" t="n">
        <f aca="false">G216</f>
        <v>0</v>
      </c>
      <c r="E217" s="28"/>
      <c r="F217" s="28"/>
      <c r="G217" s="29" t="n">
        <f aca="false">D217+E217-F217</f>
        <v>0</v>
      </c>
      <c r="H217" s="28"/>
      <c r="I217" s="29" t="n">
        <f aca="false">ROUND(D217+E217-F217-G217,1)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170</v>
      </c>
      <c r="D218" s="29" t="n">
        <f aca="false">G217</f>
        <v>0</v>
      </c>
      <c r="E218" s="28"/>
      <c r="F218" s="28"/>
      <c r="G218" s="29" t="n">
        <f aca="false">D218+E218-F218</f>
        <v>0</v>
      </c>
      <c r="H218" s="28"/>
      <c r="I218" s="29" t="n">
        <f aca="false">ROUND(D218+E218-F218-G218,1)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170</v>
      </c>
      <c r="D219" s="29" t="n">
        <f aca="false">G218</f>
        <v>0</v>
      </c>
      <c r="E219" s="28"/>
      <c r="F219" s="28"/>
      <c r="G219" s="29" t="n">
        <f aca="false">D219+E219-F219</f>
        <v>0</v>
      </c>
      <c r="H219" s="28"/>
      <c r="I219" s="29" t="n">
        <f aca="false">ROUND(D219+E219-F219-G219,1)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170</v>
      </c>
      <c r="D220" s="29" t="n">
        <f aca="false">G219</f>
        <v>0</v>
      </c>
      <c r="E220" s="28"/>
      <c r="F220" s="28"/>
      <c r="G220" s="29" t="n">
        <f aca="false">D220+E220-F220</f>
        <v>0</v>
      </c>
      <c r="H220" s="28"/>
      <c r="I220" s="29" t="n">
        <f aca="false">ROUND(D220+E220-F220-G220,1)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170</v>
      </c>
      <c r="D221" s="29" t="n">
        <f aca="false">G220</f>
        <v>0</v>
      </c>
      <c r="E221" s="28"/>
      <c r="F221" s="28"/>
      <c r="G221" s="29" t="n">
        <f aca="false">D221+E221-F221</f>
        <v>0</v>
      </c>
      <c r="H221" s="28"/>
      <c r="I221" s="29" t="n">
        <f aca="false">ROUND(D221+E221-F221-G221,1)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170</v>
      </c>
      <c r="D222" s="29" t="n">
        <f aca="false">G221</f>
        <v>0</v>
      </c>
      <c r="E222" s="28"/>
      <c r="F222" s="28"/>
      <c r="G222" s="29" t="n">
        <f aca="false">D222+E222-F222</f>
        <v>0</v>
      </c>
      <c r="H222" s="28"/>
      <c r="I222" s="29" t="n">
        <f aca="false">ROUND(D222+E222-F222-G222,1)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170</v>
      </c>
      <c r="D223" s="29" t="n">
        <f aca="false">G222</f>
        <v>0</v>
      </c>
      <c r="E223" s="28"/>
      <c r="F223" s="28"/>
      <c r="G223" s="29" t="n">
        <f aca="false">D223+E223-F223</f>
        <v>0</v>
      </c>
      <c r="H223" s="28"/>
      <c r="I223" s="29" t="n">
        <f aca="false">ROUND(D223+E223-F223-G223,1)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170</v>
      </c>
      <c r="D224" s="29" t="n">
        <f aca="false">G223</f>
        <v>0</v>
      </c>
      <c r="E224" s="28"/>
      <c r="F224" s="28"/>
      <c r="G224" s="29" t="n">
        <f aca="false">D224+E224-F224</f>
        <v>0</v>
      </c>
      <c r="H224" s="28"/>
      <c r="I224" s="29" t="n">
        <f aca="false">ROUND(D224+E224-F224-G224,1)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170</v>
      </c>
      <c r="D225" s="29" t="n">
        <f aca="false">G224</f>
        <v>0</v>
      </c>
      <c r="E225" s="28"/>
      <c r="F225" s="28"/>
      <c r="G225" s="29" t="n">
        <f aca="false">D225+E225-F225</f>
        <v>0</v>
      </c>
      <c r="H225" s="28"/>
      <c r="I225" s="29" t="n">
        <f aca="false">ROUND(D225+E225-F225-G225,1)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170</v>
      </c>
      <c r="D226" s="29" t="n">
        <f aca="false">G225</f>
        <v>0</v>
      </c>
      <c r="E226" s="28"/>
      <c r="F226" s="28"/>
      <c r="G226" s="29" t="n">
        <f aca="false">D226+E226-F226</f>
        <v>0</v>
      </c>
      <c r="H226" s="28"/>
      <c r="I226" s="29" t="n">
        <f aca="false">ROUND(D226+E226-F226-G226,1)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170</v>
      </c>
      <c r="D227" s="29" t="n">
        <f aca="false">G226</f>
        <v>0</v>
      </c>
      <c r="E227" s="28"/>
      <c r="F227" s="28"/>
      <c r="G227" s="29" t="n">
        <f aca="false">D227+E227-F227</f>
        <v>0</v>
      </c>
      <c r="H227" s="28"/>
      <c r="I227" s="29" t="n">
        <f aca="false">ROUND(D227+E227-F227-G227,1)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170</v>
      </c>
      <c r="D228" s="29" t="n">
        <f aca="false">G227</f>
        <v>0</v>
      </c>
      <c r="E228" s="28"/>
      <c r="F228" s="28"/>
      <c r="G228" s="29" t="n">
        <f aca="false">D228+E228-F228</f>
        <v>0</v>
      </c>
      <c r="H228" s="28"/>
      <c r="I228" s="29" t="n">
        <f aca="false">ROUND(D228+E228-F228-G228,1)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170</v>
      </c>
      <c r="D229" s="29" t="n">
        <f aca="false">G228</f>
        <v>0</v>
      </c>
      <c r="E229" s="28"/>
      <c r="F229" s="28"/>
      <c r="G229" s="29" t="n">
        <f aca="false">D229+E229-F229</f>
        <v>0</v>
      </c>
      <c r="H229" s="28"/>
      <c r="I229" s="29" t="n">
        <f aca="false">ROUND(D229+E229-F229-G229,1)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170</v>
      </c>
      <c r="D230" s="29" t="n">
        <f aca="false">G229</f>
        <v>0</v>
      </c>
      <c r="E230" s="28"/>
      <c r="F230" s="28"/>
      <c r="G230" s="29" t="n">
        <f aca="false">D230+E230-F230</f>
        <v>0</v>
      </c>
      <c r="H230" s="28"/>
      <c r="I230" s="29" t="n">
        <f aca="false">ROUND(D230+E230-F230-G230,1)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170</v>
      </c>
      <c r="D231" s="29" t="n">
        <f aca="false">G230</f>
        <v>0</v>
      </c>
      <c r="E231" s="28"/>
      <c r="F231" s="28"/>
      <c r="G231" s="29" t="n">
        <f aca="false">D231+E231-F231</f>
        <v>0</v>
      </c>
      <c r="H231" s="28"/>
      <c r="I231" s="29" t="n">
        <f aca="false">ROUND(D231+E231-F231-G231,1)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170</v>
      </c>
      <c r="D232" s="29" t="n">
        <f aca="false">G231</f>
        <v>0</v>
      </c>
      <c r="E232" s="28"/>
      <c r="F232" s="28"/>
      <c r="G232" s="29" t="n">
        <f aca="false">D232+E232-F232</f>
        <v>0</v>
      </c>
      <c r="H232" s="28"/>
      <c r="I232" s="29" t="n">
        <f aca="false">ROUND(D232+E232-F232-G232,1)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170</v>
      </c>
      <c r="D233" s="29" t="n">
        <f aca="false">G232</f>
        <v>0</v>
      </c>
      <c r="E233" s="28"/>
      <c r="F233" s="28"/>
      <c r="G233" s="29" t="n">
        <f aca="false">D233+E233-F233</f>
        <v>0</v>
      </c>
      <c r="H233" s="28"/>
      <c r="I233" s="29" t="n">
        <f aca="false">ROUND(D233+E233-F233-G233,1)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170</v>
      </c>
      <c r="D234" s="29" t="n">
        <f aca="false">G233</f>
        <v>0</v>
      </c>
      <c r="E234" s="28"/>
      <c r="F234" s="28"/>
      <c r="G234" s="29" t="n">
        <f aca="false">D234+E234-F234</f>
        <v>0</v>
      </c>
      <c r="H234" s="28"/>
      <c r="I234" s="29" t="n">
        <f aca="false">ROUND(D234+E234-F234-G234,1)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170</v>
      </c>
      <c r="D235" s="29" t="n">
        <f aca="false">G234</f>
        <v>0</v>
      </c>
      <c r="E235" s="28"/>
      <c r="F235" s="28"/>
      <c r="G235" s="29" t="n">
        <f aca="false">D235+E235-F235</f>
        <v>0</v>
      </c>
      <c r="H235" s="28"/>
      <c r="I235" s="29" t="n">
        <f aca="false">ROUND(D235+E235-F235-G235,1)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170</v>
      </c>
      <c r="D236" s="29" t="n">
        <f aca="false">G235</f>
        <v>0</v>
      </c>
      <c r="E236" s="28"/>
      <c r="F236" s="28"/>
      <c r="G236" s="29" t="n">
        <f aca="false">D236+E236-F236</f>
        <v>0</v>
      </c>
      <c r="H236" s="28"/>
      <c r="I236" s="29" t="n">
        <f aca="false">ROUND(D236+E236-F236-G236,1)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170</v>
      </c>
      <c r="D237" s="29" t="n">
        <f aca="false">G236</f>
        <v>0</v>
      </c>
      <c r="E237" s="28"/>
      <c r="F237" s="28"/>
      <c r="G237" s="29" t="n">
        <f aca="false">D237+E237-F237</f>
        <v>0</v>
      </c>
      <c r="H237" s="28"/>
      <c r="I237" s="29" t="n">
        <f aca="false">ROUND(D237+E237-F237-G237,1)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170</v>
      </c>
      <c r="D238" s="29" t="n">
        <f aca="false">G237</f>
        <v>0</v>
      </c>
      <c r="E238" s="28"/>
      <c r="F238" s="28"/>
      <c r="G238" s="29" t="n">
        <f aca="false">D238+E238-F238</f>
        <v>0</v>
      </c>
      <c r="H238" s="28"/>
      <c r="I238" s="29" t="n">
        <f aca="false">ROUND(D238+E238-F238-G238,1)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170</v>
      </c>
      <c r="D239" s="29" t="n">
        <f aca="false">G238</f>
        <v>0</v>
      </c>
      <c r="E239" s="28"/>
      <c r="F239" s="28"/>
      <c r="G239" s="29" t="n">
        <f aca="false">D239+E239-F239</f>
        <v>0</v>
      </c>
      <c r="H239" s="28"/>
      <c r="I239" s="29" t="n">
        <f aca="false">ROUND(D239+E239-F239-G239,1)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170</v>
      </c>
      <c r="D240" s="29" t="n">
        <f aca="false">G239</f>
        <v>0</v>
      </c>
      <c r="E240" s="28"/>
      <c r="F240" s="28"/>
      <c r="G240" s="29" t="n">
        <f aca="false">D240+E240-F240</f>
        <v>0</v>
      </c>
      <c r="H240" s="28"/>
      <c r="I240" s="29" t="n">
        <f aca="false">ROUND(D240+E240-F240-G240,1)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170</v>
      </c>
      <c r="D241" s="29" t="n">
        <f aca="false">G240</f>
        <v>0</v>
      </c>
      <c r="E241" s="28"/>
      <c r="F241" s="28"/>
      <c r="G241" s="29" t="n">
        <f aca="false">D241+E241-F241</f>
        <v>0</v>
      </c>
      <c r="H241" s="28"/>
      <c r="I241" s="29" t="n">
        <f aca="false">ROUND(D241+E241-F241-G241,1)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170</v>
      </c>
      <c r="D242" s="29" t="n">
        <f aca="false">G241</f>
        <v>0</v>
      </c>
      <c r="E242" s="28"/>
      <c r="F242" s="28"/>
      <c r="G242" s="29" t="n">
        <f aca="false">D242+E242-F242</f>
        <v>0</v>
      </c>
      <c r="H242" s="28"/>
      <c r="I242" s="29" t="n">
        <f aca="false">ROUND(D242+E242-F242-G242,1)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170</v>
      </c>
      <c r="D243" s="29" t="n">
        <f aca="false">G242</f>
        <v>0</v>
      </c>
      <c r="E243" s="28"/>
      <c r="F243" s="28"/>
      <c r="G243" s="29" t="n">
        <f aca="false">D243+E243-F243</f>
        <v>0</v>
      </c>
      <c r="H243" s="28"/>
      <c r="I243" s="29" t="n">
        <f aca="false">ROUND(D243+E243-F243-G243,1)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170</v>
      </c>
      <c r="D244" s="29" t="n">
        <f aca="false">G243</f>
        <v>0</v>
      </c>
      <c r="E244" s="28"/>
      <c r="F244" s="28"/>
      <c r="G244" s="29" t="n">
        <f aca="false">D244+E244-F244</f>
        <v>0</v>
      </c>
      <c r="H244" s="28"/>
      <c r="I244" s="29" t="n">
        <f aca="false">ROUND(D244+E244-F244-G244,1)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170</v>
      </c>
      <c r="D245" s="29" t="n">
        <f aca="false">G244</f>
        <v>0</v>
      </c>
      <c r="E245" s="28"/>
      <c r="F245" s="28"/>
      <c r="G245" s="29" t="n">
        <f aca="false">D245+E245-F245</f>
        <v>0</v>
      </c>
      <c r="H245" s="28"/>
      <c r="I245" s="29" t="n">
        <f aca="false">ROUND(D245+E245-F245-G245,1)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170</v>
      </c>
      <c r="D246" s="29" t="n">
        <f aca="false">G245</f>
        <v>0</v>
      </c>
      <c r="E246" s="28"/>
      <c r="F246" s="28"/>
      <c r="G246" s="29" t="n">
        <f aca="false">D246+E246-F246</f>
        <v>0</v>
      </c>
      <c r="H246" s="28"/>
      <c r="I246" s="29" t="n">
        <f aca="false">ROUND(D246+E246-F246-G246,1)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170</v>
      </c>
      <c r="D247" s="29" t="n">
        <f aca="false">G246</f>
        <v>0</v>
      </c>
      <c r="E247" s="28"/>
      <c r="F247" s="28"/>
      <c r="G247" s="29" t="n">
        <f aca="false">D247+E247-F247</f>
        <v>0</v>
      </c>
      <c r="H247" s="28"/>
      <c r="I247" s="29" t="n">
        <f aca="false">ROUND(D247+E247-F247-G247,1)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170</v>
      </c>
      <c r="D248" s="29" t="n">
        <f aca="false">G247</f>
        <v>0</v>
      </c>
      <c r="E248" s="28"/>
      <c r="F248" s="28"/>
      <c r="G248" s="29" t="n">
        <f aca="false">D248+E248-F248</f>
        <v>0</v>
      </c>
      <c r="H248" s="28"/>
      <c r="I248" s="29" t="n">
        <f aca="false">ROUND(D248+E248-F248-G248,1)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170</v>
      </c>
      <c r="D249" s="29" t="n">
        <f aca="false">G248</f>
        <v>0</v>
      </c>
      <c r="E249" s="28"/>
      <c r="F249" s="28"/>
      <c r="G249" s="29" t="n">
        <f aca="false">D249+E249-F249</f>
        <v>0</v>
      </c>
      <c r="H249" s="28"/>
      <c r="I249" s="29" t="n">
        <f aca="false">ROUND(D249+E249-F249-G249,1)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170</v>
      </c>
      <c r="D250" s="29" t="n">
        <f aca="false">G249</f>
        <v>0</v>
      </c>
      <c r="E250" s="28"/>
      <c r="F250" s="28"/>
      <c r="G250" s="29" t="n">
        <f aca="false">D250+E250-F250</f>
        <v>0</v>
      </c>
      <c r="H250" s="28"/>
      <c r="I250" s="29" t="n">
        <f aca="false">ROUND(D250+E250-F250-G250,1)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170</v>
      </c>
      <c r="D251" s="29" t="n">
        <f aca="false">G250</f>
        <v>0</v>
      </c>
      <c r="E251" s="28"/>
      <c r="F251" s="28"/>
      <c r="G251" s="29" t="n">
        <f aca="false">D251+E251-F251</f>
        <v>0</v>
      </c>
      <c r="H251" s="28"/>
      <c r="I251" s="29" t="n">
        <f aca="false">ROUND(D251+E251-F251-G251,1)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170</v>
      </c>
      <c r="D252" s="29" t="n">
        <f aca="false">G251</f>
        <v>0</v>
      </c>
      <c r="E252" s="28"/>
      <c r="F252" s="28"/>
      <c r="G252" s="29" t="n">
        <f aca="false">D252+E252-F252</f>
        <v>0</v>
      </c>
      <c r="H252" s="28"/>
      <c r="I252" s="29" t="n">
        <f aca="false">ROUND(D252+E252-F252-G252,1)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170</v>
      </c>
      <c r="D253" s="29" t="n">
        <f aca="false">G252</f>
        <v>0</v>
      </c>
      <c r="E253" s="28"/>
      <c r="F253" s="28"/>
      <c r="G253" s="29" t="n">
        <f aca="false">D253+E253-F253</f>
        <v>0</v>
      </c>
      <c r="H253" s="28"/>
      <c r="I253" s="29" t="n">
        <f aca="false">ROUND(D253+E253-F253-G253,1)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170</v>
      </c>
      <c r="D254" s="29" t="n">
        <f aca="false">G253</f>
        <v>0</v>
      </c>
      <c r="E254" s="28"/>
      <c r="F254" s="28"/>
      <c r="G254" s="29" t="n">
        <f aca="false">D254+E254-F254</f>
        <v>0</v>
      </c>
      <c r="H254" s="28"/>
      <c r="I254" s="29" t="n">
        <f aca="false">ROUND(D254+E254-F254-G254,1)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170</v>
      </c>
      <c r="D255" s="29" t="n">
        <f aca="false">G254</f>
        <v>0</v>
      </c>
      <c r="E255" s="28"/>
      <c r="F255" s="28"/>
      <c r="G255" s="29" t="n">
        <f aca="false">D255+E255-F255</f>
        <v>0</v>
      </c>
      <c r="H255" s="28"/>
      <c r="I255" s="29" t="n">
        <f aca="false">ROUND(D255+E255-F255-G255,1)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170</v>
      </c>
      <c r="D256" s="29" t="n">
        <f aca="false">G255</f>
        <v>0</v>
      </c>
      <c r="E256" s="28"/>
      <c r="F256" s="28"/>
      <c r="G256" s="29" t="n">
        <f aca="false">D256+E256-F256</f>
        <v>0</v>
      </c>
      <c r="H256" s="28"/>
      <c r="I256" s="29" t="n">
        <f aca="false">ROUND(D256+E256-F256-G256,1)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170</v>
      </c>
      <c r="D257" s="29" t="n">
        <f aca="false">G256</f>
        <v>0</v>
      </c>
      <c r="E257" s="28"/>
      <c r="F257" s="28"/>
      <c r="G257" s="29" t="n">
        <f aca="false">D257+E257-F257</f>
        <v>0</v>
      </c>
      <c r="H257" s="28"/>
      <c r="I257" s="29" t="n">
        <f aca="false">ROUND(D257+E257-F257-G257,1)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170</v>
      </c>
      <c r="D258" s="29" t="n">
        <f aca="false">G257</f>
        <v>0</v>
      </c>
      <c r="E258" s="28"/>
      <c r="F258" s="28"/>
      <c r="G258" s="29" t="n">
        <f aca="false">D258+E258-F258</f>
        <v>0</v>
      </c>
      <c r="H258" s="28"/>
      <c r="I258" s="29" t="n">
        <f aca="false">ROUND(D258+E258-F258-G258,1)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170</v>
      </c>
      <c r="D259" s="29" t="n">
        <f aca="false">G258</f>
        <v>0</v>
      </c>
      <c r="E259" s="28"/>
      <c r="F259" s="28"/>
      <c r="G259" s="29" t="n">
        <f aca="false">D259+E259-F259</f>
        <v>0</v>
      </c>
      <c r="H259" s="28"/>
      <c r="I259" s="29" t="n">
        <f aca="false">ROUND(D259+E259-F259-G259,1)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170</v>
      </c>
      <c r="D260" s="29" t="n">
        <f aca="false">G259</f>
        <v>0</v>
      </c>
      <c r="E260" s="28"/>
      <c r="F260" s="28"/>
      <c r="G260" s="29" t="n">
        <f aca="false">D260+E260-F260</f>
        <v>0</v>
      </c>
      <c r="H260" s="28"/>
      <c r="I260" s="29" t="n">
        <f aca="false">ROUND(D260+E260-F260-G260,1)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170</v>
      </c>
      <c r="D261" s="29" t="n">
        <f aca="false">G260</f>
        <v>0</v>
      </c>
      <c r="E261" s="28"/>
      <c r="F261" s="28"/>
      <c r="G261" s="29" t="n">
        <f aca="false">D261+E261-F261</f>
        <v>0</v>
      </c>
      <c r="H261" s="28"/>
      <c r="I261" s="29" t="n">
        <f aca="false">ROUND(D261+E261-F261-G261,1)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170</v>
      </c>
      <c r="D262" s="29" t="n">
        <f aca="false">G261</f>
        <v>0</v>
      </c>
      <c r="E262" s="28"/>
      <c r="F262" s="28"/>
      <c r="G262" s="29" t="n">
        <f aca="false">D262+E262-F262</f>
        <v>0</v>
      </c>
      <c r="H262" s="28"/>
      <c r="I262" s="29" t="n">
        <f aca="false">ROUND(D262+E262-F262-G262,1)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170</v>
      </c>
      <c r="D263" s="29" t="n">
        <f aca="false">G262</f>
        <v>0</v>
      </c>
      <c r="E263" s="28"/>
      <c r="F263" s="28"/>
      <c r="G263" s="29" t="n">
        <f aca="false">D263+E263-F263</f>
        <v>0</v>
      </c>
      <c r="H263" s="28"/>
      <c r="I263" s="29" t="n">
        <f aca="false">ROUND(D263+E263-F263-G263,1)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170</v>
      </c>
      <c r="D264" s="29" t="n">
        <f aca="false">G263</f>
        <v>0</v>
      </c>
      <c r="E264" s="28"/>
      <c r="F264" s="28"/>
      <c r="G264" s="29" t="n">
        <f aca="false">D264+E264-F264</f>
        <v>0</v>
      </c>
      <c r="H264" s="28"/>
      <c r="I264" s="29" t="n">
        <f aca="false">ROUND(D264+E264-F264-G264,1)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170</v>
      </c>
      <c r="D265" s="29" t="n">
        <f aca="false">G264</f>
        <v>0</v>
      </c>
      <c r="E265" s="28"/>
      <c r="F265" s="28"/>
      <c r="G265" s="29" t="n">
        <f aca="false">D265+E265-F265</f>
        <v>0</v>
      </c>
      <c r="H265" s="28"/>
      <c r="I265" s="29" t="n">
        <f aca="false">ROUND(D265+E265-F265-G265,1)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170</v>
      </c>
      <c r="D266" s="29" t="n">
        <f aca="false">G265</f>
        <v>0</v>
      </c>
      <c r="E266" s="28"/>
      <c r="F266" s="28"/>
      <c r="G266" s="29" t="n">
        <f aca="false">D266+E266-F266</f>
        <v>0</v>
      </c>
      <c r="H266" s="28"/>
      <c r="I266" s="29" t="n">
        <f aca="false">ROUND(D266+E266-F266-G266,1)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170</v>
      </c>
      <c r="D267" s="29" t="n">
        <f aca="false">G266</f>
        <v>0</v>
      </c>
      <c r="E267" s="28"/>
      <c r="F267" s="28"/>
      <c r="G267" s="29" t="n">
        <f aca="false">D267+E267-F267</f>
        <v>0</v>
      </c>
      <c r="H267" s="28"/>
      <c r="I267" s="29" t="n">
        <f aca="false">ROUND(D267+E267-F267-G267,1)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170</v>
      </c>
      <c r="D268" s="29" t="n">
        <f aca="false">G267</f>
        <v>0</v>
      </c>
      <c r="E268" s="28"/>
      <c r="F268" s="28"/>
      <c r="G268" s="29" t="n">
        <f aca="false">D268+E268-F268</f>
        <v>0</v>
      </c>
      <c r="H268" s="28"/>
      <c r="I268" s="29" t="n">
        <f aca="false">ROUND(D268+E268-F268-G268,1)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170</v>
      </c>
      <c r="D269" s="29" t="n">
        <f aca="false">G268</f>
        <v>0</v>
      </c>
      <c r="E269" s="28"/>
      <c r="F269" s="28"/>
      <c r="G269" s="29" t="n">
        <f aca="false">D269+E269-F269</f>
        <v>0</v>
      </c>
      <c r="H269" s="28"/>
      <c r="I269" s="29" t="n">
        <f aca="false">ROUND(D269+E269-F269-G269,1)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170</v>
      </c>
      <c r="D270" s="29" t="n">
        <f aca="false">G269</f>
        <v>0</v>
      </c>
      <c r="E270" s="28"/>
      <c r="F270" s="28"/>
      <c r="G270" s="29" t="n">
        <f aca="false">D270+E270-F270</f>
        <v>0</v>
      </c>
      <c r="H270" s="28"/>
      <c r="I270" s="29" t="n">
        <f aca="false">ROUND(D270+E270-F270-G270,1)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170</v>
      </c>
      <c r="D271" s="29" t="n">
        <f aca="false">G270</f>
        <v>0</v>
      </c>
      <c r="E271" s="28"/>
      <c r="F271" s="28"/>
      <c r="G271" s="29" t="n">
        <f aca="false">D271+E271-F271</f>
        <v>0</v>
      </c>
      <c r="H271" s="28"/>
      <c r="I271" s="29" t="n">
        <f aca="false">ROUND(D271+E271-F271-G271,1)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170</v>
      </c>
      <c r="D272" s="29" t="n">
        <f aca="false">G271</f>
        <v>0</v>
      </c>
      <c r="E272" s="28"/>
      <c r="F272" s="28"/>
      <c r="G272" s="29" t="n">
        <f aca="false">D272+E272-F272</f>
        <v>0</v>
      </c>
      <c r="H272" s="28"/>
      <c r="I272" s="29" t="n">
        <f aca="false">ROUND(D272+E272-F272-G272,1)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170</v>
      </c>
      <c r="D273" s="29" t="n">
        <f aca="false">G272</f>
        <v>0</v>
      </c>
      <c r="E273" s="28"/>
      <c r="F273" s="28"/>
      <c r="G273" s="29" t="n">
        <f aca="false">D273+E273-F273</f>
        <v>0</v>
      </c>
      <c r="H273" s="28"/>
      <c r="I273" s="29" t="n">
        <f aca="false">ROUND(D273+E273-F273-G273,1)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170</v>
      </c>
      <c r="D274" s="29" t="n">
        <f aca="false">G273</f>
        <v>0</v>
      </c>
      <c r="E274" s="28"/>
      <c r="F274" s="28"/>
      <c r="G274" s="29" t="n">
        <f aca="false">D274+E274-F274</f>
        <v>0</v>
      </c>
      <c r="H274" s="28"/>
      <c r="I274" s="29" t="n">
        <f aca="false">ROUND(D274+E274-F274-G274,1)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170</v>
      </c>
      <c r="D275" s="29" t="n">
        <f aca="false">G274</f>
        <v>0</v>
      </c>
      <c r="E275" s="28"/>
      <c r="F275" s="28"/>
      <c r="G275" s="29" t="n">
        <f aca="false">D275+E275-F275</f>
        <v>0</v>
      </c>
      <c r="H275" s="28"/>
      <c r="I275" s="29" t="n">
        <f aca="false">ROUND(D275+E275-F275-G275,1)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170</v>
      </c>
      <c r="D276" s="29" t="n">
        <f aca="false">G275</f>
        <v>0</v>
      </c>
      <c r="E276" s="28"/>
      <c r="F276" s="28"/>
      <c r="G276" s="29" t="n">
        <f aca="false">D276+E276-F276</f>
        <v>0</v>
      </c>
      <c r="H276" s="28"/>
      <c r="I276" s="29" t="n">
        <f aca="false">ROUND(D276+E276-F276-G276,1)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170</v>
      </c>
      <c r="D277" s="29" t="n">
        <f aca="false">G276</f>
        <v>0</v>
      </c>
      <c r="E277" s="28"/>
      <c r="F277" s="28"/>
      <c r="G277" s="29" t="n">
        <f aca="false">D277+E277-F277</f>
        <v>0</v>
      </c>
      <c r="H277" s="28"/>
      <c r="I277" s="29" t="n">
        <f aca="false">ROUND(D277+E277-F277-G277,1)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170</v>
      </c>
      <c r="D278" s="29" t="n">
        <f aca="false">G277</f>
        <v>0</v>
      </c>
      <c r="E278" s="28"/>
      <c r="F278" s="28"/>
      <c r="G278" s="29" t="n">
        <f aca="false">D278+E278-F278</f>
        <v>0</v>
      </c>
      <c r="H278" s="28"/>
      <c r="I278" s="29" t="n">
        <f aca="false">ROUND(D278+E278-F278-G278,1)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170</v>
      </c>
      <c r="D279" s="29" t="n">
        <f aca="false">G278</f>
        <v>0</v>
      </c>
      <c r="E279" s="28"/>
      <c r="F279" s="28"/>
      <c r="G279" s="29" t="n">
        <f aca="false">D279+E279-F279</f>
        <v>0</v>
      </c>
      <c r="H279" s="28"/>
      <c r="I279" s="29" t="n">
        <f aca="false">ROUND(D279+E279-F279-G279,1)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170</v>
      </c>
      <c r="D280" s="29" t="n">
        <f aca="false">G279</f>
        <v>0</v>
      </c>
      <c r="E280" s="28"/>
      <c r="F280" s="28"/>
      <c r="G280" s="29" t="n">
        <f aca="false">D280+E280-F280</f>
        <v>0</v>
      </c>
      <c r="H280" s="28"/>
      <c r="I280" s="29" t="n">
        <f aca="false">ROUND(D280+E280-F280-G280,1)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170</v>
      </c>
      <c r="D281" s="29" t="n">
        <f aca="false">G280</f>
        <v>0</v>
      </c>
      <c r="E281" s="28"/>
      <c r="F281" s="28"/>
      <c r="G281" s="29" t="n">
        <f aca="false">D281+E281-F281</f>
        <v>0</v>
      </c>
      <c r="H281" s="28"/>
      <c r="I281" s="29" t="n">
        <f aca="false">ROUND(D281+E281-F281-G281,1)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170</v>
      </c>
      <c r="D282" s="29" t="n">
        <f aca="false">G281</f>
        <v>0</v>
      </c>
      <c r="E282" s="28"/>
      <c r="F282" s="28"/>
      <c r="G282" s="29" t="n">
        <f aca="false">D282+E282-F282</f>
        <v>0</v>
      </c>
      <c r="H282" s="28"/>
      <c r="I282" s="29" t="n">
        <f aca="false">ROUND(D282+E282-F282-G282,1)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170</v>
      </c>
      <c r="D283" s="29" t="n">
        <f aca="false">G282</f>
        <v>0</v>
      </c>
      <c r="E283" s="28"/>
      <c r="F283" s="28"/>
      <c r="G283" s="29" t="n">
        <f aca="false">D283+E283-F283</f>
        <v>0</v>
      </c>
      <c r="H283" s="28"/>
      <c r="I283" s="29" t="n">
        <f aca="false">ROUND(D283+E283-F283-G283,1)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170</v>
      </c>
      <c r="D284" s="29" t="n">
        <f aca="false">G283</f>
        <v>0</v>
      </c>
      <c r="E284" s="28"/>
      <c r="F284" s="28"/>
      <c r="G284" s="29" t="n">
        <f aca="false">D284+E284-F284</f>
        <v>0</v>
      </c>
      <c r="H284" s="28"/>
      <c r="I284" s="29" t="n">
        <f aca="false">ROUND(D284+E284-F284-G284,1)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170</v>
      </c>
      <c r="D285" s="29" t="n">
        <f aca="false">G284</f>
        <v>0</v>
      </c>
      <c r="E285" s="28"/>
      <c r="F285" s="28"/>
      <c r="G285" s="29" t="n">
        <f aca="false">D285+E285-F285</f>
        <v>0</v>
      </c>
      <c r="H285" s="28"/>
      <c r="I285" s="29" t="n">
        <f aca="false">ROUND(D285+E285-F285-G285,1)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170</v>
      </c>
      <c r="D286" s="29" t="n">
        <f aca="false">G285</f>
        <v>0</v>
      </c>
      <c r="E286" s="28"/>
      <c r="F286" s="28"/>
      <c r="G286" s="29" t="n">
        <f aca="false">D286+E286-F286</f>
        <v>0</v>
      </c>
      <c r="H286" s="28"/>
      <c r="I286" s="29" t="n">
        <f aca="false">ROUND(D286+E286-F286-G286,1)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170</v>
      </c>
      <c r="D287" s="29" t="n">
        <f aca="false">G286</f>
        <v>0</v>
      </c>
      <c r="E287" s="28"/>
      <c r="F287" s="28"/>
      <c r="G287" s="29" t="n">
        <f aca="false">D287+E287-F287</f>
        <v>0</v>
      </c>
      <c r="H287" s="28"/>
      <c r="I287" s="29" t="n">
        <f aca="false">ROUND(D287+E287-F287-G287,1)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170</v>
      </c>
      <c r="D288" s="29" t="n">
        <f aca="false">G287</f>
        <v>0</v>
      </c>
      <c r="E288" s="28"/>
      <c r="F288" s="28"/>
      <c r="G288" s="29" t="n">
        <f aca="false">D288+E288-F288</f>
        <v>0</v>
      </c>
      <c r="H288" s="28"/>
      <c r="I288" s="29" t="n">
        <f aca="false">ROUND(D288+E288-F288-G288,1)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170</v>
      </c>
      <c r="D289" s="29" t="n">
        <f aca="false">G288</f>
        <v>0</v>
      </c>
      <c r="E289" s="28"/>
      <c r="F289" s="28"/>
      <c r="G289" s="29" t="n">
        <f aca="false">D289+E289-F289</f>
        <v>0</v>
      </c>
      <c r="H289" s="28"/>
      <c r="I289" s="29" t="n">
        <f aca="false">ROUND(D289+E289-F289-G289,1)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170</v>
      </c>
      <c r="D290" s="29" t="n">
        <f aca="false">G289</f>
        <v>0</v>
      </c>
      <c r="E290" s="28"/>
      <c r="F290" s="28"/>
      <c r="G290" s="29" t="n">
        <f aca="false">D290+E290-F290</f>
        <v>0</v>
      </c>
      <c r="H290" s="28"/>
      <c r="I290" s="29" t="n">
        <f aca="false">ROUND(D290+E290-F290-G290,1)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170</v>
      </c>
      <c r="D291" s="29" t="n">
        <f aca="false">G290</f>
        <v>0</v>
      </c>
      <c r="E291" s="28"/>
      <c r="F291" s="28"/>
      <c r="G291" s="29" t="n">
        <f aca="false">D291+E291-F291</f>
        <v>0</v>
      </c>
      <c r="H291" s="28"/>
      <c r="I291" s="29" t="n">
        <f aca="false">ROUND(D291+E291-F291-G291,1)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170</v>
      </c>
      <c r="D292" s="29" t="n">
        <f aca="false">G291</f>
        <v>0</v>
      </c>
      <c r="E292" s="28"/>
      <c r="F292" s="28"/>
      <c r="G292" s="29" t="n">
        <f aca="false">D292+E292-F292</f>
        <v>0</v>
      </c>
      <c r="H292" s="28"/>
      <c r="I292" s="29" t="n">
        <f aca="false">ROUND(D292+E292-F292-G292,1)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170</v>
      </c>
      <c r="D293" s="29" t="n">
        <f aca="false">G292</f>
        <v>0</v>
      </c>
      <c r="E293" s="28"/>
      <c r="F293" s="28"/>
      <c r="G293" s="29" t="n">
        <f aca="false">D293+E293-F293</f>
        <v>0</v>
      </c>
      <c r="H293" s="28"/>
      <c r="I293" s="29" t="n">
        <f aca="false">ROUND(D293+E293-F293-G293,1)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170</v>
      </c>
      <c r="D294" s="29" t="n">
        <f aca="false">G293</f>
        <v>0</v>
      </c>
      <c r="E294" s="28"/>
      <c r="F294" s="28"/>
      <c r="G294" s="29" t="n">
        <f aca="false">D294+E294-F294</f>
        <v>0</v>
      </c>
      <c r="H294" s="28"/>
      <c r="I294" s="29" t="n">
        <f aca="false">ROUND(D294+E294-F294-G294,1)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170</v>
      </c>
      <c r="D295" s="29" t="n">
        <f aca="false">G294</f>
        <v>0</v>
      </c>
      <c r="E295" s="28"/>
      <c r="F295" s="28"/>
      <c r="G295" s="29" t="n">
        <f aca="false">D295+E295-F295</f>
        <v>0</v>
      </c>
      <c r="H295" s="28"/>
      <c r="I295" s="29" t="n">
        <f aca="false">ROUND(D295+E295-F295-G295,1)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170</v>
      </c>
      <c r="D296" s="29" t="n">
        <f aca="false">G295</f>
        <v>0</v>
      </c>
      <c r="E296" s="28"/>
      <c r="F296" s="28"/>
      <c r="G296" s="29" t="n">
        <f aca="false">D296+E296-F296</f>
        <v>0</v>
      </c>
      <c r="H296" s="28"/>
      <c r="I296" s="29" t="n">
        <f aca="false">ROUND(D296+E296-F296-G296,1)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170</v>
      </c>
      <c r="D297" s="29" t="n">
        <f aca="false">G296</f>
        <v>0</v>
      </c>
      <c r="E297" s="28"/>
      <c r="F297" s="28"/>
      <c r="G297" s="29" t="n">
        <f aca="false">D297+E297-F297</f>
        <v>0</v>
      </c>
      <c r="H297" s="28"/>
      <c r="I297" s="29" t="n">
        <f aca="false">ROUND(D297+E297-F297-G297,1)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170</v>
      </c>
      <c r="D298" s="29" t="n">
        <f aca="false">G297</f>
        <v>0</v>
      </c>
      <c r="E298" s="28"/>
      <c r="F298" s="28"/>
      <c r="G298" s="29" t="n">
        <f aca="false">D298+E298-F298</f>
        <v>0</v>
      </c>
      <c r="H298" s="28"/>
      <c r="I298" s="29" t="n">
        <f aca="false">ROUND(D298+E298-F298-G298,1)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170</v>
      </c>
      <c r="D299" s="29" t="n">
        <f aca="false">G298</f>
        <v>0</v>
      </c>
      <c r="E299" s="28"/>
      <c r="F299" s="28"/>
      <c r="G299" s="29" t="n">
        <f aca="false">D299+E299-F299</f>
        <v>0</v>
      </c>
      <c r="H299" s="28"/>
      <c r="I299" s="29" t="n">
        <f aca="false">ROUND(D299+E299-F299-G299,1)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170</v>
      </c>
      <c r="D300" s="29" t="n">
        <f aca="false">G299</f>
        <v>0</v>
      </c>
      <c r="E300" s="28"/>
      <c r="F300" s="28"/>
      <c r="G300" s="29" t="n">
        <f aca="false">D300+E300-F300</f>
        <v>0</v>
      </c>
      <c r="H300" s="28"/>
      <c r="I300" s="29" t="n">
        <f aca="false">ROUND(D300+E300-F300-G300,1)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170</v>
      </c>
      <c r="D301" s="29" t="n">
        <f aca="false">G300</f>
        <v>0</v>
      </c>
      <c r="E301" s="28"/>
      <c r="F301" s="28"/>
      <c r="G301" s="29" t="n">
        <f aca="false">D301+E301-F301</f>
        <v>0</v>
      </c>
      <c r="H301" s="28"/>
      <c r="I301" s="29" t="n">
        <f aca="false">ROUND(D301+E301-F301-G301,1)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170</v>
      </c>
      <c r="D302" s="29" t="n">
        <f aca="false">G301</f>
        <v>0</v>
      </c>
      <c r="E302" s="28"/>
      <c r="F302" s="28"/>
      <c r="G302" s="29" t="n">
        <f aca="false">D302+E302-F302</f>
        <v>0</v>
      </c>
      <c r="H302" s="28"/>
      <c r="I302" s="29" t="n">
        <f aca="false">ROUND(D302+E302-F302-G302,1)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170</v>
      </c>
      <c r="D303" s="29" t="n">
        <f aca="false">G302</f>
        <v>0</v>
      </c>
      <c r="E303" s="28"/>
      <c r="F303" s="28"/>
      <c r="G303" s="29" t="n">
        <f aca="false">D303+E303-F303</f>
        <v>0</v>
      </c>
      <c r="H303" s="28"/>
      <c r="I303" s="29" t="n">
        <f aca="false">ROUND(D303+E303-F303-G303,1)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170</v>
      </c>
      <c r="D304" s="29" t="n">
        <f aca="false">G303</f>
        <v>0</v>
      </c>
      <c r="E304" s="28"/>
      <c r="F304" s="28"/>
      <c r="G304" s="29" t="n">
        <f aca="false">D304+E304-F304</f>
        <v>0</v>
      </c>
      <c r="H304" s="28"/>
      <c r="I304" s="29" t="n">
        <f aca="false">ROUND(D304+E304-F304-G304,1)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170</v>
      </c>
      <c r="D305" s="29" t="n">
        <f aca="false">G304</f>
        <v>0</v>
      </c>
      <c r="E305" s="28"/>
      <c r="F305" s="28"/>
      <c r="G305" s="29" t="n">
        <f aca="false">D305+E305-F305</f>
        <v>0</v>
      </c>
      <c r="H305" s="28"/>
      <c r="I305" s="29" t="n">
        <f aca="false">ROUND(D305+E305-F305-G305,1)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170</v>
      </c>
      <c r="D306" s="29" t="n">
        <f aca="false">G305</f>
        <v>0</v>
      </c>
      <c r="E306" s="28"/>
      <c r="F306" s="28"/>
      <c r="G306" s="29" t="n">
        <f aca="false">D306+E306-F306</f>
        <v>0</v>
      </c>
      <c r="H306" s="28"/>
      <c r="I306" s="29" t="n">
        <f aca="false">ROUND(D306+E306-F306-G306,1)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170</v>
      </c>
      <c r="D307" s="29" t="n">
        <f aca="false">G306</f>
        <v>0</v>
      </c>
      <c r="E307" s="28"/>
      <c r="F307" s="28"/>
      <c r="G307" s="29" t="n">
        <f aca="false">D307+E307-F307</f>
        <v>0</v>
      </c>
      <c r="H307" s="28"/>
      <c r="I307" s="29" t="n">
        <f aca="false">ROUND(D307+E307-F307-G307,1)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170</v>
      </c>
      <c r="D308" s="29" t="n">
        <f aca="false">G307</f>
        <v>0</v>
      </c>
      <c r="E308" s="28"/>
      <c r="F308" s="28"/>
      <c r="G308" s="29" t="n">
        <f aca="false">D308+E308-F308</f>
        <v>0</v>
      </c>
      <c r="H308" s="28"/>
      <c r="I308" s="29" t="n">
        <f aca="false">ROUND(D308+E308-F308-G308,1)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170</v>
      </c>
      <c r="D309" s="29" t="n">
        <f aca="false">G308</f>
        <v>0</v>
      </c>
      <c r="E309" s="28"/>
      <c r="F309" s="28"/>
      <c r="G309" s="29" t="n">
        <f aca="false">D309+E309-F309</f>
        <v>0</v>
      </c>
      <c r="H309" s="28"/>
      <c r="I309" s="29" t="n">
        <f aca="false">ROUND(D309+E309-F309-G309,1)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170</v>
      </c>
      <c r="D310" s="29" t="n">
        <f aca="false">G309</f>
        <v>0</v>
      </c>
      <c r="E310" s="28"/>
      <c r="F310" s="28"/>
      <c r="G310" s="29" t="n">
        <f aca="false">D310+E310-F310</f>
        <v>0</v>
      </c>
      <c r="H310" s="28"/>
      <c r="I310" s="29" t="n">
        <f aca="false">ROUND(D310+E310-F310-G310,1)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170</v>
      </c>
      <c r="D311" s="29" t="n">
        <f aca="false">G310</f>
        <v>0</v>
      </c>
      <c r="E311" s="28"/>
      <c r="F311" s="28"/>
      <c r="G311" s="29" t="n">
        <f aca="false">D311+E311-F311</f>
        <v>0</v>
      </c>
      <c r="H311" s="28"/>
      <c r="I311" s="29" t="n">
        <f aca="false">ROUND(D311+E311-F311-G311,1)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170</v>
      </c>
      <c r="D312" s="29" t="n">
        <f aca="false">G311</f>
        <v>0</v>
      </c>
      <c r="E312" s="28"/>
      <c r="F312" s="28"/>
      <c r="G312" s="29" t="n">
        <f aca="false">D312+E312-F312</f>
        <v>0</v>
      </c>
      <c r="H312" s="28"/>
      <c r="I312" s="29" t="n">
        <f aca="false">ROUND(D312+E312-F312-G312,1)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170</v>
      </c>
      <c r="D313" s="29" t="n">
        <f aca="false">G312</f>
        <v>0</v>
      </c>
      <c r="E313" s="28"/>
      <c r="F313" s="28"/>
      <c r="G313" s="29" t="n">
        <f aca="false">D313+E313-F313</f>
        <v>0</v>
      </c>
      <c r="H313" s="28"/>
      <c r="I313" s="29" t="n">
        <f aca="false">ROUND(D313+E313-F313-G313,1)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170</v>
      </c>
      <c r="D314" s="29" t="n">
        <f aca="false">G313</f>
        <v>0</v>
      </c>
      <c r="E314" s="28"/>
      <c r="F314" s="28"/>
      <c r="G314" s="29" t="n">
        <f aca="false">D314+E314-F314</f>
        <v>0</v>
      </c>
      <c r="H314" s="28"/>
      <c r="I314" s="29" t="n">
        <f aca="false">ROUND(D314+E314-F314-G314,1)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170</v>
      </c>
      <c r="D315" s="29" t="n">
        <f aca="false">G314</f>
        <v>0</v>
      </c>
      <c r="E315" s="28"/>
      <c r="F315" s="28"/>
      <c r="G315" s="29" t="n">
        <f aca="false">D315+E315-F315</f>
        <v>0</v>
      </c>
      <c r="H315" s="28"/>
      <c r="I315" s="29" t="n">
        <f aca="false">ROUND(D315+E315-F315-G315,1)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170</v>
      </c>
      <c r="D316" s="29" t="n">
        <f aca="false">G315</f>
        <v>0</v>
      </c>
      <c r="E316" s="28"/>
      <c r="F316" s="28"/>
      <c r="G316" s="29" t="n">
        <f aca="false">D316+E316-F316</f>
        <v>0</v>
      </c>
      <c r="H316" s="28"/>
      <c r="I316" s="29" t="n">
        <f aca="false">ROUND(D316+E316-F316-G316,1)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170</v>
      </c>
      <c r="D317" s="29" t="n">
        <f aca="false">G316</f>
        <v>0</v>
      </c>
      <c r="E317" s="28"/>
      <c r="F317" s="28"/>
      <c r="G317" s="29" t="n">
        <f aca="false">D317+E317-F317</f>
        <v>0</v>
      </c>
      <c r="H317" s="28"/>
      <c r="I317" s="29" t="n">
        <f aca="false">ROUND(D317+E317-F317-G317,1)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170</v>
      </c>
      <c r="D318" s="29" t="n">
        <f aca="false">G317</f>
        <v>0</v>
      </c>
      <c r="E318" s="28"/>
      <c r="F318" s="28"/>
      <c r="G318" s="29" t="n">
        <f aca="false">D318+E318-F318</f>
        <v>0</v>
      </c>
      <c r="H318" s="28"/>
      <c r="I318" s="29" t="n">
        <f aca="false">ROUND(D318+E318-F318-G318,1)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170</v>
      </c>
      <c r="D319" s="29" t="n">
        <f aca="false">G318</f>
        <v>0</v>
      </c>
      <c r="E319" s="28"/>
      <c r="F319" s="28"/>
      <c r="G319" s="29" t="n">
        <f aca="false">D319+E319-F319</f>
        <v>0</v>
      </c>
      <c r="H319" s="28"/>
      <c r="I319" s="29" t="n">
        <f aca="false">ROUND(D319+E319-F319-G319,1)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170</v>
      </c>
      <c r="D320" s="29" t="n">
        <f aca="false">G319</f>
        <v>0</v>
      </c>
      <c r="E320" s="28"/>
      <c r="F320" s="28"/>
      <c r="G320" s="29" t="n">
        <f aca="false">D320+E320-F320</f>
        <v>0</v>
      </c>
      <c r="H320" s="28"/>
      <c r="I320" s="29" t="n">
        <f aca="false">ROUND(D320+E320-F320-G320,1)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170</v>
      </c>
      <c r="D321" s="29" t="n">
        <f aca="false">G320</f>
        <v>0</v>
      </c>
      <c r="E321" s="28"/>
      <c r="F321" s="28"/>
      <c r="G321" s="29" t="n">
        <f aca="false">D321+E321-F321</f>
        <v>0</v>
      </c>
      <c r="H321" s="28"/>
      <c r="I321" s="29" t="n">
        <f aca="false">ROUND(D321+E321-F321-G321,1)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170</v>
      </c>
      <c r="D322" s="29" t="n">
        <f aca="false">G321</f>
        <v>0</v>
      </c>
      <c r="E322" s="28"/>
      <c r="F322" s="28"/>
      <c r="G322" s="29" t="n">
        <f aca="false">D322+E322-F322</f>
        <v>0</v>
      </c>
      <c r="H322" s="28"/>
      <c r="I322" s="29" t="n">
        <f aca="false">ROUND(D322+E322-F322-G322,1)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170</v>
      </c>
      <c r="D323" s="29" t="n">
        <f aca="false">G322</f>
        <v>0</v>
      </c>
      <c r="E323" s="28"/>
      <c r="F323" s="28"/>
      <c r="G323" s="29" t="n">
        <f aca="false">D323+E323-F323</f>
        <v>0</v>
      </c>
      <c r="H323" s="28"/>
      <c r="I323" s="29" t="n">
        <f aca="false">ROUND(D323+E323-F323-G323,1)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170</v>
      </c>
      <c r="D324" s="29" t="n">
        <f aca="false">G323</f>
        <v>0</v>
      </c>
      <c r="E324" s="28"/>
      <c r="F324" s="28"/>
      <c r="G324" s="29" t="n">
        <f aca="false">D324+E324-F324</f>
        <v>0</v>
      </c>
      <c r="H324" s="28"/>
      <c r="I324" s="29" t="n">
        <f aca="false">ROUND(D324+E324-F324-G324,1)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170</v>
      </c>
      <c r="D325" s="29" t="n">
        <f aca="false">G324</f>
        <v>0</v>
      </c>
      <c r="E325" s="28"/>
      <c r="F325" s="28"/>
      <c r="G325" s="29" t="n">
        <f aca="false">D325+E325-F325</f>
        <v>0</v>
      </c>
      <c r="H325" s="28"/>
      <c r="I325" s="29" t="n">
        <f aca="false">ROUND(D325+E325-F325-G325,1)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170</v>
      </c>
      <c r="D326" s="29" t="n">
        <f aca="false">G325</f>
        <v>0</v>
      </c>
      <c r="E326" s="28"/>
      <c r="F326" s="28"/>
      <c r="G326" s="29" t="n">
        <f aca="false">D326+E326-F326</f>
        <v>0</v>
      </c>
      <c r="H326" s="28"/>
      <c r="I326" s="29" t="n">
        <f aca="false">ROUND(D326+E326-F326-G326,1)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170</v>
      </c>
      <c r="D327" s="29" t="n">
        <f aca="false">G326</f>
        <v>0</v>
      </c>
      <c r="E327" s="28"/>
      <c r="F327" s="28"/>
      <c r="G327" s="29" t="n">
        <f aca="false">D327+E327-F327</f>
        <v>0</v>
      </c>
      <c r="H327" s="28"/>
      <c r="I327" s="29" t="n">
        <f aca="false">ROUND(D327+E327-F327-G327,1)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170</v>
      </c>
      <c r="D328" s="29" t="n">
        <f aca="false">G327</f>
        <v>0</v>
      </c>
      <c r="E328" s="28"/>
      <c r="F328" s="28"/>
      <c r="G328" s="29" t="n">
        <f aca="false">D328+E328-F328</f>
        <v>0</v>
      </c>
      <c r="H328" s="28"/>
      <c r="I328" s="29" t="n">
        <f aca="false">ROUND(D328+E328-F328-G328,1)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170</v>
      </c>
      <c r="D329" s="29" t="n">
        <f aca="false">G328</f>
        <v>0</v>
      </c>
      <c r="E329" s="28"/>
      <c r="F329" s="28"/>
      <c r="G329" s="29" t="n">
        <f aca="false">D329+E329-F329</f>
        <v>0</v>
      </c>
      <c r="H329" s="28"/>
      <c r="I329" s="29" t="n">
        <f aca="false">ROUND(D329+E329-F329-G329,1)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170</v>
      </c>
      <c r="D330" s="29" t="n">
        <f aca="false">G329</f>
        <v>0</v>
      </c>
      <c r="E330" s="28"/>
      <c r="F330" s="28"/>
      <c r="G330" s="29" t="n">
        <f aca="false">D330+E330-F330</f>
        <v>0</v>
      </c>
      <c r="H330" s="28"/>
      <c r="I330" s="29" t="n">
        <f aca="false">ROUND(D330+E330-F330-G330,1)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170</v>
      </c>
      <c r="D331" s="29" t="n">
        <f aca="false">G330</f>
        <v>0</v>
      </c>
      <c r="E331" s="28"/>
      <c r="F331" s="28"/>
      <c r="G331" s="29" t="n">
        <f aca="false">D331+E331-F331</f>
        <v>0</v>
      </c>
      <c r="H331" s="28"/>
      <c r="I331" s="29" t="n">
        <f aca="false">ROUND(D331+E331-F331-G331,1)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170</v>
      </c>
      <c r="D332" s="29" t="n">
        <f aca="false">G331</f>
        <v>0</v>
      </c>
      <c r="E332" s="28"/>
      <c r="F332" s="28"/>
      <c r="G332" s="29" t="n">
        <f aca="false">D332+E332-F332</f>
        <v>0</v>
      </c>
      <c r="H332" s="28"/>
      <c r="I332" s="29" t="n">
        <f aca="false">ROUND(D332+E332-F332-G332,1)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170</v>
      </c>
      <c r="D333" s="29" t="n">
        <f aca="false">G332</f>
        <v>0</v>
      </c>
      <c r="E333" s="28"/>
      <c r="F333" s="28"/>
      <c r="G333" s="29" t="n">
        <f aca="false">D333+E333-F333</f>
        <v>0</v>
      </c>
      <c r="H333" s="28"/>
      <c r="I333" s="29" t="n">
        <f aca="false">ROUND(D333+E333-F333-G333,1)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170</v>
      </c>
      <c r="D334" s="29" t="n">
        <f aca="false">G333</f>
        <v>0</v>
      </c>
      <c r="E334" s="28"/>
      <c r="F334" s="28"/>
      <c r="G334" s="29" t="n">
        <f aca="false">D334+E334-F334</f>
        <v>0</v>
      </c>
      <c r="H334" s="28"/>
      <c r="I334" s="29" t="n">
        <f aca="false">ROUND(D334+E334-F334-G334,1)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170</v>
      </c>
      <c r="D335" s="29" t="n">
        <f aca="false">G334</f>
        <v>0</v>
      </c>
      <c r="E335" s="28"/>
      <c r="F335" s="28"/>
      <c r="G335" s="29" t="n">
        <f aca="false">D335+E335-F335</f>
        <v>0</v>
      </c>
      <c r="H335" s="28"/>
      <c r="I335" s="29" t="n">
        <f aca="false">ROUND(D335+E335-F335-G335,1)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170</v>
      </c>
      <c r="D336" s="29" t="n">
        <f aca="false">G335</f>
        <v>0</v>
      </c>
      <c r="E336" s="28"/>
      <c r="F336" s="28"/>
      <c r="G336" s="29" t="n">
        <f aca="false">D336+E336-F336</f>
        <v>0</v>
      </c>
      <c r="H336" s="28"/>
      <c r="I336" s="29" t="n">
        <f aca="false">ROUND(D336+E336-F336-G336,1)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170</v>
      </c>
      <c r="D337" s="29" t="n">
        <f aca="false">G336</f>
        <v>0</v>
      </c>
      <c r="E337" s="28"/>
      <c r="F337" s="28"/>
      <c r="G337" s="29" t="n">
        <f aca="false">D337+E337-F337</f>
        <v>0</v>
      </c>
      <c r="H337" s="28"/>
      <c r="I337" s="29" t="n">
        <f aca="false">ROUND(D337+E337-F337-G337,1)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170</v>
      </c>
      <c r="D338" s="29" t="n">
        <f aca="false">G337</f>
        <v>0</v>
      </c>
      <c r="E338" s="28"/>
      <c r="F338" s="28"/>
      <c r="G338" s="29" t="n">
        <f aca="false">D338+E338-F338</f>
        <v>0</v>
      </c>
      <c r="H338" s="28"/>
      <c r="I338" s="29" t="n">
        <f aca="false">ROUND(D338+E338-F338-G338,1)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170</v>
      </c>
      <c r="D339" s="29" t="n">
        <f aca="false">G338</f>
        <v>0</v>
      </c>
      <c r="E339" s="28"/>
      <c r="F339" s="28"/>
      <c r="G339" s="29" t="n">
        <f aca="false">D339+E339-F339</f>
        <v>0</v>
      </c>
      <c r="H339" s="28"/>
      <c r="I339" s="29" t="n">
        <f aca="false">ROUND(D339+E339-F339-G339,1)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170</v>
      </c>
      <c r="D340" s="29" t="n">
        <f aca="false">G339</f>
        <v>0</v>
      </c>
      <c r="E340" s="28"/>
      <c r="F340" s="28"/>
      <c r="G340" s="29" t="n">
        <f aca="false">D340+E340-F340</f>
        <v>0</v>
      </c>
      <c r="H340" s="28"/>
      <c r="I340" s="29" t="n">
        <f aca="false">ROUND(D340+E340-F340-G340,1)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170</v>
      </c>
      <c r="D341" s="29" t="n">
        <f aca="false">G340</f>
        <v>0</v>
      </c>
      <c r="E341" s="28"/>
      <c r="F341" s="28"/>
      <c r="G341" s="29" t="n">
        <f aca="false">D341+E341-F341</f>
        <v>0</v>
      </c>
      <c r="H341" s="28"/>
      <c r="I341" s="29" t="n">
        <f aca="false">ROUND(D341+E341-F341-G341,1)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170</v>
      </c>
      <c r="D342" s="29" t="n">
        <f aca="false">G341</f>
        <v>0</v>
      </c>
      <c r="E342" s="28"/>
      <c r="F342" s="28"/>
      <c r="G342" s="29" t="n">
        <f aca="false">D342+E342-F342</f>
        <v>0</v>
      </c>
      <c r="H342" s="28"/>
      <c r="I342" s="29" t="n">
        <f aca="false">ROUND(D342+E342-F342-G342,1)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170</v>
      </c>
      <c r="D343" s="29" t="n">
        <f aca="false">G342</f>
        <v>0</v>
      </c>
      <c r="E343" s="28"/>
      <c r="F343" s="28"/>
      <c r="G343" s="29" t="n">
        <f aca="false">D343+E343-F343</f>
        <v>0</v>
      </c>
      <c r="H343" s="28"/>
      <c r="I343" s="29" t="n">
        <f aca="false">ROUND(D343+E343-F343-G343,1)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170</v>
      </c>
      <c r="D344" s="29" t="n">
        <f aca="false">G343</f>
        <v>0</v>
      </c>
      <c r="E344" s="28"/>
      <c r="F344" s="28"/>
      <c r="G344" s="29" t="n">
        <f aca="false">D344+E344-F344</f>
        <v>0</v>
      </c>
      <c r="H344" s="28"/>
      <c r="I344" s="29" t="n">
        <f aca="false">ROUND(D344+E344-F344-G344,1)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170</v>
      </c>
      <c r="D345" s="29" t="n">
        <f aca="false">G344</f>
        <v>0</v>
      </c>
      <c r="E345" s="28"/>
      <c r="F345" s="28"/>
      <c r="G345" s="29" t="n">
        <f aca="false">D345+E345-F345</f>
        <v>0</v>
      </c>
      <c r="H345" s="28"/>
      <c r="I345" s="29" t="n">
        <f aca="false">ROUND(D345+E345-F345-G345,1)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170</v>
      </c>
      <c r="D346" s="29" t="n">
        <f aca="false">G345</f>
        <v>0</v>
      </c>
      <c r="E346" s="28"/>
      <c r="F346" s="28"/>
      <c r="G346" s="29" t="n">
        <f aca="false">D346+E346-F346</f>
        <v>0</v>
      </c>
      <c r="H346" s="28"/>
      <c r="I346" s="29" t="n">
        <f aca="false">ROUND(D346+E346-F346-G346,1)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170</v>
      </c>
      <c r="D347" s="29" t="n">
        <f aca="false">G346</f>
        <v>0</v>
      </c>
      <c r="E347" s="28"/>
      <c r="F347" s="28"/>
      <c r="G347" s="29" t="n">
        <f aca="false">D347+E347-F347</f>
        <v>0</v>
      </c>
      <c r="H347" s="28"/>
      <c r="I347" s="29" t="n">
        <f aca="false">ROUND(D347+E347-F347-G347,1)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170</v>
      </c>
      <c r="D348" s="29" t="n">
        <f aca="false">G347</f>
        <v>0</v>
      </c>
      <c r="E348" s="28"/>
      <c r="F348" s="28"/>
      <c r="G348" s="29" t="n">
        <f aca="false">D348+E348-F348</f>
        <v>0</v>
      </c>
      <c r="H348" s="28"/>
      <c r="I348" s="29" t="n">
        <f aca="false">ROUND(D348+E348-F348-G348,1)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170</v>
      </c>
      <c r="D349" s="29" t="n">
        <f aca="false">G348</f>
        <v>0</v>
      </c>
      <c r="E349" s="28"/>
      <c r="F349" s="28"/>
      <c r="G349" s="29" t="n">
        <f aca="false">D349+E349-F349</f>
        <v>0</v>
      </c>
      <c r="H349" s="28"/>
      <c r="I349" s="29" t="n">
        <f aca="false">ROUND(D349+E349-F349-G349,1)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170</v>
      </c>
      <c r="D350" s="29" t="n">
        <f aca="false">G349</f>
        <v>0</v>
      </c>
      <c r="E350" s="28"/>
      <c r="F350" s="28"/>
      <c r="G350" s="29" t="n">
        <f aca="false">D350+E350-F350</f>
        <v>0</v>
      </c>
      <c r="H350" s="28"/>
      <c r="I350" s="29" t="n">
        <f aca="false">ROUND(D350+E350-F350-G350,1)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170</v>
      </c>
      <c r="D351" s="29" t="n">
        <f aca="false">G350</f>
        <v>0</v>
      </c>
      <c r="E351" s="28"/>
      <c r="F351" s="28"/>
      <c r="G351" s="29" t="n">
        <f aca="false">D351+E351-F351</f>
        <v>0</v>
      </c>
      <c r="H351" s="28"/>
      <c r="I351" s="29" t="n">
        <f aca="false">ROUND(D351+E351-F351-G351,1)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170</v>
      </c>
      <c r="D352" s="29" t="n">
        <f aca="false">G351</f>
        <v>0</v>
      </c>
      <c r="E352" s="28"/>
      <c r="F352" s="28"/>
      <c r="G352" s="29" t="n">
        <f aca="false">D352+E352-F352</f>
        <v>0</v>
      </c>
      <c r="H352" s="28"/>
      <c r="I352" s="29" t="n">
        <f aca="false">ROUND(D352+E352-F352-G352,1)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170</v>
      </c>
      <c r="D353" s="29" t="n">
        <f aca="false">G352</f>
        <v>0</v>
      </c>
      <c r="E353" s="28"/>
      <c r="F353" s="28"/>
      <c r="G353" s="29" t="n">
        <f aca="false">D353+E353-F353</f>
        <v>0</v>
      </c>
      <c r="H353" s="28"/>
      <c r="I353" s="29" t="n">
        <f aca="false">ROUND(D353+E353-F353-G353,1)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170</v>
      </c>
      <c r="D354" s="29" t="n">
        <f aca="false">G353</f>
        <v>0</v>
      </c>
      <c r="E354" s="28"/>
      <c r="F354" s="28"/>
      <c r="G354" s="29" t="n">
        <f aca="false">D354+E354-F354</f>
        <v>0</v>
      </c>
      <c r="H354" s="28"/>
      <c r="I354" s="29" t="n">
        <f aca="false">ROUND(D354+E354-F354-G354,1)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170</v>
      </c>
      <c r="D355" s="29" t="n">
        <f aca="false">G354</f>
        <v>0</v>
      </c>
      <c r="E355" s="28"/>
      <c r="F355" s="28"/>
      <c r="G355" s="29" t="n">
        <f aca="false">D355+E355-F355</f>
        <v>0</v>
      </c>
      <c r="H355" s="28"/>
      <c r="I355" s="29" t="n">
        <f aca="false">ROUND(D355+E355-F355-G355,1)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170</v>
      </c>
      <c r="D356" s="29" t="n">
        <f aca="false">G355</f>
        <v>0</v>
      </c>
      <c r="E356" s="28"/>
      <c r="F356" s="28"/>
      <c r="G356" s="29" t="n">
        <f aca="false">D356+E356-F356</f>
        <v>0</v>
      </c>
      <c r="H356" s="28"/>
      <c r="I356" s="29" t="n">
        <f aca="false">ROUND(D356+E356-F356-G356,1)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170</v>
      </c>
      <c r="D357" s="29" t="n">
        <f aca="false">G356</f>
        <v>0</v>
      </c>
      <c r="E357" s="28"/>
      <c r="F357" s="28"/>
      <c r="G357" s="29" t="n">
        <f aca="false">D357+E357-F357</f>
        <v>0</v>
      </c>
      <c r="H357" s="28"/>
      <c r="I357" s="29" t="n">
        <f aca="false">ROUND(D357+E357-F357-G357,1)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170</v>
      </c>
      <c r="D358" s="29" t="n">
        <f aca="false">G357</f>
        <v>0</v>
      </c>
      <c r="E358" s="28"/>
      <c r="F358" s="28"/>
      <c r="G358" s="29" t="n">
        <f aca="false">D358+E358-F358</f>
        <v>0</v>
      </c>
      <c r="H358" s="28"/>
      <c r="I358" s="29" t="n">
        <f aca="false">ROUND(D358+E358-F358-G358,1)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170</v>
      </c>
      <c r="D359" s="29" t="n">
        <f aca="false">G358</f>
        <v>0</v>
      </c>
      <c r="E359" s="28"/>
      <c r="F359" s="28"/>
      <c r="G359" s="29" t="n">
        <f aca="false">D359+E359-F359</f>
        <v>0</v>
      </c>
      <c r="H359" s="28"/>
      <c r="I359" s="29" t="n">
        <f aca="false">ROUND(D359+E359-F359-G359,1)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170</v>
      </c>
      <c r="D360" s="29" t="n">
        <f aca="false">G359</f>
        <v>0</v>
      </c>
      <c r="E360" s="28"/>
      <c r="F360" s="28"/>
      <c r="G360" s="29" t="n">
        <f aca="false">D360+E360-F360</f>
        <v>0</v>
      </c>
      <c r="H360" s="28"/>
      <c r="I360" s="29" t="n">
        <f aca="false">ROUND(D360+E360-F360-G360,1)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170</v>
      </c>
      <c r="D361" s="29" t="n">
        <f aca="false">G360</f>
        <v>0</v>
      </c>
      <c r="E361" s="28"/>
      <c r="F361" s="28"/>
      <c r="G361" s="29" t="n">
        <f aca="false">D361+E361-F361</f>
        <v>0</v>
      </c>
      <c r="H361" s="28"/>
      <c r="I361" s="29" t="n">
        <f aca="false">ROUND(D361+E361-F361-G361,1)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170</v>
      </c>
      <c r="D362" s="29" t="n">
        <f aca="false">G361</f>
        <v>0</v>
      </c>
      <c r="E362" s="28"/>
      <c r="F362" s="28"/>
      <c r="G362" s="29" t="n">
        <f aca="false">D362+E362-F362</f>
        <v>0</v>
      </c>
      <c r="H362" s="28"/>
      <c r="I362" s="29" t="n">
        <f aca="false">ROUND(D362+E362-F362-G362,1)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170</v>
      </c>
      <c r="D363" s="29" t="n">
        <f aca="false">G362</f>
        <v>0</v>
      </c>
      <c r="E363" s="28"/>
      <c r="F363" s="28"/>
      <c r="G363" s="29" t="n">
        <f aca="false">D363+E363-F363</f>
        <v>0</v>
      </c>
      <c r="H363" s="28"/>
      <c r="I363" s="29" t="n">
        <f aca="false">ROUND(D363+E363-F363-G363,1)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170</v>
      </c>
      <c r="D364" s="29" t="n">
        <f aca="false">G363</f>
        <v>0</v>
      </c>
      <c r="E364" s="28"/>
      <c r="F364" s="28"/>
      <c r="G364" s="29" t="n">
        <f aca="false">D364+E364-F364</f>
        <v>0</v>
      </c>
      <c r="H364" s="28"/>
      <c r="I364" s="29" t="n">
        <f aca="false">ROUND(D364+E364-F364-G364,1)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170</v>
      </c>
      <c r="D365" s="29" t="n">
        <f aca="false">G364</f>
        <v>0</v>
      </c>
      <c r="E365" s="28"/>
      <c r="F365" s="28"/>
      <c r="G365" s="29" t="n">
        <f aca="false">D365+E365-F365</f>
        <v>0</v>
      </c>
      <c r="H365" s="28"/>
      <c r="I365" s="29" t="n">
        <f aca="false">ROUND(D365+E365-F365-G365,1)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170</v>
      </c>
      <c r="D366" s="29" t="n">
        <f aca="false">G365</f>
        <v>0</v>
      </c>
      <c r="E366" s="28"/>
      <c r="F366" s="28"/>
      <c r="G366" s="29" t="n">
        <f aca="false">D366+E366-F366</f>
        <v>0</v>
      </c>
      <c r="H366" s="28"/>
      <c r="I366" s="29" t="n">
        <f aca="false">ROUND(D366+E366-F366-G366,1)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172</v>
      </c>
      <c r="D367" s="28"/>
      <c r="E367" s="28"/>
      <c r="F367" s="28"/>
      <c r="G367" s="29" t="n">
        <f aca="false">D367+E367-F367</f>
        <v>0</v>
      </c>
      <c r="H367" s="28"/>
      <c r="I367" s="29" t="n">
        <f aca="false">ROUND(D367+E367-F367-G367,1)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172</v>
      </c>
      <c r="D368" s="29" t="n">
        <f aca="false">G367</f>
        <v>0</v>
      </c>
      <c r="E368" s="28"/>
      <c r="F368" s="28"/>
      <c r="G368" s="29" t="n">
        <f aca="false">D368+E368-F368</f>
        <v>0</v>
      </c>
      <c r="H368" s="28"/>
      <c r="I368" s="29" t="n">
        <f aca="false">ROUND(D368+E368-F368-G368,1)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172</v>
      </c>
      <c r="D369" s="29" t="n">
        <f aca="false">G368</f>
        <v>0</v>
      </c>
      <c r="E369" s="28"/>
      <c r="F369" s="28"/>
      <c r="G369" s="29" t="n">
        <f aca="false">D369+E369-F369</f>
        <v>0</v>
      </c>
      <c r="H369" s="28"/>
      <c r="I369" s="29" t="n">
        <f aca="false">ROUND(D369+E369-F369-G369,1)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172</v>
      </c>
      <c r="D370" s="29" t="n">
        <f aca="false">G369</f>
        <v>0</v>
      </c>
      <c r="E370" s="28"/>
      <c r="F370" s="28"/>
      <c r="G370" s="29" t="n">
        <f aca="false">D370+E370-F370</f>
        <v>0</v>
      </c>
      <c r="H370" s="28"/>
      <c r="I370" s="29" t="n">
        <f aca="false">ROUND(D370+E370-F370-G370,1)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172</v>
      </c>
      <c r="D371" s="29" t="n">
        <f aca="false">G370</f>
        <v>0</v>
      </c>
      <c r="E371" s="28"/>
      <c r="F371" s="28"/>
      <c r="G371" s="29" t="n">
        <f aca="false">D371+E371-F371</f>
        <v>0</v>
      </c>
      <c r="H371" s="28"/>
      <c r="I371" s="29" t="n">
        <f aca="false">ROUND(D371+E371-F371-G371,1)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172</v>
      </c>
      <c r="D372" s="29" t="n">
        <f aca="false">G371</f>
        <v>0</v>
      </c>
      <c r="E372" s="28"/>
      <c r="F372" s="28"/>
      <c r="G372" s="29" t="n">
        <f aca="false">D372+E372-F372</f>
        <v>0</v>
      </c>
      <c r="H372" s="28"/>
      <c r="I372" s="29" t="n">
        <f aca="false">ROUND(D372+E372-F372-G372,1)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172</v>
      </c>
      <c r="D373" s="29" t="n">
        <f aca="false">G372</f>
        <v>0</v>
      </c>
      <c r="E373" s="28"/>
      <c r="F373" s="28"/>
      <c r="G373" s="29" t="n">
        <f aca="false">D373+E373-F373</f>
        <v>0</v>
      </c>
      <c r="H373" s="28"/>
      <c r="I373" s="29" t="n">
        <f aca="false">ROUND(D373+E373-F373-G373,1)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172</v>
      </c>
      <c r="D374" s="29" t="n">
        <f aca="false">G373</f>
        <v>0</v>
      </c>
      <c r="E374" s="28"/>
      <c r="F374" s="28"/>
      <c r="G374" s="29" t="n">
        <f aca="false">D374+E374-F374</f>
        <v>0</v>
      </c>
      <c r="H374" s="28"/>
      <c r="I374" s="29" t="n">
        <f aca="false">ROUND(D374+E374-F374-G374,1)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172</v>
      </c>
      <c r="D375" s="29" t="n">
        <f aca="false">G374</f>
        <v>0</v>
      </c>
      <c r="E375" s="28"/>
      <c r="F375" s="28"/>
      <c r="G375" s="29" t="n">
        <f aca="false">D375+E375-F375</f>
        <v>0</v>
      </c>
      <c r="H375" s="28"/>
      <c r="I375" s="29" t="n">
        <f aca="false">ROUND(D375+E375-F375-G375,1)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172</v>
      </c>
      <c r="D376" s="29" t="n">
        <f aca="false">G375</f>
        <v>0</v>
      </c>
      <c r="E376" s="28"/>
      <c r="F376" s="28"/>
      <c r="G376" s="29" t="n">
        <f aca="false">D376+E376-F376</f>
        <v>0</v>
      </c>
      <c r="H376" s="28"/>
      <c r="I376" s="29" t="n">
        <f aca="false">ROUND(D376+E376-F376-G376,1)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172</v>
      </c>
      <c r="D377" s="29" t="n">
        <f aca="false">G376</f>
        <v>0</v>
      </c>
      <c r="E377" s="28"/>
      <c r="F377" s="28"/>
      <c r="G377" s="29" t="n">
        <f aca="false">D377+E377-F377</f>
        <v>0</v>
      </c>
      <c r="H377" s="28"/>
      <c r="I377" s="29" t="n">
        <f aca="false">ROUND(D377+E377-F377-G377,1)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172</v>
      </c>
      <c r="D378" s="29" t="n">
        <f aca="false">G377</f>
        <v>0</v>
      </c>
      <c r="E378" s="28"/>
      <c r="F378" s="28"/>
      <c r="G378" s="29" t="n">
        <f aca="false">D378+E378-F378</f>
        <v>0</v>
      </c>
      <c r="H378" s="28"/>
      <c r="I378" s="29" t="n">
        <f aca="false">ROUND(D378+E378-F378-G378,1)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172</v>
      </c>
      <c r="D379" s="29" t="n">
        <f aca="false">G378</f>
        <v>0</v>
      </c>
      <c r="E379" s="28"/>
      <c r="F379" s="28"/>
      <c r="G379" s="29" t="n">
        <f aca="false">D379+E379-F379</f>
        <v>0</v>
      </c>
      <c r="H379" s="28"/>
      <c r="I379" s="29" t="n">
        <f aca="false">ROUND(D379+E379-F379-G379,1)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172</v>
      </c>
      <c r="D380" s="29" t="n">
        <f aca="false">G379</f>
        <v>0</v>
      </c>
      <c r="E380" s="28"/>
      <c r="F380" s="28"/>
      <c r="G380" s="29" t="n">
        <f aca="false">D380+E380-F380</f>
        <v>0</v>
      </c>
      <c r="H380" s="28"/>
      <c r="I380" s="29" t="n">
        <f aca="false">ROUND(D380+E380-F380-G380,1)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172</v>
      </c>
      <c r="D381" s="29" t="n">
        <f aca="false">G380</f>
        <v>0</v>
      </c>
      <c r="E381" s="28"/>
      <c r="F381" s="28"/>
      <c r="G381" s="29" t="n">
        <f aca="false">D381+E381-F381</f>
        <v>0</v>
      </c>
      <c r="H381" s="28"/>
      <c r="I381" s="29" t="n">
        <f aca="false">ROUND(D381+E381-F381-G381,1)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172</v>
      </c>
      <c r="D382" s="29" t="n">
        <f aca="false">G381</f>
        <v>0</v>
      </c>
      <c r="E382" s="28"/>
      <c r="F382" s="28"/>
      <c r="G382" s="29" t="n">
        <f aca="false">D382+E382-F382</f>
        <v>0</v>
      </c>
      <c r="H382" s="28"/>
      <c r="I382" s="29" t="n">
        <f aca="false">ROUND(D382+E382-F382-G382,1)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172</v>
      </c>
      <c r="D383" s="29" t="n">
        <f aca="false">G382</f>
        <v>0</v>
      </c>
      <c r="E383" s="28"/>
      <c r="F383" s="28"/>
      <c r="G383" s="29" t="n">
        <f aca="false">D383+E383-F383</f>
        <v>0</v>
      </c>
      <c r="H383" s="28"/>
      <c r="I383" s="29" t="n">
        <f aca="false">ROUND(D383+E383-F383-G383,1)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172</v>
      </c>
      <c r="D384" s="29" t="n">
        <f aca="false">G383</f>
        <v>0</v>
      </c>
      <c r="E384" s="28"/>
      <c r="F384" s="28"/>
      <c r="G384" s="29" t="n">
        <f aca="false">D384+E384-F384</f>
        <v>0</v>
      </c>
      <c r="H384" s="28"/>
      <c r="I384" s="29" t="n">
        <f aca="false">ROUND(D384+E384-F384-G384,1)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172</v>
      </c>
      <c r="D385" s="29" t="n">
        <f aca="false">G384</f>
        <v>0</v>
      </c>
      <c r="E385" s="28"/>
      <c r="F385" s="28"/>
      <c r="G385" s="29" t="n">
        <f aca="false">D385+E385-F385</f>
        <v>0</v>
      </c>
      <c r="H385" s="28"/>
      <c r="I385" s="29" t="n">
        <f aca="false">ROUND(D385+E385-F385-G385,1)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172</v>
      </c>
      <c r="D386" s="29" t="n">
        <f aca="false">G385</f>
        <v>0</v>
      </c>
      <c r="E386" s="28"/>
      <c r="F386" s="28"/>
      <c r="G386" s="29" t="n">
        <f aca="false">D386+E386-F386</f>
        <v>0</v>
      </c>
      <c r="H386" s="28"/>
      <c r="I386" s="29" t="n">
        <f aca="false">ROUND(D386+E386-F386-G386,1)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172</v>
      </c>
      <c r="D387" s="29" t="n">
        <f aca="false">G386</f>
        <v>0</v>
      </c>
      <c r="E387" s="28"/>
      <c r="F387" s="28"/>
      <c r="G387" s="29" t="n">
        <f aca="false">D387+E387-F387</f>
        <v>0</v>
      </c>
      <c r="H387" s="28"/>
      <c r="I387" s="29" t="n">
        <f aca="false">ROUND(D387+E387-F387-G387,1)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172</v>
      </c>
      <c r="D388" s="29" t="n">
        <f aca="false">G387</f>
        <v>0</v>
      </c>
      <c r="E388" s="28"/>
      <c r="F388" s="28"/>
      <c r="G388" s="29" t="n">
        <f aca="false">D388+E388-F388</f>
        <v>0</v>
      </c>
      <c r="H388" s="28"/>
      <c r="I388" s="29" t="n">
        <f aca="false">ROUND(D388+E388-F388-G388,1)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172</v>
      </c>
      <c r="D389" s="29" t="n">
        <f aca="false">G388</f>
        <v>0</v>
      </c>
      <c r="E389" s="28"/>
      <c r="F389" s="28"/>
      <c r="G389" s="29" t="n">
        <f aca="false">D389+E389-F389</f>
        <v>0</v>
      </c>
      <c r="H389" s="28"/>
      <c r="I389" s="29" t="n">
        <f aca="false">ROUND(D389+E389-F389-G389,1)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172</v>
      </c>
      <c r="D390" s="29" t="n">
        <f aca="false">G389</f>
        <v>0</v>
      </c>
      <c r="E390" s="28"/>
      <c r="F390" s="28"/>
      <c r="G390" s="29" t="n">
        <f aca="false">D390+E390-F390</f>
        <v>0</v>
      </c>
      <c r="H390" s="28"/>
      <c r="I390" s="29" t="n">
        <f aca="false">ROUND(D390+E390-F390-G390,1)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172</v>
      </c>
      <c r="D391" s="29" t="n">
        <f aca="false">G390</f>
        <v>0</v>
      </c>
      <c r="E391" s="28"/>
      <c r="F391" s="28"/>
      <c r="G391" s="29" t="n">
        <f aca="false">D391+E391-F391</f>
        <v>0</v>
      </c>
      <c r="H391" s="28"/>
      <c r="I391" s="29" t="n">
        <f aca="false">ROUND(D391+E391-F391-G391,1)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172</v>
      </c>
      <c r="D392" s="29" t="n">
        <f aca="false">G391</f>
        <v>0</v>
      </c>
      <c r="E392" s="28"/>
      <c r="F392" s="28"/>
      <c r="G392" s="29" t="n">
        <f aca="false">D392+E392-F392</f>
        <v>0</v>
      </c>
      <c r="H392" s="28"/>
      <c r="I392" s="29" t="n">
        <f aca="false">ROUND(D392+E392-F392-G392,1)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172</v>
      </c>
      <c r="D393" s="29" t="n">
        <f aca="false">G392</f>
        <v>0</v>
      </c>
      <c r="E393" s="28"/>
      <c r="F393" s="28"/>
      <c r="G393" s="29" t="n">
        <f aca="false">D393+E393-F393</f>
        <v>0</v>
      </c>
      <c r="H393" s="28"/>
      <c r="I393" s="29" t="n">
        <f aca="false">ROUND(D393+E393-F393-G393,1)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172</v>
      </c>
      <c r="D394" s="29" t="n">
        <f aca="false">G393</f>
        <v>0</v>
      </c>
      <c r="E394" s="28"/>
      <c r="F394" s="28"/>
      <c r="G394" s="29" t="n">
        <f aca="false">D394+E394-F394</f>
        <v>0</v>
      </c>
      <c r="H394" s="28"/>
      <c r="I394" s="29" t="n">
        <f aca="false">ROUND(D394+E394-F394-G394,1)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172</v>
      </c>
      <c r="D395" s="29" t="n">
        <f aca="false">G394</f>
        <v>0</v>
      </c>
      <c r="E395" s="28"/>
      <c r="F395" s="28"/>
      <c r="G395" s="29" t="n">
        <f aca="false">D395+E395-F395</f>
        <v>0</v>
      </c>
      <c r="H395" s="28"/>
      <c r="I395" s="29" t="n">
        <f aca="false">ROUND(D395+E395-F395-G395,1)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172</v>
      </c>
      <c r="D396" s="29" t="n">
        <f aca="false">G395</f>
        <v>0</v>
      </c>
      <c r="E396" s="28"/>
      <c r="F396" s="28"/>
      <c r="G396" s="29" t="n">
        <f aca="false">D396+E396-F396</f>
        <v>0</v>
      </c>
      <c r="H396" s="28"/>
      <c r="I396" s="29" t="n">
        <f aca="false">ROUND(D396+E396-F396-G396,1)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172</v>
      </c>
      <c r="D397" s="29" t="n">
        <f aca="false">G396</f>
        <v>0</v>
      </c>
      <c r="E397" s="28"/>
      <c r="F397" s="28"/>
      <c r="G397" s="29" t="n">
        <f aca="false">D397+E397-F397</f>
        <v>0</v>
      </c>
      <c r="H397" s="28"/>
      <c r="I397" s="29" t="n">
        <f aca="false">ROUND(D397+E397-F397-G397,1)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172</v>
      </c>
      <c r="D398" s="29" t="n">
        <f aca="false">G397</f>
        <v>0</v>
      </c>
      <c r="E398" s="28"/>
      <c r="F398" s="28"/>
      <c r="G398" s="29" t="n">
        <f aca="false">D398+E398-F398</f>
        <v>0</v>
      </c>
      <c r="H398" s="28"/>
      <c r="I398" s="29" t="n">
        <f aca="false">ROUND(D398+E398-F398-G398,1)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172</v>
      </c>
      <c r="D399" s="29" t="n">
        <f aca="false">G398</f>
        <v>0</v>
      </c>
      <c r="E399" s="28"/>
      <c r="F399" s="28"/>
      <c r="G399" s="29" t="n">
        <f aca="false">D399+E399-F399</f>
        <v>0</v>
      </c>
      <c r="H399" s="28"/>
      <c r="I399" s="29" t="n">
        <f aca="false">ROUND(D399+E399-F399-G399,1)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172</v>
      </c>
      <c r="D400" s="29" t="n">
        <f aca="false">G399</f>
        <v>0</v>
      </c>
      <c r="E400" s="28"/>
      <c r="F400" s="28"/>
      <c r="G400" s="29" t="n">
        <f aca="false">D400+E400-F400</f>
        <v>0</v>
      </c>
      <c r="H400" s="28"/>
      <c r="I400" s="29" t="n">
        <f aca="false">ROUND(D400+E400-F400-G400,1)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172</v>
      </c>
      <c r="D401" s="29" t="n">
        <f aca="false">G400</f>
        <v>0</v>
      </c>
      <c r="E401" s="28"/>
      <c r="F401" s="28"/>
      <c r="G401" s="29" t="n">
        <f aca="false">D401+E401-F401</f>
        <v>0</v>
      </c>
      <c r="H401" s="28"/>
      <c r="I401" s="29" t="n">
        <f aca="false">ROUND(D401+E401-F401-G401,1)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172</v>
      </c>
      <c r="D402" s="29" t="n">
        <f aca="false">G401</f>
        <v>0</v>
      </c>
      <c r="E402" s="28"/>
      <c r="F402" s="28"/>
      <c r="G402" s="29" t="n">
        <f aca="false">D402+E402-F402</f>
        <v>0</v>
      </c>
      <c r="H402" s="28"/>
      <c r="I402" s="29" t="n">
        <f aca="false">ROUND(D402+E402-F402-G402,1)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172</v>
      </c>
      <c r="D403" s="29" t="n">
        <f aca="false">G402</f>
        <v>0</v>
      </c>
      <c r="E403" s="28"/>
      <c r="F403" s="28"/>
      <c r="G403" s="29" t="n">
        <f aca="false">D403+E403-F403</f>
        <v>0</v>
      </c>
      <c r="H403" s="28"/>
      <c r="I403" s="29" t="n">
        <f aca="false">ROUND(D403+E403-F403-G403,1)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172</v>
      </c>
      <c r="D404" s="29" t="n">
        <f aca="false">G403</f>
        <v>0</v>
      </c>
      <c r="E404" s="28"/>
      <c r="F404" s="28"/>
      <c r="G404" s="29" t="n">
        <f aca="false">D404+E404-F404</f>
        <v>0</v>
      </c>
      <c r="H404" s="28"/>
      <c r="I404" s="29" t="n">
        <f aca="false">ROUND(D404+E404-F404-G404,1)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172</v>
      </c>
      <c r="D405" s="29" t="n">
        <f aca="false">G404</f>
        <v>0</v>
      </c>
      <c r="E405" s="28"/>
      <c r="F405" s="28"/>
      <c r="G405" s="29" t="n">
        <f aca="false">D405+E405-F405</f>
        <v>0</v>
      </c>
      <c r="H405" s="28"/>
      <c r="I405" s="29" t="n">
        <f aca="false">ROUND(D405+E405-F405-G405,1)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172</v>
      </c>
      <c r="D406" s="29" t="n">
        <f aca="false">G405</f>
        <v>0</v>
      </c>
      <c r="E406" s="28"/>
      <c r="F406" s="28"/>
      <c r="G406" s="29" t="n">
        <f aca="false">D406+E406-F406</f>
        <v>0</v>
      </c>
      <c r="H406" s="28"/>
      <c r="I406" s="29" t="n">
        <f aca="false">ROUND(D406+E406-F406-G406,1)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172</v>
      </c>
      <c r="D407" s="29" t="n">
        <f aca="false">G406</f>
        <v>0</v>
      </c>
      <c r="E407" s="28"/>
      <c r="F407" s="28"/>
      <c r="G407" s="29" t="n">
        <f aca="false">D407+E407-F407</f>
        <v>0</v>
      </c>
      <c r="H407" s="28"/>
      <c r="I407" s="29" t="n">
        <f aca="false">ROUND(D407+E407-F407-G407,1)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172</v>
      </c>
      <c r="D408" s="29" t="n">
        <f aca="false">G407</f>
        <v>0</v>
      </c>
      <c r="E408" s="28"/>
      <c r="F408" s="28"/>
      <c r="G408" s="29" t="n">
        <f aca="false">D408+E408-F408</f>
        <v>0</v>
      </c>
      <c r="H408" s="28"/>
      <c r="I408" s="29" t="n">
        <f aca="false">ROUND(D408+E408-F408-G408,1)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172</v>
      </c>
      <c r="D409" s="29" t="n">
        <f aca="false">G408</f>
        <v>0</v>
      </c>
      <c r="E409" s="28"/>
      <c r="F409" s="28"/>
      <c r="G409" s="29" t="n">
        <f aca="false">D409+E409-F409</f>
        <v>0</v>
      </c>
      <c r="H409" s="28"/>
      <c r="I409" s="29" t="n">
        <f aca="false">ROUND(D409+E409-F409-G409,1)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172</v>
      </c>
      <c r="D410" s="29" t="n">
        <f aca="false">G409</f>
        <v>0</v>
      </c>
      <c r="E410" s="28"/>
      <c r="F410" s="28"/>
      <c r="G410" s="29" t="n">
        <f aca="false">D410+E410-F410</f>
        <v>0</v>
      </c>
      <c r="H410" s="28"/>
      <c r="I410" s="29" t="n">
        <f aca="false">ROUND(D410+E410-F410-G410,1)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172</v>
      </c>
      <c r="D411" s="29" t="n">
        <f aca="false">G410</f>
        <v>0</v>
      </c>
      <c r="E411" s="28"/>
      <c r="F411" s="28"/>
      <c r="G411" s="29" t="n">
        <f aca="false">D411+E411-F411</f>
        <v>0</v>
      </c>
      <c r="H411" s="28"/>
      <c r="I411" s="29" t="n">
        <f aca="false">ROUND(D411+E411-F411-G411,1)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172</v>
      </c>
      <c r="D412" s="29" t="n">
        <f aca="false">G411</f>
        <v>0</v>
      </c>
      <c r="E412" s="28"/>
      <c r="F412" s="28"/>
      <c r="G412" s="29" t="n">
        <f aca="false">D412+E412-F412</f>
        <v>0</v>
      </c>
      <c r="H412" s="28"/>
      <c r="I412" s="29" t="n">
        <f aca="false">ROUND(D412+E412-F412-G412,1)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172</v>
      </c>
      <c r="D413" s="29" t="n">
        <f aca="false">G412</f>
        <v>0</v>
      </c>
      <c r="E413" s="28"/>
      <c r="F413" s="28"/>
      <c r="G413" s="29" t="n">
        <f aca="false">D413+E413-F413</f>
        <v>0</v>
      </c>
      <c r="H413" s="28"/>
      <c r="I413" s="29" t="n">
        <f aca="false">ROUND(D413+E413-F413-G413,1)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172</v>
      </c>
      <c r="D414" s="29" t="n">
        <f aca="false">G413</f>
        <v>0</v>
      </c>
      <c r="E414" s="28"/>
      <c r="F414" s="28"/>
      <c r="G414" s="29" t="n">
        <f aca="false">D414+E414-F414</f>
        <v>0</v>
      </c>
      <c r="H414" s="28"/>
      <c r="I414" s="29" t="n">
        <f aca="false">ROUND(D414+E414-F414-G414,1)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172</v>
      </c>
      <c r="D415" s="29" t="n">
        <f aca="false">G414</f>
        <v>0</v>
      </c>
      <c r="E415" s="28"/>
      <c r="F415" s="28"/>
      <c r="G415" s="29" t="n">
        <f aca="false">D415+E415-F415</f>
        <v>0</v>
      </c>
      <c r="H415" s="28"/>
      <c r="I415" s="29" t="n">
        <f aca="false">ROUND(D415+E415-F415-G415,1)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172</v>
      </c>
      <c r="D416" s="29" t="n">
        <f aca="false">G415</f>
        <v>0</v>
      </c>
      <c r="E416" s="28"/>
      <c r="F416" s="28"/>
      <c r="G416" s="29" t="n">
        <f aca="false">D416+E416-F416</f>
        <v>0</v>
      </c>
      <c r="H416" s="28"/>
      <c r="I416" s="29" t="n">
        <f aca="false">ROUND(D416+E416-F416-G416,1)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172</v>
      </c>
      <c r="D417" s="29" t="n">
        <f aca="false">G416</f>
        <v>0</v>
      </c>
      <c r="E417" s="28"/>
      <c r="F417" s="28"/>
      <c r="G417" s="29" t="n">
        <f aca="false">D417+E417-F417</f>
        <v>0</v>
      </c>
      <c r="H417" s="28"/>
      <c r="I417" s="29" t="n">
        <f aca="false">ROUND(D417+E417-F417-G417,1)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172</v>
      </c>
      <c r="D418" s="29" t="n">
        <f aca="false">G417</f>
        <v>0</v>
      </c>
      <c r="E418" s="28"/>
      <c r="F418" s="28"/>
      <c r="G418" s="29" t="n">
        <f aca="false">D418+E418-F418</f>
        <v>0</v>
      </c>
      <c r="H418" s="28"/>
      <c r="I418" s="29" t="n">
        <f aca="false">ROUND(D418+E418-F418-G418,1)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172</v>
      </c>
      <c r="D419" s="29" t="n">
        <f aca="false">G418</f>
        <v>0</v>
      </c>
      <c r="E419" s="28"/>
      <c r="F419" s="28"/>
      <c r="G419" s="29" t="n">
        <f aca="false">D419+E419-F419</f>
        <v>0</v>
      </c>
      <c r="H419" s="28"/>
      <c r="I419" s="29" t="n">
        <f aca="false">ROUND(D419+E419-F419-G419,1)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172</v>
      </c>
      <c r="D420" s="29" t="n">
        <f aca="false">G419</f>
        <v>0</v>
      </c>
      <c r="E420" s="28"/>
      <c r="F420" s="28"/>
      <c r="G420" s="29" t="n">
        <f aca="false">D420+E420-F420</f>
        <v>0</v>
      </c>
      <c r="H420" s="28"/>
      <c r="I420" s="29" t="n">
        <f aca="false">ROUND(D420+E420-F420-G420,1)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172</v>
      </c>
      <c r="D421" s="29" t="n">
        <f aca="false">G420</f>
        <v>0</v>
      </c>
      <c r="E421" s="28"/>
      <c r="F421" s="28"/>
      <c r="G421" s="29" t="n">
        <f aca="false">D421+E421-F421</f>
        <v>0</v>
      </c>
      <c r="H421" s="28"/>
      <c r="I421" s="29" t="n">
        <f aca="false">ROUND(D421+E421-F421-G421,1)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172</v>
      </c>
      <c r="D422" s="29" t="n">
        <f aca="false">G421</f>
        <v>0</v>
      </c>
      <c r="E422" s="28"/>
      <c r="F422" s="28"/>
      <c r="G422" s="29" t="n">
        <f aca="false">D422+E422-F422</f>
        <v>0</v>
      </c>
      <c r="H422" s="28"/>
      <c r="I422" s="29" t="n">
        <f aca="false">ROUND(D422+E422-F422-G422,1)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172</v>
      </c>
      <c r="D423" s="29" t="n">
        <f aca="false">G422</f>
        <v>0</v>
      </c>
      <c r="E423" s="28"/>
      <c r="F423" s="28"/>
      <c r="G423" s="29" t="n">
        <f aca="false">D423+E423-F423</f>
        <v>0</v>
      </c>
      <c r="H423" s="28"/>
      <c r="I423" s="29" t="n">
        <f aca="false">ROUND(D423+E423-F423-G423,1)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172</v>
      </c>
      <c r="D424" s="29" t="n">
        <f aca="false">G423</f>
        <v>0</v>
      </c>
      <c r="E424" s="28"/>
      <c r="F424" s="28"/>
      <c r="G424" s="29" t="n">
        <f aca="false">D424+E424-F424</f>
        <v>0</v>
      </c>
      <c r="H424" s="28"/>
      <c r="I424" s="29" t="n">
        <f aca="false">ROUND(D424+E424-F424-G424,1)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172</v>
      </c>
      <c r="D425" s="29" t="n">
        <f aca="false">G424</f>
        <v>0</v>
      </c>
      <c r="E425" s="28"/>
      <c r="F425" s="28"/>
      <c r="G425" s="29" t="n">
        <f aca="false">D425+E425-F425</f>
        <v>0</v>
      </c>
      <c r="H425" s="28"/>
      <c r="I425" s="29" t="n">
        <f aca="false">ROUND(D425+E425-F425-G425,1)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172</v>
      </c>
      <c r="D426" s="29" t="n">
        <f aca="false">G425</f>
        <v>0</v>
      </c>
      <c r="E426" s="28"/>
      <c r="F426" s="28"/>
      <c r="G426" s="29" t="n">
        <f aca="false">D426+E426-F426</f>
        <v>0</v>
      </c>
      <c r="H426" s="28"/>
      <c r="I426" s="29" t="n">
        <f aca="false">ROUND(D426+E426-F426-G426,1)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172</v>
      </c>
      <c r="D427" s="29" t="n">
        <f aca="false">G426</f>
        <v>0</v>
      </c>
      <c r="E427" s="28"/>
      <c r="F427" s="28"/>
      <c r="G427" s="29" t="n">
        <f aca="false">D427+E427-F427</f>
        <v>0</v>
      </c>
      <c r="H427" s="28"/>
      <c r="I427" s="29" t="n">
        <f aca="false">ROUND(D427+E427-F427-G427,1)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172</v>
      </c>
      <c r="D428" s="29" t="n">
        <f aca="false">G427</f>
        <v>0</v>
      </c>
      <c r="E428" s="28"/>
      <c r="F428" s="28"/>
      <c r="G428" s="29" t="n">
        <f aca="false">D428+E428-F428</f>
        <v>0</v>
      </c>
      <c r="H428" s="28"/>
      <c r="I428" s="29" t="n">
        <f aca="false">ROUND(D428+E428-F428-G428,1)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172</v>
      </c>
      <c r="D429" s="29" t="n">
        <f aca="false">G428</f>
        <v>0</v>
      </c>
      <c r="E429" s="28"/>
      <c r="F429" s="28"/>
      <c r="G429" s="29" t="n">
        <f aca="false">D429+E429-F429</f>
        <v>0</v>
      </c>
      <c r="H429" s="28"/>
      <c r="I429" s="29" t="n">
        <f aca="false">ROUND(D429+E429-F429-G429,1)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172</v>
      </c>
      <c r="D430" s="29" t="n">
        <f aca="false">G429</f>
        <v>0</v>
      </c>
      <c r="E430" s="28"/>
      <c r="F430" s="28"/>
      <c r="G430" s="29" t="n">
        <f aca="false">D430+E430-F430</f>
        <v>0</v>
      </c>
      <c r="H430" s="28"/>
      <c r="I430" s="29" t="n">
        <f aca="false">ROUND(D430+E430-F430-G430,1)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172</v>
      </c>
      <c r="D431" s="29" t="n">
        <f aca="false">G430</f>
        <v>0</v>
      </c>
      <c r="E431" s="28"/>
      <c r="F431" s="28"/>
      <c r="G431" s="29" t="n">
        <f aca="false">D431+E431-F431</f>
        <v>0</v>
      </c>
      <c r="H431" s="28"/>
      <c r="I431" s="29" t="n">
        <f aca="false">ROUND(D431+E431-F431-G431,1)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172</v>
      </c>
      <c r="D432" s="29" t="n">
        <f aca="false">G431</f>
        <v>0</v>
      </c>
      <c r="E432" s="28"/>
      <c r="F432" s="28"/>
      <c r="G432" s="29" t="n">
        <f aca="false">D432+E432-F432</f>
        <v>0</v>
      </c>
      <c r="H432" s="28"/>
      <c r="I432" s="29" t="n">
        <f aca="false">ROUND(D432+E432-F432-G432,1)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172</v>
      </c>
      <c r="D433" s="29" t="n">
        <f aca="false">G432</f>
        <v>0</v>
      </c>
      <c r="E433" s="28"/>
      <c r="F433" s="28"/>
      <c r="G433" s="29" t="n">
        <f aca="false">D433+E433-F433</f>
        <v>0</v>
      </c>
      <c r="H433" s="28"/>
      <c r="I433" s="29" t="n">
        <f aca="false">ROUND(D433+E433-F433-G433,1)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172</v>
      </c>
      <c r="D434" s="29" t="n">
        <f aca="false">G433</f>
        <v>0</v>
      </c>
      <c r="E434" s="28"/>
      <c r="F434" s="28"/>
      <c r="G434" s="29" t="n">
        <f aca="false">D434+E434-F434</f>
        <v>0</v>
      </c>
      <c r="H434" s="28"/>
      <c r="I434" s="29" t="n">
        <f aca="false">ROUND(D434+E434-F434-G434,1)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172</v>
      </c>
      <c r="D435" s="29" t="n">
        <f aca="false">G434</f>
        <v>0</v>
      </c>
      <c r="E435" s="28"/>
      <c r="F435" s="28"/>
      <c r="G435" s="29" t="n">
        <f aca="false">D435+E435-F435</f>
        <v>0</v>
      </c>
      <c r="H435" s="28"/>
      <c r="I435" s="29" t="n">
        <f aca="false">ROUND(D435+E435-F435-G435,1)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172</v>
      </c>
      <c r="D436" s="29" t="n">
        <f aca="false">G435</f>
        <v>0</v>
      </c>
      <c r="E436" s="28"/>
      <c r="F436" s="28"/>
      <c r="G436" s="29" t="n">
        <f aca="false">D436+E436-F436</f>
        <v>0</v>
      </c>
      <c r="H436" s="28"/>
      <c r="I436" s="29" t="n">
        <f aca="false">ROUND(D436+E436-F436-G436,1)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172</v>
      </c>
      <c r="D437" s="29" t="n">
        <f aca="false">G436</f>
        <v>0</v>
      </c>
      <c r="E437" s="28"/>
      <c r="F437" s="28"/>
      <c r="G437" s="29" t="n">
        <f aca="false">D437+E437-F437</f>
        <v>0</v>
      </c>
      <c r="H437" s="28"/>
      <c r="I437" s="29" t="n">
        <f aca="false">ROUND(D437+E437-F437-G437,1)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172</v>
      </c>
      <c r="D438" s="29" t="n">
        <f aca="false">G437</f>
        <v>0</v>
      </c>
      <c r="E438" s="28"/>
      <c r="F438" s="28"/>
      <c r="G438" s="29" t="n">
        <f aca="false">D438+E438-F438</f>
        <v>0</v>
      </c>
      <c r="H438" s="28"/>
      <c r="I438" s="29" t="n">
        <f aca="false">ROUND(D438+E438-F438-G438,1)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172</v>
      </c>
      <c r="D439" s="29" t="n">
        <f aca="false">G438</f>
        <v>0</v>
      </c>
      <c r="E439" s="28"/>
      <c r="F439" s="28"/>
      <c r="G439" s="29" t="n">
        <f aca="false">D439+E439-F439</f>
        <v>0</v>
      </c>
      <c r="H439" s="28"/>
      <c r="I439" s="29" t="n">
        <f aca="false">ROUND(D439+E439-F439-G439,1)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172</v>
      </c>
      <c r="D440" s="29" t="n">
        <f aca="false">G439</f>
        <v>0</v>
      </c>
      <c r="E440" s="28"/>
      <c r="F440" s="28"/>
      <c r="G440" s="29" t="n">
        <f aca="false">D440+E440-F440</f>
        <v>0</v>
      </c>
      <c r="H440" s="28"/>
      <c r="I440" s="29" t="n">
        <f aca="false">ROUND(D440+E440-F440-G440,1)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172</v>
      </c>
      <c r="D441" s="29" t="n">
        <f aca="false">G440</f>
        <v>0</v>
      </c>
      <c r="E441" s="28"/>
      <c r="F441" s="28"/>
      <c r="G441" s="29" t="n">
        <f aca="false">D441+E441-F441</f>
        <v>0</v>
      </c>
      <c r="H441" s="28"/>
      <c r="I441" s="29" t="n">
        <f aca="false">ROUND(D441+E441-F441-G441,1)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172</v>
      </c>
      <c r="D442" s="29" t="n">
        <f aca="false">G441</f>
        <v>0</v>
      </c>
      <c r="E442" s="28"/>
      <c r="F442" s="28"/>
      <c r="G442" s="29" t="n">
        <f aca="false">D442+E442-F442</f>
        <v>0</v>
      </c>
      <c r="H442" s="28"/>
      <c r="I442" s="29" t="n">
        <f aca="false">ROUND(D442+E442-F442-G442,1)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172</v>
      </c>
      <c r="D443" s="29" t="n">
        <f aca="false">G442</f>
        <v>0</v>
      </c>
      <c r="E443" s="28"/>
      <c r="F443" s="28"/>
      <c r="G443" s="29" t="n">
        <f aca="false">D443+E443-F443</f>
        <v>0</v>
      </c>
      <c r="H443" s="28"/>
      <c r="I443" s="29" t="n">
        <f aca="false">ROUND(D443+E443-F443-G443,1)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172</v>
      </c>
      <c r="D444" s="29" t="n">
        <f aca="false">G443</f>
        <v>0</v>
      </c>
      <c r="E444" s="28"/>
      <c r="F444" s="28"/>
      <c r="G444" s="29" t="n">
        <f aca="false">D444+E444-F444</f>
        <v>0</v>
      </c>
      <c r="H444" s="28"/>
      <c r="I444" s="29" t="n">
        <f aca="false">ROUND(D444+E444-F444-G444,1)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172</v>
      </c>
      <c r="D445" s="29" t="n">
        <f aca="false">G444</f>
        <v>0</v>
      </c>
      <c r="E445" s="28"/>
      <c r="F445" s="28"/>
      <c r="G445" s="29" t="n">
        <f aca="false">D445+E445-F445</f>
        <v>0</v>
      </c>
      <c r="H445" s="28"/>
      <c r="I445" s="29" t="n">
        <f aca="false">ROUND(D445+E445-F445-G445,1)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172</v>
      </c>
      <c r="D446" s="29" t="n">
        <f aca="false">G445</f>
        <v>0</v>
      </c>
      <c r="E446" s="28"/>
      <c r="F446" s="28"/>
      <c r="G446" s="29" t="n">
        <f aca="false">D446+E446-F446</f>
        <v>0</v>
      </c>
      <c r="H446" s="28"/>
      <c r="I446" s="29" t="n">
        <f aca="false">ROUND(D446+E446-F446-G446,1)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172</v>
      </c>
      <c r="D447" s="29" t="n">
        <f aca="false">G446</f>
        <v>0</v>
      </c>
      <c r="E447" s="28"/>
      <c r="F447" s="28"/>
      <c r="G447" s="29" t="n">
        <f aca="false">D447+E447-F447</f>
        <v>0</v>
      </c>
      <c r="H447" s="28"/>
      <c r="I447" s="29" t="n">
        <f aca="false">ROUND(D447+E447-F447-G447,1)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172</v>
      </c>
      <c r="D448" s="29" t="n">
        <f aca="false">G447</f>
        <v>0</v>
      </c>
      <c r="E448" s="28"/>
      <c r="F448" s="28"/>
      <c r="G448" s="29" t="n">
        <f aca="false">D448+E448-F448</f>
        <v>0</v>
      </c>
      <c r="H448" s="28"/>
      <c r="I448" s="29" t="n">
        <f aca="false">ROUND(D448+E448-F448-G448,1)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172</v>
      </c>
      <c r="D449" s="29" t="n">
        <f aca="false">G448</f>
        <v>0</v>
      </c>
      <c r="E449" s="28"/>
      <c r="F449" s="28"/>
      <c r="G449" s="29" t="n">
        <f aca="false">D449+E449-F449</f>
        <v>0</v>
      </c>
      <c r="H449" s="28"/>
      <c r="I449" s="29" t="n">
        <f aca="false">ROUND(D449+E449-F449-G449,1)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172</v>
      </c>
      <c r="D450" s="29" t="n">
        <f aca="false">G449</f>
        <v>0</v>
      </c>
      <c r="E450" s="28"/>
      <c r="F450" s="28"/>
      <c r="G450" s="29" t="n">
        <f aca="false">D450+E450-F450</f>
        <v>0</v>
      </c>
      <c r="H450" s="28"/>
      <c r="I450" s="29" t="n">
        <f aca="false">ROUND(D450+E450-F450-G450,1)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172</v>
      </c>
      <c r="D451" s="29" t="n">
        <f aca="false">G450</f>
        <v>0</v>
      </c>
      <c r="E451" s="28"/>
      <c r="F451" s="28"/>
      <c r="G451" s="29" t="n">
        <f aca="false">D451+E451-F451</f>
        <v>0</v>
      </c>
      <c r="H451" s="28"/>
      <c r="I451" s="29" t="n">
        <f aca="false">ROUND(D451+E451-F451-G451,1)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172</v>
      </c>
      <c r="D452" s="29" t="n">
        <f aca="false">G451</f>
        <v>0</v>
      </c>
      <c r="E452" s="28"/>
      <c r="F452" s="28"/>
      <c r="G452" s="29" t="n">
        <f aca="false">D452+E452-F452</f>
        <v>0</v>
      </c>
      <c r="H452" s="28"/>
      <c r="I452" s="29" t="n">
        <f aca="false">ROUND(D452+E452-F452-G452,1)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172</v>
      </c>
      <c r="D453" s="29" t="n">
        <f aca="false">G452</f>
        <v>0</v>
      </c>
      <c r="E453" s="28"/>
      <c r="F453" s="28"/>
      <c r="G453" s="29" t="n">
        <f aca="false">D453+E453-F453</f>
        <v>0</v>
      </c>
      <c r="H453" s="28"/>
      <c r="I453" s="29" t="n">
        <f aca="false">ROUND(D453+E453-F453-G453,1)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172</v>
      </c>
      <c r="D454" s="29" t="n">
        <f aca="false">G453</f>
        <v>0</v>
      </c>
      <c r="E454" s="28"/>
      <c r="F454" s="28"/>
      <c r="G454" s="29" t="n">
        <f aca="false">D454+E454-F454</f>
        <v>0</v>
      </c>
      <c r="H454" s="28"/>
      <c r="I454" s="29" t="n">
        <f aca="false">ROUND(D454+E454-F454-G454,1)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172</v>
      </c>
      <c r="D455" s="29" t="n">
        <f aca="false">G454</f>
        <v>0</v>
      </c>
      <c r="E455" s="28"/>
      <c r="F455" s="28"/>
      <c r="G455" s="29" t="n">
        <f aca="false">D455+E455-F455</f>
        <v>0</v>
      </c>
      <c r="H455" s="28"/>
      <c r="I455" s="29" t="n">
        <f aca="false">ROUND(D455+E455-F455-G455,1)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172</v>
      </c>
      <c r="D456" s="29" t="n">
        <f aca="false">G455</f>
        <v>0</v>
      </c>
      <c r="E456" s="28"/>
      <c r="F456" s="28"/>
      <c r="G456" s="29" t="n">
        <f aca="false">D456+E456-F456</f>
        <v>0</v>
      </c>
      <c r="H456" s="28"/>
      <c r="I456" s="29" t="n">
        <f aca="false">ROUND(D456+E456-F456-G456,1)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172</v>
      </c>
      <c r="D457" s="29" t="n">
        <f aca="false">G456</f>
        <v>0</v>
      </c>
      <c r="E457" s="28"/>
      <c r="F457" s="28"/>
      <c r="G457" s="29" t="n">
        <f aca="false">D457+E457-F457</f>
        <v>0</v>
      </c>
      <c r="H457" s="28"/>
      <c r="I457" s="29" t="n">
        <f aca="false">ROUND(D457+E457-F457-G457,1)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172</v>
      </c>
      <c r="D458" s="29" t="n">
        <f aca="false">G457</f>
        <v>0</v>
      </c>
      <c r="E458" s="28"/>
      <c r="F458" s="28"/>
      <c r="G458" s="29" t="n">
        <f aca="false">D458+E458-F458</f>
        <v>0</v>
      </c>
      <c r="H458" s="28"/>
      <c r="I458" s="29" t="n">
        <f aca="false">ROUND(D458+E458-F458-G458,1)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172</v>
      </c>
      <c r="D459" s="29" t="n">
        <f aca="false">G458</f>
        <v>0</v>
      </c>
      <c r="E459" s="28"/>
      <c r="F459" s="28"/>
      <c r="G459" s="29" t="n">
        <f aca="false">D459+E459-F459</f>
        <v>0</v>
      </c>
      <c r="H459" s="28"/>
      <c r="I459" s="29" t="n">
        <f aca="false">ROUND(D459+E459-F459-G459,1)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172</v>
      </c>
      <c r="D460" s="29" t="n">
        <f aca="false">G459</f>
        <v>0</v>
      </c>
      <c r="E460" s="28"/>
      <c r="F460" s="28"/>
      <c r="G460" s="29" t="n">
        <f aca="false">D460+E460-F460</f>
        <v>0</v>
      </c>
      <c r="H460" s="28"/>
      <c r="I460" s="29" t="n">
        <f aca="false">ROUND(D460+E460-F460-G460,1)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172</v>
      </c>
      <c r="D461" s="29" t="n">
        <f aca="false">G460</f>
        <v>0</v>
      </c>
      <c r="E461" s="28"/>
      <c r="F461" s="28"/>
      <c r="G461" s="29" t="n">
        <f aca="false">D461+E461-F461</f>
        <v>0</v>
      </c>
      <c r="H461" s="28"/>
      <c r="I461" s="29" t="n">
        <f aca="false">ROUND(D461+E461-F461-G461,1)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172</v>
      </c>
      <c r="D462" s="29" t="n">
        <f aca="false">G461</f>
        <v>0</v>
      </c>
      <c r="E462" s="28"/>
      <c r="F462" s="28"/>
      <c r="G462" s="29" t="n">
        <f aca="false">D462+E462-F462</f>
        <v>0</v>
      </c>
      <c r="H462" s="28"/>
      <c r="I462" s="29" t="n">
        <f aca="false">ROUND(D462+E462-F462-G462,1)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172</v>
      </c>
      <c r="D463" s="29" t="n">
        <f aca="false">G462</f>
        <v>0</v>
      </c>
      <c r="E463" s="28"/>
      <c r="F463" s="28"/>
      <c r="G463" s="29" t="n">
        <f aca="false">D463+E463-F463</f>
        <v>0</v>
      </c>
      <c r="H463" s="28"/>
      <c r="I463" s="29" t="n">
        <f aca="false">ROUND(D463+E463-F463-G463,1)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172</v>
      </c>
      <c r="D464" s="29" t="n">
        <f aca="false">G463</f>
        <v>0</v>
      </c>
      <c r="E464" s="28"/>
      <c r="F464" s="28"/>
      <c r="G464" s="29" t="n">
        <f aca="false">D464+E464-F464</f>
        <v>0</v>
      </c>
      <c r="H464" s="28"/>
      <c r="I464" s="29" t="n">
        <f aca="false">ROUND(D464+E464-F464-G464,1)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172</v>
      </c>
      <c r="D465" s="29" t="n">
        <f aca="false">G464</f>
        <v>0</v>
      </c>
      <c r="E465" s="28"/>
      <c r="F465" s="28"/>
      <c r="G465" s="29" t="n">
        <f aca="false">D465+E465-F465</f>
        <v>0</v>
      </c>
      <c r="H465" s="28"/>
      <c r="I465" s="29" t="n">
        <f aca="false">ROUND(D465+E465-F465-G465,1)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172</v>
      </c>
      <c r="D466" s="29" t="n">
        <f aca="false">G465</f>
        <v>0</v>
      </c>
      <c r="E466" s="28"/>
      <c r="F466" s="28"/>
      <c r="G466" s="29" t="n">
        <f aca="false">D466+E466-F466</f>
        <v>0</v>
      </c>
      <c r="H466" s="28"/>
      <c r="I466" s="29" t="n">
        <f aca="false">ROUND(D466+E466-F466-G466,1)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172</v>
      </c>
      <c r="D467" s="29" t="n">
        <f aca="false">G466</f>
        <v>0</v>
      </c>
      <c r="E467" s="28"/>
      <c r="F467" s="28"/>
      <c r="G467" s="29" t="n">
        <f aca="false">D467+E467-F467</f>
        <v>0</v>
      </c>
      <c r="H467" s="28"/>
      <c r="I467" s="29" t="n">
        <f aca="false">ROUND(D467+E467-F467-G467,1)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172</v>
      </c>
      <c r="D468" s="29" t="n">
        <f aca="false">G467</f>
        <v>0</v>
      </c>
      <c r="E468" s="28"/>
      <c r="F468" s="28"/>
      <c r="G468" s="29" t="n">
        <f aca="false">D468+E468-F468</f>
        <v>0</v>
      </c>
      <c r="H468" s="28"/>
      <c r="I468" s="29" t="n">
        <f aca="false">ROUND(D468+E468-F468-G468,1)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172</v>
      </c>
      <c r="D469" s="29" t="n">
        <f aca="false">G468</f>
        <v>0</v>
      </c>
      <c r="E469" s="28"/>
      <c r="F469" s="28"/>
      <c r="G469" s="29" t="n">
        <f aca="false">D469+E469-F469</f>
        <v>0</v>
      </c>
      <c r="H469" s="28"/>
      <c r="I469" s="29" t="n">
        <f aca="false">ROUND(D469+E469-F469-G469,1)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172</v>
      </c>
      <c r="D470" s="29" t="n">
        <f aca="false">G469</f>
        <v>0</v>
      </c>
      <c r="E470" s="28"/>
      <c r="F470" s="28"/>
      <c r="G470" s="29" t="n">
        <f aca="false">D470+E470-F470</f>
        <v>0</v>
      </c>
      <c r="H470" s="28"/>
      <c r="I470" s="29" t="n">
        <f aca="false">ROUND(D470+E470-F470-G470,1)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172</v>
      </c>
      <c r="D471" s="29" t="n">
        <f aca="false">G470</f>
        <v>0</v>
      </c>
      <c r="E471" s="28"/>
      <c r="F471" s="28"/>
      <c r="G471" s="29" t="n">
        <f aca="false">D471+E471-F471</f>
        <v>0</v>
      </c>
      <c r="H471" s="28"/>
      <c r="I471" s="29" t="n">
        <f aca="false">ROUND(D471+E471-F471-G471,1)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172</v>
      </c>
      <c r="D472" s="29" t="n">
        <f aca="false">G471</f>
        <v>0</v>
      </c>
      <c r="E472" s="28"/>
      <c r="F472" s="28"/>
      <c r="G472" s="29" t="n">
        <f aca="false">D472+E472-F472</f>
        <v>0</v>
      </c>
      <c r="H472" s="28"/>
      <c r="I472" s="29" t="n">
        <f aca="false">ROUND(D472+E472-F472-G472,1)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172</v>
      </c>
      <c r="D473" s="29" t="n">
        <f aca="false">G472</f>
        <v>0</v>
      </c>
      <c r="E473" s="28"/>
      <c r="F473" s="28"/>
      <c r="G473" s="29" t="n">
        <f aca="false">D473+E473-F473</f>
        <v>0</v>
      </c>
      <c r="H473" s="28"/>
      <c r="I473" s="29" t="n">
        <f aca="false">ROUND(D473+E473-F473-G473,1)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172</v>
      </c>
      <c r="D474" s="29" t="n">
        <f aca="false">G473</f>
        <v>0</v>
      </c>
      <c r="E474" s="28"/>
      <c r="F474" s="28"/>
      <c r="G474" s="29" t="n">
        <f aca="false">D474+E474-F474</f>
        <v>0</v>
      </c>
      <c r="H474" s="28"/>
      <c r="I474" s="29" t="n">
        <f aca="false">ROUND(D474+E474-F474-G474,1)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172</v>
      </c>
      <c r="D475" s="29" t="n">
        <f aca="false">G474</f>
        <v>0</v>
      </c>
      <c r="E475" s="28"/>
      <c r="F475" s="28"/>
      <c r="G475" s="29" t="n">
        <f aca="false">D475+E475-F475</f>
        <v>0</v>
      </c>
      <c r="H475" s="28"/>
      <c r="I475" s="29" t="n">
        <f aca="false">ROUND(D475+E475-F475-G475,1)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172</v>
      </c>
      <c r="D476" s="29" t="n">
        <f aca="false">G475</f>
        <v>0</v>
      </c>
      <c r="E476" s="28"/>
      <c r="F476" s="28"/>
      <c r="G476" s="29" t="n">
        <f aca="false">D476+E476-F476</f>
        <v>0</v>
      </c>
      <c r="H476" s="28"/>
      <c r="I476" s="29" t="n">
        <f aca="false">ROUND(D476+E476-F476-G476,1)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172</v>
      </c>
      <c r="D477" s="29" t="n">
        <f aca="false">G476</f>
        <v>0</v>
      </c>
      <c r="E477" s="28"/>
      <c r="F477" s="28"/>
      <c r="G477" s="29" t="n">
        <f aca="false">D477+E477-F477</f>
        <v>0</v>
      </c>
      <c r="H477" s="28"/>
      <c r="I477" s="29" t="n">
        <f aca="false">ROUND(D477+E477-F477-G477,1)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172</v>
      </c>
      <c r="D478" s="29" t="n">
        <f aca="false">G477</f>
        <v>0</v>
      </c>
      <c r="E478" s="28"/>
      <c r="F478" s="28"/>
      <c r="G478" s="29" t="n">
        <f aca="false">D478+E478-F478</f>
        <v>0</v>
      </c>
      <c r="H478" s="28"/>
      <c r="I478" s="29" t="n">
        <f aca="false">ROUND(D478+E478-F478-G478,1)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172</v>
      </c>
      <c r="D479" s="29" t="n">
        <f aca="false">G478</f>
        <v>0</v>
      </c>
      <c r="E479" s="28"/>
      <c r="F479" s="28"/>
      <c r="G479" s="29" t="n">
        <f aca="false">D479+E479-F479</f>
        <v>0</v>
      </c>
      <c r="H479" s="28"/>
      <c r="I479" s="29" t="n">
        <f aca="false">ROUND(D479+E479-F479-G479,1)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172</v>
      </c>
      <c r="D480" s="29" t="n">
        <f aca="false">G479</f>
        <v>0</v>
      </c>
      <c r="E480" s="28"/>
      <c r="F480" s="28"/>
      <c r="G480" s="29" t="n">
        <f aca="false">D480+E480-F480</f>
        <v>0</v>
      </c>
      <c r="H480" s="28"/>
      <c r="I480" s="29" t="n">
        <f aca="false">ROUND(D480+E480-F480-G480,1)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172</v>
      </c>
      <c r="D481" s="29" t="n">
        <f aca="false">G480</f>
        <v>0</v>
      </c>
      <c r="E481" s="28"/>
      <c r="F481" s="28"/>
      <c r="G481" s="29" t="n">
        <f aca="false">D481+E481-F481</f>
        <v>0</v>
      </c>
      <c r="H481" s="28"/>
      <c r="I481" s="29" t="n">
        <f aca="false">ROUND(D481+E481-F481-G481,1)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172</v>
      </c>
      <c r="D482" s="29" t="n">
        <f aca="false">G481</f>
        <v>0</v>
      </c>
      <c r="E482" s="28"/>
      <c r="F482" s="28"/>
      <c r="G482" s="29" t="n">
        <f aca="false">D482+E482-F482</f>
        <v>0</v>
      </c>
      <c r="H482" s="28"/>
      <c r="I482" s="29" t="n">
        <f aca="false">ROUND(D482+E482-F482-G482,1)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172</v>
      </c>
      <c r="D483" s="29" t="n">
        <f aca="false">G482</f>
        <v>0</v>
      </c>
      <c r="E483" s="28"/>
      <c r="F483" s="28"/>
      <c r="G483" s="29" t="n">
        <f aca="false">D483+E483-F483</f>
        <v>0</v>
      </c>
      <c r="H483" s="28"/>
      <c r="I483" s="29" t="n">
        <f aca="false">ROUND(D483+E483-F483-G483,1)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172</v>
      </c>
      <c r="D484" s="29" t="n">
        <f aca="false">G483</f>
        <v>0</v>
      </c>
      <c r="E484" s="28"/>
      <c r="F484" s="28"/>
      <c r="G484" s="29" t="n">
        <f aca="false">D484+E484-F484</f>
        <v>0</v>
      </c>
      <c r="H484" s="28"/>
      <c r="I484" s="29" t="n">
        <f aca="false">ROUND(D484+E484-F484-G484,1)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172</v>
      </c>
      <c r="D485" s="29" t="n">
        <f aca="false">G484</f>
        <v>0</v>
      </c>
      <c r="E485" s="28"/>
      <c r="F485" s="28"/>
      <c r="G485" s="29" t="n">
        <f aca="false">D485+E485-F485</f>
        <v>0</v>
      </c>
      <c r="H485" s="28"/>
      <c r="I485" s="29" t="n">
        <f aca="false">ROUND(D485+E485-F485-G485,1)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172</v>
      </c>
      <c r="D486" s="29" t="n">
        <f aca="false">G485</f>
        <v>0</v>
      </c>
      <c r="E486" s="28"/>
      <c r="F486" s="28"/>
      <c r="G486" s="29" t="n">
        <f aca="false">D486+E486-F486</f>
        <v>0</v>
      </c>
      <c r="H486" s="28"/>
      <c r="I486" s="29" t="n">
        <f aca="false">ROUND(D486+E486-F486-G486,1)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172</v>
      </c>
      <c r="D487" s="29" t="n">
        <f aca="false">G486</f>
        <v>0</v>
      </c>
      <c r="E487" s="28"/>
      <c r="F487" s="28"/>
      <c r="G487" s="29" t="n">
        <f aca="false">D487+E487-F487</f>
        <v>0</v>
      </c>
      <c r="H487" s="28"/>
      <c r="I487" s="29" t="n">
        <f aca="false">ROUND(D487+E487-F487-G487,1)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172</v>
      </c>
      <c r="D488" s="29" t="n">
        <f aca="false">G487</f>
        <v>0</v>
      </c>
      <c r="E488" s="28"/>
      <c r="F488" s="28"/>
      <c r="G488" s="29" t="n">
        <f aca="false">D488+E488-F488</f>
        <v>0</v>
      </c>
      <c r="H488" s="28"/>
      <c r="I488" s="29" t="n">
        <f aca="false">ROUND(D488+E488-F488-G488,1)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172</v>
      </c>
      <c r="D489" s="29" t="n">
        <f aca="false">G488</f>
        <v>0</v>
      </c>
      <c r="E489" s="28"/>
      <c r="F489" s="28"/>
      <c r="G489" s="29" t="n">
        <f aca="false">D489+E489-F489</f>
        <v>0</v>
      </c>
      <c r="H489" s="28"/>
      <c r="I489" s="29" t="n">
        <f aca="false">ROUND(D489+E489-F489-G489,1)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172</v>
      </c>
      <c r="D490" s="29" t="n">
        <f aca="false">G489</f>
        <v>0</v>
      </c>
      <c r="E490" s="28"/>
      <c r="F490" s="28"/>
      <c r="G490" s="29" t="n">
        <f aca="false">D490+E490-F490</f>
        <v>0</v>
      </c>
      <c r="H490" s="28"/>
      <c r="I490" s="29" t="n">
        <f aca="false">ROUND(D490+E490-F490-G490,1)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172</v>
      </c>
      <c r="D491" s="29" t="n">
        <f aca="false">G490</f>
        <v>0</v>
      </c>
      <c r="E491" s="28"/>
      <c r="F491" s="28"/>
      <c r="G491" s="29" t="n">
        <f aca="false">D491+E491-F491</f>
        <v>0</v>
      </c>
      <c r="H491" s="28"/>
      <c r="I491" s="29" t="n">
        <f aca="false">ROUND(D491+E491-F491-G491,1)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172</v>
      </c>
      <c r="D492" s="29" t="n">
        <f aca="false">G491</f>
        <v>0</v>
      </c>
      <c r="E492" s="28"/>
      <c r="F492" s="28"/>
      <c r="G492" s="29" t="n">
        <f aca="false">D492+E492-F492</f>
        <v>0</v>
      </c>
      <c r="H492" s="28"/>
      <c r="I492" s="29" t="n">
        <f aca="false">ROUND(D492+E492-F492-G492,1)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172</v>
      </c>
      <c r="D493" s="29" t="n">
        <f aca="false">G492</f>
        <v>0</v>
      </c>
      <c r="E493" s="28"/>
      <c r="F493" s="28"/>
      <c r="G493" s="29" t="n">
        <f aca="false">D493+E493-F493</f>
        <v>0</v>
      </c>
      <c r="H493" s="28"/>
      <c r="I493" s="29" t="n">
        <f aca="false">ROUND(D493+E493-F493-G493,1)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172</v>
      </c>
      <c r="D494" s="29" t="n">
        <f aca="false">G493</f>
        <v>0</v>
      </c>
      <c r="E494" s="28"/>
      <c r="F494" s="28"/>
      <c r="G494" s="29" t="n">
        <f aca="false">D494+E494-F494</f>
        <v>0</v>
      </c>
      <c r="H494" s="28"/>
      <c r="I494" s="29" t="n">
        <f aca="false">ROUND(D494+E494-F494-G494,1)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172</v>
      </c>
      <c r="D495" s="29" t="n">
        <f aca="false">G494</f>
        <v>0</v>
      </c>
      <c r="E495" s="28"/>
      <c r="F495" s="28"/>
      <c r="G495" s="29" t="n">
        <f aca="false">D495+E495-F495</f>
        <v>0</v>
      </c>
      <c r="H495" s="28"/>
      <c r="I495" s="29" t="n">
        <f aca="false">ROUND(D495+E495-F495-G495,1)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172</v>
      </c>
      <c r="D496" s="29" t="n">
        <f aca="false">G495</f>
        <v>0</v>
      </c>
      <c r="E496" s="28"/>
      <c r="F496" s="28"/>
      <c r="G496" s="29" t="n">
        <f aca="false">D496+E496-F496</f>
        <v>0</v>
      </c>
      <c r="H496" s="28"/>
      <c r="I496" s="29" t="n">
        <f aca="false">ROUND(D496+E496-F496-G496,1)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172</v>
      </c>
      <c r="D497" s="29" t="n">
        <f aca="false">G496</f>
        <v>0</v>
      </c>
      <c r="E497" s="28"/>
      <c r="F497" s="28"/>
      <c r="G497" s="29" t="n">
        <f aca="false">D497+E497-F497</f>
        <v>0</v>
      </c>
      <c r="H497" s="28"/>
      <c r="I497" s="29" t="n">
        <f aca="false">ROUND(D497+E497-F497-G497,1)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172</v>
      </c>
      <c r="D498" s="29" t="n">
        <f aca="false">G497</f>
        <v>0</v>
      </c>
      <c r="E498" s="28"/>
      <c r="F498" s="28"/>
      <c r="G498" s="29" t="n">
        <f aca="false">D498+E498-F498</f>
        <v>0</v>
      </c>
      <c r="H498" s="28"/>
      <c r="I498" s="29" t="n">
        <f aca="false">ROUND(D498+E498-F498-G498,1)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172</v>
      </c>
      <c r="D499" s="29" t="n">
        <f aca="false">G498</f>
        <v>0</v>
      </c>
      <c r="E499" s="28"/>
      <c r="F499" s="28"/>
      <c r="G499" s="29" t="n">
        <f aca="false">D499+E499-F499</f>
        <v>0</v>
      </c>
      <c r="H499" s="28"/>
      <c r="I499" s="29" t="n">
        <f aca="false">ROUND(D499+E499-F499-G499,1)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172</v>
      </c>
      <c r="D500" s="29" t="n">
        <f aca="false">G499</f>
        <v>0</v>
      </c>
      <c r="E500" s="28"/>
      <c r="F500" s="28"/>
      <c r="G500" s="29" t="n">
        <f aca="false">D500+E500-F500</f>
        <v>0</v>
      </c>
      <c r="H500" s="28"/>
      <c r="I500" s="29" t="n">
        <f aca="false">ROUND(D500+E500-F500-G500,1)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172</v>
      </c>
      <c r="D501" s="29" t="n">
        <f aca="false">G500</f>
        <v>0</v>
      </c>
      <c r="E501" s="28"/>
      <c r="F501" s="28"/>
      <c r="G501" s="29" t="n">
        <f aca="false">D501+E501-F501</f>
        <v>0</v>
      </c>
      <c r="H501" s="28"/>
      <c r="I501" s="29" t="n">
        <f aca="false">ROUND(D501+E501-F501-G501,1)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172</v>
      </c>
      <c r="D502" s="29" t="n">
        <f aca="false">G501</f>
        <v>0</v>
      </c>
      <c r="E502" s="28"/>
      <c r="F502" s="28"/>
      <c r="G502" s="29" t="n">
        <f aca="false">D502+E502-F502</f>
        <v>0</v>
      </c>
      <c r="H502" s="28"/>
      <c r="I502" s="29" t="n">
        <f aca="false">ROUND(D502+E502-F502-G502,1)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172</v>
      </c>
      <c r="D503" s="29" t="n">
        <f aca="false">G502</f>
        <v>0</v>
      </c>
      <c r="E503" s="28"/>
      <c r="F503" s="28"/>
      <c r="G503" s="29" t="n">
        <f aca="false">D503+E503-F503</f>
        <v>0</v>
      </c>
      <c r="H503" s="28"/>
      <c r="I503" s="29" t="n">
        <f aca="false">ROUND(D503+E503-F503-G503,1)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172</v>
      </c>
      <c r="D504" s="29" t="n">
        <f aca="false">G503</f>
        <v>0</v>
      </c>
      <c r="E504" s="28"/>
      <c r="F504" s="28"/>
      <c r="G504" s="29" t="n">
        <f aca="false">D504+E504-F504</f>
        <v>0</v>
      </c>
      <c r="H504" s="28"/>
      <c r="I504" s="29" t="n">
        <f aca="false">ROUND(D504+E504-F504-G504,1)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172</v>
      </c>
      <c r="D505" s="29" t="n">
        <f aca="false">G504</f>
        <v>0</v>
      </c>
      <c r="E505" s="28"/>
      <c r="F505" s="28"/>
      <c r="G505" s="29" t="n">
        <f aca="false">D505+E505-F505</f>
        <v>0</v>
      </c>
      <c r="H505" s="28"/>
      <c r="I505" s="29" t="n">
        <f aca="false">ROUND(D505+E505-F505-G505,1)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172</v>
      </c>
      <c r="D506" s="29" t="n">
        <f aca="false">G505</f>
        <v>0</v>
      </c>
      <c r="E506" s="28"/>
      <c r="F506" s="28"/>
      <c r="G506" s="29" t="n">
        <f aca="false">D506+E506-F506</f>
        <v>0</v>
      </c>
      <c r="H506" s="28"/>
      <c r="I506" s="29" t="n">
        <f aca="false">ROUND(D506+E506-F506-G506,1)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172</v>
      </c>
      <c r="D507" s="29" t="n">
        <f aca="false">G506</f>
        <v>0</v>
      </c>
      <c r="E507" s="28"/>
      <c r="F507" s="28"/>
      <c r="G507" s="29" t="n">
        <f aca="false">D507+E507-F507</f>
        <v>0</v>
      </c>
      <c r="H507" s="28"/>
      <c r="I507" s="29" t="n">
        <f aca="false">ROUND(D507+E507-F507-G507,1)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172</v>
      </c>
      <c r="D508" s="29" t="n">
        <f aca="false">G507</f>
        <v>0</v>
      </c>
      <c r="E508" s="28"/>
      <c r="F508" s="28"/>
      <c r="G508" s="29" t="n">
        <f aca="false">D508+E508-F508</f>
        <v>0</v>
      </c>
      <c r="H508" s="28"/>
      <c r="I508" s="29" t="n">
        <f aca="false">ROUND(D508+E508-F508-G508,1)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172</v>
      </c>
      <c r="D509" s="29" t="n">
        <f aca="false">G508</f>
        <v>0</v>
      </c>
      <c r="E509" s="28"/>
      <c r="F509" s="28"/>
      <c r="G509" s="29" t="n">
        <f aca="false">D509+E509-F509</f>
        <v>0</v>
      </c>
      <c r="H509" s="28"/>
      <c r="I509" s="29" t="n">
        <f aca="false">ROUND(D509+E509-F509-G509,1)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172</v>
      </c>
      <c r="D510" s="29" t="n">
        <f aca="false">G509</f>
        <v>0</v>
      </c>
      <c r="E510" s="28"/>
      <c r="F510" s="28"/>
      <c r="G510" s="29" t="n">
        <f aca="false">D510+E510-F510</f>
        <v>0</v>
      </c>
      <c r="H510" s="28"/>
      <c r="I510" s="29" t="n">
        <f aca="false">ROUND(D510+E510-F510-G510,1)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172</v>
      </c>
      <c r="D511" s="29" t="n">
        <f aca="false">G510</f>
        <v>0</v>
      </c>
      <c r="E511" s="28"/>
      <c r="F511" s="28"/>
      <c r="G511" s="29" t="n">
        <f aca="false">D511+E511-F511</f>
        <v>0</v>
      </c>
      <c r="H511" s="28"/>
      <c r="I511" s="29" t="n">
        <f aca="false">ROUND(D511+E511-F511-G511,1)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172</v>
      </c>
      <c r="D512" s="29" t="n">
        <f aca="false">G511</f>
        <v>0</v>
      </c>
      <c r="E512" s="28"/>
      <c r="F512" s="28"/>
      <c r="G512" s="29" t="n">
        <f aca="false">D512+E512-F512</f>
        <v>0</v>
      </c>
      <c r="H512" s="28"/>
      <c r="I512" s="29" t="n">
        <f aca="false">ROUND(D512+E512-F512-G512,1)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172</v>
      </c>
      <c r="D513" s="29" t="n">
        <f aca="false">G512</f>
        <v>0</v>
      </c>
      <c r="E513" s="28"/>
      <c r="F513" s="28"/>
      <c r="G513" s="29" t="n">
        <f aca="false">D513+E513-F513</f>
        <v>0</v>
      </c>
      <c r="H513" s="28"/>
      <c r="I513" s="29" t="n">
        <f aca="false">ROUND(D513+E513-F513-G513,1)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172</v>
      </c>
      <c r="D514" s="29" t="n">
        <f aca="false">G513</f>
        <v>0</v>
      </c>
      <c r="E514" s="28"/>
      <c r="F514" s="28"/>
      <c r="G514" s="29" t="n">
        <f aca="false">D514+E514-F514</f>
        <v>0</v>
      </c>
      <c r="H514" s="28"/>
      <c r="I514" s="29" t="n">
        <f aca="false">ROUND(D514+E514-F514-G514,1)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172</v>
      </c>
      <c r="D515" s="29" t="n">
        <f aca="false">G514</f>
        <v>0</v>
      </c>
      <c r="E515" s="28"/>
      <c r="F515" s="28"/>
      <c r="G515" s="29" t="n">
        <f aca="false">D515+E515-F515</f>
        <v>0</v>
      </c>
      <c r="H515" s="28"/>
      <c r="I515" s="29" t="n">
        <f aca="false">ROUND(D515+E515-F515-G515,1)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172</v>
      </c>
      <c r="D516" s="29" t="n">
        <f aca="false">G515</f>
        <v>0</v>
      </c>
      <c r="E516" s="28"/>
      <c r="F516" s="28"/>
      <c r="G516" s="29" t="n">
        <f aca="false">D516+E516-F516</f>
        <v>0</v>
      </c>
      <c r="H516" s="28"/>
      <c r="I516" s="29" t="n">
        <f aca="false">ROUND(D516+E516-F516-G516,1)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172</v>
      </c>
      <c r="D517" s="29" t="n">
        <f aca="false">G516</f>
        <v>0</v>
      </c>
      <c r="E517" s="28"/>
      <c r="F517" s="28"/>
      <c r="G517" s="29" t="n">
        <f aca="false">D517+E517-F517</f>
        <v>0</v>
      </c>
      <c r="H517" s="28"/>
      <c r="I517" s="29" t="n">
        <f aca="false">ROUND(D517+E517-F517-G517,1)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172</v>
      </c>
      <c r="D518" s="29" t="n">
        <f aca="false">G517</f>
        <v>0</v>
      </c>
      <c r="E518" s="28"/>
      <c r="F518" s="28"/>
      <c r="G518" s="29" t="n">
        <f aca="false">D518+E518-F518</f>
        <v>0</v>
      </c>
      <c r="H518" s="28"/>
      <c r="I518" s="29" t="n">
        <f aca="false">ROUND(D518+E518-F518-G518,1)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172</v>
      </c>
      <c r="D519" s="29" t="n">
        <f aca="false">G518</f>
        <v>0</v>
      </c>
      <c r="E519" s="28"/>
      <c r="F519" s="28"/>
      <c r="G519" s="29" t="n">
        <f aca="false">D519+E519-F519</f>
        <v>0</v>
      </c>
      <c r="H519" s="28"/>
      <c r="I519" s="29" t="n">
        <f aca="false">ROUND(D519+E519-F519-G519,1)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172</v>
      </c>
      <c r="D520" s="29" t="n">
        <f aca="false">G519</f>
        <v>0</v>
      </c>
      <c r="E520" s="28"/>
      <c r="F520" s="28"/>
      <c r="G520" s="29" t="n">
        <f aca="false">D520+E520-F520</f>
        <v>0</v>
      </c>
      <c r="H520" s="28"/>
      <c r="I520" s="29" t="n">
        <f aca="false">ROUND(D520+E520-F520-G520,1)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172</v>
      </c>
      <c r="D521" s="29" t="n">
        <f aca="false">G520</f>
        <v>0</v>
      </c>
      <c r="E521" s="28"/>
      <c r="F521" s="28"/>
      <c r="G521" s="29" t="n">
        <f aca="false">D521+E521-F521</f>
        <v>0</v>
      </c>
      <c r="H521" s="28"/>
      <c r="I521" s="29" t="n">
        <f aca="false">ROUND(D521+E521-F521-G521,1)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172</v>
      </c>
      <c r="D522" s="29" t="n">
        <f aca="false">G521</f>
        <v>0</v>
      </c>
      <c r="E522" s="28"/>
      <c r="F522" s="28"/>
      <c r="G522" s="29" t="n">
        <f aca="false">D522+E522-F522</f>
        <v>0</v>
      </c>
      <c r="H522" s="28"/>
      <c r="I522" s="29" t="n">
        <f aca="false">ROUND(D522+E522-F522-G522,1)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172</v>
      </c>
      <c r="D523" s="29" t="n">
        <f aca="false">G522</f>
        <v>0</v>
      </c>
      <c r="E523" s="28"/>
      <c r="F523" s="28"/>
      <c r="G523" s="29" t="n">
        <f aca="false">D523+E523-F523</f>
        <v>0</v>
      </c>
      <c r="H523" s="28"/>
      <c r="I523" s="29" t="n">
        <f aca="false">ROUND(D523+E523-F523-G523,1)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172</v>
      </c>
      <c r="D524" s="29" t="n">
        <f aca="false">G523</f>
        <v>0</v>
      </c>
      <c r="E524" s="28"/>
      <c r="F524" s="28"/>
      <c r="G524" s="29" t="n">
        <f aca="false">D524+E524-F524</f>
        <v>0</v>
      </c>
      <c r="H524" s="28"/>
      <c r="I524" s="29" t="n">
        <f aca="false">ROUND(D524+E524-F524-G524,1)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172</v>
      </c>
      <c r="D525" s="29" t="n">
        <f aca="false">G524</f>
        <v>0</v>
      </c>
      <c r="E525" s="28"/>
      <c r="F525" s="28"/>
      <c r="G525" s="29" t="n">
        <f aca="false">D525+E525-F525</f>
        <v>0</v>
      </c>
      <c r="H525" s="28"/>
      <c r="I525" s="29" t="n">
        <f aca="false">ROUND(D525+E525-F525-G525,1)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172</v>
      </c>
      <c r="D526" s="29" t="n">
        <f aca="false">G525</f>
        <v>0</v>
      </c>
      <c r="E526" s="28"/>
      <c r="F526" s="28"/>
      <c r="G526" s="29" t="n">
        <f aca="false">D526+E526-F526</f>
        <v>0</v>
      </c>
      <c r="H526" s="28"/>
      <c r="I526" s="29" t="n">
        <f aca="false">ROUND(D526+E526-F526-G526,1)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172</v>
      </c>
      <c r="D527" s="29" t="n">
        <f aca="false">G526</f>
        <v>0</v>
      </c>
      <c r="E527" s="28"/>
      <c r="F527" s="28"/>
      <c r="G527" s="29" t="n">
        <f aca="false">D527+E527-F527</f>
        <v>0</v>
      </c>
      <c r="H527" s="28"/>
      <c r="I527" s="29" t="n">
        <f aca="false">ROUND(D527+E527-F527-G527,1)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172</v>
      </c>
      <c r="D528" s="29" t="n">
        <f aca="false">G527</f>
        <v>0</v>
      </c>
      <c r="E528" s="28"/>
      <c r="F528" s="28"/>
      <c r="G528" s="29" t="n">
        <f aca="false">D528+E528-F528</f>
        <v>0</v>
      </c>
      <c r="H528" s="28"/>
      <c r="I528" s="29" t="n">
        <f aca="false">ROUND(D528+E528-F528-G528,1)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172</v>
      </c>
      <c r="D529" s="29" t="n">
        <f aca="false">G528</f>
        <v>0</v>
      </c>
      <c r="E529" s="28"/>
      <c r="F529" s="28"/>
      <c r="G529" s="29" t="n">
        <f aca="false">D529+E529-F529</f>
        <v>0</v>
      </c>
      <c r="H529" s="28"/>
      <c r="I529" s="29" t="n">
        <f aca="false">ROUND(D529+E529-F529-G529,1)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172</v>
      </c>
      <c r="D530" s="29" t="n">
        <f aca="false">G529</f>
        <v>0</v>
      </c>
      <c r="E530" s="28"/>
      <c r="F530" s="28"/>
      <c r="G530" s="29" t="n">
        <f aca="false">D530+E530-F530</f>
        <v>0</v>
      </c>
      <c r="H530" s="28"/>
      <c r="I530" s="29" t="n">
        <f aca="false">ROUND(D530+E530-F530-G530,1)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172</v>
      </c>
      <c r="D531" s="29" t="n">
        <f aca="false">G530</f>
        <v>0</v>
      </c>
      <c r="E531" s="28"/>
      <c r="F531" s="28"/>
      <c r="G531" s="29" t="n">
        <f aca="false">D531+E531-F531</f>
        <v>0</v>
      </c>
      <c r="H531" s="28"/>
      <c r="I531" s="29" t="n">
        <f aca="false">ROUND(D531+E531-F531-G531,1)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172</v>
      </c>
      <c r="D532" s="29" t="n">
        <f aca="false">G531</f>
        <v>0</v>
      </c>
      <c r="E532" s="28"/>
      <c r="F532" s="28"/>
      <c r="G532" s="29" t="n">
        <f aca="false">D532+E532-F532</f>
        <v>0</v>
      </c>
      <c r="H532" s="28"/>
      <c r="I532" s="29" t="n">
        <f aca="false">ROUND(D532+E532-F532-G532,1)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172</v>
      </c>
      <c r="D533" s="29" t="n">
        <f aca="false">G532</f>
        <v>0</v>
      </c>
      <c r="E533" s="28"/>
      <c r="F533" s="28"/>
      <c r="G533" s="29" t="n">
        <f aca="false">D533+E533-F533</f>
        <v>0</v>
      </c>
      <c r="H533" s="28"/>
      <c r="I533" s="29" t="n">
        <f aca="false">ROUND(D533+E533-F533-G533,1)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172</v>
      </c>
      <c r="D534" s="29" t="n">
        <f aca="false">G533</f>
        <v>0</v>
      </c>
      <c r="E534" s="28"/>
      <c r="F534" s="28"/>
      <c r="G534" s="29" t="n">
        <f aca="false">D534+E534-F534</f>
        <v>0</v>
      </c>
      <c r="H534" s="28"/>
      <c r="I534" s="29" t="n">
        <f aca="false">ROUND(D534+E534-F534-G534,1)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172</v>
      </c>
      <c r="D535" s="29" t="n">
        <f aca="false">G534</f>
        <v>0</v>
      </c>
      <c r="E535" s="28"/>
      <c r="F535" s="28"/>
      <c r="G535" s="29" t="n">
        <f aca="false">D535+E535-F535</f>
        <v>0</v>
      </c>
      <c r="H535" s="28"/>
      <c r="I535" s="29" t="n">
        <f aca="false">ROUND(D535+E535-F535-G535,1)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172</v>
      </c>
      <c r="D536" s="29" t="n">
        <f aca="false">G535</f>
        <v>0</v>
      </c>
      <c r="E536" s="28"/>
      <c r="F536" s="28"/>
      <c r="G536" s="29" t="n">
        <f aca="false">D536+E536-F536</f>
        <v>0</v>
      </c>
      <c r="H536" s="28"/>
      <c r="I536" s="29" t="n">
        <f aca="false">ROUND(D536+E536-F536-G536,1)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172</v>
      </c>
      <c r="D537" s="29" t="n">
        <f aca="false">G536</f>
        <v>0</v>
      </c>
      <c r="E537" s="28"/>
      <c r="F537" s="28"/>
      <c r="G537" s="29" t="n">
        <f aca="false">D537+E537-F537</f>
        <v>0</v>
      </c>
      <c r="H537" s="28"/>
      <c r="I537" s="29" t="n">
        <f aca="false">ROUND(D537+E537-F537-G537,1)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172</v>
      </c>
      <c r="D538" s="29" t="n">
        <f aca="false">G537</f>
        <v>0</v>
      </c>
      <c r="E538" s="28"/>
      <c r="F538" s="28"/>
      <c r="G538" s="29" t="n">
        <f aca="false">D538+E538-F538</f>
        <v>0</v>
      </c>
      <c r="H538" s="28"/>
      <c r="I538" s="29" t="n">
        <f aca="false">ROUND(D538+E538-F538-G538,1)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172</v>
      </c>
      <c r="D539" s="29" t="n">
        <f aca="false">G538</f>
        <v>0</v>
      </c>
      <c r="E539" s="28"/>
      <c r="F539" s="28"/>
      <c r="G539" s="29" t="n">
        <f aca="false">D539+E539-F539</f>
        <v>0</v>
      </c>
      <c r="H539" s="28"/>
      <c r="I539" s="29" t="n">
        <f aca="false">ROUND(D539+E539-F539-G539,1)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172</v>
      </c>
      <c r="D540" s="29" t="n">
        <f aca="false">G539</f>
        <v>0</v>
      </c>
      <c r="E540" s="28"/>
      <c r="F540" s="28"/>
      <c r="G540" s="29" t="n">
        <f aca="false">D540+E540-F540</f>
        <v>0</v>
      </c>
      <c r="H540" s="28"/>
      <c r="I540" s="29" t="n">
        <f aca="false">ROUND(D540+E540-F540-G540,1)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172</v>
      </c>
      <c r="D541" s="29" t="n">
        <f aca="false">G540</f>
        <v>0</v>
      </c>
      <c r="E541" s="28"/>
      <c r="F541" s="28"/>
      <c r="G541" s="29" t="n">
        <f aca="false">D541+E541-F541</f>
        <v>0</v>
      </c>
      <c r="H541" s="28"/>
      <c r="I541" s="29" t="n">
        <f aca="false">ROUND(D541+E541-F541-G541,1)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172</v>
      </c>
      <c r="D542" s="29" t="n">
        <f aca="false">G541</f>
        <v>0</v>
      </c>
      <c r="E542" s="28"/>
      <c r="F542" s="28"/>
      <c r="G542" s="29" t="n">
        <f aca="false">D542+E542-F542</f>
        <v>0</v>
      </c>
      <c r="H542" s="28"/>
      <c r="I542" s="29" t="n">
        <f aca="false">ROUND(D542+E542-F542-G542,1)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172</v>
      </c>
      <c r="D543" s="29" t="n">
        <f aca="false">G542</f>
        <v>0</v>
      </c>
      <c r="E543" s="28"/>
      <c r="F543" s="28"/>
      <c r="G543" s="29" t="n">
        <f aca="false">D543+E543-F543</f>
        <v>0</v>
      </c>
      <c r="H543" s="28"/>
      <c r="I543" s="29" t="n">
        <f aca="false">ROUND(D543+E543-F543-G543,1)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172</v>
      </c>
      <c r="D544" s="29" t="n">
        <f aca="false">G543</f>
        <v>0</v>
      </c>
      <c r="E544" s="28"/>
      <c r="F544" s="28"/>
      <c r="G544" s="29" t="n">
        <f aca="false">D544+E544-F544</f>
        <v>0</v>
      </c>
      <c r="H544" s="28"/>
      <c r="I544" s="29" t="n">
        <f aca="false">ROUND(D544+E544-F544-G544,1)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172</v>
      </c>
      <c r="D545" s="29" t="n">
        <f aca="false">G544</f>
        <v>0</v>
      </c>
      <c r="E545" s="28"/>
      <c r="F545" s="28"/>
      <c r="G545" s="29" t="n">
        <f aca="false">D545+E545-F545</f>
        <v>0</v>
      </c>
      <c r="H545" s="28"/>
      <c r="I545" s="29" t="n">
        <f aca="false">ROUND(D545+E545-F545-G545,1)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172</v>
      </c>
      <c r="D546" s="29" t="n">
        <f aca="false">G545</f>
        <v>0</v>
      </c>
      <c r="E546" s="28"/>
      <c r="F546" s="28"/>
      <c r="G546" s="29" t="n">
        <f aca="false">D546+E546-F546</f>
        <v>0</v>
      </c>
      <c r="H546" s="28"/>
      <c r="I546" s="29" t="n">
        <f aca="false">ROUND(D546+E546-F546-G546,1)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172</v>
      </c>
      <c r="D547" s="29" t="n">
        <f aca="false">G546</f>
        <v>0</v>
      </c>
      <c r="E547" s="28"/>
      <c r="F547" s="28"/>
      <c r="G547" s="29" t="n">
        <f aca="false">D547+E547-F547</f>
        <v>0</v>
      </c>
      <c r="H547" s="28"/>
      <c r="I547" s="29" t="n">
        <f aca="false">ROUND(D547+E547-F547-G547,1)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172</v>
      </c>
      <c r="D548" s="29" t="n">
        <f aca="false">G547</f>
        <v>0</v>
      </c>
      <c r="E548" s="28"/>
      <c r="F548" s="28"/>
      <c r="G548" s="29" t="n">
        <f aca="false">D548+E548-F548</f>
        <v>0</v>
      </c>
      <c r="H548" s="28"/>
      <c r="I548" s="29" t="n">
        <f aca="false">ROUND(D548+E548-F548-G548,1)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172</v>
      </c>
      <c r="D549" s="29" t="n">
        <f aca="false">G548</f>
        <v>0</v>
      </c>
      <c r="E549" s="28"/>
      <c r="F549" s="28"/>
      <c r="G549" s="29" t="n">
        <f aca="false">D549+E549-F549</f>
        <v>0</v>
      </c>
      <c r="H549" s="28"/>
      <c r="I549" s="29" t="n">
        <f aca="false">ROUND(D549+E549-F549-G549,1)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172</v>
      </c>
      <c r="D550" s="29" t="n">
        <f aca="false">G549</f>
        <v>0</v>
      </c>
      <c r="E550" s="28"/>
      <c r="F550" s="28"/>
      <c r="G550" s="29" t="n">
        <f aca="false">D550+E550-F550</f>
        <v>0</v>
      </c>
      <c r="H550" s="28"/>
      <c r="I550" s="29" t="n">
        <f aca="false">ROUND(D550+E550-F550-G550,1)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172</v>
      </c>
      <c r="D551" s="29" t="n">
        <f aca="false">G550</f>
        <v>0</v>
      </c>
      <c r="E551" s="28"/>
      <c r="F551" s="28"/>
      <c r="G551" s="29" t="n">
        <f aca="false">D551+E551-F551</f>
        <v>0</v>
      </c>
      <c r="H551" s="28"/>
      <c r="I551" s="29" t="n">
        <f aca="false">ROUND(D551+E551-F551-G551,1)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172</v>
      </c>
      <c r="D552" s="29" t="n">
        <f aca="false">G551</f>
        <v>0</v>
      </c>
      <c r="E552" s="28"/>
      <c r="F552" s="28"/>
      <c r="G552" s="29" t="n">
        <f aca="false">D552+E552-F552</f>
        <v>0</v>
      </c>
      <c r="H552" s="28"/>
      <c r="I552" s="29" t="n">
        <f aca="false">ROUND(D552+E552-F552-G552,1)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172</v>
      </c>
      <c r="D553" s="29" t="n">
        <f aca="false">G552</f>
        <v>0</v>
      </c>
      <c r="E553" s="28"/>
      <c r="F553" s="28"/>
      <c r="G553" s="29" t="n">
        <f aca="false">D553+E553-F553</f>
        <v>0</v>
      </c>
      <c r="H553" s="28"/>
      <c r="I553" s="29" t="n">
        <f aca="false">ROUND(D553+E553-F553-G553,1)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172</v>
      </c>
      <c r="D554" s="29" t="n">
        <f aca="false">G553</f>
        <v>0</v>
      </c>
      <c r="E554" s="28"/>
      <c r="F554" s="28"/>
      <c r="G554" s="29" t="n">
        <f aca="false">D554+E554-F554</f>
        <v>0</v>
      </c>
      <c r="H554" s="28"/>
      <c r="I554" s="29" t="n">
        <f aca="false">ROUND(D554+E554-F554-G554,1)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172</v>
      </c>
      <c r="D555" s="29" t="n">
        <f aca="false">G554</f>
        <v>0</v>
      </c>
      <c r="E555" s="28"/>
      <c r="F555" s="28"/>
      <c r="G555" s="29" t="n">
        <f aca="false">D555+E555-F555</f>
        <v>0</v>
      </c>
      <c r="H555" s="28"/>
      <c r="I555" s="29" t="n">
        <f aca="false">ROUND(D555+E555-F555-G555,1)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172</v>
      </c>
      <c r="D556" s="29" t="n">
        <f aca="false">G555</f>
        <v>0</v>
      </c>
      <c r="E556" s="28"/>
      <c r="F556" s="28"/>
      <c r="G556" s="29" t="n">
        <f aca="false">D556+E556-F556</f>
        <v>0</v>
      </c>
      <c r="H556" s="28"/>
      <c r="I556" s="29" t="n">
        <f aca="false">ROUND(D556+E556-F556-G556,1)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172</v>
      </c>
      <c r="D557" s="29" t="n">
        <f aca="false">G556</f>
        <v>0</v>
      </c>
      <c r="E557" s="28"/>
      <c r="F557" s="28"/>
      <c r="G557" s="29" t="n">
        <f aca="false">D557+E557-F557</f>
        <v>0</v>
      </c>
      <c r="H557" s="28"/>
      <c r="I557" s="29" t="n">
        <f aca="false">ROUND(D557+E557-F557-G557,1)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172</v>
      </c>
      <c r="D558" s="29" t="n">
        <f aca="false">G557</f>
        <v>0</v>
      </c>
      <c r="E558" s="28"/>
      <c r="F558" s="28"/>
      <c r="G558" s="29" t="n">
        <f aca="false">D558+E558-F558</f>
        <v>0</v>
      </c>
      <c r="H558" s="28"/>
      <c r="I558" s="29" t="n">
        <f aca="false">ROUND(D558+E558-F558-G558,1)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172</v>
      </c>
      <c r="D559" s="29" t="n">
        <f aca="false">G558</f>
        <v>0</v>
      </c>
      <c r="E559" s="28"/>
      <c r="F559" s="28"/>
      <c r="G559" s="29" t="n">
        <f aca="false">D559+E559-F559</f>
        <v>0</v>
      </c>
      <c r="H559" s="28"/>
      <c r="I559" s="29" t="n">
        <f aca="false">ROUND(D559+E559-F559-G559,1)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172</v>
      </c>
      <c r="D560" s="29" t="n">
        <f aca="false">G559</f>
        <v>0</v>
      </c>
      <c r="E560" s="28"/>
      <c r="F560" s="28"/>
      <c r="G560" s="29" t="n">
        <f aca="false">D560+E560-F560</f>
        <v>0</v>
      </c>
      <c r="H560" s="28"/>
      <c r="I560" s="29" t="n">
        <f aca="false">ROUND(D560+E560-F560-G560,1)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172</v>
      </c>
      <c r="D561" s="29" t="n">
        <f aca="false">G560</f>
        <v>0</v>
      </c>
      <c r="E561" s="28"/>
      <c r="F561" s="28"/>
      <c r="G561" s="29" t="n">
        <f aca="false">D561+E561-F561</f>
        <v>0</v>
      </c>
      <c r="H561" s="28"/>
      <c r="I561" s="29" t="n">
        <f aca="false">ROUND(D561+E561-F561-G561,1)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172</v>
      </c>
      <c r="D562" s="29" t="n">
        <f aca="false">G561</f>
        <v>0</v>
      </c>
      <c r="E562" s="28"/>
      <c r="F562" s="28"/>
      <c r="G562" s="29" t="n">
        <f aca="false">D562+E562-F562</f>
        <v>0</v>
      </c>
      <c r="H562" s="28"/>
      <c r="I562" s="29" t="n">
        <f aca="false">ROUND(D562+E562-F562-G562,1)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172</v>
      </c>
      <c r="D563" s="29" t="n">
        <f aca="false">G562</f>
        <v>0</v>
      </c>
      <c r="E563" s="28"/>
      <c r="F563" s="28"/>
      <c r="G563" s="29" t="n">
        <f aca="false">D563+E563-F563</f>
        <v>0</v>
      </c>
      <c r="H563" s="28"/>
      <c r="I563" s="29" t="n">
        <f aca="false">ROUND(D563+E563-F563-G563,1)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172</v>
      </c>
      <c r="D564" s="29" t="n">
        <f aca="false">G563</f>
        <v>0</v>
      </c>
      <c r="E564" s="28"/>
      <c r="F564" s="28"/>
      <c r="G564" s="29" t="n">
        <f aca="false">D564+E564-F564</f>
        <v>0</v>
      </c>
      <c r="H564" s="28"/>
      <c r="I564" s="29" t="n">
        <f aca="false">ROUND(D564+E564-F564-G564,1)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172</v>
      </c>
      <c r="D565" s="29" t="n">
        <f aca="false">G564</f>
        <v>0</v>
      </c>
      <c r="E565" s="28"/>
      <c r="F565" s="28"/>
      <c r="G565" s="29" t="n">
        <f aca="false">D565+E565-F565</f>
        <v>0</v>
      </c>
      <c r="H565" s="28"/>
      <c r="I565" s="29" t="n">
        <f aca="false">ROUND(D565+E565-F565-G565,1)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172</v>
      </c>
      <c r="D566" s="29" t="n">
        <f aca="false">G565</f>
        <v>0</v>
      </c>
      <c r="E566" s="28"/>
      <c r="F566" s="28"/>
      <c r="G566" s="29" t="n">
        <f aca="false">D566+E566-F566</f>
        <v>0</v>
      </c>
      <c r="H566" s="28"/>
      <c r="I566" s="29" t="n">
        <f aca="false">ROUND(D566+E566-F566-G566,1)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172</v>
      </c>
      <c r="D567" s="29" t="n">
        <f aca="false">G566</f>
        <v>0</v>
      </c>
      <c r="E567" s="28"/>
      <c r="F567" s="28"/>
      <c r="G567" s="29" t="n">
        <f aca="false">D567+E567-F567</f>
        <v>0</v>
      </c>
      <c r="H567" s="28"/>
      <c r="I567" s="29" t="n">
        <f aca="false">ROUND(D567+E567-F567-G567,1)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172</v>
      </c>
      <c r="D568" s="29" t="n">
        <f aca="false">G567</f>
        <v>0</v>
      </c>
      <c r="E568" s="28"/>
      <c r="F568" s="28"/>
      <c r="G568" s="29" t="n">
        <f aca="false">D568+E568-F568</f>
        <v>0</v>
      </c>
      <c r="H568" s="28"/>
      <c r="I568" s="29" t="n">
        <f aca="false">ROUND(D568+E568-F568-G568,1)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172</v>
      </c>
      <c r="D569" s="29" t="n">
        <f aca="false">G568</f>
        <v>0</v>
      </c>
      <c r="E569" s="28"/>
      <c r="F569" s="28"/>
      <c r="G569" s="29" t="n">
        <f aca="false">D569+E569-F569</f>
        <v>0</v>
      </c>
      <c r="H569" s="28"/>
      <c r="I569" s="29" t="n">
        <f aca="false">ROUND(D569+E569-F569-G569,1)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172</v>
      </c>
      <c r="D570" s="29" t="n">
        <f aca="false">G569</f>
        <v>0</v>
      </c>
      <c r="E570" s="28"/>
      <c r="F570" s="28"/>
      <c r="G570" s="29" t="n">
        <f aca="false">D570+E570-F570</f>
        <v>0</v>
      </c>
      <c r="H570" s="28"/>
      <c r="I570" s="29" t="n">
        <f aca="false">ROUND(D570+E570-F570-G570,1)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172</v>
      </c>
      <c r="D571" s="29" t="n">
        <f aca="false">G570</f>
        <v>0</v>
      </c>
      <c r="E571" s="28"/>
      <c r="F571" s="28"/>
      <c r="G571" s="29" t="n">
        <f aca="false">D571+E571-F571</f>
        <v>0</v>
      </c>
      <c r="H571" s="28"/>
      <c r="I571" s="29" t="n">
        <f aca="false">ROUND(D571+E571-F571-G571,1)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172</v>
      </c>
      <c r="D572" s="29" t="n">
        <f aca="false">G571</f>
        <v>0</v>
      </c>
      <c r="E572" s="28"/>
      <c r="F572" s="28"/>
      <c r="G572" s="29" t="n">
        <f aca="false">D572+E572-F572</f>
        <v>0</v>
      </c>
      <c r="H572" s="28"/>
      <c r="I572" s="29" t="n">
        <f aca="false">ROUND(D572+E572-F572-G572,1)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172</v>
      </c>
      <c r="D573" s="29" t="n">
        <f aca="false">G572</f>
        <v>0</v>
      </c>
      <c r="E573" s="28"/>
      <c r="F573" s="28"/>
      <c r="G573" s="29" t="n">
        <f aca="false">D573+E573-F573</f>
        <v>0</v>
      </c>
      <c r="H573" s="28"/>
      <c r="I573" s="29" t="n">
        <f aca="false">ROUND(D573+E573-F573-G573,1)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172</v>
      </c>
      <c r="D574" s="29" t="n">
        <f aca="false">G573</f>
        <v>0</v>
      </c>
      <c r="E574" s="28"/>
      <c r="F574" s="28"/>
      <c r="G574" s="29" t="n">
        <f aca="false">D574+E574-F574</f>
        <v>0</v>
      </c>
      <c r="H574" s="28"/>
      <c r="I574" s="29" t="n">
        <f aca="false">ROUND(D574+E574-F574-G574,1)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172</v>
      </c>
      <c r="D575" s="29" t="n">
        <f aca="false">G574</f>
        <v>0</v>
      </c>
      <c r="E575" s="28"/>
      <c r="F575" s="28"/>
      <c r="G575" s="29" t="n">
        <f aca="false">D575+E575-F575</f>
        <v>0</v>
      </c>
      <c r="H575" s="28"/>
      <c r="I575" s="29" t="n">
        <f aca="false">ROUND(D575+E575-F575-G575,1)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172</v>
      </c>
      <c r="D576" s="29" t="n">
        <f aca="false">G575</f>
        <v>0</v>
      </c>
      <c r="E576" s="28"/>
      <c r="F576" s="28"/>
      <c r="G576" s="29" t="n">
        <f aca="false">D576+E576-F576</f>
        <v>0</v>
      </c>
      <c r="H576" s="28"/>
      <c r="I576" s="29" t="n">
        <f aca="false">ROUND(D576+E576-F576-G576,1)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172</v>
      </c>
      <c r="D577" s="29" t="n">
        <f aca="false">G576</f>
        <v>0</v>
      </c>
      <c r="E577" s="28"/>
      <c r="F577" s="28"/>
      <c r="G577" s="29" t="n">
        <f aca="false">D577+E577-F577</f>
        <v>0</v>
      </c>
      <c r="H577" s="28"/>
      <c r="I577" s="29" t="n">
        <f aca="false">ROUND(D577+E577-F577-G577,1)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172</v>
      </c>
      <c r="D578" s="29" t="n">
        <f aca="false">G577</f>
        <v>0</v>
      </c>
      <c r="E578" s="28"/>
      <c r="F578" s="28"/>
      <c r="G578" s="29" t="n">
        <f aca="false">D578+E578-F578</f>
        <v>0</v>
      </c>
      <c r="H578" s="28"/>
      <c r="I578" s="29" t="n">
        <f aca="false">ROUND(D578+E578-F578-G578,1)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172</v>
      </c>
      <c r="D579" s="29" t="n">
        <f aca="false">G578</f>
        <v>0</v>
      </c>
      <c r="E579" s="28"/>
      <c r="F579" s="28"/>
      <c r="G579" s="29" t="n">
        <f aca="false">D579+E579-F579</f>
        <v>0</v>
      </c>
      <c r="H579" s="28"/>
      <c r="I579" s="29" t="n">
        <f aca="false">ROUND(D579+E579-F579-G579,1)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172</v>
      </c>
      <c r="D580" s="29" t="n">
        <f aca="false">G579</f>
        <v>0</v>
      </c>
      <c r="E580" s="28"/>
      <c r="F580" s="28"/>
      <c r="G580" s="29" t="n">
        <f aca="false">D580+E580-F580</f>
        <v>0</v>
      </c>
      <c r="H580" s="28"/>
      <c r="I580" s="29" t="n">
        <f aca="false">ROUND(D580+E580-F580-G580,1)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172</v>
      </c>
      <c r="D581" s="29" t="n">
        <f aca="false">G580</f>
        <v>0</v>
      </c>
      <c r="E581" s="28"/>
      <c r="F581" s="28"/>
      <c r="G581" s="29" t="n">
        <f aca="false">D581+E581-F581</f>
        <v>0</v>
      </c>
      <c r="H581" s="28"/>
      <c r="I581" s="29" t="n">
        <f aca="false">ROUND(D581+E581-F581-G581,1)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172</v>
      </c>
      <c r="D582" s="29" t="n">
        <f aca="false">G581</f>
        <v>0</v>
      </c>
      <c r="E582" s="28"/>
      <c r="F582" s="28"/>
      <c r="G582" s="29" t="n">
        <f aca="false">D582+E582-F582</f>
        <v>0</v>
      </c>
      <c r="H582" s="28"/>
      <c r="I582" s="29" t="n">
        <f aca="false">ROUND(D582+E582-F582-G582,1)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172</v>
      </c>
      <c r="D583" s="29" t="n">
        <f aca="false">G582</f>
        <v>0</v>
      </c>
      <c r="E583" s="28"/>
      <c r="F583" s="28"/>
      <c r="G583" s="29" t="n">
        <f aca="false">D583+E583-F583</f>
        <v>0</v>
      </c>
      <c r="H583" s="28"/>
      <c r="I583" s="29" t="n">
        <f aca="false">ROUND(D583+E583-F583-G583,1)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172</v>
      </c>
      <c r="D584" s="29" t="n">
        <f aca="false">G583</f>
        <v>0</v>
      </c>
      <c r="E584" s="28"/>
      <c r="F584" s="28"/>
      <c r="G584" s="29" t="n">
        <f aca="false">D584+E584-F584</f>
        <v>0</v>
      </c>
      <c r="H584" s="28"/>
      <c r="I584" s="29" t="n">
        <f aca="false">ROUND(D584+E584-F584-G584,1)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172</v>
      </c>
      <c r="D585" s="29" t="n">
        <f aca="false">G584</f>
        <v>0</v>
      </c>
      <c r="E585" s="28"/>
      <c r="F585" s="28"/>
      <c r="G585" s="29" t="n">
        <f aca="false">D585+E585-F585</f>
        <v>0</v>
      </c>
      <c r="H585" s="28"/>
      <c r="I585" s="29" t="n">
        <f aca="false">ROUND(D585+E585-F585-G585,1)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172</v>
      </c>
      <c r="D586" s="29" t="n">
        <f aca="false">G585</f>
        <v>0</v>
      </c>
      <c r="E586" s="28"/>
      <c r="F586" s="28"/>
      <c r="G586" s="29" t="n">
        <f aca="false">D586+E586-F586</f>
        <v>0</v>
      </c>
      <c r="H586" s="28"/>
      <c r="I586" s="29" t="n">
        <f aca="false">ROUND(D586+E586-F586-G586,1)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172</v>
      </c>
      <c r="D587" s="29" t="n">
        <f aca="false">G586</f>
        <v>0</v>
      </c>
      <c r="E587" s="28"/>
      <c r="F587" s="28"/>
      <c r="G587" s="29" t="n">
        <f aca="false">D587+E587-F587</f>
        <v>0</v>
      </c>
      <c r="H587" s="28"/>
      <c r="I587" s="29" t="n">
        <f aca="false">ROUND(D587+E587-F587-G587,1)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172</v>
      </c>
      <c r="D588" s="29" t="n">
        <f aca="false">G587</f>
        <v>0</v>
      </c>
      <c r="E588" s="28"/>
      <c r="F588" s="28"/>
      <c r="G588" s="29" t="n">
        <f aca="false">D588+E588-F588</f>
        <v>0</v>
      </c>
      <c r="H588" s="28"/>
      <c r="I588" s="29" t="n">
        <f aca="false">ROUND(D588+E588-F588-G588,1)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172</v>
      </c>
      <c r="D589" s="29" t="n">
        <f aca="false">G588</f>
        <v>0</v>
      </c>
      <c r="E589" s="28"/>
      <c r="F589" s="28"/>
      <c r="G589" s="29" t="n">
        <f aca="false">D589+E589-F589</f>
        <v>0</v>
      </c>
      <c r="H589" s="28"/>
      <c r="I589" s="29" t="n">
        <f aca="false">ROUND(D589+E589-F589-G589,1)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172</v>
      </c>
      <c r="D590" s="29" t="n">
        <f aca="false">G589</f>
        <v>0</v>
      </c>
      <c r="E590" s="28"/>
      <c r="F590" s="28"/>
      <c r="G590" s="29" t="n">
        <f aca="false">D590+E590-F590</f>
        <v>0</v>
      </c>
      <c r="H590" s="28"/>
      <c r="I590" s="29" t="n">
        <f aca="false">ROUND(D590+E590-F590-G590,1)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172</v>
      </c>
      <c r="D591" s="29" t="n">
        <f aca="false">G590</f>
        <v>0</v>
      </c>
      <c r="E591" s="28"/>
      <c r="F591" s="28"/>
      <c r="G591" s="29" t="n">
        <f aca="false">D591+E591-F591</f>
        <v>0</v>
      </c>
      <c r="H591" s="28"/>
      <c r="I591" s="29" t="n">
        <f aca="false">ROUND(D591+E591-F591-G591,1)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172</v>
      </c>
      <c r="D592" s="29" t="n">
        <f aca="false">G591</f>
        <v>0</v>
      </c>
      <c r="E592" s="28"/>
      <c r="F592" s="28"/>
      <c r="G592" s="29" t="n">
        <f aca="false">D592+E592-F592</f>
        <v>0</v>
      </c>
      <c r="H592" s="28"/>
      <c r="I592" s="29" t="n">
        <f aca="false">ROUND(D592+E592-F592-G592,1)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172</v>
      </c>
      <c r="D593" s="29" t="n">
        <f aca="false">G592</f>
        <v>0</v>
      </c>
      <c r="E593" s="28"/>
      <c r="F593" s="28"/>
      <c r="G593" s="29" t="n">
        <f aca="false">D593+E593-F593</f>
        <v>0</v>
      </c>
      <c r="H593" s="28"/>
      <c r="I593" s="29" t="n">
        <f aca="false">ROUND(D593+E593-F593-G593,1)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172</v>
      </c>
      <c r="D594" s="29" t="n">
        <f aca="false">G593</f>
        <v>0</v>
      </c>
      <c r="E594" s="28"/>
      <c r="F594" s="28"/>
      <c r="G594" s="29" t="n">
        <f aca="false">D594+E594-F594</f>
        <v>0</v>
      </c>
      <c r="H594" s="28"/>
      <c r="I594" s="29" t="n">
        <f aca="false">ROUND(D594+E594-F594-G594,1)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172</v>
      </c>
      <c r="D595" s="29" t="n">
        <f aca="false">G594</f>
        <v>0</v>
      </c>
      <c r="E595" s="28"/>
      <c r="F595" s="28"/>
      <c r="G595" s="29" t="n">
        <f aca="false">D595+E595-F595</f>
        <v>0</v>
      </c>
      <c r="H595" s="28"/>
      <c r="I595" s="29" t="n">
        <f aca="false">ROUND(D595+E595-F595-G595,1)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172</v>
      </c>
      <c r="D596" s="29" t="n">
        <f aca="false">G595</f>
        <v>0</v>
      </c>
      <c r="E596" s="28"/>
      <c r="F596" s="28"/>
      <c r="G596" s="29" t="n">
        <f aca="false">D596+E596-F596</f>
        <v>0</v>
      </c>
      <c r="H596" s="28"/>
      <c r="I596" s="29" t="n">
        <f aca="false">ROUND(D596+E596-F596-G596,1)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172</v>
      </c>
      <c r="D597" s="29" t="n">
        <f aca="false">G596</f>
        <v>0</v>
      </c>
      <c r="E597" s="28"/>
      <c r="F597" s="28"/>
      <c r="G597" s="29" t="n">
        <f aca="false">D597+E597-F597</f>
        <v>0</v>
      </c>
      <c r="H597" s="28"/>
      <c r="I597" s="29" t="n">
        <f aca="false">ROUND(D597+E597-F597-G597,1)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172</v>
      </c>
      <c r="D598" s="29" t="n">
        <f aca="false">G597</f>
        <v>0</v>
      </c>
      <c r="E598" s="28"/>
      <c r="F598" s="28"/>
      <c r="G598" s="29" t="n">
        <f aca="false">D598+E598-F598</f>
        <v>0</v>
      </c>
      <c r="H598" s="28"/>
      <c r="I598" s="29" t="n">
        <f aca="false">ROUND(D598+E598-F598-G598,1)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172</v>
      </c>
      <c r="D599" s="29" t="n">
        <f aca="false">G598</f>
        <v>0</v>
      </c>
      <c r="E599" s="28"/>
      <c r="F599" s="28"/>
      <c r="G599" s="29" t="n">
        <f aca="false">D599+E599-F599</f>
        <v>0</v>
      </c>
      <c r="H599" s="28"/>
      <c r="I599" s="29" t="n">
        <f aca="false">ROUND(D599+E599-F599-G599,1)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172</v>
      </c>
      <c r="D600" s="29" t="n">
        <f aca="false">G599</f>
        <v>0</v>
      </c>
      <c r="E600" s="28"/>
      <c r="F600" s="28"/>
      <c r="G600" s="29" t="n">
        <f aca="false">D600+E600-F600</f>
        <v>0</v>
      </c>
      <c r="H600" s="28"/>
      <c r="I600" s="29" t="n">
        <f aca="false">ROUND(D600+E600-F600-G600,1)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172</v>
      </c>
      <c r="D601" s="29" t="n">
        <f aca="false">G600</f>
        <v>0</v>
      </c>
      <c r="E601" s="28"/>
      <c r="F601" s="28"/>
      <c r="G601" s="29" t="n">
        <f aca="false">D601+E601-F601</f>
        <v>0</v>
      </c>
      <c r="H601" s="28"/>
      <c r="I601" s="29" t="n">
        <f aca="false">ROUND(D601+E601-F601-G601,1)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172</v>
      </c>
      <c r="D602" s="29" t="n">
        <f aca="false">G601</f>
        <v>0</v>
      </c>
      <c r="E602" s="28"/>
      <c r="F602" s="28"/>
      <c r="G602" s="29" t="n">
        <f aca="false">D602+E602-F602</f>
        <v>0</v>
      </c>
      <c r="H602" s="28"/>
      <c r="I602" s="29" t="n">
        <f aca="false">ROUND(D602+E602-F602-G602,1)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172</v>
      </c>
      <c r="D603" s="29" t="n">
        <f aca="false">G602</f>
        <v>0</v>
      </c>
      <c r="E603" s="28"/>
      <c r="F603" s="28"/>
      <c r="G603" s="29" t="n">
        <f aca="false">D603+E603-F603</f>
        <v>0</v>
      </c>
      <c r="H603" s="28"/>
      <c r="I603" s="29" t="n">
        <f aca="false">ROUND(D603+E603-F603-G603,1)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172</v>
      </c>
      <c r="D604" s="29" t="n">
        <f aca="false">G603</f>
        <v>0</v>
      </c>
      <c r="E604" s="28"/>
      <c r="F604" s="28"/>
      <c r="G604" s="29" t="n">
        <f aca="false">D604+E604-F604</f>
        <v>0</v>
      </c>
      <c r="H604" s="28"/>
      <c r="I604" s="29" t="n">
        <f aca="false">ROUND(D604+E604-F604-G604,1)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172</v>
      </c>
      <c r="D605" s="29" t="n">
        <f aca="false">G604</f>
        <v>0</v>
      </c>
      <c r="E605" s="28"/>
      <c r="F605" s="28"/>
      <c r="G605" s="29" t="n">
        <f aca="false">D605+E605-F605</f>
        <v>0</v>
      </c>
      <c r="H605" s="28"/>
      <c r="I605" s="29" t="n">
        <f aca="false">ROUND(D605+E605-F605-G605,1)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172</v>
      </c>
      <c r="D606" s="29" t="n">
        <f aca="false">G605</f>
        <v>0</v>
      </c>
      <c r="E606" s="28"/>
      <c r="F606" s="28"/>
      <c r="G606" s="29" t="n">
        <f aca="false">D606+E606-F606</f>
        <v>0</v>
      </c>
      <c r="H606" s="28"/>
      <c r="I606" s="29" t="n">
        <f aca="false">ROUND(D606+E606-F606-G606,1)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172</v>
      </c>
      <c r="D607" s="29" t="n">
        <f aca="false">G606</f>
        <v>0</v>
      </c>
      <c r="E607" s="28"/>
      <c r="F607" s="28"/>
      <c r="G607" s="29" t="n">
        <f aca="false">D607+E607-F607</f>
        <v>0</v>
      </c>
      <c r="H607" s="28"/>
      <c r="I607" s="29" t="n">
        <f aca="false">ROUND(D607+E607-F607-G607,1)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172</v>
      </c>
      <c r="D608" s="29" t="n">
        <f aca="false">G607</f>
        <v>0</v>
      </c>
      <c r="E608" s="28"/>
      <c r="F608" s="28"/>
      <c r="G608" s="29" t="n">
        <f aca="false">D608+E608-F608</f>
        <v>0</v>
      </c>
      <c r="H608" s="28"/>
      <c r="I608" s="29" t="n">
        <f aca="false">ROUND(D608+E608-F608-G608,1)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172</v>
      </c>
      <c r="D609" s="29" t="n">
        <f aca="false">G608</f>
        <v>0</v>
      </c>
      <c r="E609" s="28"/>
      <c r="F609" s="28"/>
      <c r="G609" s="29" t="n">
        <f aca="false">D609+E609-F609</f>
        <v>0</v>
      </c>
      <c r="H609" s="28"/>
      <c r="I609" s="29" t="n">
        <f aca="false">ROUND(D609+E609-F609-G609,1)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172</v>
      </c>
      <c r="D610" s="29" t="n">
        <f aca="false">G609</f>
        <v>0</v>
      </c>
      <c r="E610" s="28"/>
      <c r="F610" s="28"/>
      <c r="G610" s="29" t="n">
        <f aca="false">D610+E610-F610</f>
        <v>0</v>
      </c>
      <c r="H610" s="28"/>
      <c r="I610" s="29" t="n">
        <f aca="false">ROUND(D610+E610-F610-G610,1)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172</v>
      </c>
      <c r="D611" s="29" t="n">
        <f aca="false">G610</f>
        <v>0</v>
      </c>
      <c r="E611" s="28"/>
      <c r="F611" s="28"/>
      <c r="G611" s="29" t="n">
        <f aca="false">D611+E611-F611</f>
        <v>0</v>
      </c>
      <c r="H611" s="28"/>
      <c r="I611" s="29" t="n">
        <f aca="false">ROUND(D611+E611-F611-G611,1)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172</v>
      </c>
      <c r="D612" s="29" t="n">
        <f aca="false">G611</f>
        <v>0</v>
      </c>
      <c r="E612" s="28"/>
      <c r="F612" s="28"/>
      <c r="G612" s="29" t="n">
        <f aca="false">D612+E612-F612</f>
        <v>0</v>
      </c>
      <c r="H612" s="28"/>
      <c r="I612" s="29" t="n">
        <f aca="false">ROUND(D612+E612-F612-G612,1)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172</v>
      </c>
      <c r="D613" s="29" t="n">
        <f aca="false">G612</f>
        <v>0</v>
      </c>
      <c r="E613" s="28"/>
      <c r="F613" s="28"/>
      <c r="G613" s="29" t="n">
        <f aca="false">D613+E613-F613</f>
        <v>0</v>
      </c>
      <c r="H613" s="28"/>
      <c r="I613" s="29" t="n">
        <f aca="false">ROUND(D613+E613-F613-G613,1)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172</v>
      </c>
      <c r="D614" s="29" t="n">
        <f aca="false">G613</f>
        <v>0</v>
      </c>
      <c r="E614" s="28"/>
      <c r="F614" s="28"/>
      <c r="G614" s="29" t="n">
        <f aca="false">D614+E614-F614</f>
        <v>0</v>
      </c>
      <c r="H614" s="28"/>
      <c r="I614" s="29" t="n">
        <f aca="false">ROUND(D614+E614-F614-G614,1)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172</v>
      </c>
      <c r="D615" s="29" t="n">
        <f aca="false">G614</f>
        <v>0</v>
      </c>
      <c r="E615" s="28"/>
      <c r="F615" s="28"/>
      <c r="G615" s="29" t="n">
        <f aca="false">D615+E615-F615</f>
        <v>0</v>
      </c>
      <c r="H615" s="28"/>
      <c r="I615" s="29" t="n">
        <f aca="false">ROUND(D615+E615-F615-G615,1)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172</v>
      </c>
      <c r="D616" s="29" t="n">
        <f aca="false">G615</f>
        <v>0</v>
      </c>
      <c r="E616" s="28"/>
      <c r="F616" s="28"/>
      <c r="G616" s="29" t="n">
        <f aca="false">D616+E616-F616</f>
        <v>0</v>
      </c>
      <c r="H616" s="28"/>
      <c r="I616" s="29" t="n">
        <f aca="false">ROUND(D616+E616-F616-G616,1)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172</v>
      </c>
      <c r="D617" s="29" t="n">
        <f aca="false">G616</f>
        <v>0</v>
      </c>
      <c r="E617" s="28"/>
      <c r="F617" s="28"/>
      <c r="G617" s="29" t="n">
        <f aca="false">D617+E617-F617</f>
        <v>0</v>
      </c>
      <c r="H617" s="28"/>
      <c r="I617" s="29" t="n">
        <f aca="false">ROUND(D617+E617-F617-G617,1)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172</v>
      </c>
      <c r="D618" s="29" t="n">
        <f aca="false">G617</f>
        <v>0</v>
      </c>
      <c r="E618" s="28"/>
      <c r="F618" s="28"/>
      <c r="G618" s="29" t="n">
        <f aca="false">D618+E618-F618</f>
        <v>0</v>
      </c>
      <c r="H618" s="28"/>
      <c r="I618" s="29" t="n">
        <f aca="false">ROUND(D618+E618-F618-G618,1)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172</v>
      </c>
      <c r="D619" s="29" t="n">
        <f aca="false">G618</f>
        <v>0</v>
      </c>
      <c r="E619" s="28"/>
      <c r="F619" s="28"/>
      <c r="G619" s="29" t="n">
        <f aca="false">D619+E619-F619</f>
        <v>0</v>
      </c>
      <c r="H619" s="28"/>
      <c r="I619" s="29" t="n">
        <f aca="false">ROUND(D619+E619-F619-G619,1)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172</v>
      </c>
      <c r="D620" s="29" t="n">
        <f aca="false">G619</f>
        <v>0</v>
      </c>
      <c r="E620" s="28"/>
      <c r="F620" s="28"/>
      <c r="G620" s="29" t="n">
        <f aca="false">D620+E620-F620</f>
        <v>0</v>
      </c>
      <c r="H620" s="28"/>
      <c r="I620" s="29" t="n">
        <f aca="false">ROUND(D620+E620-F620-G620,1)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172</v>
      </c>
      <c r="D621" s="29" t="n">
        <f aca="false">G620</f>
        <v>0</v>
      </c>
      <c r="E621" s="28"/>
      <c r="F621" s="28"/>
      <c r="G621" s="29" t="n">
        <f aca="false">D621+E621-F621</f>
        <v>0</v>
      </c>
      <c r="H621" s="28"/>
      <c r="I621" s="29" t="n">
        <f aca="false">ROUND(D621+E621-F621-G621,1)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172</v>
      </c>
      <c r="D622" s="29" t="n">
        <f aca="false">G621</f>
        <v>0</v>
      </c>
      <c r="E622" s="28"/>
      <c r="F622" s="28"/>
      <c r="G622" s="29" t="n">
        <f aca="false">D622+E622-F622</f>
        <v>0</v>
      </c>
      <c r="H622" s="28"/>
      <c r="I622" s="29" t="n">
        <f aca="false">ROUND(D622+E622-F622-G622,1)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172</v>
      </c>
      <c r="D623" s="29" t="n">
        <f aca="false">G622</f>
        <v>0</v>
      </c>
      <c r="E623" s="28"/>
      <c r="F623" s="28"/>
      <c r="G623" s="29" t="n">
        <f aca="false">D623+E623-F623</f>
        <v>0</v>
      </c>
      <c r="H623" s="28"/>
      <c r="I623" s="29" t="n">
        <f aca="false">ROUND(D623+E623-F623-G623,1)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172</v>
      </c>
      <c r="D624" s="29" t="n">
        <f aca="false">G623</f>
        <v>0</v>
      </c>
      <c r="E624" s="28"/>
      <c r="F624" s="28"/>
      <c r="G624" s="29" t="n">
        <f aca="false">D624+E624-F624</f>
        <v>0</v>
      </c>
      <c r="H624" s="28"/>
      <c r="I624" s="29" t="n">
        <f aca="false">ROUND(D624+E624-F624-G624,1)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172</v>
      </c>
      <c r="D625" s="29" t="n">
        <f aca="false">G624</f>
        <v>0</v>
      </c>
      <c r="E625" s="28"/>
      <c r="F625" s="28"/>
      <c r="G625" s="29" t="n">
        <f aca="false">D625+E625-F625</f>
        <v>0</v>
      </c>
      <c r="H625" s="28"/>
      <c r="I625" s="29" t="n">
        <f aca="false">ROUND(D625+E625-F625-G625,1)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172</v>
      </c>
      <c r="D626" s="29" t="n">
        <f aca="false">G625</f>
        <v>0</v>
      </c>
      <c r="E626" s="28"/>
      <c r="F626" s="28"/>
      <c r="G626" s="29" t="n">
        <f aca="false">D626+E626-F626</f>
        <v>0</v>
      </c>
      <c r="H626" s="28"/>
      <c r="I626" s="29" t="n">
        <f aca="false">ROUND(D626+E626-F626-G626,1)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172</v>
      </c>
      <c r="D627" s="29" t="n">
        <f aca="false">G626</f>
        <v>0</v>
      </c>
      <c r="E627" s="28"/>
      <c r="F627" s="28"/>
      <c r="G627" s="29" t="n">
        <f aca="false">D627+E627-F627</f>
        <v>0</v>
      </c>
      <c r="H627" s="28"/>
      <c r="I627" s="29" t="n">
        <f aca="false">ROUND(D627+E627-F627-G627,1)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172</v>
      </c>
      <c r="D628" s="29" t="n">
        <f aca="false">G627</f>
        <v>0</v>
      </c>
      <c r="E628" s="28"/>
      <c r="F628" s="28"/>
      <c r="G628" s="29" t="n">
        <f aca="false">D628+E628-F628</f>
        <v>0</v>
      </c>
      <c r="H628" s="28"/>
      <c r="I628" s="29" t="n">
        <f aca="false">ROUND(D628+E628-F628-G628,1)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172</v>
      </c>
      <c r="D629" s="29" t="n">
        <f aca="false">G628</f>
        <v>0</v>
      </c>
      <c r="E629" s="28"/>
      <c r="F629" s="28"/>
      <c r="G629" s="29" t="n">
        <f aca="false">D629+E629-F629</f>
        <v>0</v>
      </c>
      <c r="H629" s="28"/>
      <c r="I629" s="29" t="n">
        <f aca="false">ROUND(D629+E629-F629-G629,1)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172</v>
      </c>
      <c r="D630" s="29" t="n">
        <f aca="false">G629</f>
        <v>0</v>
      </c>
      <c r="E630" s="28"/>
      <c r="F630" s="28"/>
      <c r="G630" s="29" t="n">
        <f aca="false">D630+E630-F630</f>
        <v>0</v>
      </c>
      <c r="H630" s="28"/>
      <c r="I630" s="29" t="n">
        <f aca="false">ROUND(D630+E630-F630-G630,1)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172</v>
      </c>
      <c r="D631" s="29" t="n">
        <f aca="false">G630</f>
        <v>0</v>
      </c>
      <c r="E631" s="28"/>
      <c r="F631" s="28"/>
      <c r="G631" s="29" t="n">
        <f aca="false">D631+E631-F631</f>
        <v>0</v>
      </c>
      <c r="H631" s="28"/>
      <c r="I631" s="29" t="n">
        <f aca="false">ROUND(D631+E631-F631-G631,1)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172</v>
      </c>
      <c r="D632" s="29" t="n">
        <f aca="false">G631</f>
        <v>0</v>
      </c>
      <c r="E632" s="28"/>
      <c r="F632" s="28"/>
      <c r="G632" s="29" t="n">
        <f aca="false">D632+E632-F632</f>
        <v>0</v>
      </c>
      <c r="H632" s="28"/>
      <c r="I632" s="29" t="n">
        <f aca="false">ROUND(D632+E632-F632-G632,1)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172</v>
      </c>
      <c r="D633" s="29" t="n">
        <f aca="false">G632</f>
        <v>0</v>
      </c>
      <c r="E633" s="28"/>
      <c r="F633" s="28"/>
      <c r="G633" s="29" t="n">
        <f aca="false">D633+E633-F633</f>
        <v>0</v>
      </c>
      <c r="H633" s="28"/>
      <c r="I633" s="29" t="n">
        <f aca="false">ROUND(D633+E633-F633-G633,1)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172</v>
      </c>
      <c r="D634" s="29" t="n">
        <f aca="false">G633</f>
        <v>0</v>
      </c>
      <c r="E634" s="28"/>
      <c r="F634" s="28"/>
      <c r="G634" s="29" t="n">
        <f aca="false">D634+E634-F634</f>
        <v>0</v>
      </c>
      <c r="H634" s="28"/>
      <c r="I634" s="29" t="n">
        <f aca="false">ROUND(D634+E634-F634-G634,1)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172</v>
      </c>
      <c r="D635" s="29" t="n">
        <f aca="false">G634</f>
        <v>0</v>
      </c>
      <c r="E635" s="28"/>
      <c r="F635" s="28"/>
      <c r="G635" s="29" t="n">
        <f aca="false">D635+E635-F635</f>
        <v>0</v>
      </c>
      <c r="H635" s="28"/>
      <c r="I635" s="29" t="n">
        <f aca="false">ROUND(D635+E635-F635-G635,1)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172</v>
      </c>
      <c r="D636" s="29" t="n">
        <f aca="false">G635</f>
        <v>0</v>
      </c>
      <c r="E636" s="28"/>
      <c r="F636" s="28"/>
      <c r="G636" s="29" t="n">
        <f aca="false">D636+E636-F636</f>
        <v>0</v>
      </c>
      <c r="H636" s="28"/>
      <c r="I636" s="29" t="n">
        <f aca="false">ROUND(D636+E636-F636-G636,1)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172</v>
      </c>
      <c r="D637" s="29" t="n">
        <f aca="false">G636</f>
        <v>0</v>
      </c>
      <c r="E637" s="28"/>
      <c r="F637" s="28"/>
      <c r="G637" s="29" t="n">
        <f aca="false">D637+E637-F637</f>
        <v>0</v>
      </c>
      <c r="H637" s="28"/>
      <c r="I637" s="29" t="n">
        <f aca="false">ROUND(D637+E637-F637-G637,1)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172</v>
      </c>
      <c r="D638" s="29" t="n">
        <f aca="false">G637</f>
        <v>0</v>
      </c>
      <c r="E638" s="28"/>
      <c r="F638" s="28"/>
      <c r="G638" s="29" t="n">
        <f aca="false">D638+E638-F638</f>
        <v>0</v>
      </c>
      <c r="H638" s="28"/>
      <c r="I638" s="29" t="n">
        <f aca="false">ROUND(D638+E638-F638-G638,1)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172</v>
      </c>
      <c r="D639" s="29" t="n">
        <f aca="false">G638</f>
        <v>0</v>
      </c>
      <c r="E639" s="28"/>
      <c r="F639" s="28"/>
      <c r="G639" s="29" t="n">
        <f aca="false">D639+E639-F639</f>
        <v>0</v>
      </c>
      <c r="H639" s="28"/>
      <c r="I639" s="29" t="n">
        <f aca="false">ROUND(D639+E639-F639-G639,1)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172</v>
      </c>
      <c r="D640" s="29" t="n">
        <f aca="false">G639</f>
        <v>0</v>
      </c>
      <c r="E640" s="28"/>
      <c r="F640" s="28"/>
      <c r="G640" s="29" t="n">
        <f aca="false">D640+E640-F640</f>
        <v>0</v>
      </c>
      <c r="H640" s="28"/>
      <c r="I640" s="29" t="n">
        <f aca="false">ROUND(D640+E640-F640-G640,1)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172</v>
      </c>
      <c r="D641" s="29" t="n">
        <f aca="false">G640</f>
        <v>0</v>
      </c>
      <c r="E641" s="28"/>
      <c r="F641" s="28"/>
      <c r="G641" s="29" t="n">
        <f aca="false">D641+E641-F641</f>
        <v>0</v>
      </c>
      <c r="H641" s="28"/>
      <c r="I641" s="29" t="n">
        <f aca="false">ROUND(D641+E641-F641-G641,1)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172</v>
      </c>
      <c r="D642" s="29" t="n">
        <f aca="false">G641</f>
        <v>0</v>
      </c>
      <c r="E642" s="28"/>
      <c r="F642" s="28"/>
      <c r="G642" s="29" t="n">
        <f aca="false">D642+E642-F642</f>
        <v>0</v>
      </c>
      <c r="H642" s="28"/>
      <c r="I642" s="29" t="n">
        <f aca="false">ROUND(D642+E642-F642-G642,1)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172</v>
      </c>
      <c r="D643" s="29" t="n">
        <f aca="false">G642</f>
        <v>0</v>
      </c>
      <c r="E643" s="28"/>
      <c r="F643" s="28"/>
      <c r="G643" s="29" t="n">
        <f aca="false">D643+E643-F643</f>
        <v>0</v>
      </c>
      <c r="H643" s="28"/>
      <c r="I643" s="29" t="n">
        <f aca="false">ROUND(D643+E643-F643-G643,1)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172</v>
      </c>
      <c r="D644" s="29" t="n">
        <f aca="false">G643</f>
        <v>0</v>
      </c>
      <c r="E644" s="28"/>
      <c r="F644" s="28"/>
      <c r="G644" s="29" t="n">
        <f aca="false">D644+E644-F644</f>
        <v>0</v>
      </c>
      <c r="H644" s="28"/>
      <c r="I644" s="29" t="n">
        <f aca="false">ROUND(D644+E644-F644-G644,1)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172</v>
      </c>
      <c r="D645" s="29" t="n">
        <f aca="false">G644</f>
        <v>0</v>
      </c>
      <c r="E645" s="28"/>
      <c r="F645" s="28"/>
      <c r="G645" s="29" t="n">
        <f aca="false">D645+E645-F645</f>
        <v>0</v>
      </c>
      <c r="H645" s="28"/>
      <c r="I645" s="29" t="n">
        <f aca="false">ROUND(D645+E645-F645-G645,1)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172</v>
      </c>
      <c r="D646" s="29" t="n">
        <f aca="false">G645</f>
        <v>0</v>
      </c>
      <c r="E646" s="28"/>
      <c r="F646" s="28"/>
      <c r="G646" s="29" t="n">
        <f aca="false">D646+E646-F646</f>
        <v>0</v>
      </c>
      <c r="H646" s="28"/>
      <c r="I646" s="29" t="n">
        <f aca="false">ROUND(D646+E646-F646-G646,1)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172</v>
      </c>
      <c r="D647" s="29" t="n">
        <f aca="false">G646</f>
        <v>0</v>
      </c>
      <c r="E647" s="28"/>
      <c r="F647" s="28"/>
      <c r="G647" s="29" t="n">
        <f aca="false">D647+E647-F647</f>
        <v>0</v>
      </c>
      <c r="H647" s="28"/>
      <c r="I647" s="29" t="n">
        <f aca="false">ROUND(D647+E647-F647-G647,1)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172</v>
      </c>
      <c r="D648" s="29" t="n">
        <f aca="false">G647</f>
        <v>0</v>
      </c>
      <c r="E648" s="28"/>
      <c r="F648" s="28"/>
      <c r="G648" s="29" t="n">
        <f aca="false">D648+E648-F648</f>
        <v>0</v>
      </c>
      <c r="H648" s="28"/>
      <c r="I648" s="29" t="n">
        <f aca="false">ROUND(D648+E648-F648-G648,1)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172</v>
      </c>
      <c r="D649" s="29" t="n">
        <f aca="false">G648</f>
        <v>0</v>
      </c>
      <c r="E649" s="28"/>
      <c r="F649" s="28"/>
      <c r="G649" s="29" t="n">
        <f aca="false">D649+E649-F649</f>
        <v>0</v>
      </c>
      <c r="H649" s="28"/>
      <c r="I649" s="29" t="n">
        <f aca="false">ROUND(D649+E649-F649-G649,1)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172</v>
      </c>
      <c r="D650" s="29" t="n">
        <f aca="false">G649</f>
        <v>0</v>
      </c>
      <c r="E650" s="28"/>
      <c r="F650" s="28"/>
      <c r="G650" s="29" t="n">
        <f aca="false">D650+E650-F650</f>
        <v>0</v>
      </c>
      <c r="H650" s="28"/>
      <c r="I650" s="29" t="n">
        <f aca="false">ROUND(D650+E650-F650-G650,1)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172</v>
      </c>
      <c r="D651" s="29" t="n">
        <f aca="false">G650</f>
        <v>0</v>
      </c>
      <c r="E651" s="28"/>
      <c r="F651" s="28"/>
      <c r="G651" s="29" t="n">
        <f aca="false">D651+E651-F651</f>
        <v>0</v>
      </c>
      <c r="H651" s="28"/>
      <c r="I651" s="29" t="n">
        <f aca="false">ROUND(D651+E651-F651-G651,1)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172</v>
      </c>
      <c r="D652" s="29" t="n">
        <f aca="false">G651</f>
        <v>0</v>
      </c>
      <c r="E652" s="28"/>
      <c r="F652" s="28"/>
      <c r="G652" s="29" t="n">
        <f aca="false">D652+E652-F652</f>
        <v>0</v>
      </c>
      <c r="H652" s="28"/>
      <c r="I652" s="29" t="n">
        <f aca="false">ROUND(D652+E652-F652-G652,1)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172</v>
      </c>
      <c r="D653" s="29" t="n">
        <f aca="false">G652</f>
        <v>0</v>
      </c>
      <c r="E653" s="28"/>
      <c r="F653" s="28"/>
      <c r="G653" s="29" t="n">
        <f aca="false">D653+E653-F653</f>
        <v>0</v>
      </c>
      <c r="H653" s="28"/>
      <c r="I653" s="29" t="n">
        <f aca="false">ROUND(D653+E653-F653-G653,1)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172</v>
      </c>
      <c r="D654" s="29" t="n">
        <f aca="false">G653</f>
        <v>0</v>
      </c>
      <c r="E654" s="28"/>
      <c r="F654" s="28"/>
      <c r="G654" s="29" t="n">
        <f aca="false">D654+E654-F654</f>
        <v>0</v>
      </c>
      <c r="H654" s="28"/>
      <c r="I654" s="29" t="n">
        <f aca="false">ROUND(D654+E654-F654-G654,1)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172</v>
      </c>
      <c r="D655" s="29" t="n">
        <f aca="false">G654</f>
        <v>0</v>
      </c>
      <c r="E655" s="28"/>
      <c r="F655" s="28"/>
      <c r="G655" s="29" t="n">
        <f aca="false">D655+E655-F655</f>
        <v>0</v>
      </c>
      <c r="H655" s="28"/>
      <c r="I655" s="29" t="n">
        <f aca="false">ROUND(D655+E655-F655-G655,1)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172</v>
      </c>
      <c r="D656" s="29" t="n">
        <f aca="false">G655</f>
        <v>0</v>
      </c>
      <c r="E656" s="28"/>
      <c r="F656" s="28"/>
      <c r="G656" s="29" t="n">
        <f aca="false">D656+E656-F656</f>
        <v>0</v>
      </c>
      <c r="H656" s="28"/>
      <c r="I656" s="29" t="n">
        <f aca="false">ROUND(D656+E656-F656-G656,1)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172</v>
      </c>
      <c r="D657" s="29" t="n">
        <f aca="false">G656</f>
        <v>0</v>
      </c>
      <c r="E657" s="28"/>
      <c r="F657" s="28"/>
      <c r="G657" s="29" t="n">
        <f aca="false">D657+E657-F657</f>
        <v>0</v>
      </c>
      <c r="H657" s="28"/>
      <c r="I657" s="29" t="n">
        <f aca="false">ROUND(D657+E657-F657-G657,1)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172</v>
      </c>
      <c r="D658" s="29" t="n">
        <f aca="false">G657</f>
        <v>0</v>
      </c>
      <c r="E658" s="28"/>
      <c r="F658" s="28"/>
      <c r="G658" s="29" t="n">
        <f aca="false">D658+E658-F658</f>
        <v>0</v>
      </c>
      <c r="H658" s="28"/>
      <c r="I658" s="29" t="n">
        <f aca="false">ROUND(D658+E658-F658-G658,1)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172</v>
      </c>
      <c r="D659" s="29" t="n">
        <f aca="false">G658</f>
        <v>0</v>
      </c>
      <c r="E659" s="28"/>
      <c r="F659" s="28"/>
      <c r="G659" s="29" t="n">
        <f aca="false">D659+E659-F659</f>
        <v>0</v>
      </c>
      <c r="H659" s="28"/>
      <c r="I659" s="29" t="n">
        <f aca="false">ROUND(D659+E659-F659-G659,1)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172</v>
      </c>
      <c r="D660" s="29" t="n">
        <f aca="false">G659</f>
        <v>0</v>
      </c>
      <c r="E660" s="28"/>
      <c r="F660" s="28"/>
      <c r="G660" s="29" t="n">
        <f aca="false">D660+E660-F660</f>
        <v>0</v>
      </c>
      <c r="H660" s="28"/>
      <c r="I660" s="29" t="n">
        <f aca="false">ROUND(D660+E660-F660-G660,1)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172</v>
      </c>
      <c r="D661" s="29" t="n">
        <f aca="false">G660</f>
        <v>0</v>
      </c>
      <c r="E661" s="28"/>
      <c r="F661" s="28"/>
      <c r="G661" s="29" t="n">
        <f aca="false">D661+E661-F661</f>
        <v>0</v>
      </c>
      <c r="H661" s="28"/>
      <c r="I661" s="29" t="n">
        <f aca="false">ROUND(D661+E661-F661-G661,1)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172</v>
      </c>
      <c r="D662" s="29" t="n">
        <f aca="false">G661</f>
        <v>0</v>
      </c>
      <c r="E662" s="28"/>
      <c r="F662" s="28"/>
      <c r="G662" s="29" t="n">
        <f aca="false">D662+E662-F662</f>
        <v>0</v>
      </c>
      <c r="H662" s="28"/>
      <c r="I662" s="29" t="n">
        <f aca="false">ROUND(D662+E662-F662-G662,1)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172</v>
      </c>
      <c r="D663" s="29" t="n">
        <f aca="false">G662</f>
        <v>0</v>
      </c>
      <c r="E663" s="28"/>
      <c r="F663" s="28"/>
      <c r="G663" s="29" t="n">
        <f aca="false">D663+E663-F663</f>
        <v>0</v>
      </c>
      <c r="H663" s="28"/>
      <c r="I663" s="29" t="n">
        <f aca="false">ROUND(D663+E663-F663-G663,1)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172</v>
      </c>
      <c r="D664" s="29" t="n">
        <f aca="false">G663</f>
        <v>0</v>
      </c>
      <c r="E664" s="28"/>
      <c r="F664" s="28"/>
      <c r="G664" s="29" t="n">
        <f aca="false">D664+E664-F664</f>
        <v>0</v>
      </c>
      <c r="H664" s="28"/>
      <c r="I664" s="29" t="n">
        <f aca="false">ROUND(D664+E664-F664-G664,1)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172</v>
      </c>
      <c r="D665" s="29" t="n">
        <f aca="false">G664</f>
        <v>0</v>
      </c>
      <c r="E665" s="28"/>
      <c r="F665" s="28"/>
      <c r="G665" s="29" t="n">
        <f aca="false">D665+E665-F665</f>
        <v>0</v>
      </c>
      <c r="H665" s="28"/>
      <c r="I665" s="29" t="n">
        <f aca="false">ROUND(D665+E665-F665-G665,1)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172</v>
      </c>
      <c r="D666" s="29" t="n">
        <f aca="false">G665</f>
        <v>0</v>
      </c>
      <c r="E666" s="28"/>
      <c r="F666" s="28"/>
      <c r="G666" s="29" t="n">
        <f aca="false">D666+E666-F666</f>
        <v>0</v>
      </c>
      <c r="H666" s="28"/>
      <c r="I666" s="29" t="n">
        <f aca="false">ROUND(D666+E666-F666-G666,1)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172</v>
      </c>
      <c r="D667" s="29" t="n">
        <f aca="false">G666</f>
        <v>0</v>
      </c>
      <c r="E667" s="28"/>
      <c r="F667" s="28"/>
      <c r="G667" s="29" t="n">
        <f aca="false">D667+E667-F667</f>
        <v>0</v>
      </c>
      <c r="H667" s="28"/>
      <c r="I667" s="29" t="n">
        <f aca="false">ROUND(D667+E667-F667-G667,1)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172</v>
      </c>
      <c r="D668" s="29" t="n">
        <f aca="false">G667</f>
        <v>0</v>
      </c>
      <c r="E668" s="28"/>
      <c r="F668" s="28"/>
      <c r="G668" s="29" t="n">
        <f aca="false">D668+E668-F668</f>
        <v>0</v>
      </c>
      <c r="H668" s="28"/>
      <c r="I668" s="29" t="n">
        <f aca="false">ROUND(D668+E668-F668-G668,1)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172</v>
      </c>
      <c r="D669" s="29" t="n">
        <f aca="false">G668</f>
        <v>0</v>
      </c>
      <c r="E669" s="28"/>
      <c r="F669" s="28"/>
      <c r="G669" s="29" t="n">
        <f aca="false">D669+E669-F669</f>
        <v>0</v>
      </c>
      <c r="H669" s="28"/>
      <c r="I669" s="29" t="n">
        <f aca="false">ROUND(D669+E669-F669-G669,1)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172</v>
      </c>
      <c r="D670" s="29" t="n">
        <f aca="false">G669</f>
        <v>0</v>
      </c>
      <c r="E670" s="28"/>
      <c r="F670" s="28"/>
      <c r="G670" s="29" t="n">
        <f aca="false">D670+E670-F670</f>
        <v>0</v>
      </c>
      <c r="H670" s="28"/>
      <c r="I670" s="29" t="n">
        <f aca="false">ROUND(D670+E670-F670-G670,1)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172</v>
      </c>
      <c r="D671" s="29" t="n">
        <f aca="false">G670</f>
        <v>0</v>
      </c>
      <c r="E671" s="28"/>
      <c r="F671" s="28"/>
      <c r="G671" s="29" t="n">
        <f aca="false">D671+E671-F671</f>
        <v>0</v>
      </c>
      <c r="H671" s="28"/>
      <c r="I671" s="29" t="n">
        <f aca="false">ROUND(D671+E671-F671-G671,1)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172</v>
      </c>
      <c r="D672" s="29" t="n">
        <f aca="false">G671</f>
        <v>0</v>
      </c>
      <c r="E672" s="28"/>
      <c r="F672" s="28"/>
      <c r="G672" s="29" t="n">
        <f aca="false">D672+E672-F672</f>
        <v>0</v>
      </c>
      <c r="H672" s="28"/>
      <c r="I672" s="29" t="n">
        <f aca="false">ROUND(D672+E672-F672-G672,1)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172</v>
      </c>
      <c r="D673" s="29" t="n">
        <f aca="false">G672</f>
        <v>0</v>
      </c>
      <c r="E673" s="28"/>
      <c r="F673" s="28"/>
      <c r="G673" s="29" t="n">
        <f aca="false">D673+E673-F673</f>
        <v>0</v>
      </c>
      <c r="H673" s="28"/>
      <c r="I673" s="29" t="n">
        <f aca="false">ROUND(D673+E673-F673-G673,1)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172</v>
      </c>
      <c r="D674" s="29" t="n">
        <f aca="false">G673</f>
        <v>0</v>
      </c>
      <c r="E674" s="28"/>
      <c r="F674" s="28"/>
      <c r="G674" s="29" t="n">
        <f aca="false">D674+E674-F674</f>
        <v>0</v>
      </c>
      <c r="H674" s="28"/>
      <c r="I674" s="29" t="n">
        <f aca="false">ROUND(D674+E674-F674-G674,1)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172</v>
      </c>
      <c r="D675" s="29" t="n">
        <f aca="false">G674</f>
        <v>0</v>
      </c>
      <c r="E675" s="28"/>
      <c r="F675" s="28"/>
      <c r="G675" s="29" t="n">
        <f aca="false">D675+E675-F675</f>
        <v>0</v>
      </c>
      <c r="H675" s="28"/>
      <c r="I675" s="29" t="n">
        <f aca="false">ROUND(D675+E675-F675-G675,1)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172</v>
      </c>
      <c r="D676" s="29" t="n">
        <f aca="false">G675</f>
        <v>0</v>
      </c>
      <c r="E676" s="28"/>
      <c r="F676" s="28"/>
      <c r="G676" s="29" t="n">
        <f aca="false">D676+E676-F676</f>
        <v>0</v>
      </c>
      <c r="H676" s="28"/>
      <c r="I676" s="29" t="n">
        <f aca="false">ROUND(D676+E676-F676-G676,1)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172</v>
      </c>
      <c r="D677" s="29" t="n">
        <f aca="false">G676</f>
        <v>0</v>
      </c>
      <c r="E677" s="28"/>
      <c r="F677" s="28"/>
      <c r="G677" s="29" t="n">
        <f aca="false">D677+E677-F677</f>
        <v>0</v>
      </c>
      <c r="H677" s="28"/>
      <c r="I677" s="29" t="n">
        <f aca="false">ROUND(D677+E677-F677-G677,1)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172</v>
      </c>
      <c r="D678" s="29" t="n">
        <f aca="false">G677</f>
        <v>0</v>
      </c>
      <c r="E678" s="28"/>
      <c r="F678" s="28"/>
      <c r="G678" s="29" t="n">
        <f aca="false">D678+E678-F678</f>
        <v>0</v>
      </c>
      <c r="H678" s="28"/>
      <c r="I678" s="29" t="n">
        <f aca="false">ROUND(D678+E678-F678-G678,1)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172</v>
      </c>
      <c r="D679" s="29" t="n">
        <f aca="false">G678</f>
        <v>0</v>
      </c>
      <c r="E679" s="28"/>
      <c r="F679" s="28"/>
      <c r="G679" s="29" t="n">
        <f aca="false">D679+E679-F679</f>
        <v>0</v>
      </c>
      <c r="H679" s="28"/>
      <c r="I679" s="29" t="n">
        <f aca="false">ROUND(D679+E679-F679-G679,1)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172</v>
      </c>
      <c r="D680" s="29" t="n">
        <f aca="false">G679</f>
        <v>0</v>
      </c>
      <c r="E680" s="28"/>
      <c r="F680" s="28"/>
      <c r="G680" s="29" t="n">
        <f aca="false">D680+E680-F680</f>
        <v>0</v>
      </c>
      <c r="H680" s="28"/>
      <c r="I680" s="29" t="n">
        <f aca="false">ROUND(D680+E680-F680-G680,1)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172</v>
      </c>
      <c r="D681" s="29" t="n">
        <f aca="false">G680</f>
        <v>0</v>
      </c>
      <c r="E681" s="28"/>
      <c r="F681" s="28"/>
      <c r="G681" s="29" t="n">
        <f aca="false">D681+E681-F681</f>
        <v>0</v>
      </c>
      <c r="H681" s="28"/>
      <c r="I681" s="29" t="n">
        <f aca="false">ROUND(D681+E681-F681-G681,1)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172</v>
      </c>
      <c r="D682" s="29" t="n">
        <f aca="false">G681</f>
        <v>0</v>
      </c>
      <c r="E682" s="28"/>
      <c r="F682" s="28"/>
      <c r="G682" s="29" t="n">
        <f aca="false">D682+E682-F682</f>
        <v>0</v>
      </c>
      <c r="H682" s="28"/>
      <c r="I682" s="29" t="n">
        <f aca="false">ROUND(D682+E682-F682-G682,1)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172</v>
      </c>
      <c r="D683" s="29" t="n">
        <f aca="false">G682</f>
        <v>0</v>
      </c>
      <c r="E683" s="28"/>
      <c r="F683" s="28"/>
      <c r="G683" s="29" t="n">
        <f aca="false">D683+E683-F683</f>
        <v>0</v>
      </c>
      <c r="H683" s="28"/>
      <c r="I683" s="29" t="n">
        <f aca="false">ROUND(D683+E683-F683-G683,1)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172</v>
      </c>
      <c r="D684" s="29" t="n">
        <f aca="false">G683</f>
        <v>0</v>
      </c>
      <c r="E684" s="28"/>
      <c r="F684" s="28"/>
      <c r="G684" s="29" t="n">
        <f aca="false">D684+E684-F684</f>
        <v>0</v>
      </c>
      <c r="H684" s="28"/>
      <c r="I684" s="29" t="n">
        <f aca="false">ROUND(D684+E684-F684-G684,1)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172</v>
      </c>
      <c r="D685" s="29" t="n">
        <f aca="false">G684</f>
        <v>0</v>
      </c>
      <c r="E685" s="28"/>
      <c r="F685" s="28"/>
      <c r="G685" s="29" t="n">
        <f aca="false">D685+E685-F685</f>
        <v>0</v>
      </c>
      <c r="H685" s="28"/>
      <c r="I685" s="29" t="n">
        <f aca="false">ROUND(D685+E685-F685-G685,1)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172</v>
      </c>
      <c r="D686" s="29" t="n">
        <f aca="false">G685</f>
        <v>0</v>
      </c>
      <c r="E686" s="28"/>
      <c r="F686" s="28"/>
      <c r="G686" s="29" t="n">
        <f aca="false">D686+E686-F686</f>
        <v>0</v>
      </c>
      <c r="H686" s="28"/>
      <c r="I686" s="29" t="n">
        <f aca="false">ROUND(D686+E686-F686-G686,1)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172</v>
      </c>
      <c r="D687" s="29" t="n">
        <f aca="false">G686</f>
        <v>0</v>
      </c>
      <c r="E687" s="28"/>
      <c r="F687" s="28"/>
      <c r="G687" s="29" t="n">
        <f aca="false">D687+E687-F687</f>
        <v>0</v>
      </c>
      <c r="H687" s="28"/>
      <c r="I687" s="29" t="n">
        <f aca="false">ROUND(D687+E687-F687-G687,1)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172</v>
      </c>
      <c r="D688" s="29" t="n">
        <f aca="false">G687</f>
        <v>0</v>
      </c>
      <c r="E688" s="28"/>
      <c r="F688" s="28"/>
      <c r="G688" s="29" t="n">
        <f aca="false">D688+E688-F688</f>
        <v>0</v>
      </c>
      <c r="H688" s="28"/>
      <c r="I688" s="29" t="n">
        <f aca="false">ROUND(D688+E688-F688-G688,1)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172</v>
      </c>
      <c r="D689" s="29" t="n">
        <f aca="false">G688</f>
        <v>0</v>
      </c>
      <c r="E689" s="28"/>
      <c r="F689" s="28"/>
      <c r="G689" s="29" t="n">
        <f aca="false">D689+E689-F689</f>
        <v>0</v>
      </c>
      <c r="H689" s="28"/>
      <c r="I689" s="29" t="n">
        <f aca="false">ROUND(D689+E689-F689-G689,1)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172</v>
      </c>
      <c r="D690" s="29" t="n">
        <f aca="false">G689</f>
        <v>0</v>
      </c>
      <c r="E690" s="28"/>
      <c r="F690" s="28"/>
      <c r="G690" s="29" t="n">
        <f aca="false">D690+E690-F690</f>
        <v>0</v>
      </c>
      <c r="H690" s="28"/>
      <c r="I690" s="29" t="n">
        <f aca="false">ROUND(D690+E690-F690-G690,1)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172</v>
      </c>
      <c r="D691" s="29" t="n">
        <f aca="false">G690</f>
        <v>0</v>
      </c>
      <c r="E691" s="28"/>
      <c r="F691" s="28"/>
      <c r="G691" s="29" t="n">
        <f aca="false">D691+E691-F691</f>
        <v>0</v>
      </c>
      <c r="H691" s="28"/>
      <c r="I691" s="29" t="n">
        <f aca="false">ROUND(D691+E691-F691-G691,1)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172</v>
      </c>
      <c r="D692" s="29" t="n">
        <f aca="false">G691</f>
        <v>0</v>
      </c>
      <c r="E692" s="28"/>
      <c r="F692" s="28"/>
      <c r="G692" s="29" t="n">
        <f aca="false">D692+E692-F692</f>
        <v>0</v>
      </c>
      <c r="H692" s="28"/>
      <c r="I692" s="29" t="n">
        <f aca="false">ROUND(D692+E692-F692-G692,1)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172</v>
      </c>
      <c r="D693" s="29" t="n">
        <f aca="false">G692</f>
        <v>0</v>
      </c>
      <c r="E693" s="28"/>
      <c r="F693" s="28"/>
      <c r="G693" s="29" t="n">
        <f aca="false">D693+E693-F693</f>
        <v>0</v>
      </c>
      <c r="H693" s="28"/>
      <c r="I693" s="29" t="n">
        <f aca="false">ROUND(D693+E693-F693-G693,1)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172</v>
      </c>
      <c r="D694" s="29" t="n">
        <f aca="false">G693</f>
        <v>0</v>
      </c>
      <c r="E694" s="28"/>
      <c r="F694" s="28"/>
      <c r="G694" s="29" t="n">
        <f aca="false">D694+E694-F694</f>
        <v>0</v>
      </c>
      <c r="H694" s="28"/>
      <c r="I694" s="29" t="n">
        <f aca="false">ROUND(D694+E694-F694-G694,1)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172</v>
      </c>
      <c r="D695" s="29" t="n">
        <f aca="false">G694</f>
        <v>0</v>
      </c>
      <c r="E695" s="28"/>
      <c r="F695" s="28"/>
      <c r="G695" s="29" t="n">
        <f aca="false">D695+E695-F695</f>
        <v>0</v>
      </c>
      <c r="H695" s="28"/>
      <c r="I695" s="29" t="n">
        <f aca="false">ROUND(D695+E695-F695-G695,1)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172</v>
      </c>
      <c r="D696" s="29" t="n">
        <f aca="false">G695</f>
        <v>0</v>
      </c>
      <c r="E696" s="28"/>
      <c r="F696" s="28"/>
      <c r="G696" s="29" t="n">
        <f aca="false">D696+E696-F696</f>
        <v>0</v>
      </c>
      <c r="H696" s="28"/>
      <c r="I696" s="29" t="n">
        <f aca="false">ROUND(D696+E696-F696-G696,1)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172</v>
      </c>
      <c r="D697" s="29" t="n">
        <f aca="false">G696</f>
        <v>0</v>
      </c>
      <c r="E697" s="28"/>
      <c r="F697" s="28"/>
      <c r="G697" s="29" t="n">
        <f aca="false">D697+E697-F697</f>
        <v>0</v>
      </c>
      <c r="H697" s="28"/>
      <c r="I697" s="29" t="n">
        <f aca="false">ROUND(D697+E697-F697-G697,1)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172</v>
      </c>
      <c r="D698" s="29" t="n">
        <f aca="false">G697</f>
        <v>0</v>
      </c>
      <c r="E698" s="28"/>
      <c r="F698" s="28"/>
      <c r="G698" s="29" t="n">
        <f aca="false">D698+E698-F698</f>
        <v>0</v>
      </c>
      <c r="H698" s="28"/>
      <c r="I698" s="29" t="n">
        <f aca="false">ROUND(D698+E698-F698-G698,1)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172</v>
      </c>
      <c r="D699" s="29" t="n">
        <f aca="false">G698</f>
        <v>0</v>
      </c>
      <c r="E699" s="28"/>
      <c r="F699" s="28"/>
      <c r="G699" s="29" t="n">
        <f aca="false">D699+E699-F699</f>
        <v>0</v>
      </c>
      <c r="H699" s="28"/>
      <c r="I699" s="29" t="n">
        <f aca="false">ROUND(D699+E699-F699-G699,1)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172</v>
      </c>
      <c r="D700" s="29" t="n">
        <f aca="false">G699</f>
        <v>0</v>
      </c>
      <c r="E700" s="28"/>
      <c r="F700" s="28"/>
      <c r="G700" s="29" t="n">
        <f aca="false">D700+E700-F700</f>
        <v>0</v>
      </c>
      <c r="H700" s="28"/>
      <c r="I700" s="29" t="n">
        <f aca="false">ROUND(D700+E700-F700-G700,1)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172</v>
      </c>
      <c r="D701" s="29" t="n">
        <f aca="false">G700</f>
        <v>0</v>
      </c>
      <c r="E701" s="28"/>
      <c r="F701" s="28"/>
      <c r="G701" s="29" t="n">
        <f aca="false">D701+E701-F701</f>
        <v>0</v>
      </c>
      <c r="H701" s="28"/>
      <c r="I701" s="29" t="n">
        <f aca="false">ROUND(D701+E701-F701-G701,1)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172</v>
      </c>
      <c r="D702" s="29" t="n">
        <f aca="false">G701</f>
        <v>0</v>
      </c>
      <c r="E702" s="28"/>
      <c r="F702" s="28"/>
      <c r="G702" s="29" t="n">
        <f aca="false">D702+E702-F702</f>
        <v>0</v>
      </c>
      <c r="H702" s="28"/>
      <c r="I702" s="29" t="n">
        <f aca="false">ROUND(D702+E702-F702-G702,1)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172</v>
      </c>
      <c r="D703" s="29" t="n">
        <f aca="false">G702</f>
        <v>0</v>
      </c>
      <c r="E703" s="28"/>
      <c r="F703" s="28"/>
      <c r="G703" s="29" t="n">
        <f aca="false">D703+E703-F703</f>
        <v>0</v>
      </c>
      <c r="H703" s="28"/>
      <c r="I703" s="29" t="n">
        <f aca="false">ROUND(D703+E703-F703-G703,1)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172</v>
      </c>
      <c r="D704" s="29" t="n">
        <f aca="false">G703</f>
        <v>0</v>
      </c>
      <c r="E704" s="28"/>
      <c r="F704" s="28"/>
      <c r="G704" s="29" t="n">
        <f aca="false">D704+E704-F704</f>
        <v>0</v>
      </c>
      <c r="H704" s="28"/>
      <c r="I704" s="29" t="n">
        <f aca="false">ROUND(D704+E704-F704-G704,1)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172</v>
      </c>
      <c r="D705" s="29" t="n">
        <f aca="false">G704</f>
        <v>0</v>
      </c>
      <c r="E705" s="28"/>
      <c r="F705" s="28"/>
      <c r="G705" s="29" t="n">
        <f aca="false">D705+E705-F705</f>
        <v>0</v>
      </c>
      <c r="H705" s="28"/>
      <c r="I705" s="29" t="n">
        <f aca="false">ROUND(D705+E705-F705-G705,1)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172</v>
      </c>
      <c r="D706" s="29" t="n">
        <f aca="false">G705</f>
        <v>0</v>
      </c>
      <c r="E706" s="28"/>
      <c r="F706" s="28"/>
      <c r="G706" s="29" t="n">
        <f aca="false">D706+E706-F706</f>
        <v>0</v>
      </c>
      <c r="H706" s="28"/>
      <c r="I706" s="29" t="n">
        <f aca="false">ROUND(D706+E706-F706-G706,1)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172</v>
      </c>
      <c r="D707" s="29" t="n">
        <f aca="false">G706</f>
        <v>0</v>
      </c>
      <c r="E707" s="28"/>
      <c r="F707" s="28"/>
      <c r="G707" s="29" t="n">
        <f aca="false">D707+E707-F707</f>
        <v>0</v>
      </c>
      <c r="H707" s="28"/>
      <c r="I707" s="29" t="n">
        <f aca="false">ROUND(D707+E707-F707-G707,1)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172</v>
      </c>
      <c r="D708" s="29" t="n">
        <f aca="false">G707</f>
        <v>0</v>
      </c>
      <c r="E708" s="28"/>
      <c r="F708" s="28"/>
      <c r="G708" s="29" t="n">
        <f aca="false">D708+E708-F708</f>
        <v>0</v>
      </c>
      <c r="H708" s="28"/>
      <c r="I708" s="29" t="n">
        <f aca="false">ROUND(D708+E708-F708-G708,1)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172</v>
      </c>
      <c r="D709" s="29" t="n">
        <f aca="false">G708</f>
        <v>0</v>
      </c>
      <c r="E709" s="28"/>
      <c r="F709" s="28"/>
      <c r="G709" s="29" t="n">
        <f aca="false">D709+E709-F709</f>
        <v>0</v>
      </c>
      <c r="H709" s="28"/>
      <c r="I709" s="29" t="n">
        <f aca="false">ROUND(D709+E709-F709-G709,1)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172</v>
      </c>
      <c r="D710" s="29" t="n">
        <f aca="false">G709</f>
        <v>0</v>
      </c>
      <c r="E710" s="28"/>
      <c r="F710" s="28"/>
      <c r="G710" s="29" t="n">
        <f aca="false">D710+E710-F710</f>
        <v>0</v>
      </c>
      <c r="H710" s="28"/>
      <c r="I710" s="29" t="n">
        <f aca="false">ROUND(D710+E710-F710-G710,1)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172</v>
      </c>
      <c r="D711" s="29" t="n">
        <f aca="false">G710</f>
        <v>0</v>
      </c>
      <c r="E711" s="28"/>
      <c r="F711" s="28"/>
      <c r="G711" s="29" t="n">
        <f aca="false">D711+E711-F711</f>
        <v>0</v>
      </c>
      <c r="H711" s="28"/>
      <c r="I711" s="29" t="n">
        <f aca="false">ROUND(D711+E711-F711-G711,1)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172</v>
      </c>
      <c r="D712" s="29" t="n">
        <f aca="false">G711</f>
        <v>0</v>
      </c>
      <c r="E712" s="28"/>
      <c r="F712" s="28"/>
      <c r="G712" s="29" t="n">
        <f aca="false">D712+E712-F712</f>
        <v>0</v>
      </c>
      <c r="H712" s="28"/>
      <c r="I712" s="29" t="n">
        <f aca="false">ROUND(D712+E712-F712-G712,1)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172</v>
      </c>
      <c r="D713" s="29" t="n">
        <f aca="false">G712</f>
        <v>0</v>
      </c>
      <c r="E713" s="28"/>
      <c r="F713" s="28"/>
      <c r="G713" s="29" t="n">
        <f aca="false">D713+E713-F713</f>
        <v>0</v>
      </c>
      <c r="H713" s="28"/>
      <c r="I713" s="29" t="n">
        <f aca="false">ROUND(D713+E713-F713-G713,1)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172</v>
      </c>
      <c r="D714" s="29" t="n">
        <f aca="false">G713</f>
        <v>0</v>
      </c>
      <c r="E714" s="28"/>
      <c r="F714" s="28"/>
      <c r="G714" s="29" t="n">
        <f aca="false">D714+E714-F714</f>
        <v>0</v>
      </c>
      <c r="H714" s="28"/>
      <c r="I714" s="29" t="n">
        <f aca="false">ROUND(D714+E714-F714-G714,1)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172</v>
      </c>
      <c r="D715" s="29" t="n">
        <f aca="false">G714</f>
        <v>0</v>
      </c>
      <c r="E715" s="28"/>
      <c r="F715" s="28"/>
      <c r="G715" s="29" t="n">
        <f aca="false">D715+E715-F715</f>
        <v>0</v>
      </c>
      <c r="H715" s="28"/>
      <c r="I715" s="29" t="n">
        <f aca="false">ROUND(D715+E715-F715-G715,1)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172</v>
      </c>
      <c r="D716" s="29" t="n">
        <f aca="false">G715</f>
        <v>0</v>
      </c>
      <c r="E716" s="28"/>
      <c r="F716" s="28"/>
      <c r="G716" s="29" t="n">
        <f aca="false">D716+E716-F716</f>
        <v>0</v>
      </c>
      <c r="H716" s="28"/>
      <c r="I716" s="29" t="n">
        <f aca="false">ROUND(D716+E716-F716-G716,1)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172</v>
      </c>
      <c r="D717" s="29" t="n">
        <f aca="false">G716</f>
        <v>0</v>
      </c>
      <c r="E717" s="28"/>
      <c r="F717" s="28"/>
      <c r="G717" s="29" t="n">
        <f aca="false">D717+E717-F717</f>
        <v>0</v>
      </c>
      <c r="H717" s="28"/>
      <c r="I717" s="29" t="n">
        <f aca="false">ROUND(D717+E717-F717-G717,1)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172</v>
      </c>
      <c r="D718" s="29" t="n">
        <f aca="false">G717</f>
        <v>0</v>
      </c>
      <c r="E718" s="28"/>
      <c r="F718" s="28"/>
      <c r="G718" s="29" t="n">
        <f aca="false">D718+E718-F718</f>
        <v>0</v>
      </c>
      <c r="H718" s="28"/>
      <c r="I718" s="29" t="n">
        <f aca="false">ROUND(D718+E718-F718-G718,1)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172</v>
      </c>
      <c r="D719" s="29" t="n">
        <f aca="false">G718</f>
        <v>0</v>
      </c>
      <c r="E719" s="28"/>
      <c r="F719" s="28"/>
      <c r="G719" s="29" t="n">
        <f aca="false">D719+E719-F719</f>
        <v>0</v>
      </c>
      <c r="H719" s="28"/>
      <c r="I719" s="29" t="n">
        <f aca="false">ROUND(D719+E719-F719-G719,1)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172</v>
      </c>
      <c r="D720" s="29" t="n">
        <f aca="false">G719</f>
        <v>0</v>
      </c>
      <c r="E720" s="28"/>
      <c r="F720" s="28"/>
      <c r="G720" s="29" t="n">
        <f aca="false">D720+E720-F720</f>
        <v>0</v>
      </c>
      <c r="H720" s="28"/>
      <c r="I720" s="29" t="n">
        <f aca="false">ROUND(D720+E720-F720-G720,1)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172</v>
      </c>
      <c r="D721" s="29" t="n">
        <f aca="false">G720</f>
        <v>0</v>
      </c>
      <c r="E721" s="28"/>
      <c r="F721" s="28"/>
      <c r="G721" s="29" t="n">
        <f aca="false">D721+E721-F721</f>
        <v>0</v>
      </c>
      <c r="H721" s="28"/>
      <c r="I721" s="29" t="n">
        <f aca="false">ROUND(D721+E721-F721-G721,1)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172</v>
      </c>
      <c r="D722" s="29" t="n">
        <f aca="false">G721</f>
        <v>0</v>
      </c>
      <c r="E722" s="28"/>
      <c r="F722" s="28"/>
      <c r="G722" s="29" t="n">
        <f aca="false">D722+E722-F722</f>
        <v>0</v>
      </c>
      <c r="H722" s="28"/>
      <c r="I722" s="29" t="n">
        <f aca="false">ROUND(D722+E722-F722-G722,1)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172</v>
      </c>
      <c r="D723" s="29" t="n">
        <f aca="false">G722</f>
        <v>0</v>
      </c>
      <c r="E723" s="28"/>
      <c r="F723" s="28"/>
      <c r="G723" s="29" t="n">
        <f aca="false">D723+E723-F723</f>
        <v>0</v>
      </c>
      <c r="H723" s="28"/>
      <c r="I723" s="29" t="n">
        <f aca="false">ROUND(D723+E723-F723-G723,1)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172</v>
      </c>
      <c r="D724" s="29" t="n">
        <f aca="false">G723</f>
        <v>0</v>
      </c>
      <c r="E724" s="28"/>
      <c r="F724" s="28"/>
      <c r="G724" s="29" t="n">
        <f aca="false">D724+E724-F724</f>
        <v>0</v>
      </c>
      <c r="H724" s="28"/>
      <c r="I724" s="29" t="n">
        <f aca="false">ROUND(D724+E724-F724-G724,1)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172</v>
      </c>
      <c r="D725" s="29" t="n">
        <f aca="false">G724</f>
        <v>0</v>
      </c>
      <c r="E725" s="28"/>
      <c r="F725" s="28"/>
      <c r="G725" s="29" t="n">
        <f aca="false">D725+E725-F725</f>
        <v>0</v>
      </c>
      <c r="H725" s="28"/>
      <c r="I725" s="29" t="n">
        <f aca="false">ROUND(D725+E725-F725-G725,1)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172</v>
      </c>
      <c r="D726" s="29" t="n">
        <f aca="false">G725</f>
        <v>0</v>
      </c>
      <c r="E726" s="28"/>
      <c r="F726" s="28"/>
      <c r="G726" s="29" t="n">
        <f aca="false">D726+E726-F726</f>
        <v>0</v>
      </c>
      <c r="H726" s="28"/>
      <c r="I726" s="29" t="n">
        <f aca="false">ROUND(D726+E726-F726-G726,1)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172</v>
      </c>
      <c r="D727" s="29" t="n">
        <f aca="false">G726</f>
        <v>0</v>
      </c>
      <c r="E727" s="28"/>
      <c r="F727" s="28"/>
      <c r="G727" s="29" t="n">
        <f aca="false">D727+E727-F727</f>
        <v>0</v>
      </c>
      <c r="H727" s="28"/>
      <c r="I727" s="29" t="n">
        <f aca="false">ROUND(D727+E727-F727-G727,1)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172</v>
      </c>
      <c r="D728" s="29" t="n">
        <f aca="false">G727</f>
        <v>0</v>
      </c>
      <c r="E728" s="28"/>
      <c r="F728" s="28"/>
      <c r="G728" s="29" t="n">
        <f aca="false">D728+E728-F728</f>
        <v>0</v>
      </c>
      <c r="H728" s="28"/>
      <c r="I728" s="29" t="n">
        <f aca="false">ROUND(D728+E728-F728-G728,1)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172</v>
      </c>
      <c r="D729" s="29" t="n">
        <f aca="false">G728</f>
        <v>0</v>
      </c>
      <c r="E729" s="28"/>
      <c r="F729" s="28"/>
      <c r="G729" s="29" t="n">
        <f aca="false">D729+E729-F729</f>
        <v>0</v>
      </c>
      <c r="H729" s="28"/>
      <c r="I729" s="29" t="n">
        <f aca="false">ROUND(D729+E729-F729-G729,1)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172</v>
      </c>
      <c r="D730" s="29" t="n">
        <f aca="false">G729</f>
        <v>0</v>
      </c>
      <c r="E730" s="28"/>
      <c r="F730" s="28"/>
      <c r="G730" s="29" t="n">
        <f aca="false">D730+E730-F730</f>
        <v>0</v>
      </c>
      <c r="H730" s="28"/>
      <c r="I730" s="29" t="n">
        <f aca="false">ROUND(D730+E730-F730-G730,1)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172</v>
      </c>
      <c r="D731" s="29" t="n">
        <f aca="false">G730</f>
        <v>0</v>
      </c>
      <c r="E731" s="28"/>
      <c r="F731" s="28"/>
      <c r="G731" s="29" t="n">
        <f aca="false">D731+E731-F731</f>
        <v>0</v>
      </c>
      <c r="H731" s="28"/>
      <c r="I731" s="29" t="n">
        <f aca="false">ROUND(D731+E731-F731-G731,1)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9" t="s">
        <v>69</v>
      </c>
      <c r="B1" s="9" t="s">
        <v>83</v>
      </c>
      <c r="C1" s="9" t="s">
        <v>84</v>
      </c>
      <c r="D1" s="9" t="s">
        <v>85</v>
      </c>
      <c r="E1" s="9" t="s">
        <v>86</v>
      </c>
      <c r="F1" s="9" t="s">
        <v>87</v>
      </c>
      <c r="G1" s="9" t="s">
        <v>88</v>
      </c>
      <c r="H1" s="9" t="s">
        <v>89</v>
      </c>
      <c r="I1" s="9" t="s">
        <v>90</v>
      </c>
      <c r="J1" s="9" t="s">
        <v>91</v>
      </c>
      <c r="K1" s="9" t="s">
        <v>92</v>
      </c>
      <c r="L1" s="9" t="s">
        <v>189</v>
      </c>
    </row>
    <row r="2" customFormat="false" ht="15" hidden="false" customHeight="false" outlineLevel="0" collapsed="false">
      <c r="A2" s="20"/>
      <c r="B2" s="20"/>
      <c r="C2" s="20"/>
      <c r="D2" s="20"/>
      <c r="E2" s="24"/>
      <c r="F2" s="22"/>
      <c r="G2" s="22"/>
      <c r="H2" s="20"/>
      <c r="I2" s="24"/>
      <c r="J2" s="32" t="str">
        <f aca="false">IF(I2="","",ROUND(I2/(12.5*24),1))</f>
        <v/>
      </c>
      <c r="K2" s="20"/>
      <c r="L2" s="20"/>
    </row>
    <row r="3" customFormat="false" ht="15" hidden="false" customHeight="false" outlineLevel="0" collapsed="false">
      <c r="A3" s="20"/>
      <c r="B3" s="20"/>
      <c r="C3" s="20"/>
      <c r="D3" s="20"/>
      <c r="E3" s="24"/>
      <c r="F3" s="22"/>
      <c r="G3" s="22"/>
      <c r="H3" s="20"/>
      <c r="I3" s="24"/>
      <c r="J3" s="32" t="str">
        <f aca="false">IF(I3="","",ROUND(I3/(12.5*24),1))</f>
        <v/>
      </c>
      <c r="K3" s="20"/>
      <c r="L3" s="20"/>
    </row>
    <row r="4" customFormat="false" ht="15" hidden="false" customHeight="false" outlineLevel="0" collapsed="false">
      <c r="A4" s="20"/>
      <c r="B4" s="20"/>
      <c r="C4" s="20"/>
      <c r="D4" s="20"/>
      <c r="E4" s="24"/>
      <c r="F4" s="22"/>
      <c r="G4" s="22"/>
      <c r="H4" s="20"/>
      <c r="I4" s="24"/>
      <c r="J4" s="32" t="str">
        <f aca="false">IF(I4="","",ROUND(I4/(12.5*24),1))</f>
        <v/>
      </c>
      <c r="K4" s="20"/>
      <c r="L4" s="20"/>
    </row>
    <row r="5" customFormat="false" ht="15" hidden="false" customHeight="false" outlineLevel="0" collapsed="false">
      <c r="A5" s="20"/>
      <c r="B5" s="20"/>
      <c r="C5" s="20"/>
      <c r="D5" s="20"/>
      <c r="E5" s="24"/>
      <c r="F5" s="22"/>
      <c r="G5" s="22"/>
      <c r="H5" s="20"/>
      <c r="I5" s="24"/>
      <c r="J5" s="32" t="str">
        <f aca="false">IF(I5="","",ROUND(I5/(12.5*24),1))</f>
        <v/>
      </c>
      <c r="K5" s="20"/>
      <c r="L5" s="20"/>
    </row>
    <row r="6" customFormat="false" ht="15" hidden="false" customHeight="false" outlineLevel="0" collapsed="false">
      <c r="A6" s="20"/>
      <c r="B6" s="20"/>
      <c r="C6" s="20"/>
      <c r="D6" s="20"/>
      <c r="E6" s="24"/>
      <c r="F6" s="22"/>
      <c r="G6" s="22"/>
      <c r="H6" s="20"/>
      <c r="I6" s="24"/>
      <c r="J6" s="32" t="str">
        <f aca="false">IF(I6="","",ROUND(I6/(12.5*24),1))</f>
        <v/>
      </c>
      <c r="K6" s="20"/>
      <c r="L6" s="20"/>
    </row>
    <row r="7" customFormat="false" ht="15" hidden="false" customHeight="false" outlineLevel="0" collapsed="false">
      <c r="A7" s="20"/>
      <c r="B7" s="20"/>
      <c r="C7" s="20"/>
      <c r="D7" s="20"/>
      <c r="E7" s="24"/>
      <c r="F7" s="22"/>
      <c r="G7" s="22"/>
      <c r="H7" s="20"/>
      <c r="I7" s="24"/>
      <c r="J7" s="32" t="str">
        <f aca="false">IF(I7="","",ROUND(I7/(12.5*24),1))</f>
        <v/>
      </c>
      <c r="K7" s="20"/>
      <c r="L7" s="20"/>
    </row>
    <row r="8" customFormat="false" ht="15" hidden="false" customHeight="false" outlineLevel="0" collapsed="false">
      <c r="A8" s="20"/>
      <c r="B8" s="20"/>
      <c r="C8" s="20"/>
      <c r="D8" s="20"/>
      <c r="E8" s="24"/>
      <c r="F8" s="22"/>
      <c r="G8" s="22"/>
      <c r="H8" s="20"/>
      <c r="I8" s="24"/>
      <c r="J8" s="32" t="str">
        <f aca="false">IF(I8="","",ROUND(I8/(12.5*24),1))</f>
        <v/>
      </c>
      <c r="K8" s="20"/>
      <c r="L8" s="20"/>
    </row>
    <row r="9" customFormat="false" ht="15" hidden="false" customHeight="false" outlineLevel="0" collapsed="false">
      <c r="A9" s="20"/>
      <c r="B9" s="20"/>
      <c r="C9" s="20"/>
      <c r="D9" s="20"/>
      <c r="E9" s="24"/>
      <c r="F9" s="22"/>
      <c r="G9" s="22"/>
      <c r="H9" s="20"/>
      <c r="I9" s="24"/>
      <c r="J9" s="32" t="str">
        <f aca="false">IF(I9="","",ROUND(I9/(12.5*24),1))</f>
        <v/>
      </c>
      <c r="K9" s="20"/>
      <c r="L9" s="20"/>
    </row>
    <row r="10" customFormat="false" ht="15" hidden="false" customHeight="false" outlineLevel="0" collapsed="false">
      <c r="A10" s="20"/>
      <c r="B10" s="20"/>
      <c r="C10" s="20"/>
      <c r="D10" s="20"/>
      <c r="E10" s="24"/>
      <c r="F10" s="22"/>
      <c r="G10" s="22"/>
      <c r="H10" s="20"/>
      <c r="I10" s="24"/>
      <c r="J10" s="32" t="str">
        <f aca="false">IF(I10="","",ROUND(I10/(12.5*24),1))</f>
        <v/>
      </c>
      <c r="K10" s="20"/>
      <c r="L10" s="20"/>
    </row>
    <row r="11" customFormat="false" ht="15" hidden="false" customHeight="false" outlineLevel="0" collapsed="false">
      <c r="A11" s="20"/>
      <c r="B11" s="20"/>
      <c r="C11" s="20"/>
      <c r="D11" s="20"/>
      <c r="E11" s="24"/>
      <c r="F11" s="22"/>
      <c r="G11" s="22"/>
      <c r="H11" s="20"/>
      <c r="I11" s="24"/>
      <c r="J11" s="32" t="str">
        <f aca="false">IF(I11="","",ROUND(I11/(12.5*24),1))</f>
        <v/>
      </c>
      <c r="K11" s="20"/>
      <c r="L11" s="20"/>
    </row>
    <row r="12" customFormat="false" ht="15" hidden="false" customHeight="false" outlineLevel="0" collapsed="false">
      <c r="A12" s="20"/>
      <c r="B12" s="20"/>
      <c r="C12" s="20"/>
      <c r="D12" s="20"/>
      <c r="E12" s="24"/>
      <c r="F12" s="22"/>
      <c r="G12" s="22"/>
      <c r="H12" s="20"/>
      <c r="I12" s="24"/>
      <c r="J12" s="32" t="str">
        <f aca="false">IF(I12="","",ROUND(I12/(12.5*24),1))</f>
        <v/>
      </c>
      <c r="K12" s="20"/>
      <c r="L12" s="20"/>
    </row>
    <row r="13" customFormat="false" ht="15" hidden="false" customHeight="false" outlineLevel="0" collapsed="false">
      <c r="A13" s="20"/>
      <c r="B13" s="20"/>
      <c r="C13" s="20"/>
      <c r="D13" s="20"/>
      <c r="E13" s="24"/>
      <c r="F13" s="22"/>
      <c r="G13" s="22"/>
      <c r="H13" s="20"/>
      <c r="I13" s="24"/>
      <c r="J13" s="32" t="str">
        <f aca="false">IF(I13="","",ROUND(I13/(12.5*24),1))</f>
        <v/>
      </c>
      <c r="K13" s="20"/>
      <c r="L13" s="20"/>
    </row>
    <row r="14" customFormat="false" ht="15" hidden="false" customHeight="false" outlineLevel="0" collapsed="false">
      <c r="A14" s="20"/>
      <c r="B14" s="20"/>
      <c r="C14" s="20"/>
      <c r="D14" s="20"/>
      <c r="E14" s="24"/>
      <c r="F14" s="22"/>
      <c r="G14" s="22"/>
      <c r="H14" s="20"/>
      <c r="I14" s="24"/>
      <c r="J14" s="32" t="str">
        <f aca="false">IF(I14="","",ROUND(I14/(12.5*24),1))</f>
        <v/>
      </c>
      <c r="K14" s="20"/>
      <c r="L14" s="20"/>
    </row>
    <row r="15" customFormat="false" ht="15" hidden="false" customHeight="false" outlineLevel="0" collapsed="false">
      <c r="A15" s="20"/>
      <c r="B15" s="20"/>
      <c r="C15" s="20"/>
      <c r="D15" s="20"/>
      <c r="E15" s="24"/>
      <c r="F15" s="22"/>
      <c r="G15" s="22"/>
      <c r="H15" s="20"/>
      <c r="I15" s="24"/>
      <c r="J15" s="32" t="str">
        <f aca="false">IF(I15="","",ROUND(I15/(12.5*24),1))</f>
        <v/>
      </c>
      <c r="K15" s="20"/>
      <c r="L15" s="20"/>
    </row>
    <row r="16" customFormat="false" ht="15" hidden="false" customHeight="false" outlineLevel="0" collapsed="false">
      <c r="A16" s="20"/>
      <c r="B16" s="20"/>
      <c r="C16" s="20"/>
      <c r="D16" s="20"/>
      <c r="E16" s="24"/>
      <c r="F16" s="22"/>
      <c r="G16" s="22"/>
      <c r="H16" s="20"/>
      <c r="I16" s="24"/>
      <c r="J16" s="32" t="str">
        <f aca="false">IF(I16="","",ROUND(I16/(12.5*24),1))</f>
        <v/>
      </c>
      <c r="K16" s="20"/>
      <c r="L16" s="20"/>
    </row>
    <row r="17" customFormat="false" ht="15" hidden="false" customHeight="false" outlineLevel="0" collapsed="false">
      <c r="A17" s="20"/>
      <c r="B17" s="20"/>
      <c r="C17" s="20"/>
      <c r="D17" s="20"/>
      <c r="E17" s="24"/>
      <c r="F17" s="22"/>
      <c r="G17" s="22"/>
      <c r="H17" s="20"/>
      <c r="I17" s="24"/>
      <c r="J17" s="32" t="str">
        <f aca="false">IF(I17="","",ROUND(I17/(12.5*24),1))</f>
        <v/>
      </c>
      <c r="K17" s="20"/>
      <c r="L17" s="20"/>
    </row>
    <row r="18" customFormat="false" ht="15" hidden="false" customHeight="false" outlineLevel="0" collapsed="false">
      <c r="A18" s="20"/>
      <c r="B18" s="20"/>
      <c r="C18" s="20"/>
      <c r="D18" s="20"/>
      <c r="E18" s="24"/>
      <c r="F18" s="22"/>
      <c r="G18" s="22"/>
      <c r="H18" s="20"/>
      <c r="I18" s="24"/>
      <c r="J18" s="32" t="str">
        <f aca="false">IF(I18="","",ROUND(I18/(12.5*24),1))</f>
        <v/>
      </c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4"/>
      <c r="F19" s="22"/>
      <c r="G19" s="22"/>
      <c r="H19" s="20"/>
      <c r="I19" s="24"/>
      <c r="J19" s="32" t="str">
        <f aca="false">IF(I19="","",ROUND(I19/(12.5*24),1))</f>
        <v/>
      </c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4"/>
      <c r="F20" s="22"/>
      <c r="G20" s="22"/>
      <c r="H20" s="20"/>
      <c r="I20" s="24"/>
      <c r="J20" s="32" t="str">
        <f aca="false">IF(I20="","",ROUND(I20/(12.5*24),1))</f>
        <v/>
      </c>
      <c r="K20" s="20"/>
      <c r="L20" s="20"/>
    </row>
    <row r="21" customFormat="false" ht="15" hidden="false" customHeight="false" outlineLevel="0" collapsed="false">
      <c r="A21" s="20"/>
      <c r="B21" s="20"/>
      <c r="C21" s="20"/>
      <c r="D21" s="20"/>
      <c r="E21" s="24"/>
      <c r="F21" s="22"/>
      <c r="G21" s="22"/>
      <c r="H21" s="20"/>
      <c r="I21" s="24"/>
      <c r="J21" s="32" t="str">
        <f aca="false">IF(I21="","",ROUND(I21/(12.5*24),1))</f>
        <v/>
      </c>
      <c r="K21" s="20"/>
      <c r="L21" s="20"/>
    </row>
    <row r="22" customFormat="false" ht="15" hidden="false" customHeight="false" outlineLevel="0" collapsed="false">
      <c r="A22" s="20"/>
      <c r="B22" s="20"/>
      <c r="C22" s="20"/>
      <c r="D22" s="20"/>
      <c r="E22" s="24"/>
      <c r="F22" s="22"/>
      <c r="G22" s="22"/>
      <c r="H22" s="20"/>
      <c r="I22" s="24"/>
      <c r="J22" s="32" t="str">
        <f aca="false">IF(I22="","",ROUND(I22/(12.5*24),1))</f>
        <v/>
      </c>
      <c r="K22" s="20"/>
      <c r="L22" s="20"/>
    </row>
    <row r="23" customFormat="false" ht="15" hidden="false" customHeight="false" outlineLevel="0" collapsed="false">
      <c r="A23" s="20"/>
      <c r="B23" s="20"/>
      <c r="C23" s="20"/>
      <c r="D23" s="20"/>
      <c r="E23" s="24"/>
      <c r="F23" s="22"/>
      <c r="G23" s="22"/>
      <c r="H23" s="20"/>
      <c r="I23" s="24"/>
      <c r="J23" s="32" t="str">
        <f aca="false">IF(I23="","",ROUND(I23/(12.5*24),1))</f>
        <v/>
      </c>
      <c r="K23" s="20"/>
      <c r="L23" s="20"/>
    </row>
    <row r="24" customFormat="false" ht="15" hidden="false" customHeight="false" outlineLevel="0" collapsed="false">
      <c r="A24" s="20"/>
      <c r="B24" s="20"/>
      <c r="C24" s="20"/>
      <c r="D24" s="20"/>
      <c r="E24" s="24"/>
      <c r="F24" s="22"/>
      <c r="G24" s="22"/>
      <c r="H24" s="20"/>
      <c r="I24" s="24"/>
      <c r="J24" s="32" t="str">
        <f aca="false">IF(I24="","",ROUND(I24/(12.5*24),1))</f>
        <v/>
      </c>
      <c r="K24" s="20"/>
      <c r="L24" s="20"/>
    </row>
    <row r="25" customFormat="false" ht="15" hidden="false" customHeight="false" outlineLevel="0" collapsed="false">
      <c r="A25" s="20"/>
      <c r="B25" s="20"/>
      <c r="C25" s="20"/>
      <c r="D25" s="20"/>
      <c r="E25" s="24"/>
      <c r="F25" s="22"/>
      <c r="G25" s="22"/>
      <c r="H25" s="20"/>
      <c r="I25" s="24"/>
      <c r="J25" s="32" t="str">
        <f aca="false">IF(I25="","",ROUND(I25/(12.5*24),1))</f>
        <v/>
      </c>
      <c r="K25" s="20"/>
      <c r="L25" s="20"/>
    </row>
    <row r="26" customFormat="false" ht="15" hidden="false" customHeight="false" outlineLevel="0" collapsed="false">
      <c r="A26" s="20"/>
      <c r="B26" s="20"/>
      <c r="C26" s="20"/>
      <c r="D26" s="20"/>
      <c r="E26" s="24"/>
      <c r="F26" s="22"/>
      <c r="G26" s="22"/>
      <c r="H26" s="20"/>
      <c r="I26" s="24"/>
      <c r="J26" s="32" t="str">
        <f aca="false">IF(I26="","",ROUND(I26/(12.5*24),1))</f>
        <v/>
      </c>
      <c r="K26" s="20"/>
      <c r="L26" s="20"/>
    </row>
    <row r="27" customFormat="false" ht="15" hidden="false" customHeight="false" outlineLevel="0" collapsed="false">
      <c r="A27" s="20"/>
      <c r="B27" s="20"/>
      <c r="C27" s="20"/>
      <c r="D27" s="20"/>
      <c r="E27" s="24"/>
      <c r="F27" s="22"/>
      <c r="G27" s="22"/>
      <c r="H27" s="20"/>
      <c r="I27" s="24"/>
      <c r="J27" s="32" t="str">
        <f aca="false">IF(I27="","",ROUND(I27/(12.5*24),1))</f>
        <v/>
      </c>
      <c r="K27" s="20"/>
      <c r="L27" s="20"/>
    </row>
    <row r="28" customFormat="false" ht="15" hidden="false" customHeight="false" outlineLevel="0" collapsed="false">
      <c r="A28" s="20"/>
      <c r="B28" s="20"/>
      <c r="C28" s="20"/>
      <c r="D28" s="20"/>
      <c r="E28" s="24"/>
      <c r="F28" s="22"/>
      <c r="G28" s="22"/>
      <c r="H28" s="20"/>
      <c r="I28" s="24"/>
      <c r="J28" s="32" t="str">
        <f aca="false">IF(I28="","",ROUND(I28/(12.5*24),1))</f>
        <v/>
      </c>
      <c r="K28" s="20"/>
      <c r="L28" s="20"/>
    </row>
    <row r="29" customFormat="false" ht="15" hidden="false" customHeight="false" outlineLevel="0" collapsed="false">
      <c r="A29" s="20"/>
      <c r="B29" s="20"/>
      <c r="C29" s="20"/>
      <c r="D29" s="20"/>
      <c r="E29" s="24"/>
      <c r="F29" s="22"/>
      <c r="G29" s="22"/>
      <c r="H29" s="20"/>
      <c r="I29" s="24"/>
      <c r="J29" s="32" t="str">
        <f aca="false">IF(I29="","",ROUND(I29/(12.5*24),1))</f>
        <v/>
      </c>
      <c r="K29" s="20"/>
      <c r="L29" s="20"/>
    </row>
    <row r="30" customFormat="false" ht="15" hidden="false" customHeight="false" outlineLevel="0" collapsed="false">
      <c r="A30" s="20"/>
      <c r="B30" s="20"/>
      <c r="C30" s="20"/>
      <c r="D30" s="20"/>
      <c r="E30" s="24"/>
      <c r="F30" s="22"/>
      <c r="G30" s="22"/>
      <c r="H30" s="20"/>
      <c r="I30" s="24"/>
      <c r="J30" s="32" t="str">
        <f aca="false">IF(I30="","",ROUND(I30/(12.5*24),1))</f>
        <v/>
      </c>
      <c r="K30" s="20"/>
      <c r="L30" s="20"/>
    </row>
    <row r="31" customFormat="false" ht="15" hidden="false" customHeight="false" outlineLevel="0" collapsed="false">
      <c r="A31" s="20"/>
      <c r="B31" s="20"/>
      <c r="C31" s="20"/>
      <c r="D31" s="20"/>
      <c r="E31" s="24"/>
      <c r="F31" s="22"/>
      <c r="G31" s="22"/>
      <c r="H31" s="20"/>
      <c r="I31" s="24"/>
      <c r="J31" s="32" t="str">
        <f aca="false">IF(I31="","",ROUND(I31/(12.5*24),1))</f>
        <v/>
      </c>
      <c r="K31" s="20"/>
      <c r="L31" s="20"/>
    </row>
    <row r="32" customFormat="false" ht="15" hidden="false" customHeight="false" outlineLevel="0" collapsed="false">
      <c r="A32" s="20"/>
      <c r="B32" s="20"/>
      <c r="C32" s="20"/>
      <c r="D32" s="20"/>
      <c r="E32" s="24"/>
      <c r="F32" s="22"/>
      <c r="G32" s="22"/>
      <c r="H32" s="20"/>
      <c r="I32" s="24"/>
      <c r="J32" s="32" t="str">
        <f aca="false">IF(I32="","",ROUND(I32/(12.5*24),1))</f>
        <v/>
      </c>
      <c r="K32" s="20"/>
      <c r="L32" s="20"/>
    </row>
    <row r="33" customFormat="false" ht="15" hidden="false" customHeight="false" outlineLevel="0" collapsed="false">
      <c r="A33" s="20"/>
      <c r="B33" s="20"/>
      <c r="C33" s="20"/>
      <c r="D33" s="20"/>
      <c r="E33" s="24"/>
      <c r="F33" s="22"/>
      <c r="G33" s="22"/>
      <c r="H33" s="20"/>
      <c r="I33" s="24"/>
      <c r="J33" s="32" t="str">
        <f aca="false">IF(I33="","",ROUND(I33/(12.5*24),1))</f>
        <v/>
      </c>
      <c r="K33" s="20"/>
      <c r="L33" s="20"/>
    </row>
    <row r="34" customFormat="false" ht="15" hidden="false" customHeight="false" outlineLevel="0" collapsed="false">
      <c r="A34" s="20"/>
      <c r="B34" s="20"/>
      <c r="C34" s="20"/>
      <c r="D34" s="20"/>
      <c r="E34" s="24"/>
      <c r="F34" s="22"/>
      <c r="G34" s="22"/>
      <c r="H34" s="20"/>
      <c r="I34" s="24"/>
      <c r="J34" s="32" t="str">
        <f aca="false">IF(I34="","",ROUND(I34/(12.5*24),1))</f>
        <v/>
      </c>
      <c r="K34" s="20"/>
      <c r="L34" s="20"/>
    </row>
    <row r="35" customFormat="false" ht="15" hidden="false" customHeight="false" outlineLevel="0" collapsed="false">
      <c r="A35" s="20"/>
      <c r="B35" s="20"/>
      <c r="C35" s="20"/>
      <c r="D35" s="20"/>
      <c r="E35" s="24"/>
      <c r="F35" s="22"/>
      <c r="G35" s="22"/>
      <c r="H35" s="20"/>
      <c r="I35" s="24"/>
      <c r="J35" s="32" t="str">
        <f aca="false">IF(I35="","",ROUND(I35/(12.5*24),1))</f>
        <v/>
      </c>
      <c r="K35" s="20"/>
      <c r="L35" s="20"/>
    </row>
    <row r="36" customFormat="false" ht="15" hidden="false" customHeight="false" outlineLevel="0" collapsed="false">
      <c r="A36" s="20"/>
      <c r="B36" s="20"/>
      <c r="C36" s="20"/>
      <c r="D36" s="20"/>
      <c r="E36" s="24"/>
      <c r="F36" s="22"/>
      <c r="G36" s="22"/>
      <c r="H36" s="20"/>
      <c r="I36" s="24"/>
      <c r="J36" s="32" t="str">
        <f aca="false">IF(I36="","",ROUND(I36/(12.5*24),1))</f>
        <v/>
      </c>
      <c r="K36" s="20"/>
      <c r="L36" s="20"/>
    </row>
    <row r="37" customFormat="false" ht="15" hidden="false" customHeight="false" outlineLevel="0" collapsed="false">
      <c r="A37" s="20"/>
      <c r="B37" s="20"/>
      <c r="C37" s="20"/>
      <c r="D37" s="20"/>
      <c r="E37" s="24"/>
      <c r="F37" s="22"/>
      <c r="G37" s="22"/>
      <c r="H37" s="20"/>
      <c r="I37" s="24"/>
      <c r="J37" s="32" t="str">
        <f aca="false">IF(I37="","",ROUND(I37/(12.5*24),1))</f>
        <v/>
      </c>
      <c r="K37" s="20"/>
      <c r="L37" s="20"/>
    </row>
    <row r="38" customFormat="false" ht="15" hidden="false" customHeight="false" outlineLevel="0" collapsed="false">
      <c r="A38" s="20"/>
      <c r="B38" s="20"/>
      <c r="C38" s="20"/>
      <c r="D38" s="20"/>
      <c r="E38" s="24"/>
      <c r="F38" s="22"/>
      <c r="G38" s="22"/>
      <c r="H38" s="20"/>
      <c r="I38" s="24"/>
      <c r="J38" s="32" t="str">
        <f aca="false">IF(I38="","",ROUND(I38/(12.5*24),1))</f>
        <v/>
      </c>
      <c r="K38" s="20"/>
      <c r="L38" s="20"/>
    </row>
    <row r="39" customFormat="false" ht="15" hidden="false" customHeight="false" outlineLevel="0" collapsed="false">
      <c r="A39" s="20"/>
      <c r="B39" s="20"/>
      <c r="C39" s="20"/>
      <c r="D39" s="20"/>
      <c r="E39" s="24"/>
      <c r="F39" s="22"/>
      <c r="G39" s="22"/>
      <c r="H39" s="20"/>
      <c r="I39" s="24"/>
      <c r="J39" s="32" t="str">
        <f aca="false">IF(I39="","",ROUND(I39/(12.5*24),1))</f>
        <v/>
      </c>
      <c r="K39" s="20"/>
      <c r="L39" s="20"/>
    </row>
    <row r="40" customFormat="false" ht="15" hidden="false" customHeight="false" outlineLevel="0" collapsed="false">
      <c r="A40" s="20"/>
      <c r="B40" s="20"/>
      <c r="C40" s="20"/>
      <c r="D40" s="20"/>
      <c r="E40" s="24"/>
      <c r="F40" s="22"/>
      <c r="G40" s="22"/>
      <c r="H40" s="20"/>
      <c r="I40" s="24"/>
      <c r="J40" s="32" t="str">
        <f aca="false">IF(I40="","",ROUND(I40/(12.5*24),1))</f>
        <v/>
      </c>
      <c r="K40" s="20"/>
      <c r="L40" s="20"/>
    </row>
    <row r="41" customFormat="false" ht="15" hidden="false" customHeight="false" outlineLevel="0" collapsed="false">
      <c r="A41" s="20"/>
      <c r="B41" s="20"/>
      <c r="C41" s="20"/>
      <c r="D41" s="20"/>
      <c r="E41" s="24"/>
      <c r="F41" s="22"/>
      <c r="G41" s="22"/>
      <c r="H41" s="20"/>
      <c r="I41" s="24"/>
      <c r="J41" s="32" t="str">
        <f aca="false">IF(I41="","",ROUND(I41/(12.5*24),1))</f>
        <v/>
      </c>
      <c r="K41" s="20"/>
      <c r="L41" s="20"/>
    </row>
    <row r="42" customFormat="false" ht="15" hidden="false" customHeight="false" outlineLevel="0" collapsed="false">
      <c r="A42" s="20"/>
      <c r="B42" s="20"/>
      <c r="C42" s="20"/>
      <c r="D42" s="20"/>
      <c r="E42" s="24"/>
      <c r="F42" s="22"/>
      <c r="G42" s="22"/>
      <c r="H42" s="20"/>
      <c r="I42" s="24"/>
      <c r="J42" s="32" t="str">
        <f aca="false">IF(I42="","",ROUND(I42/(12.5*24),1))</f>
        <v/>
      </c>
      <c r="K42" s="20"/>
      <c r="L42" s="20"/>
    </row>
    <row r="43" customFormat="false" ht="15" hidden="false" customHeight="false" outlineLevel="0" collapsed="false">
      <c r="A43" s="20"/>
      <c r="B43" s="20"/>
      <c r="C43" s="20"/>
      <c r="D43" s="20"/>
      <c r="E43" s="24"/>
      <c r="F43" s="22"/>
      <c r="G43" s="22"/>
      <c r="H43" s="20"/>
      <c r="I43" s="24"/>
      <c r="J43" s="32" t="str">
        <f aca="false">IF(I43="","",ROUND(I43/(12.5*24),1))</f>
        <v/>
      </c>
      <c r="K43" s="20"/>
      <c r="L43" s="20"/>
    </row>
    <row r="44" customFormat="false" ht="15" hidden="false" customHeight="false" outlineLevel="0" collapsed="false">
      <c r="A44" s="20"/>
      <c r="B44" s="20"/>
      <c r="C44" s="20"/>
      <c r="D44" s="20"/>
      <c r="E44" s="24"/>
      <c r="F44" s="22"/>
      <c r="G44" s="22"/>
      <c r="H44" s="20"/>
      <c r="I44" s="24"/>
      <c r="J44" s="32" t="str">
        <f aca="false">IF(I44="","",ROUND(I44/(12.5*24),1))</f>
        <v/>
      </c>
      <c r="K44" s="20"/>
      <c r="L44" s="20"/>
    </row>
    <row r="45" customFormat="false" ht="15" hidden="false" customHeight="false" outlineLevel="0" collapsed="false">
      <c r="A45" s="20"/>
      <c r="B45" s="20"/>
      <c r="C45" s="20"/>
      <c r="D45" s="20"/>
      <c r="E45" s="24"/>
      <c r="F45" s="22"/>
      <c r="G45" s="22"/>
      <c r="H45" s="20"/>
      <c r="I45" s="24"/>
      <c r="J45" s="32" t="str">
        <f aca="false">IF(I45="","",ROUND(I45/(12.5*24),1))</f>
        <v/>
      </c>
      <c r="K45" s="20"/>
      <c r="L45" s="20"/>
    </row>
    <row r="46" customFormat="false" ht="15" hidden="false" customHeight="false" outlineLevel="0" collapsed="false">
      <c r="A46" s="20"/>
      <c r="B46" s="20"/>
      <c r="C46" s="20"/>
      <c r="D46" s="20"/>
      <c r="E46" s="24"/>
      <c r="F46" s="22"/>
      <c r="G46" s="22"/>
      <c r="H46" s="20"/>
      <c r="I46" s="24"/>
      <c r="J46" s="32" t="str">
        <f aca="false">IF(I46="","",ROUND(I46/(12.5*24),1))</f>
        <v/>
      </c>
      <c r="K46" s="20"/>
      <c r="L46" s="20"/>
    </row>
    <row r="47" customFormat="false" ht="15" hidden="false" customHeight="false" outlineLevel="0" collapsed="false">
      <c r="A47" s="20"/>
      <c r="B47" s="20"/>
      <c r="C47" s="20"/>
      <c r="D47" s="20"/>
      <c r="E47" s="24"/>
      <c r="F47" s="22"/>
      <c r="G47" s="22"/>
      <c r="H47" s="20"/>
      <c r="I47" s="24"/>
      <c r="J47" s="32" t="str">
        <f aca="false">IF(I47="","",ROUND(I47/(12.5*24),1))</f>
        <v/>
      </c>
      <c r="K47" s="20"/>
      <c r="L47" s="20"/>
    </row>
    <row r="48" customFormat="false" ht="15" hidden="false" customHeight="false" outlineLevel="0" collapsed="false">
      <c r="A48" s="20"/>
      <c r="B48" s="20"/>
      <c r="C48" s="20"/>
      <c r="D48" s="20"/>
      <c r="E48" s="24"/>
      <c r="F48" s="22"/>
      <c r="G48" s="22"/>
      <c r="H48" s="20"/>
      <c r="I48" s="24"/>
      <c r="J48" s="32" t="str">
        <f aca="false">IF(I48="","",ROUND(I48/(12.5*24),1))</f>
        <v/>
      </c>
      <c r="K48" s="20"/>
      <c r="L48" s="20"/>
    </row>
    <row r="49" customFormat="false" ht="15" hidden="false" customHeight="false" outlineLevel="0" collapsed="false">
      <c r="A49" s="20"/>
      <c r="B49" s="20"/>
      <c r="C49" s="20"/>
      <c r="D49" s="20"/>
      <c r="E49" s="24"/>
      <c r="F49" s="22"/>
      <c r="G49" s="22"/>
      <c r="H49" s="20"/>
      <c r="I49" s="24"/>
      <c r="J49" s="32" t="str">
        <f aca="false">IF(I49="","",ROUND(I49/(12.5*24),1))</f>
        <v/>
      </c>
      <c r="K49" s="20"/>
      <c r="L49" s="20"/>
    </row>
    <row r="50" customFormat="false" ht="15" hidden="false" customHeight="false" outlineLevel="0" collapsed="false">
      <c r="A50" s="20"/>
      <c r="B50" s="20"/>
      <c r="C50" s="20"/>
      <c r="D50" s="20"/>
      <c r="E50" s="24"/>
      <c r="F50" s="22"/>
      <c r="G50" s="22"/>
      <c r="H50" s="20"/>
      <c r="I50" s="24"/>
      <c r="J50" s="32" t="str">
        <f aca="false">IF(I50="","",ROUND(I50/(12.5*24),1))</f>
        <v/>
      </c>
      <c r="K50" s="20"/>
      <c r="L50" s="20"/>
    </row>
    <row r="51" customFormat="false" ht="15" hidden="false" customHeight="false" outlineLevel="0" collapsed="false">
      <c r="A51" s="20"/>
      <c r="B51" s="20"/>
      <c r="C51" s="20"/>
      <c r="D51" s="20"/>
      <c r="E51" s="24"/>
      <c r="F51" s="22"/>
      <c r="G51" s="22"/>
      <c r="H51" s="20"/>
      <c r="I51" s="24"/>
      <c r="J51" s="32" t="str">
        <f aca="false">IF(I51="","",ROUND(I51/(12.5*24),1))</f>
        <v/>
      </c>
      <c r="K51" s="20"/>
      <c r="L51" s="20"/>
    </row>
    <row r="52" customFormat="false" ht="15" hidden="false" customHeight="false" outlineLevel="0" collapsed="false">
      <c r="A52" s="20"/>
      <c r="B52" s="20"/>
      <c r="C52" s="20"/>
      <c r="D52" s="20"/>
      <c r="E52" s="24"/>
      <c r="F52" s="22"/>
      <c r="G52" s="22"/>
      <c r="H52" s="20"/>
      <c r="I52" s="24"/>
      <c r="J52" s="32" t="str">
        <f aca="false">IF(I52="","",ROUND(I52/(12.5*24),1))</f>
        <v/>
      </c>
      <c r="K52" s="20"/>
      <c r="L52" s="20"/>
    </row>
    <row r="53" customFormat="false" ht="15" hidden="false" customHeight="false" outlineLevel="0" collapsed="false">
      <c r="A53" s="20"/>
      <c r="B53" s="20"/>
      <c r="C53" s="20"/>
      <c r="D53" s="20"/>
      <c r="E53" s="24"/>
      <c r="F53" s="22"/>
      <c r="G53" s="22"/>
      <c r="H53" s="20"/>
      <c r="I53" s="24"/>
      <c r="J53" s="32" t="str">
        <f aca="false">IF(I53="","",ROUND(I53/(12.5*24),1))</f>
        <v/>
      </c>
      <c r="K53" s="20"/>
      <c r="L53" s="20"/>
    </row>
    <row r="54" customFormat="false" ht="15" hidden="false" customHeight="false" outlineLevel="0" collapsed="false">
      <c r="A54" s="20"/>
      <c r="B54" s="20"/>
      <c r="C54" s="20"/>
      <c r="D54" s="20"/>
      <c r="E54" s="24"/>
      <c r="F54" s="22"/>
      <c r="G54" s="22"/>
      <c r="H54" s="20"/>
      <c r="I54" s="24"/>
      <c r="J54" s="32" t="str">
        <f aca="false">IF(I54="","",ROUND(I54/(12.5*24),1))</f>
        <v/>
      </c>
      <c r="K54" s="20"/>
      <c r="L54" s="20"/>
    </row>
    <row r="55" customFormat="false" ht="15" hidden="false" customHeight="false" outlineLevel="0" collapsed="false">
      <c r="A55" s="20"/>
      <c r="B55" s="20"/>
      <c r="C55" s="20"/>
      <c r="D55" s="20"/>
      <c r="E55" s="24"/>
      <c r="F55" s="22"/>
      <c r="G55" s="22"/>
      <c r="H55" s="20"/>
      <c r="I55" s="24"/>
      <c r="J55" s="32" t="str">
        <f aca="false">IF(I55="","",ROUND(I55/(12.5*24),1))</f>
        <v/>
      </c>
      <c r="K55" s="20"/>
      <c r="L55" s="20"/>
    </row>
    <row r="56" customFormat="false" ht="15" hidden="false" customHeight="false" outlineLevel="0" collapsed="false">
      <c r="A56" s="20"/>
      <c r="B56" s="20"/>
      <c r="C56" s="20"/>
      <c r="D56" s="20"/>
      <c r="E56" s="24"/>
      <c r="F56" s="22"/>
      <c r="G56" s="22"/>
      <c r="H56" s="20"/>
      <c r="I56" s="24"/>
      <c r="J56" s="32" t="str">
        <f aca="false">IF(I56="","",ROUND(I56/(12.5*24),1))</f>
        <v/>
      </c>
      <c r="K56" s="20"/>
      <c r="L56" s="20"/>
    </row>
    <row r="57" customFormat="false" ht="15" hidden="false" customHeight="false" outlineLevel="0" collapsed="false">
      <c r="A57" s="20"/>
      <c r="B57" s="20"/>
      <c r="C57" s="20"/>
      <c r="D57" s="20"/>
      <c r="E57" s="24"/>
      <c r="F57" s="22"/>
      <c r="G57" s="22"/>
      <c r="H57" s="20"/>
      <c r="I57" s="24"/>
      <c r="J57" s="32" t="str">
        <f aca="false">IF(I57="","",ROUND(I57/(12.5*24),1))</f>
        <v/>
      </c>
      <c r="K57" s="20"/>
      <c r="L57" s="20"/>
    </row>
    <row r="58" customFormat="false" ht="15" hidden="false" customHeight="false" outlineLevel="0" collapsed="false">
      <c r="A58" s="20"/>
      <c r="B58" s="20"/>
      <c r="C58" s="20"/>
      <c r="D58" s="20"/>
      <c r="E58" s="24"/>
      <c r="F58" s="22"/>
      <c r="G58" s="22"/>
      <c r="H58" s="20"/>
      <c r="I58" s="24"/>
      <c r="J58" s="32" t="str">
        <f aca="false">IF(I58="","",ROUND(I58/(12.5*24),1))</f>
        <v/>
      </c>
      <c r="K58" s="20"/>
      <c r="L58" s="20"/>
    </row>
    <row r="59" customFormat="false" ht="15" hidden="false" customHeight="false" outlineLevel="0" collapsed="false">
      <c r="A59" s="20"/>
      <c r="B59" s="20"/>
      <c r="C59" s="20"/>
      <c r="D59" s="20"/>
      <c r="E59" s="24"/>
      <c r="F59" s="22"/>
      <c r="G59" s="22"/>
      <c r="H59" s="20"/>
      <c r="I59" s="24"/>
      <c r="J59" s="32" t="str">
        <f aca="false">IF(I59="","",ROUND(I59/(12.5*24),1))</f>
        <v/>
      </c>
      <c r="K59" s="20"/>
      <c r="L59" s="20"/>
    </row>
    <row r="60" customFormat="false" ht="15" hidden="false" customHeight="false" outlineLevel="0" collapsed="false">
      <c r="A60" s="20"/>
      <c r="B60" s="20"/>
      <c r="C60" s="20"/>
      <c r="D60" s="20"/>
      <c r="E60" s="24"/>
      <c r="F60" s="22"/>
      <c r="G60" s="22"/>
      <c r="H60" s="20"/>
      <c r="I60" s="24"/>
      <c r="J60" s="32" t="str">
        <f aca="false">IF(I60="","",ROUND(I60/(12.5*24),1))</f>
        <v/>
      </c>
      <c r="K60" s="20"/>
      <c r="L60" s="20"/>
    </row>
    <row r="61" customFormat="false" ht="15" hidden="false" customHeight="false" outlineLevel="0" collapsed="false">
      <c r="A61" s="20"/>
      <c r="B61" s="20"/>
      <c r="C61" s="20"/>
      <c r="D61" s="20"/>
      <c r="E61" s="24"/>
      <c r="F61" s="22"/>
      <c r="G61" s="22"/>
      <c r="H61" s="20"/>
      <c r="I61" s="24"/>
      <c r="J61" s="32" t="str">
        <f aca="false">IF(I61="","",ROUND(I61/(12.5*24),1))</f>
        <v/>
      </c>
      <c r="K61" s="20"/>
      <c r="L61" s="20"/>
    </row>
  </sheetData>
  <dataValidations count="3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A2:A61" type="list">
      <formula1>"KCl,DAP,ZA,Amoniak"</formula1>
      <formula2>0</formula2>
    </dataValidation>
    <dataValidation allowBlank="true" error="Pilih salah satu: Tiba, Dalam pelayaran, Rencana, Terlambat" errorStyle="stop" errorTitle="Isian tidak dikenal" operator="between" prompt="Pilih dari daftar" promptTitle="Status kapal" showDropDown="false" showErrorMessage="true" showInputMessage="false" sqref="H2:H61" type="list">
      <formula1>"Tiba,Dalam pelayaran,Rencana,Terlambat"</formula1>
      <formula2>0</formula2>
    </dataValidation>
    <dataValidation allowBlank="true" error="Pilih salah satu: Ya, Tidak" errorStyle="stop" errorTitle="Isian tidak dikenal" operator="between" prompt="Pilih dari daftar" promptTitle="Lewat Hormuz" showDropDown="false" showErrorMessage="true" showInputMessage="false" sqref="K2:K61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30" hidden="false" customHeight="true" outlineLevel="0" collapsed="false">
      <c r="A1" s="9" t="s">
        <v>190</v>
      </c>
      <c r="B1" s="9" t="s">
        <v>191</v>
      </c>
      <c r="C1" s="9" t="s">
        <v>69</v>
      </c>
      <c r="D1" s="9" t="s">
        <v>85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</row>
    <row r="2" customFormat="false" ht="15" hidden="false" customHeight="false" outlineLevel="0" collapsed="false">
      <c r="A2" s="22"/>
      <c r="B2" s="22"/>
      <c r="C2" s="20"/>
      <c r="D2" s="20"/>
      <c r="E2" s="22"/>
      <c r="F2" s="22"/>
      <c r="G2" s="24"/>
      <c r="H2" s="24"/>
      <c r="I2" s="20"/>
    </row>
    <row r="3" customFormat="false" ht="15" hidden="false" customHeight="false" outlineLevel="0" collapsed="false">
      <c r="A3" s="22"/>
      <c r="B3" s="22"/>
      <c r="C3" s="20"/>
      <c r="D3" s="20"/>
      <c r="E3" s="22"/>
      <c r="F3" s="22"/>
      <c r="G3" s="24"/>
      <c r="H3" s="24"/>
      <c r="I3" s="20"/>
    </row>
    <row r="4" customFormat="false" ht="15" hidden="false" customHeight="false" outlineLevel="0" collapsed="false">
      <c r="A4" s="22"/>
      <c r="B4" s="22"/>
      <c r="C4" s="20"/>
      <c r="D4" s="20"/>
      <c r="E4" s="22"/>
      <c r="F4" s="22"/>
      <c r="G4" s="24"/>
      <c r="H4" s="24"/>
      <c r="I4" s="20"/>
    </row>
    <row r="5" customFormat="false" ht="15" hidden="false" customHeight="false" outlineLevel="0" collapsed="false">
      <c r="A5" s="22"/>
      <c r="B5" s="22"/>
      <c r="C5" s="20"/>
      <c r="D5" s="20"/>
      <c r="E5" s="22"/>
      <c r="F5" s="22"/>
      <c r="G5" s="24"/>
      <c r="H5" s="24"/>
      <c r="I5" s="20"/>
    </row>
    <row r="6" customFormat="false" ht="15" hidden="false" customHeight="false" outlineLevel="0" collapsed="false">
      <c r="A6" s="22"/>
      <c r="B6" s="22"/>
      <c r="C6" s="20"/>
      <c r="D6" s="20"/>
      <c r="E6" s="22"/>
      <c r="F6" s="22"/>
      <c r="G6" s="24"/>
      <c r="H6" s="24"/>
      <c r="I6" s="20"/>
    </row>
    <row r="7" customFormat="false" ht="15" hidden="false" customHeight="false" outlineLevel="0" collapsed="false">
      <c r="A7" s="22"/>
      <c r="B7" s="22"/>
      <c r="C7" s="20"/>
      <c r="D7" s="20"/>
      <c r="E7" s="22"/>
      <c r="F7" s="22"/>
      <c r="G7" s="24"/>
      <c r="H7" s="24"/>
      <c r="I7" s="20"/>
    </row>
    <row r="8" customFormat="false" ht="15" hidden="false" customHeight="false" outlineLevel="0" collapsed="false">
      <c r="A8" s="22"/>
      <c r="B8" s="22"/>
      <c r="C8" s="20"/>
      <c r="D8" s="20"/>
      <c r="E8" s="22"/>
      <c r="F8" s="22"/>
      <c r="G8" s="24"/>
      <c r="H8" s="24"/>
      <c r="I8" s="20"/>
    </row>
    <row r="9" customFormat="false" ht="15" hidden="false" customHeight="false" outlineLevel="0" collapsed="false">
      <c r="A9" s="22"/>
      <c r="B9" s="22"/>
      <c r="C9" s="20"/>
      <c r="D9" s="20"/>
      <c r="E9" s="22"/>
      <c r="F9" s="22"/>
      <c r="G9" s="24"/>
      <c r="H9" s="24"/>
      <c r="I9" s="20"/>
    </row>
    <row r="10" customFormat="false" ht="15" hidden="false" customHeight="false" outlineLevel="0" collapsed="false">
      <c r="A10" s="22"/>
      <c r="B10" s="22"/>
      <c r="C10" s="20"/>
      <c r="D10" s="20"/>
      <c r="E10" s="22"/>
      <c r="F10" s="22"/>
      <c r="G10" s="24"/>
      <c r="H10" s="24"/>
      <c r="I10" s="20"/>
    </row>
    <row r="11" customFormat="false" ht="15" hidden="false" customHeight="false" outlineLevel="0" collapsed="false">
      <c r="A11" s="22"/>
      <c r="B11" s="22"/>
      <c r="C11" s="20"/>
      <c r="D11" s="20"/>
      <c r="E11" s="22"/>
      <c r="F11" s="22"/>
      <c r="G11" s="24"/>
      <c r="H11" s="24"/>
      <c r="I11" s="20"/>
    </row>
    <row r="12" customFormat="false" ht="15" hidden="false" customHeight="false" outlineLevel="0" collapsed="false">
      <c r="A12" s="22"/>
      <c r="B12" s="22"/>
      <c r="C12" s="20"/>
      <c r="D12" s="20"/>
      <c r="E12" s="22"/>
      <c r="F12" s="22"/>
      <c r="G12" s="24"/>
      <c r="H12" s="24"/>
      <c r="I12" s="20"/>
    </row>
    <row r="13" customFormat="false" ht="15" hidden="false" customHeight="false" outlineLevel="0" collapsed="false">
      <c r="A13" s="22"/>
      <c r="B13" s="22"/>
      <c r="C13" s="20"/>
      <c r="D13" s="20"/>
      <c r="E13" s="22"/>
      <c r="F13" s="22"/>
      <c r="G13" s="24"/>
      <c r="H13" s="24"/>
      <c r="I13" s="20"/>
    </row>
    <row r="14" customFormat="false" ht="15" hidden="false" customHeight="false" outlineLevel="0" collapsed="false">
      <c r="A14" s="22"/>
      <c r="B14" s="22"/>
      <c r="C14" s="20"/>
      <c r="D14" s="20"/>
      <c r="E14" s="22"/>
      <c r="F14" s="22"/>
      <c r="G14" s="24"/>
      <c r="H14" s="24"/>
      <c r="I14" s="20"/>
    </row>
    <row r="15" customFormat="false" ht="15" hidden="false" customHeight="false" outlineLevel="0" collapsed="false">
      <c r="A15" s="22"/>
      <c r="B15" s="22"/>
      <c r="C15" s="20"/>
      <c r="D15" s="20"/>
      <c r="E15" s="22"/>
      <c r="F15" s="22"/>
      <c r="G15" s="24"/>
      <c r="H15" s="24"/>
      <c r="I15" s="20"/>
    </row>
    <row r="16" customFormat="false" ht="15" hidden="false" customHeight="false" outlineLevel="0" collapsed="false">
      <c r="A16" s="22"/>
      <c r="B16" s="22"/>
      <c r="C16" s="20"/>
      <c r="D16" s="20"/>
      <c r="E16" s="22"/>
      <c r="F16" s="22"/>
      <c r="G16" s="24"/>
      <c r="H16" s="24"/>
      <c r="I16" s="20"/>
    </row>
    <row r="17" customFormat="false" ht="15" hidden="false" customHeight="false" outlineLevel="0" collapsed="false">
      <c r="A17" s="22"/>
      <c r="B17" s="22"/>
      <c r="C17" s="20"/>
      <c r="D17" s="20"/>
      <c r="E17" s="22"/>
      <c r="F17" s="22"/>
      <c r="G17" s="24"/>
      <c r="H17" s="24"/>
      <c r="I17" s="20"/>
    </row>
    <row r="18" customFormat="false" ht="15" hidden="false" customHeight="false" outlineLevel="0" collapsed="false">
      <c r="A18" s="22"/>
      <c r="B18" s="22"/>
      <c r="C18" s="20"/>
      <c r="D18" s="20"/>
      <c r="E18" s="22"/>
      <c r="F18" s="22"/>
      <c r="G18" s="24"/>
      <c r="H18" s="24"/>
      <c r="I18" s="20"/>
    </row>
    <row r="19" customFormat="false" ht="15" hidden="false" customHeight="false" outlineLevel="0" collapsed="false">
      <c r="A19" s="22"/>
      <c r="B19" s="22"/>
      <c r="C19" s="20"/>
      <c r="D19" s="20"/>
      <c r="E19" s="22"/>
      <c r="F19" s="22"/>
      <c r="G19" s="24"/>
      <c r="H19" s="24"/>
      <c r="I19" s="20"/>
    </row>
    <row r="20" customFormat="false" ht="15" hidden="false" customHeight="false" outlineLevel="0" collapsed="false">
      <c r="A20" s="22"/>
      <c r="B20" s="22"/>
      <c r="C20" s="20"/>
      <c r="D20" s="20"/>
      <c r="E20" s="22"/>
      <c r="F20" s="22"/>
      <c r="G20" s="24"/>
      <c r="H20" s="24"/>
      <c r="I20" s="20"/>
    </row>
    <row r="21" customFormat="false" ht="15" hidden="false" customHeight="false" outlineLevel="0" collapsed="false">
      <c r="A21" s="22"/>
      <c r="B21" s="22"/>
      <c r="C21" s="20"/>
      <c r="D21" s="20"/>
      <c r="E21" s="22"/>
      <c r="F21" s="22"/>
      <c r="G21" s="24"/>
      <c r="H21" s="24"/>
      <c r="I21" s="20"/>
    </row>
    <row r="22" customFormat="false" ht="15" hidden="false" customHeight="false" outlineLevel="0" collapsed="false">
      <c r="A22" s="22"/>
      <c r="B22" s="22"/>
      <c r="C22" s="20"/>
      <c r="D22" s="20"/>
      <c r="E22" s="22"/>
      <c r="F22" s="22"/>
      <c r="G22" s="24"/>
      <c r="H22" s="24"/>
      <c r="I22" s="20"/>
    </row>
    <row r="23" customFormat="false" ht="15" hidden="false" customHeight="false" outlineLevel="0" collapsed="false">
      <c r="A23" s="22"/>
      <c r="B23" s="22"/>
      <c r="C23" s="20"/>
      <c r="D23" s="20"/>
      <c r="E23" s="22"/>
      <c r="F23" s="22"/>
      <c r="G23" s="24"/>
      <c r="H23" s="24"/>
      <c r="I23" s="20"/>
    </row>
    <row r="24" customFormat="false" ht="15" hidden="false" customHeight="false" outlineLevel="0" collapsed="false">
      <c r="A24" s="22"/>
      <c r="B24" s="22"/>
      <c r="C24" s="20"/>
      <c r="D24" s="20"/>
      <c r="E24" s="22"/>
      <c r="F24" s="22"/>
      <c r="G24" s="24"/>
      <c r="H24" s="24"/>
      <c r="I24" s="20"/>
    </row>
    <row r="25" customFormat="false" ht="15" hidden="false" customHeight="false" outlineLevel="0" collapsed="false">
      <c r="A25" s="22"/>
      <c r="B25" s="22"/>
      <c r="C25" s="20"/>
      <c r="D25" s="20"/>
      <c r="E25" s="22"/>
      <c r="F25" s="22"/>
      <c r="G25" s="24"/>
      <c r="H25" s="24"/>
      <c r="I25" s="20"/>
    </row>
    <row r="26" customFormat="false" ht="15" hidden="false" customHeight="false" outlineLevel="0" collapsed="false">
      <c r="A26" s="22"/>
      <c r="B26" s="22"/>
      <c r="C26" s="20"/>
      <c r="D26" s="20"/>
      <c r="E26" s="22"/>
      <c r="F26" s="22"/>
      <c r="G26" s="24"/>
      <c r="H26" s="24"/>
      <c r="I26" s="20"/>
    </row>
    <row r="27" customFormat="false" ht="15" hidden="false" customHeight="false" outlineLevel="0" collapsed="false">
      <c r="A27" s="22"/>
      <c r="B27" s="22"/>
      <c r="C27" s="20"/>
      <c r="D27" s="20"/>
      <c r="E27" s="22"/>
      <c r="F27" s="22"/>
      <c r="G27" s="24"/>
      <c r="H27" s="24"/>
      <c r="I27" s="20"/>
    </row>
    <row r="28" customFormat="false" ht="15" hidden="false" customHeight="false" outlineLevel="0" collapsed="false">
      <c r="A28" s="22"/>
      <c r="B28" s="22"/>
      <c r="C28" s="20"/>
      <c r="D28" s="20"/>
      <c r="E28" s="22"/>
      <c r="F28" s="22"/>
      <c r="G28" s="24"/>
      <c r="H28" s="24"/>
      <c r="I28" s="20"/>
    </row>
    <row r="29" customFormat="false" ht="15" hidden="false" customHeight="false" outlineLevel="0" collapsed="false">
      <c r="A29" s="22"/>
      <c r="B29" s="22"/>
      <c r="C29" s="20"/>
      <c r="D29" s="20"/>
      <c r="E29" s="22"/>
      <c r="F29" s="22"/>
      <c r="G29" s="24"/>
      <c r="H29" s="24"/>
      <c r="I29" s="20"/>
    </row>
    <row r="30" customFormat="false" ht="15" hidden="false" customHeight="false" outlineLevel="0" collapsed="false">
      <c r="A30" s="22"/>
      <c r="B30" s="22"/>
      <c r="C30" s="20"/>
      <c r="D30" s="20"/>
      <c r="E30" s="22"/>
      <c r="F30" s="22"/>
      <c r="G30" s="24"/>
      <c r="H30" s="24"/>
      <c r="I30" s="20"/>
    </row>
    <row r="31" customFormat="false" ht="15" hidden="false" customHeight="false" outlineLevel="0" collapsed="false">
      <c r="A31" s="22"/>
      <c r="B31" s="22"/>
      <c r="C31" s="20"/>
      <c r="D31" s="20"/>
      <c r="E31" s="22"/>
      <c r="F31" s="22"/>
      <c r="G31" s="24"/>
      <c r="H31" s="24"/>
      <c r="I31" s="20"/>
    </row>
  </sheetData>
  <dataValidations count="1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C2:C31" type="list">
      <formula1>"KCl,DAP,ZA,Amoniak"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9" t="s">
        <v>164</v>
      </c>
      <c r="B1" s="9" t="s">
        <v>89</v>
      </c>
      <c r="C1" s="9" t="s">
        <v>197</v>
      </c>
      <c r="D1" s="9" t="s">
        <v>198</v>
      </c>
      <c r="E1" s="9" t="s">
        <v>114</v>
      </c>
    </row>
    <row r="2" customFormat="false" ht="15" hidden="false" customHeight="false" outlineLevel="0" collapsed="false">
      <c r="A2" s="18" t="s">
        <v>168</v>
      </c>
      <c r="B2" s="20" t="s">
        <v>199</v>
      </c>
      <c r="C2" s="22"/>
      <c r="D2" s="22"/>
      <c r="E2" s="20"/>
    </row>
    <row r="3" customFormat="false" ht="15" hidden="false" customHeight="false" outlineLevel="0" collapsed="false">
      <c r="A3" s="18" t="s">
        <v>169</v>
      </c>
      <c r="B3" s="20" t="s">
        <v>199</v>
      </c>
      <c r="C3" s="22"/>
      <c r="D3" s="22"/>
      <c r="E3" s="20"/>
    </row>
    <row r="4" customFormat="false" ht="15" hidden="false" customHeight="false" outlineLevel="0" collapsed="false">
      <c r="A4" s="18" t="s">
        <v>171</v>
      </c>
      <c r="B4" s="20" t="s">
        <v>199</v>
      </c>
      <c r="C4" s="22"/>
      <c r="D4" s="22"/>
      <c r="E4" s="20"/>
    </row>
  </sheetData>
  <dataValidations count="1">
    <dataValidation allowBlank="true" error="Pilih salah satu: Beroperasi, Berhenti, Beban turun" errorStyle="stop" errorTitle="Isian tidak dikenal" operator="between" prompt="Pilih dari daftar" promptTitle="Status unit" showDropDown="false" showErrorMessage="true" showInputMessage="false" sqref="B2:B4" type="list">
      <formula1>"Beroperasi,Berhenti,Beban turun"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62"/>
  </cols>
  <sheetData>
    <row r="1" customFormat="false" ht="30" hidden="false" customHeight="true" outlineLevel="0" collapsed="false">
      <c r="A1" s="9" t="s">
        <v>68</v>
      </c>
      <c r="B1" s="9" t="s">
        <v>69</v>
      </c>
      <c r="C1" s="9" t="s">
        <v>200</v>
      </c>
      <c r="D1" s="9" t="s">
        <v>201</v>
      </c>
      <c r="E1" s="9" t="s">
        <v>202</v>
      </c>
      <c r="F1" s="9" t="s">
        <v>203</v>
      </c>
      <c r="G1" s="9" t="s">
        <v>204</v>
      </c>
      <c r="H1" s="9" t="s">
        <v>205</v>
      </c>
      <c r="I1" s="9" t="s">
        <v>206</v>
      </c>
    </row>
    <row r="2" customFormat="false" ht="15" hidden="false" customHeight="false" outlineLevel="0" collapsed="false">
      <c r="A2" s="18" t="s">
        <v>158</v>
      </c>
      <c r="B2" s="18" t="s">
        <v>159</v>
      </c>
      <c r="C2" s="18" t="s">
        <v>207</v>
      </c>
      <c r="D2" s="18" t="s">
        <v>208</v>
      </c>
      <c r="E2" s="24"/>
      <c r="F2" s="24"/>
      <c r="G2" s="33" t="n">
        <v>100</v>
      </c>
      <c r="H2" s="33" t="n">
        <v>92.25</v>
      </c>
      <c r="I2" s="18" t="s">
        <v>209</v>
      </c>
    </row>
    <row r="3" customFormat="false" ht="15" hidden="false" customHeight="false" outlineLevel="0" collapsed="false">
      <c r="A3" s="18" t="s">
        <v>77</v>
      </c>
      <c r="B3" s="18" t="s">
        <v>78</v>
      </c>
      <c r="C3" s="18" t="s">
        <v>210</v>
      </c>
      <c r="D3" s="18" t="s">
        <v>208</v>
      </c>
      <c r="E3" s="24"/>
      <c r="F3" s="24"/>
      <c r="G3" s="33" t="n">
        <v>100</v>
      </c>
      <c r="H3" s="33" t="n">
        <v>92.25</v>
      </c>
      <c r="I3" s="18" t="s">
        <v>211</v>
      </c>
    </row>
    <row r="4" customFormat="false" ht="15" hidden="false" customHeight="false" outlineLevel="0" collapsed="false">
      <c r="A4" s="18" t="s">
        <v>160</v>
      </c>
      <c r="B4" s="18" t="s">
        <v>160</v>
      </c>
      <c r="C4" s="18" t="s">
        <v>210</v>
      </c>
      <c r="D4" s="18" t="s">
        <v>208</v>
      </c>
      <c r="E4" s="24"/>
      <c r="F4" s="24"/>
      <c r="G4" s="33" t="n">
        <v>100</v>
      </c>
      <c r="H4" s="33" t="n">
        <v>92.25</v>
      </c>
      <c r="I4" s="18" t="s">
        <v>211</v>
      </c>
    </row>
    <row r="5" customFormat="false" ht="15" hidden="false" customHeight="false" outlineLevel="0" collapsed="false">
      <c r="A5" s="18" t="s">
        <v>161</v>
      </c>
      <c r="B5" s="18" t="s">
        <v>161</v>
      </c>
      <c r="C5" s="18" t="s">
        <v>212</v>
      </c>
      <c r="D5" s="18" t="s">
        <v>208</v>
      </c>
      <c r="E5" s="24"/>
      <c r="F5" s="24"/>
      <c r="G5" s="33" t="n">
        <v>100</v>
      </c>
      <c r="H5" s="33" t="n">
        <v>92.25</v>
      </c>
      <c r="I5" s="18" t="s">
        <v>211</v>
      </c>
    </row>
    <row r="6" customFormat="false" ht="15" hidden="false" customHeight="false" outlineLevel="0" collapsed="false">
      <c r="A6" s="18" t="s">
        <v>162</v>
      </c>
      <c r="B6" s="18" t="s">
        <v>163</v>
      </c>
      <c r="C6" s="18" t="s">
        <v>213</v>
      </c>
      <c r="D6" s="18" t="s">
        <v>208</v>
      </c>
      <c r="E6" s="24"/>
      <c r="F6" s="24"/>
      <c r="G6" s="33" t="n">
        <v>100</v>
      </c>
      <c r="H6" s="33" t="n">
        <v>92.25</v>
      </c>
      <c r="I6" s="18" t="s">
        <v>211</v>
      </c>
    </row>
    <row r="7" customFormat="false" ht="15" hidden="false" customHeight="false" outlineLevel="0" collapsed="false">
      <c r="A7" s="18" t="s">
        <v>214</v>
      </c>
      <c r="B7" s="18" t="s">
        <v>215</v>
      </c>
      <c r="C7" s="18" t="s">
        <v>216</v>
      </c>
      <c r="D7" s="18" t="s">
        <v>217</v>
      </c>
      <c r="E7" s="18"/>
      <c r="F7" s="18"/>
      <c r="G7" s="21" t="n">
        <v>95</v>
      </c>
      <c r="H7" s="21" t="n">
        <v>90</v>
      </c>
      <c r="I7" s="18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30" hidden="false" customHeight="true" outlineLevel="0" collapsed="false">
      <c r="A1" s="9" t="s">
        <v>165</v>
      </c>
      <c r="B1" s="9" t="s">
        <v>219</v>
      </c>
      <c r="C1" s="9" t="s">
        <v>220</v>
      </c>
      <c r="D1" s="9" t="s">
        <v>201</v>
      </c>
    </row>
    <row r="2" customFormat="false" ht="15" hidden="false" customHeight="false" outlineLevel="0" collapsed="false">
      <c r="A2" s="18" t="s">
        <v>170</v>
      </c>
      <c r="B2" s="18" t="s">
        <v>159</v>
      </c>
      <c r="C2" s="34"/>
      <c r="D2" s="18" t="s">
        <v>221</v>
      </c>
    </row>
    <row r="3" customFormat="false" ht="15" hidden="false" customHeight="false" outlineLevel="0" collapsed="false">
      <c r="A3" s="18" t="s">
        <v>170</v>
      </c>
      <c r="B3" s="18" t="s">
        <v>222</v>
      </c>
      <c r="C3" s="34"/>
      <c r="D3" s="18" t="s">
        <v>223</v>
      </c>
    </row>
    <row r="4" customFormat="false" ht="15" hidden="false" customHeight="false" outlineLevel="0" collapsed="false">
      <c r="A4" s="18" t="s">
        <v>159</v>
      </c>
      <c r="B4" s="18" t="s">
        <v>224</v>
      </c>
      <c r="C4" s="34"/>
      <c r="D4" s="18" t="s">
        <v>223</v>
      </c>
    </row>
    <row r="5" customFormat="false" ht="15" hidden="false" customHeight="false" outlineLevel="0" collapsed="false">
      <c r="A5" s="20" t="s">
        <v>225</v>
      </c>
      <c r="B5" s="18" t="s">
        <v>160</v>
      </c>
      <c r="C5" s="34"/>
      <c r="D5" s="18" t="s">
        <v>221</v>
      </c>
    </row>
    <row r="6" customFormat="false" ht="15" hidden="false" customHeight="false" outlineLevel="0" collapsed="false">
      <c r="A6" s="20" t="s">
        <v>225</v>
      </c>
      <c r="B6" s="18" t="s">
        <v>78</v>
      </c>
      <c r="C6" s="34"/>
      <c r="D6" s="18" t="s">
        <v>221</v>
      </c>
    </row>
    <row r="7" customFormat="false" ht="15" hidden="false" customHeight="false" outlineLevel="0" collapsed="false">
      <c r="A7" s="20" t="s">
        <v>225</v>
      </c>
      <c r="B7" s="18" t="s">
        <v>226</v>
      </c>
      <c r="C7" s="34"/>
      <c r="D7" s="18" t="s">
        <v>221</v>
      </c>
    </row>
    <row r="8" customFormat="false" ht="15" hidden="false" customHeight="false" outlineLevel="0" collapsed="false">
      <c r="A8" s="20" t="s">
        <v>225</v>
      </c>
      <c r="B8" s="18" t="s">
        <v>161</v>
      </c>
      <c r="C8" s="34"/>
      <c r="D8" s="18" t="s">
        <v>221</v>
      </c>
    </row>
    <row r="9" customFormat="false" ht="15" hidden="false" customHeight="false" outlineLevel="0" collapsed="false">
      <c r="A9" s="20" t="s">
        <v>225</v>
      </c>
      <c r="B9" s="18" t="s">
        <v>163</v>
      </c>
      <c r="C9" s="34"/>
      <c r="D9" s="18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30" hidden="false" customHeight="true" outlineLevel="0" collapsed="false">
      <c r="A1" s="9" t="s">
        <v>227</v>
      </c>
      <c r="B1" s="9" t="s">
        <v>118</v>
      </c>
      <c r="C1" s="9" t="s">
        <v>69</v>
      </c>
      <c r="D1" s="9" t="s">
        <v>228</v>
      </c>
      <c r="E1" s="9" t="s">
        <v>229</v>
      </c>
      <c r="F1" s="9" t="s">
        <v>230</v>
      </c>
    </row>
    <row r="2" customFormat="false" ht="15" hidden="false" customHeight="false" outlineLevel="0" collapsed="false">
      <c r="A2" s="18" t="s">
        <v>231</v>
      </c>
      <c r="B2" s="20" t="s">
        <v>82</v>
      </c>
      <c r="C2" s="18" t="s">
        <v>215</v>
      </c>
      <c r="D2" s="18" t="s">
        <v>232</v>
      </c>
      <c r="E2" s="27"/>
      <c r="F2" s="18" t="s">
        <v>233</v>
      </c>
    </row>
    <row r="3" customFormat="false" ht="15" hidden="false" customHeight="false" outlineLevel="0" collapsed="false">
      <c r="A3" s="18" t="s">
        <v>234</v>
      </c>
      <c r="B3" s="20" t="s">
        <v>150</v>
      </c>
      <c r="C3" s="18" t="s">
        <v>215</v>
      </c>
      <c r="D3" s="18" t="s">
        <v>232</v>
      </c>
      <c r="E3" s="27"/>
      <c r="F3" s="18" t="s">
        <v>233</v>
      </c>
    </row>
    <row r="4" customFormat="false" ht="15" hidden="false" customHeight="false" outlineLevel="0" collapsed="false">
      <c r="A4" s="18" t="s">
        <v>235</v>
      </c>
      <c r="B4" s="20" t="s">
        <v>236</v>
      </c>
      <c r="C4" s="18" t="s">
        <v>78</v>
      </c>
      <c r="D4" s="18" t="s">
        <v>237</v>
      </c>
      <c r="E4" s="27"/>
      <c r="F4" s="18" t="s">
        <v>238</v>
      </c>
    </row>
    <row r="5" customFormat="false" ht="15" hidden="false" customHeight="false" outlineLevel="0" collapsed="false">
      <c r="A5" s="18" t="s">
        <v>239</v>
      </c>
      <c r="B5" s="20" t="s">
        <v>240</v>
      </c>
      <c r="C5" s="18" t="s">
        <v>160</v>
      </c>
      <c r="D5" s="18" t="s">
        <v>237</v>
      </c>
      <c r="E5" s="27"/>
      <c r="F5" s="18" t="s">
        <v>238</v>
      </c>
    </row>
    <row r="6" customFormat="false" ht="15" hidden="false" customHeight="false" outlineLevel="0" collapsed="false">
      <c r="A6" s="18" t="s">
        <v>241</v>
      </c>
      <c r="B6" s="20" t="s">
        <v>242</v>
      </c>
      <c r="C6" s="18" t="s">
        <v>161</v>
      </c>
      <c r="D6" s="18" t="s">
        <v>237</v>
      </c>
      <c r="E6" s="27"/>
      <c r="F6" s="18" t="s">
        <v>238</v>
      </c>
    </row>
    <row r="7" customFormat="false" ht="15" hidden="false" customHeight="false" outlineLevel="0" collapsed="false">
      <c r="A7" s="18" t="s">
        <v>243</v>
      </c>
      <c r="B7" s="20" t="s">
        <v>244</v>
      </c>
      <c r="C7" s="18" t="s">
        <v>163</v>
      </c>
      <c r="D7" s="18" t="s">
        <v>245</v>
      </c>
      <c r="E7" s="27"/>
      <c r="F7" s="18" t="s">
        <v>246</v>
      </c>
    </row>
    <row r="8" customFormat="false" ht="15" hidden="false" customHeight="false" outlineLevel="0" collapsed="false">
      <c r="A8" s="20"/>
      <c r="B8" s="20"/>
      <c r="C8" s="20"/>
      <c r="D8" s="20"/>
      <c r="E8" s="27"/>
      <c r="F8" s="20"/>
    </row>
    <row r="9" customFormat="false" ht="15" hidden="false" customHeight="false" outlineLevel="0" collapsed="false">
      <c r="A9" s="20"/>
      <c r="B9" s="20"/>
      <c r="C9" s="20"/>
      <c r="D9" s="20"/>
      <c r="E9" s="27"/>
      <c r="F9" s="20"/>
    </row>
    <row r="10" customFormat="false" ht="15" hidden="false" customHeight="false" outlineLevel="0" collapsed="false">
      <c r="A10" s="20"/>
      <c r="B10" s="20"/>
      <c r="C10" s="20"/>
      <c r="D10" s="20"/>
      <c r="E10" s="27"/>
      <c r="F10" s="20"/>
    </row>
    <row r="11" customFormat="false" ht="15" hidden="false" customHeight="false" outlineLevel="0" collapsed="false">
      <c r="A11" s="20"/>
      <c r="B11" s="20"/>
      <c r="C11" s="20"/>
      <c r="D11" s="20"/>
      <c r="E11" s="27"/>
      <c r="F11" s="20"/>
    </row>
    <row r="12" customFormat="false" ht="15" hidden="false" customHeight="false" outlineLevel="0" collapsed="false">
      <c r="A12" s="20"/>
      <c r="B12" s="20"/>
      <c r="C12" s="20"/>
      <c r="D12" s="20"/>
      <c r="E12" s="27"/>
      <c r="F12" s="20"/>
    </row>
    <row r="13" customFormat="false" ht="15" hidden="false" customHeight="false" outlineLevel="0" collapsed="false">
      <c r="A13" s="20"/>
      <c r="B13" s="20"/>
      <c r="C13" s="20"/>
      <c r="D13" s="20"/>
      <c r="E13" s="27"/>
      <c r="F13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247</v>
      </c>
      <c r="D1" s="9" t="s">
        <v>248</v>
      </c>
      <c r="E1" s="9" t="s">
        <v>69</v>
      </c>
      <c r="F1" s="9" t="s">
        <v>86</v>
      </c>
    </row>
    <row r="2" customFormat="false" ht="15" hidden="false" customHeight="false" outlineLevel="0" collapsed="false">
      <c r="A2" s="22"/>
      <c r="B2" s="20"/>
      <c r="C2" s="20"/>
      <c r="D2" s="20"/>
      <c r="E2" s="20"/>
      <c r="F2" s="24"/>
    </row>
    <row r="3" customFormat="false" ht="15" hidden="false" customHeight="false" outlineLevel="0" collapsed="false">
      <c r="A3" s="22"/>
      <c r="B3" s="20"/>
      <c r="C3" s="20"/>
      <c r="D3" s="20"/>
      <c r="E3" s="20"/>
      <c r="F3" s="24"/>
    </row>
    <row r="4" customFormat="false" ht="15" hidden="false" customHeight="false" outlineLevel="0" collapsed="false">
      <c r="A4" s="22"/>
      <c r="B4" s="20"/>
      <c r="C4" s="20"/>
      <c r="D4" s="20"/>
      <c r="E4" s="20"/>
      <c r="F4" s="24"/>
    </row>
    <row r="5" customFormat="false" ht="15" hidden="false" customHeight="false" outlineLevel="0" collapsed="false">
      <c r="A5" s="22"/>
      <c r="B5" s="20"/>
      <c r="C5" s="20"/>
      <c r="D5" s="20"/>
      <c r="E5" s="20"/>
      <c r="F5" s="24"/>
    </row>
    <row r="6" customFormat="false" ht="15" hidden="false" customHeight="false" outlineLevel="0" collapsed="false">
      <c r="A6" s="22"/>
      <c r="B6" s="20"/>
      <c r="C6" s="20"/>
      <c r="D6" s="20"/>
      <c r="E6" s="20"/>
      <c r="F6" s="24"/>
    </row>
    <row r="7" customFormat="false" ht="15" hidden="false" customHeight="false" outlineLevel="0" collapsed="false">
      <c r="A7" s="22"/>
      <c r="B7" s="20"/>
      <c r="C7" s="20"/>
      <c r="D7" s="20"/>
      <c r="E7" s="20"/>
      <c r="F7" s="24"/>
    </row>
    <row r="8" customFormat="false" ht="15" hidden="false" customHeight="false" outlineLevel="0" collapsed="false">
      <c r="A8" s="22"/>
      <c r="B8" s="20"/>
      <c r="C8" s="20"/>
      <c r="D8" s="20"/>
      <c r="E8" s="20"/>
      <c r="F8" s="24"/>
    </row>
    <row r="9" customFormat="false" ht="15" hidden="false" customHeight="false" outlineLevel="0" collapsed="false">
      <c r="A9" s="22"/>
      <c r="B9" s="20"/>
      <c r="C9" s="20"/>
      <c r="D9" s="20"/>
      <c r="E9" s="20"/>
      <c r="F9" s="24"/>
    </row>
    <row r="10" customFormat="false" ht="15" hidden="false" customHeight="false" outlineLevel="0" collapsed="false">
      <c r="A10" s="22"/>
      <c r="B10" s="20"/>
      <c r="C10" s="20"/>
      <c r="D10" s="20"/>
      <c r="E10" s="20"/>
      <c r="F10" s="24"/>
    </row>
    <row r="11" customFormat="false" ht="15" hidden="false" customHeight="false" outlineLevel="0" collapsed="false">
      <c r="A11" s="22"/>
      <c r="B11" s="20"/>
      <c r="C11" s="20"/>
      <c r="D11" s="20"/>
      <c r="E11" s="20"/>
      <c r="F11" s="24"/>
    </row>
    <row r="12" customFormat="false" ht="15" hidden="false" customHeight="false" outlineLevel="0" collapsed="false">
      <c r="A12" s="22"/>
      <c r="B12" s="20"/>
      <c r="C12" s="20"/>
      <c r="D12" s="20"/>
      <c r="E12" s="20"/>
      <c r="F12" s="24"/>
    </row>
    <row r="13" customFormat="false" ht="15" hidden="false" customHeight="false" outlineLevel="0" collapsed="false">
      <c r="A13" s="22"/>
      <c r="B13" s="20"/>
      <c r="C13" s="20"/>
      <c r="D13" s="20"/>
      <c r="E13" s="20"/>
      <c r="F13" s="24"/>
    </row>
    <row r="14" customFormat="false" ht="15" hidden="false" customHeight="false" outlineLevel="0" collapsed="false">
      <c r="A14" s="22"/>
      <c r="B14" s="20"/>
      <c r="C14" s="20"/>
      <c r="D14" s="20"/>
      <c r="E14" s="20"/>
      <c r="F14" s="24"/>
    </row>
    <row r="15" customFormat="false" ht="15" hidden="false" customHeight="false" outlineLevel="0" collapsed="false">
      <c r="A15" s="22"/>
      <c r="B15" s="20"/>
      <c r="C15" s="20"/>
      <c r="D15" s="20"/>
      <c r="E15" s="20"/>
      <c r="F15" s="24"/>
    </row>
    <row r="16" customFormat="false" ht="15" hidden="false" customHeight="false" outlineLevel="0" collapsed="false">
      <c r="A16" s="22"/>
      <c r="B16" s="20"/>
      <c r="C16" s="20"/>
      <c r="D16" s="20"/>
      <c r="E16" s="20"/>
      <c r="F16" s="24"/>
    </row>
    <row r="17" customFormat="false" ht="15" hidden="false" customHeight="false" outlineLevel="0" collapsed="false">
      <c r="A17" s="22"/>
      <c r="B17" s="20"/>
      <c r="C17" s="20"/>
      <c r="D17" s="20"/>
      <c r="E17" s="20"/>
      <c r="F17" s="24"/>
    </row>
    <row r="18" customFormat="false" ht="15" hidden="false" customHeight="false" outlineLevel="0" collapsed="false">
      <c r="A18" s="22"/>
      <c r="B18" s="20"/>
      <c r="C18" s="20"/>
      <c r="D18" s="20"/>
      <c r="E18" s="20"/>
      <c r="F18" s="24"/>
    </row>
    <row r="19" customFormat="false" ht="15" hidden="false" customHeight="false" outlineLevel="0" collapsed="false">
      <c r="A19" s="22"/>
      <c r="B19" s="20"/>
      <c r="C19" s="20"/>
      <c r="D19" s="20"/>
      <c r="E19" s="20"/>
      <c r="F19" s="24"/>
    </row>
    <row r="20" customFormat="false" ht="15" hidden="false" customHeight="false" outlineLevel="0" collapsed="false">
      <c r="A20" s="22"/>
      <c r="B20" s="20"/>
      <c r="C20" s="20"/>
      <c r="D20" s="20"/>
      <c r="E20" s="20"/>
      <c r="F20" s="24"/>
    </row>
    <row r="21" customFormat="false" ht="15" hidden="false" customHeight="false" outlineLevel="0" collapsed="false">
      <c r="A21" s="22"/>
      <c r="B21" s="20"/>
      <c r="C21" s="20"/>
      <c r="D21" s="20"/>
      <c r="E21" s="20"/>
      <c r="F21" s="24"/>
    </row>
    <row r="22" customFormat="false" ht="15" hidden="false" customHeight="false" outlineLevel="0" collapsed="false">
      <c r="A22" s="22"/>
      <c r="B22" s="20"/>
      <c r="C22" s="20"/>
      <c r="D22" s="20"/>
      <c r="E22" s="20"/>
      <c r="F22" s="24"/>
    </row>
    <row r="23" customFormat="false" ht="15" hidden="false" customHeight="false" outlineLevel="0" collapsed="false">
      <c r="A23" s="22"/>
      <c r="B23" s="20"/>
      <c r="C23" s="20"/>
      <c r="D23" s="20"/>
      <c r="E23" s="20"/>
      <c r="F23" s="24"/>
    </row>
    <row r="24" customFormat="false" ht="15" hidden="false" customHeight="false" outlineLevel="0" collapsed="false">
      <c r="A24" s="22"/>
      <c r="B24" s="20"/>
      <c r="C24" s="20"/>
      <c r="D24" s="20"/>
      <c r="E24" s="20"/>
      <c r="F24" s="24"/>
    </row>
    <row r="25" customFormat="false" ht="15" hidden="false" customHeight="false" outlineLevel="0" collapsed="false">
      <c r="A25" s="22"/>
      <c r="B25" s="20"/>
      <c r="C25" s="20"/>
      <c r="D25" s="20"/>
      <c r="E25" s="20"/>
      <c r="F25" s="24"/>
    </row>
    <row r="26" customFormat="false" ht="15" hidden="false" customHeight="false" outlineLevel="0" collapsed="false">
      <c r="A26" s="22"/>
      <c r="B26" s="20"/>
      <c r="C26" s="20"/>
      <c r="D26" s="20"/>
      <c r="E26" s="20"/>
      <c r="F26" s="24"/>
    </row>
    <row r="27" customFormat="false" ht="15" hidden="false" customHeight="false" outlineLevel="0" collapsed="false">
      <c r="A27" s="22"/>
      <c r="B27" s="20"/>
      <c r="C27" s="20"/>
      <c r="D27" s="20"/>
      <c r="E27" s="20"/>
      <c r="F27" s="24"/>
    </row>
    <row r="28" customFormat="false" ht="15" hidden="false" customHeight="false" outlineLevel="0" collapsed="false">
      <c r="A28" s="22"/>
      <c r="B28" s="20"/>
      <c r="C28" s="20"/>
      <c r="D28" s="20"/>
      <c r="E28" s="20"/>
      <c r="F28" s="24"/>
    </row>
    <row r="29" customFormat="false" ht="15" hidden="false" customHeight="false" outlineLevel="0" collapsed="false">
      <c r="A29" s="22"/>
      <c r="B29" s="20"/>
      <c r="C29" s="20"/>
      <c r="D29" s="20"/>
      <c r="E29" s="20"/>
      <c r="F29" s="24"/>
    </row>
    <row r="30" customFormat="false" ht="15" hidden="false" customHeight="false" outlineLevel="0" collapsed="false">
      <c r="A30" s="22"/>
      <c r="B30" s="20"/>
      <c r="C30" s="20"/>
      <c r="D30" s="20"/>
      <c r="E30" s="20"/>
      <c r="F30" s="24"/>
    </row>
    <row r="31" customFormat="false" ht="15" hidden="false" customHeight="false" outlineLevel="0" collapsed="false">
      <c r="A31" s="22"/>
      <c r="B31" s="20"/>
      <c r="C31" s="20"/>
      <c r="D31" s="20"/>
      <c r="E31" s="20"/>
      <c r="F31" s="24"/>
    </row>
    <row r="32" customFormat="false" ht="15" hidden="false" customHeight="false" outlineLevel="0" collapsed="false">
      <c r="A32" s="22"/>
      <c r="B32" s="20"/>
      <c r="C32" s="20"/>
      <c r="D32" s="20"/>
      <c r="E32" s="20"/>
      <c r="F32" s="24"/>
    </row>
    <row r="33" customFormat="false" ht="15" hidden="false" customHeight="false" outlineLevel="0" collapsed="false">
      <c r="A33" s="22"/>
      <c r="B33" s="20"/>
      <c r="C33" s="20"/>
      <c r="D33" s="20"/>
      <c r="E33" s="20"/>
      <c r="F33" s="24"/>
    </row>
    <row r="34" customFormat="false" ht="15" hidden="false" customHeight="false" outlineLevel="0" collapsed="false">
      <c r="A34" s="22"/>
      <c r="B34" s="20"/>
      <c r="C34" s="20"/>
      <c r="D34" s="20"/>
      <c r="E34" s="20"/>
      <c r="F34" s="24"/>
    </row>
    <row r="35" customFormat="false" ht="15" hidden="false" customHeight="false" outlineLevel="0" collapsed="false">
      <c r="A35" s="22"/>
      <c r="B35" s="20"/>
      <c r="C35" s="20"/>
      <c r="D35" s="20"/>
      <c r="E35" s="20"/>
      <c r="F35" s="24"/>
    </row>
    <row r="36" customFormat="false" ht="15" hidden="false" customHeight="false" outlineLevel="0" collapsed="false">
      <c r="A36" s="22"/>
      <c r="B36" s="20"/>
      <c r="C36" s="20"/>
      <c r="D36" s="20"/>
      <c r="E36" s="20"/>
      <c r="F36" s="24"/>
    </row>
    <row r="37" customFormat="false" ht="15" hidden="false" customHeight="false" outlineLevel="0" collapsed="false">
      <c r="A37" s="22"/>
      <c r="B37" s="20"/>
      <c r="C37" s="20"/>
      <c r="D37" s="20"/>
      <c r="E37" s="20"/>
      <c r="F37" s="24"/>
    </row>
    <row r="38" customFormat="false" ht="15" hidden="false" customHeight="false" outlineLevel="0" collapsed="false">
      <c r="A38" s="22"/>
      <c r="B38" s="20"/>
      <c r="C38" s="20"/>
      <c r="D38" s="20"/>
      <c r="E38" s="20"/>
      <c r="F38" s="24"/>
    </row>
    <row r="39" customFormat="false" ht="15" hidden="false" customHeight="false" outlineLevel="0" collapsed="false">
      <c r="A39" s="22"/>
      <c r="B39" s="20"/>
      <c r="C39" s="20"/>
      <c r="D39" s="20"/>
      <c r="E39" s="20"/>
      <c r="F39" s="24"/>
    </row>
    <row r="40" customFormat="false" ht="15" hidden="false" customHeight="false" outlineLevel="0" collapsed="false">
      <c r="A40" s="22"/>
      <c r="B40" s="20"/>
      <c r="C40" s="20"/>
      <c r="D40" s="20"/>
      <c r="E40" s="20"/>
      <c r="F40" s="24"/>
    </row>
    <row r="41" customFormat="false" ht="15" hidden="false" customHeight="false" outlineLevel="0" collapsed="false">
      <c r="A41" s="22"/>
      <c r="B41" s="20"/>
      <c r="C41" s="20"/>
      <c r="D41" s="20"/>
      <c r="E41" s="20"/>
      <c r="F41" s="24"/>
    </row>
  </sheetData>
  <dataValidations count="3">
    <dataValidation allowBlank="true" error="Pilih salah satu: Realisasi, Rencana" errorStyle="stop" errorTitle="Isian tidak dikenal" operator="between" prompt="Pilih dari daftar" promptTitle="Jenis" showDropDown="false" showErrorMessage="true" showInputMessage="false" sqref="B2:B41" type="list">
      <formula1>"Realisasi,Rencana"</formula1>
      <formula2>0</formula2>
    </dataValidation>
    <dataValidation allowBlank="true" error="Pilih salah satu: PKG, PKT, PIM, PSP, PKC" errorStyle="stop" errorTitle="Isian tidak dikenal" operator="between" prompt="Pilih dari daftar" promptTitle="Entitas" showDropDown="false" showErrorMessage="true" showInputMessage="false" sqref="C2:D41" type="list">
      <formula1>"PKG,PKT,PIM,PSP,PKC"</formula1>
      <formula2>0</formula2>
    </dataValidation>
    <dataValidation allowBlank="true" error="Pilih salah satu: Amoniak, Urea, ZA, KCl, DAP" errorStyle="stop" errorTitle="Isian tidak dikenal" operator="between" prompt="Pilih dari daftar" promptTitle="Material" showDropDown="false" showErrorMessage="true" showInputMessage="false" sqref="E2:E41" type="list">
      <formula1>"Amoniak,Urea,ZA,KCl,DAP"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9" t="s">
        <v>249</v>
      </c>
      <c r="B1" s="9" t="s">
        <v>250</v>
      </c>
      <c r="C1" s="9" t="s">
        <v>251</v>
      </c>
    </row>
    <row r="2" customFormat="false" ht="23.85" hidden="false" customHeight="false" outlineLevel="0" collapsed="false">
      <c r="A2" s="18" t="s">
        <v>252</v>
      </c>
      <c r="B2" s="35" t="s">
        <v>253</v>
      </c>
      <c r="C2" s="35" t="s">
        <v>254</v>
      </c>
    </row>
    <row r="3" customFormat="false" ht="23.85" hidden="false" customHeight="false" outlineLevel="0" collapsed="false">
      <c r="A3" s="18" t="s">
        <v>255</v>
      </c>
      <c r="B3" s="35" t="s">
        <v>256</v>
      </c>
      <c r="C3" s="35" t="s">
        <v>257</v>
      </c>
    </row>
    <row r="4" customFormat="false" ht="23.85" hidden="false" customHeight="false" outlineLevel="0" collapsed="false">
      <c r="A4" s="18" t="s">
        <v>258</v>
      </c>
      <c r="B4" s="35" t="s">
        <v>259</v>
      </c>
      <c r="C4" s="35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2026-10-12T03:09:54Z</dcterms:created>
  <dc:creator>openpyxl</dc:creator>
  <dc:description/>
  <dc:language>en-US</dc:language>
  <cp:lastModifiedBy/>
  <dcterms:modified xsi:type="dcterms:W3CDTF">2026-10-12T03:09:55Z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