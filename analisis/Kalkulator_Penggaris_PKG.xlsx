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Penggaris" sheetId="2" state="visible" r:id="rId4"/>
    <sheet name="Parameter" sheetId="3" state="visible" r:id="rId5"/>
    <sheet name="Data_LT" sheetId="4" state="visible" r:id="rId6"/>
    <sheet name="Data_C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Isi bila data histori belum ada atau ingin memakai angka resmi Pengadaan.</t>
        </r>
      </text>
    </comment>
    <comment ref="L5" authorId="0">
      <text>
        <r>
          <rPr>
            <sz val="10"/>
            <rFont val="Arial"/>
            <family val="2"/>
          </rPr>
          <t xml:space="preserve">Kosongkan untuk memakai tingkat layanan bawaan di Parameter.</t>
        </r>
      </text>
    </comment>
    <comment ref="P5" authorId="0">
      <text>
        <r>
          <rPr>
            <sz val="10"/>
            <rFont val="Arial"/>
            <family val="2"/>
          </rPr>
          <t xml:space="preserve">Kosongkan untuk memakai metode bawaan di Parameter.</t>
        </r>
      </text>
    </comment>
    <comment ref="W5" authorId="0">
      <text>
        <r>
          <rPr>
            <sz val="10"/>
            <rFont val="Arial"/>
            <family val="2"/>
          </rPr>
          <t xml:space="preserve">Tingkat layanan yang setara dengan SS eksisting menurut rumus statistik.</t>
        </r>
      </text>
    </comment>
    <comment ref="Z5" authorId="0">
      <text>
        <r>
          <rPr>
            <sz val="10"/>
            <rFont val="Arial"/>
            <family val="2"/>
          </rPr>
          <t xml:space="preserve">Hanya kargo yang sudah dikontrak/dipesan. Rencana Dalops di kolom AD sebagai pembanding.</t>
        </r>
      </text>
    </comment>
    <comment ref="AB5" authorId="0">
      <text>
        <r>
          <rPr>
            <sz val="10"/>
            <rFont val="Arial"/>
            <family val="2"/>
          </rPr>
          <t xml:space="preserve">Linear: (posisi persediaan − ROP) ÷ CR rata-rata, tanpa memperhitungkan kedatangan.</t>
        </r>
      </text>
    </comment>
  </commentList>
</comments>
</file>

<file path=xl/sharedStrings.xml><?xml version="1.0" encoding="utf-8"?>
<sst xmlns="http://schemas.openxmlformats.org/spreadsheetml/2006/main" count="658" uniqueCount="140">
  <si>
    <t xml:space="preserve">Kalkulator Penggaris Safety Stock &amp; Titik Tender · PKG</t>
  </si>
  <si>
    <t xml:space="preserve">Sumber: DATA_LEADTIME_BB.xlsx (sheet PKG) · SS, deadstock, stok posisi 4 Oktober 2026 dari dashboard CAK PRI v2beta</t>
  </si>
  <si>
    <t xml:space="preserve">Tujuan</t>
  </si>
  <si>
    <t xml:space="preserve">Menetapkan penggaris TETAP per bahan baku: bila posisi persediaan menyentuh TITIK TENDER, proses tender/pembelian harus dimulai. Angka ditinjau per periode (mis. per semester), bukan berubah harian.</t>
  </si>
  <si>
    <t xml:space="preserve">Tiga garis</t>
  </si>
  <si>
    <t xml:space="preserve">TITIK TENDER (ROP) → mulai tender.  SAFETY STOCK → alarm, ada yang meleset.  DEADSTOCK → lantai fisik, tidak bisa dipakai.</t>
  </si>
  <si>
    <t xml:space="preserve">Rumus ROP</t>
  </si>
  <si>
    <t xml:space="preserve">ROP = CR rata-rata × LT dipakai + SS usulan.   LT dipakai = LT rata-rata (atau isian override) − pemangkasan hari persiapan.</t>
  </si>
  <si>
    <t xml:space="preserve">SS statistik</t>
  </si>
  <si>
    <t xml:space="preserve">SS = z × √( LT × sd CR² + CR² × sd LT² ),  z dari tingkat layanan (95% → 1,645). Menangkap variasi konsumsi dan variasi lead time.</t>
  </si>
  <si>
    <t xml:space="preserve">SS maks–rata-rata</t>
  </si>
  <si>
    <t xml:space="preserve">SS = (LT persentil × CR persentil) − (LT rata-rata × CR rata-rata). Persentil 100% = maks murni (rumus di berkas sumber); 90% meredam pencilan.</t>
  </si>
  <si>
    <t xml:space="preserve">Metode dipakai</t>
  </si>
  <si>
    <t xml:space="preserve">Statistik · Maks–rata-rata · Terbesar dari keduanya. Pilih global di sheet Parameter, atau per bahan di sheet Penggaris (kolom pilihan).</t>
  </si>
  <si>
    <t xml:space="preserve">Posisi persediaan</t>
  </si>
  <si>
    <t xml:space="preserve">Stok gudang + kargo yang SUDAH DIKONTRAK tetapi belum tiba. Yang dibandingkan dengan ROP adalah posisi persediaan, bukan stok gudang saja, agar tidak terjadi pembelian ganda.</t>
  </si>
  <si>
    <t xml:space="preserve">Goal Seek</t>
  </si>
  <si>
    <t xml:space="preserve">TIDAK diperlukan. Semua hasil berupa rumus langsung. Pertanyaan kebalikan juga rumus langsung: tingkat layanan yang setara SS eksisting, dan perkiraan hari sampai titik tender.</t>
  </si>
  <si>
    <t xml:space="preserve">Cara pakai</t>
  </si>
  <si>
    <t xml:space="preserve">1) Sheet Parameter: tingkat layanan, persentil, metode.  2) Sheet Penggaris: isi stok gudang terbaru dan kargo sudah kontrak (kuning).  3) Baca kolom Status.  4) Data histori di Data_LT dan Data_CR bisa ditambah; rentang rumus sudah disiapkan sampai baris kosong cadangan.</t>
  </si>
  <si>
    <t xml:space="preserve">Catatan data</t>
  </si>
  <si>
    <t xml:space="preserve">Kolom P (persiapan) di data sumber berupa asumsi tetap (7+0+25+7 atau 7+0+25+14 hari) dan L (bongkar) juga tetap, sehingga sd LT hanya mencerminkan variasi pelayaran. Ganti dengan tanggal aktual proses tender bila tersedia. Asam fosfat dan KCl flake belum punya data lead time: isi LT override atau lengkapi Data_LT.</t>
  </si>
  <si>
    <t xml:space="preserve">Status</t>
  </si>
  <si>
    <t xml:space="preserve">Indikatif untuk kajian; angka SS/ROP final mengikuti Kesepakatan PI Group setelah divalidasi Pengadaan, PPP, dan Keuangan.</t>
  </si>
  <si>
    <t xml:space="preserve">Arti warna</t>
  </si>
  <si>
    <t xml:space="preserve">contoh</t>
  </si>
  <si>
    <t xml:space="preserve">Isian / pilihan — boleh diubah</t>
  </si>
  <si>
    <t xml:space="preserve">Data histori atau data dashboard (teks hitam)</t>
  </si>
  <si>
    <t xml:space="preserve">Hasil utama</t>
  </si>
  <si>
    <t xml:space="preserve">Teks hijau = mengambil dari sheet lain</t>
  </si>
  <si>
    <t xml:space="preserve">Penggaris Safety Stock &amp; Titik Tender · PKG</t>
  </si>
  <si>
    <t xml:space="preserve">LEAD TIME (hari)</t>
  </si>
  <si>
    <t xml:space="preserve">KONSUMSI</t>
  </si>
  <si>
    <t xml:space="preserve">SAFETY STOCK</t>
  </si>
  <si>
    <t xml:space="preserve">PENGGARIS</t>
  </si>
  <si>
    <t xml:space="preserve">PEMBANDING</t>
  </si>
  <si>
    <t xml:space="preserve">POSISI &amp; STATUS</t>
  </si>
  <si>
    <t xml:space="preserve">INFORMASI</t>
  </si>
  <si>
    <t xml:space="preserve">Bahan baku</t>
  </si>
  <si>
    <t xml:space="preserve">Kargo (n)</t>
  </si>
  <si>
    <t xml:space="preserve">LT rata-rata</t>
  </si>
  <si>
    <t xml:space="preserve">LT persentil</t>
  </si>
  <si>
    <t xml:space="preserve">sd LT</t>
  </si>
  <si>
    <t xml:space="preserve">LT override</t>
  </si>
  <si>
    <t xml:space="preserve">LT dipakai</t>
  </si>
  <si>
    <t xml:space="preserve">Bulan CR (n)</t>
  </si>
  <si>
    <t xml:space="preserve">CR rata-rata (t/hari)</t>
  </si>
  <si>
    <t xml:space="preserve">CR persentil (t/hari)</t>
  </si>
  <si>
    <t xml:space="preserve">sd CR</t>
  </si>
  <si>
    <t xml:space="preserve">Tingkat layanan</t>
  </si>
  <si>
    <t xml:space="preserve">z</t>
  </si>
  <si>
    <t xml:space="preserve">SS statistik (t)</t>
  </si>
  <si>
    <t xml:space="preserve">SS maks–rata-rata (t)</t>
  </si>
  <si>
    <t xml:space="preserve">Metode</t>
  </si>
  <si>
    <t xml:space="preserve">SS USULAN (t)</t>
  </si>
  <si>
    <t xml:space="preserve">TITIK TENDER / ROP (t)</t>
  </si>
  <si>
    <t xml:space="preserve">SS usulan (hari)</t>
  </si>
  <si>
    <t xml:space="preserve">ROP (hari)</t>
  </si>
  <si>
    <t xml:space="preserve">SS eksisting (t)</t>
  </si>
  <si>
    <t xml:space="preserve">Selisih SS usulan − eksisting</t>
  </si>
  <si>
    <t xml:space="preserve">Layanan setara SS eksisting</t>
  </si>
  <si>
    <t xml:space="preserve">Deadstock (t)</t>
  </si>
  <si>
    <t xml:space="preserve">Stok gudang (t)</t>
  </si>
  <si>
    <t xml:space="preserve">Kargo sudah kontrak, belum tiba (t)</t>
  </si>
  <si>
    <t xml:space="preserve">Posisi persediaan (t)</t>
  </si>
  <si>
    <t xml:space="preserve">Perkiraan hari sampai ROP</t>
  </si>
  <si>
    <t xml:space="preserve">STATUS</t>
  </si>
  <si>
    <t xml:space="preserve">Rencana kedatangan Dalops s.d. 31 Des (t, informasi)</t>
  </si>
  <si>
    <t xml:space="preserve">Turun ROP per 1 hari persiapan dipangkas (t)</t>
  </si>
  <si>
    <t xml:space="preserve">DAP</t>
  </si>
  <si>
    <t xml:space="preserve">P (persiapan) tetap =7+0+25+7 hari → sd LT hanya dari pelayaran. Stok gudang terisi posisi 4 Oktober 2026 dari dashboard; perbarui.</t>
  </si>
  <si>
    <t xml:space="preserve">KCl powder</t>
  </si>
  <si>
    <t xml:space="preserve">P (persiapan) tetap =7+0+25+14 hari → sd LT hanya dari pelayaran. SS eksisting &amp; stok = KCl merah + putih gabungan (Kesepakatan). Stok gudang terisi posisi 4 Oktober 2026 dari dashboard; perbarui.</t>
  </si>
  <si>
    <t xml:space="preserve">KCl flake</t>
  </si>
  <si>
    <t xml:space="preserve">Belum ada data lead time — isi LT override atau lengkapi Data_LT. Belum ada data konsumsi.</t>
  </si>
  <si>
    <t xml:space="preserve">ZA</t>
  </si>
  <si>
    <t xml:space="preserve">P (persiapan) tetap =7+0+25+14 hari → sd LT hanya dari pelayaran.</t>
  </si>
  <si>
    <t xml:space="preserve">Batuan fosfat (RP)</t>
  </si>
  <si>
    <t xml:space="preserve">P (persiapan) tetap =7+0+25+14 hari → sd LT hanya dari pelayaran. SS eksisting: tetap 100.000 ton dengan pertimbangan masih berlangsungnya konflik Timur Tengah. Stok gudang terisi posisi 4 Oktober 2026 dari dashboard; perbarui.</t>
  </si>
  <si>
    <t xml:space="preserve">Asam sulfat (SA)</t>
  </si>
  <si>
    <t xml:space="preserve">Asam fosfat (PA)</t>
  </si>
  <si>
    <t xml:space="preserve">Belum ada data lead time — isi LT override atau lengkapi Data_LT. Stok gudang terisi posisi 4 Oktober 2026 dari dashboard; perbarui.</t>
  </si>
  <si>
    <t xml:space="preserve">Belerang</t>
  </si>
  <si>
    <t xml:space="preserve">P (persiapan) tetap =7+0+25+7 hari → sd LT hanya dari pelayaran. SS eksisting: terdiri atas safety stock 5.000 ton dan deadstock 5.000 ton. Stok gudang terisi posisi 4 Oktober 2026 dari dashboard; perbarui.</t>
  </si>
  <si>
    <t xml:space="preserve">Cara baca: bila POSISI PERSEDIAAN ≤ TITIK TENDER → proses tender/pembelian dimulai. Bila stok gudang &lt; SS usulan → alarm: ada yang meleset dari rencana.</t>
  </si>
  <si>
    <t xml:space="preserve">Stok gudang terisi posisi data dashboard; kolom kargo sudah kontrak sengaja dikosongkan karena rencana kedatangan Dalops belum tentu sudah dikontrak (lihat kolom AD sebagai pembanding).</t>
  </si>
  <si>
    <t xml:space="preserve">SS eksisting = Kesepakatan Safety Stock Bahan Baku PI Group (dashboard v2beta). ZA dan KCl flake belum punya angka eksisting.</t>
  </si>
  <si>
    <t xml:space="preserve">Indikatif untuk kajian. Penggaris final ditetapkan setelah validasi Pengadaan (lead time aktual), PPP (konsumsi), Keuangan (biaya simpan) dan disepakati di forum PI Group.</t>
  </si>
  <si>
    <t xml:space="preserve">Parameter global</t>
  </si>
  <si>
    <t xml:space="preserve">Parameter</t>
  </si>
  <si>
    <t xml:space="preserve">Nilai</t>
  </si>
  <si>
    <t xml:space="preserve">Satuan</t>
  </si>
  <si>
    <t xml:space="preserve">Keterangan</t>
  </si>
  <si>
    <t xml:space="preserve">Tingkat layanan (bawaan)</t>
  </si>
  <si>
    <t xml:space="preserve">%</t>
  </si>
  <si>
    <t xml:space="preserve">Peluang tidak kehabisan stok selama satu siklus pengadaan. 95% → z = 1,645.</t>
  </si>
  <si>
    <t xml:space="preserve">Nilai z</t>
  </si>
  <si>
    <t xml:space="preserve">Otomatis dari tingkat layanan.</t>
  </si>
  <si>
    <t xml:space="preserve">Persentil untuk "maks" (metode maks–rata-rata)</t>
  </si>
  <si>
    <t xml:space="preserve">100% = maks murni (seperti berkas sumber). 90% disarankan agar satu bulan ekstrem tidak melambungkan SS.</t>
  </si>
  <si>
    <t xml:space="preserve">Metode SS bawaan</t>
  </si>
  <si>
    <t xml:space="preserve">Statistik</t>
  </si>
  <si>
    <t xml:space="preserve">Statistik · Maks–rata-rata · Terbesar</t>
  </si>
  <si>
    <t xml:space="preserve">Hari per bulan (konversi CR bulanan → harian)</t>
  </si>
  <si>
    <t xml:space="preserve">hari</t>
  </si>
  <si>
    <t xml:space="preserve">Sama dengan berkas sumber (CR hari = CR bulan / 30).</t>
  </si>
  <si>
    <t xml:space="preserve">Pemangkasan hari persiapan (semua bahan)</t>
  </si>
  <si>
    <t xml:space="preserve">Uji dampak mempercepat proses tender. Mengurangi LT semua bahan.</t>
  </si>
  <si>
    <t xml:space="preserve">Batas "siapkan tender" di atas ROP</t>
  </si>
  <si>
    <t xml:space="preserve">Status kuning bila posisi persediaan ≤ ROP × (1 + nilai ini).</t>
  </si>
  <si>
    <t xml:space="preserve">Bahan</t>
  </si>
  <si>
    <t xml:space="preserve">No</t>
  </si>
  <si>
    <t xml:space="preserve">Asal</t>
  </si>
  <si>
    <t xml:space="preserve">P · persiapan</t>
  </si>
  <si>
    <t xml:space="preserve">S · pelayaran</t>
  </si>
  <si>
    <t xml:space="preserve">L · muat/bongkar</t>
  </si>
  <si>
    <t xml:space="preserve">C · kongesti</t>
  </si>
  <si>
    <t xml:space="preserve">LT (hari)</t>
  </si>
  <si>
    <t xml:space="preserve">Sumber: DATA_LEADTIME_BB.xlsx, sheet PKG. Kolom P memakai rumus asli berkas (komponen hari persiapan). Baris kuning = cadangan untuk kargo baru.</t>
  </si>
  <si>
    <t xml:space="preserve">China</t>
  </si>
  <si>
    <t xml:space="preserve">Laos</t>
  </si>
  <si>
    <t xml:space="preserve">Vietnam</t>
  </si>
  <si>
    <t xml:space="preserve">Belarusia</t>
  </si>
  <si>
    <t xml:space="preserve">Jordan</t>
  </si>
  <si>
    <t xml:space="preserve">Russia</t>
  </si>
  <si>
    <t xml:space="preserve">Aljazair</t>
  </si>
  <si>
    <t xml:space="preserve">Maroco</t>
  </si>
  <si>
    <t xml:space="preserve">Mesir</t>
  </si>
  <si>
    <t xml:space="preserve">South Korea</t>
  </si>
  <si>
    <t xml:space="preserve">Taiwan</t>
  </si>
  <si>
    <t xml:space="preserve">Philippines</t>
  </si>
  <si>
    <t xml:space="preserve">Jepang</t>
  </si>
  <si>
    <t xml:space="preserve">Qatar</t>
  </si>
  <si>
    <t xml:space="preserve">UEA</t>
  </si>
  <si>
    <t xml:space="preserve">Kuwait</t>
  </si>
  <si>
    <t xml:space="preserve">Saudi Arabia</t>
  </si>
  <si>
    <t xml:space="preserve">Bulan ke</t>
  </si>
  <si>
    <t xml:space="preserve">CR bulan (t)</t>
  </si>
  <si>
    <t xml:space="preserve">CR hari (t)</t>
  </si>
  <si>
    <t xml:space="preserve">Sumber: DATA_LEADTIME_BB.xlsx, sheet PKG, kolom Cons. Rate (month). Baris kuning = cadangan bulan baru.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</si>
</sst>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#,##0.0;\(#,##0.0\);\-"/>
    <numFmt numFmtId="168" formatCode="0.0%"/>
    <numFmt numFmtId="169" formatCode="0.000"/>
    <numFmt numFmtId="170" formatCode="#,##0;\(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F3A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5F3A"/>
      <name val="Arial"/>
      <family val="0"/>
      <charset val="1"/>
    </font>
    <font>
      <b val="true"/>
      <sz val="10"/>
      <color rgb="FF1F5F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1F5F3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6"/>
    <col collapsed="false" customWidth="true" hidden="false" outlineLevel="0" max="4" min="4" style="0" width="4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43.5" hidden="false" customHeight="true" outlineLevel="0" collapsed="false">
      <c r="B4" s="3" t="s">
        <v>2</v>
      </c>
      <c r="C4" s="4" t="s">
        <v>3</v>
      </c>
    </row>
    <row r="5" customFormat="false" ht="30" hidden="false" customHeight="true" outlineLevel="0" collapsed="false">
      <c r="B5" s="3" t="s">
        <v>4</v>
      </c>
      <c r="C5" s="4" t="s">
        <v>5</v>
      </c>
    </row>
    <row r="6" customFormat="false" ht="30" hidden="false" customHeight="true" outlineLevel="0" collapsed="false">
      <c r="B6" s="3" t="s">
        <v>6</v>
      </c>
      <c r="C6" s="4" t="s">
        <v>7</v>
      </c>
    </row>
    <row r="7" customFormat="false" ht="30" hidden="false" customHeight="true" outlineLevel="0" collapsed="false">
      <c r="B7" s="3" t="s">
        <v>8</v>
      </c>
      <c r="C7" s="4" t="s">
        <v>9</v>
      </c>
    </row>
    <row r="8" customFormat="false" ht="30" hidden="false" customHeight="true" outlineLevel="0" collapsed="false">
      <c r="B8" s="3" t="s">
        <v>10</v>
      </c>
      <c r="C8" s="4" t="s">
        <v>11</v>
      </c>
    </row>
    <row r="9" customFormat="false" ht="30" hidden="false" customHeight="true" outlineLevel="0" collapsed="false">
      <c r="B9" s="3" t="s">
        <v>12</v>
      </c>
      <c r="C9" s="4" t="s">
        <v>13</v>
      </c>
    </row>
    <row r="10" customFormat="false" ht="43.5" hidden="false" customHeight="true" outlineLevel="0" collapsed="false">
      <c r="B10" s="3" t="s">
        <v>14</v>
      </c>
      <c r="C10" s="4" t="s">
        <v>15</v>
      </c>
    </row>
    <row r="11" customFormat="false" ht="43.5" hidden="false" customHeight="true" outlineLevel="0" collapsed="false">
      <c r="B11" s="3" t="s">
        <v>16</v>
      </c>
      <c r="C11" s="4" t="s">
        <v>17</v>
      </c>
    </row>
    <row r="12" customFormat="false" ht="43.5" hidden="false" customHeight="true" outlineLevel="0" collapsed="false">
      <c r="B12" s="3" t="s">
        <v>18</v>
      </c>
      <c r="C12" s="4" t="s">
        <v>19</v>
      </c>
    </row>
    <row r="13" customFormat="false" ht="43.5" hidden="false" customHeight="true" outlineLevel="0" collapsed="false">
      <c r="B13" s="3" t="s">
        <v>20</v>
      </c>
      <c r="C13" s="4" t="s">
        <v>21</v>
      </c>
    </row>
    <row r="14" customFormat="false" ht="30" hidden="false" customHeight="true" outlineLevel="0" collapsed="false">
      <c r="B14" s="3" t="s">
        <v>22</v>
      </c>
      <c r="C14" s="4" t="s">
        <v>23</v>
      </c>
    </row>
    <row r="16" customFormat="false" ht="15" hidden="false" customHeight="false" outlineLevel="0" collapsed="false">
      <c r="B16" s="5" t="s">
        <v>24</v>
      </c>
    </row>
    <row r="17" customFormat="false" ht="15" hidden="false" customHeight="false" outlineLevel="0" collapsed="false">
      <c r="B17" s="6" t="s">
        <v>25</v>
      </c>
      <c r="C17" s="7" t="s">
        <v>26</v>
      </c>
    </row>
    <row r="18" customFormat="false" ht="15" hidden="false" customHeight="false" outlineLevel="0" collapsed="false">
      <c r="B18" s="8" t="s">
        <v>25</v>
      </c>
      <c r="C18" s="7" t="s">
        <v>27</v>
      </c>
    </row>
    <row r="19" customFormat="false" ht="15" hidden="false" customHeight="false" outlineLevel="0" collapsed="false">
      <c r="B19" s="9" t="s">
        <v>25</v>
      </c>
      <c r="C19" s="7" t="s">
        <v>28</v>
      </c>
    </row>
    <row r="20" customFormat="false" ht="15" hidden="false" customHeight="false" outlineLevel="0" collapsed="false">
      <c r="B20" s="10" t="s">
        <v>25</v>
      </c>
      <c r="C20" s="7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8"/>
    <col collapsed="false" customWidth="true" hidden="false" outlineLevel="0" max="10" min="9" style="0" width="12"/>
    <col collapsed="false" customWidth="true" hidden="false" outlineLevel="0" max="12" min="11" style="0" width="10"/>
    <col collapsed="false" customWidth="true" hidden="false" outlineLevel="0" max="13" min="13" style="0" width="7"/>
    <col collapsed="false" customWidth="true" hidden="false" outlineLevel="0" max="15" min="14" style="0" width="12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20" min="19" style="0" width="10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4" min="23" style="0" width="11"/>
    <col collapsed="false" customWidth="true" hidden="false" outlineLevel="0" max="25" min="25" style="0" width="12"/>
    <col collapsed="false" customWidth="true" hidden="false" outlineLevel="0" max="26" min="26" style="0" width="14"/>
    <col collapsed="false" customWidth="true" hidden="false" outlineLevel="0" max="27" min="27" style="0" width="13"/>
    <col collapsed="false" customWidth="true" hidden="false" outlineLevel="0" max="28" min="28" style="0" width="12"/>
    <col collapsed="false" customWidth="true" hidden="false" outlineLevel="0" max="29" min="29" style="0" width="30"/>
    <col collapsed="false" customWidth="true" hidden="false" outlineLevel="0" max="30" min="30" style="0" width="16"/>
    <col collapsed="false" customWidth="true" hidden="false" outlineLevel="0" max="31" min="31" style="0" width="14"/>
    <col collapsed="false" customWidth="true" hidden="false" outlineLevel="0" max="32" min="32" style="0" width="46"/>
  </cols>
  <sheetData>
    <row r="1" customFormat="false" ht="17.35" hidden="false" customHeight="false" outlineLevel="0" collapsed="false">
      <c r="A1" s="11" t="s">
        <v>30</v>
      </c>
    </row>
    <row r="2" customFormat="false" ht="15" hidden="false" customHeight="false" outlineLevel="0" collapsed="false">
      <c r="A2" s="2" t="str">
        <f aca="false">"Tingkat layanan bawaan "&amp;ROUND(Parameter!$C$4*100,1)&amp;"% · persentil "&amp;ROUND(Parameter!$C$6*100,0)&amp;"% · metode bawaan "&amp;Parameter!$C$7&amp;" · pemangkasan persiapan "&amp;Parameter!$C$9&amp;" hari · indikatif"</f>
        <v>Tingkat layanan bawaan 95% · persentil 90% · metode bawaan Statistik · pemangkasan persiapan 0 hari · indikatif</v>
      </c>
    </row>
    <row r="4" customFormat="false" ht="15" hidden="false" customHeight="true" outlineLevel="0" collapsed="false">
      <c r="B4" s="12" t="s">
        <v>31</v>
      </c>
      <c r="C4" s="12"/>
      <c r="D4" s="12"/>
      <c r="E4" s="12"/>
      <c r="F4" s="12"/>
      <c r="G4" s="12"/>
      <c r="H4" s="12" t="s">
        <v>32</v>
      </c>
      <c r="I4" s="12"/>
      <c r="J4" s="12"/>
      <c r="K4" s="12"/>
      <c r="L4" s="12" t="s">
        <v>33</v>
      </c>
      <c r="M4" s="12"/>
      <c r="N4" s="12"/>
      <c r="O4" s="12"/>
      <c r="P4" s="12"/>
      <c r="Q4" s="12"/>
      <c r="R4" s="12" t="s">
        <v>34</v>
      </c>
      <c r="S4" s="12"/>
      <c r="T4" s="12"/>
      <c r="U4" s="12" t="s">
        <v>35</v>
      </c>
      <c r="V4" s="12"/>
      <c r="W4" s="12"/>
      <c r="X4" s="12"/>
      <c r="Y4" s="12" t="s">
        <v>36</v>
      </c>
      <c r="Z4" s="12"/>
      <c r="AA4" s="12"/>
      <c r="AB4" s="12"/>
      <c r="AC4" s="12"/>
      <c r="AD4" s="12" t="s">
        <v>37</v>
      </c>
      <c r="AE4" s="12"/>
      <c r="AF4" s="12"/>
    </row>
    <row r="5" customFormat="false" ht="57.75" hidden="false" customHeight="true" outlineLevel="0" collapsed="false">
      <c r="A5" s="13" t="s">
        <v>38</v>
      </c>
      <c r="B5" s="13" t="s">
        <v>39</v>
      </c>
      <c r="C5" s="13" t="s">
        <v>40</v>
      </c>
      <c r="D5" s="13" t="s">
        <v>41</v>
      </c>
      <c r="E5" s="13" t="s">
        <v>42</v>
      </c>
      <c r="F5" s="13" t="s">
        <v>43</v>
      </c>
      <c r="G5" s="13" t="s">
        <v>44</v>
      </c>
      <c r="H5" s="13" t="s">
        <v>45</v>
      </c>
      <c r="I5" s="13" t="s">
        <v>46</v>
      </c>
      <c r="J5" s="13" t="s">
        <v>47</v>
      </c>
      <c r="K5" s="13" t="s">
        <v>48</v>
      </c>
      <c r="L5" s="13" t="s">
        <v>49</v>
      </c>
      <c r="M5" s="13" t="s">
        <v>50</v>
      </c>
      <c r="N5" s="13" t="s">
        <v>51</v>
      </c>
      <c r="O5" s="13" t="s">
        <v>52</v>
      </c>
      <c r="P5" s="13" t="s">
        <v>53</v>
      </c>
      <c r="Q5" s="13" t="s">
        <v>54</v>
      </c>
      <c r="R5" s="13" t="s">
        <v>55</v>
      </c>
      <c r="S5" s="13" t="s">
        <v>56</v>
      </c>
      <c r="T5" s="13" t="s">
        <v>57</v>
      </c>
      <c r="U5" s="13" t="s">
        <v>58</v>
      </c>
      <c r="V5" s="13" t="s">
        <v>59</v>
      </c>
      <c r="W5" s="13" t="s">
        <v>60</v>
      </c>
      <c r="X5" s="13" t="s">
        <v>61</v>
      </c>
      <c r="Y5" s="13" t="s">
        <v>62</v>
      </c>
      <c r="Z5" s="13" t="s">
        <v>63</v>
      </c>
      <c r="AA5" s="13" t="s">
        <v>64</v>
      </c>
      <c r="AB5" s="13" t="s">
        <v>65</v>
      </c>
      <c r="AC5" s="13" t="s">
        <v>66</v>
      </c>
      <c r="AD5" s="13" t="s">
        <v>67</v>
      </c>
      <c r="AE5" s="13" t="s">
        <v>68</v>
      </c>
      <c r="AF5" s="13" t="s">
        <v>20</v>
      </c>
    </row>
    <row r="6" customFormat="false" ht="42" hidden="false" customHeight="true" outlineLevel="0" collapsed="false">
      <c r="A6" s="14" t="s">
        <v>69</v>
      </c>
      <c r="B6" s="15" t="n">
        <f aca="false">COUNT(Data_LT!$H$2:$H$21)</f>
        <v>14</v>
      </c>
      <c r="C6" s="16" t="n">
        <f aca="false">IF(B6=0,"",AVERAGE(Data_LT!$H$2:$H$21))</f>
        <v>60.1428571428571</v>
      </c>
      <c r="D6" s="16" t="n">
        <f aca="false">IF(B6=0,"",PERCENTILE(Data_LT!$H$2:$H$21,Parameter!$C$6))</f>
        <v>64</v>
      </c>
      <c r="E6" s="16" t="n">
        <f aca="false">IF(B6&lt;2,0,STDEV(Data_LT!$H$2:$H$21))</f>
        <v>3.34795328653062</v>
      </c>
      <c r="F6" s="17"/>
      <c r="G6" s="16" t="n">
        <f aca="false">IF(F6&lt;&gt;"",F6,IF(C6="","",MAX(0,C6-Parameter!$C$9)))</f>
        <v>60.1428571428571</v>
      </c>
      <c r="H6" s="15" t="n">
        <f aca="false">COUNT(Data_CR!$D$2:$D$19)</f>
        <v>12</v>
      </c>
      <c r="I6" s="18" t="n">
        <f aca="false">IF(H6=0,"",AVERAGE(Data_CR!$D$2:$D$19))</f>
        <v>326.686533333333</v>
      </c>
      <c r="J6" s="18" t="n">
        <f aca="false">IF(H6=0,"",PERCENTILE(Data_CR!$D$2:$D$19,Parameter!$C$6))</f>
        <v>360.574366666667</v>
      </c>
      <c r="K6" s="18" t="n">
        <f aca="false">IF(H6&lt;2,0,STDEV(Data_CR!$D$2:$D$19))</f>
        <v>42.8009664438937</v>
      </c>
      <c r="L6" s="19"/>
      <c r="M6" s="20" t="n">
        <f aca="false">NORMSINV(IF(L6="",Parameter!$C$4,L6))</f>
        <v>1.64485362695147</v>
      </c>
      <c r="N6" s="21" t="n">
        <f aca="false">IF(OR(G6="",I6=""),"",M6*SQRT(G6*K6^2+I6^2*E6^2))</f>
        <v>1880.050513508</v>
      </c>
      <c r="O6" s="21" t="n">
        <f aca="false">IF(OR(G6="",I6=""),"",IF(OR(F6&lt;&gt;"",D6=""),MAX(0,G6*(J6-I6)),MAX(0,MAX(0,D6-Parameter!$C$9)*J6-G6*I6)))</f>
        <v>3428.89796190476</v>
      </c>
      <c r="P6" s="22"/>
      <c r="Q6" s="23" t="n">
        <f aca="false">IF(N6="","",IF(IF(P6="",Parameter!$C$7,P6)="Statistik",N6,IF(IF(P6="",Parameter!$C$7,P6)="Maks–rata-rata",O6,MAX(N6,O6))))</f>
        <v>1880.050513508</v>
      </c>
      <c r="R6" s="23" t="n">
        <f aca="false">IF(Q6="","",I6*G6+Q6)</f>
        <v>21527.9120182699</v>
      </c>
      <c r="S6" s="16" t="n">
        <f aca="false">IF(Q6="","",Q6/I6)</f>
        <v>5.75490668172018</v>
      </c>
      <c r="T6" s="16" t="n">
        <f aca="false">IF(R6="","",R6/I6)</f>
        <v>65.8977638245773</v>
      </c>
      <c r="U6" s="21" t="n">
        <v>7000</v>
      </c>
      <c r="V6" s="21" t="n">
        <f aca="false">IF(OR(Q6="",U6=""),"",Q6-U6)</f>
        <v>-5119.949486492</v>
      </c>
      <c r="W6" s="24" t="n">
        <f aca="false">IF(OR(U6="",N6=""),"",IF(SQRT(G6*K6^2+I6^2*E6^2)=0,"",NORMSDIST(U6/SQRT(G6*K6^2+I6^2*E6^2))))</f>
        <v>0.999999999544557</v>
      </c>
      <c r="X6" s="21" t="n">
        <v>1000</v>
      </c>
      <c r="Y6" s="25" t="n">
        <v>15447</v>
      </c>
      <c r="Z6" s="25"/>
      <c r="AA6" s="21" t="n">
        <f aca="false">IF(Y6="","",Y6+N(Z6))</f>
        <v>15447</v>
      </c>
      <c r="AB6" s="16" t="n">
        <f aca="false">IF(OR(AA6="",R6=""),"",(AA6-R6)/I6)</f>
        <v>-18.6139047613122</v>
      </c>
      <c r="AC6" s="26" t="str">
        <f aca="false">IF(R6="","Data LT/CR belum lengkap",IF(AA6="","Isi stok gudang",IF(AA6&lt;=R6,"MULAI TENDER / PEMBELIAN",IF(AA6&lt;=R6*(1+Parameter!$C$10),"Siapkan tender","Belum perlu tender")))&amp;IF(AND(Y6&lt;&gt;"",Q6&lt;&gt;""),IF(Y6&lt;Q6," · stok gudang &lt; SS usulan",""),""))</f>
        <v>MULAI TENDER / PEMBELIAN</v>
      </c>
      <c r="AD6" s="21" t="n">
        <v>40000</v>
      </c>
      <c r="AE6" s="21" t="n">
        <f aca="false">IF(I6="","",I6)</f>
        <v>326.686533333333</v>
      </c>
      <c r="AF6" s="27" t="s">
        <v>70</v>
      </c>
    </row>
    <row r="7" customFormat="false" ht="42" hidden="false" customHeight="true" outlineLevel="0" collapsed="false">
      <c r="A7" s="14" t="s">
        <v>71</v>
      </c>
      <c r="B7" s="15" t="n">
        <f aca="false">COUNT(Data_LT!$H$23:$H$77)</f>
        <v>49</v>
      </c>
      <c r="C7" s="16" t="n">
        <f aca="false">IF(B7=0,"",AVERAGE(Data_LT!$H$23:$H$77))</f>
        <v>96.4693877551021</v>
      </c>
      <c r="D7" s="16" t="n">
        <f aca="false">IF(B7=0,"",PERCENTILE(Data_LT!$H$23:$H$77,Parameter!$C$6))</f>
        <v>110.2</v>
      </c>
      <c r="E7" s="16" t="n">
        <f aca="false">IF(B7&lt;2,0,STDEV(Data_LT!$H$23:$H$77))</f>
        <v>11.400113378121</v>
      </c>
      <c r="F7" s="17"/>
      <c r="G7" s="16" t="n">
        <f aca="false">IF(F7&lt;&gt;"",F7,IF(C7="","",MAX(0,C7-Parameter!$C$9)))</f>
        <v>96.4693877551021</v>
      </c>
      <c r="H7" s="15" t="n">
        <f aca="false">COUNT(Data_CR!$D$21:$D$33)</f>
        <v>7</v>
      </c>
      <c r="I7" s="18" t="n">
        <f aca="false">IF(H7=0,"",AVERAGE(Data_CR!$D$21:$D$33))</f>
        <v>1833.57254761905</v>
      </c>
      <c r="J7" s="18" t="n">
        <f aca="false">IF(H7=0,"",PERCENTILE(Data_CR!$D$21:$D$33,Parameter!$C$6))</f>
        <v>1989.53714</v>
      </c>
      <c r="K7" s="18" t="n">
        <f aca="false">IF(H7&lt;2,0,STDEV(Data_CR!$D$21:$D$33))</f>
        <v>173.782343076852</v>
      </c>
      <c r="L7" s="19"/>
      <c r="M7" s="20" t="n">
        <f aca="false">NORMSINV(IF(L7="",Parameter!$C$4,L7))</f>
        <v>1.64485362695147</v>
      </c>
      <c r="N7" s="21" t="n">
        <f aca="false">IF(OR(G7="",I7=""),"",M7*SQRT(G7*K7^2+I7^2*E7^2))</f>
        <v>34496.7059124194</v>
      </c>
      <c r="O7" s="21" t="n">
        <f aca="false">IF(OR(G7="",I7=""),"",IF(OR(F7&lt;&gt;"",D7=""),MAX(0,G7*(J7-I7)),MAX(0,MAX(0,D7-Parameter!$C$9)*J7-G7*I7)))</f>
        <v>42363.3717546278</v>
      </c>
      <c r="P7" s="22"/>
      <c r="Q7" s="23" t="n">
        <f aca="false">IF(N7="","",IF(IF(P7="",Parameter!$C$7,P7)="Statistik",N7,IF(IF(P7="",Parameter!$C$7,P7)="Maks–rata-rata",O7,MAX(N7,O7))))</f>
        <v>34496.7059124194</v>
      </c>
      <c r="R7" s="23" t="n">
        <f aca="false">IF(Q7="","",I7*G7+Q7)</f>
        <v>211380.326985792</v>
      </c>
      <c r="S7" s="16" t="n">
        <f aca="false">IF(Q7="","",Q7/I7)</f>
        <v>18.813930191753</v>
      </c>
      <c r="T7" s="16" t="n">
        <f aca="false">IF(R7="","",R7/I7)</f>
        <v>115.283317946855</v>
      </c>
      <c r="U7" s="21" t="n">
        <v>37000</v>
      </c>
      <c r="V7" s="21" t="n">
        <f aca="false">IF(OR(Q7="",U7=""),"",Q7-U7)</f>
        <v>-2503.29408758059</v>
      </c>
      <c r="W7" s="24" t="n">
        <f aca="false">IF(OR(U7="",N7=""),"",IF(SQRT(G7*K7^2+I7^2*E7^2)=0,"",NORMSDIST(U7/SQRT(G7*K7^2+I7^2*E7^2))))</f>
        <v>0.961152052641183</v>
      </c>
      <c r="X7" s="21" t="n">
        <v>2000</v>
      </c>
      <c r="Y7" s="25" t="n">
        <v>76969</v>
      </c>
      <c r="Z7" s="25"/>
      <c r="AA7" s="21" t="n">
        <f aca="false">IF(Y7="","",Y7+N(Z7))</f>
        <v>76969</v>
      </c>
      <c r="AB7" s="16" t="n">
        <f aca="false">IF(OR(AA7="",R7=""),"",(AA7-R7)/I7)</f>
        <v>-73.3057042985995</v>
      </c>
      <c r="AC7" s="26" t="str">
        <f aca="false">IF(R7="","Data LT/CR belum lengkap",IF(AA7="","Isi stok gudang",IF(AA7&lt;=R7,"MULAI TENDER / PEMBELIAN",IF(AA7&lt;=R7*(1+Parameter!$C$10),"Siapkan tender","Belum perlu tender")))&amp;IF(AND(Y7&lt;&gt;"",Q7&lt;&gt;""),IF(Y7&lt;Q7," · stok gudang &lt; SS usulan",""),""))</f>
        <v>MULAI TENDER / PEMBELIAN</v>
      </c>
      <c r="AD7" s="21" t="n">
        <v>148448</v>
      </c>
      <c r="AE7" s="21" t="n">
        <f aca="false">IF(I7="","",I7)</f>
        <v>1833.57254761905</v>
      </c>
      <c r="AF7" s="27" t="s">
        <v>72</v>
      </c>
    </row>
    <row r="8" customFormat="false" ht="42" hidden="false" customHeight="true" outlineLevel="0" collapsed="false">
      <c r="A8" s="14" t="s">
        <v>73</v>
      </c>
      <c r="B8" s="15" t="n">
        <f aca="false">COUNT(Data_LT!$H$79:$H$84)</f>
        <v>0</v>
      </c>
      <c r="C8" s="16" t="str">
        <f aca="false">IF(B8=0,"",AVERAGE(Data_LT!$H$79:$H$84))</f>
        <v/>
      </c>
      <c r="D8" s="16" t="str">
        <f aca="false">IF(B8=0,"",PERCENTILE(Data_LT!$H$79:$H$84,Parameter!$C$6))</f>
        <v/>
      </c>
      <c r="E8" s="16" t="n">
        <f aca="false">IF(B8&lt;2,0,STDEV(Data_LT!$H$79:$H$84))</f>
        <v>0</v>
      </c>
      <c r="F8" s="17"/>
      <c r="G8" s="16" t="str">
        <f aca="false">IF(F8&lt;&gt;"",F8,IF(C8="","",MAX(0,C8-Parameter!$C$9)))</f>
        <v/>
      </c>
      <c r="H8" s="15" t="n">
        <f aca="false">COUNT(Data_CR!$D$35:$D$40)</f>
        <v>0</v>
      </c>
      <c r="I8" s="18" t="str">
        <f aca="false">IF(H8=0,"",AVERAGE(Data_CR!$D$35:$D$40))</f>
        <v/>
      </c>
      <c r="J8" s="18" t="str">
        <f aca="false">IF(H8=0,"",PERCENTILE(Data_CR!$D$35:$D$40,Parameter!$C$6))</f>
        <v/>
      </c>
      <c r="K8" s="18" t="n">
        <f aca="false">IF(H8&lt;2,0,STDEV(Data_CR!$D$35:$D$40))</f>
        <v>0</v>
      </c>
      <c r="L8" s="19"/>
      <c r="M8" s="20" t="n">
        <f aca="false">NORMSINV(IF(L8="",Parameter!$C$4,L8))</f>
        <v>1.64485362695147</v>
      </c>
      <c r="N8" s="21" t="str">
        <f aca="false">IF(OR(G8="",I8=""),"",M8*SQRT(G8*K8^2+I8^2*E8^2))</f>
        <v/>
      </c>
      <c r="O8" s="21" t="str">
        <f aca="false">IF(OR(G8="",I8=""),"",IF(OR(F8&lt;&gt;"",D8=""),MAX(0,G8*(J8-I8)),MAX(0,MAX(0,D8-Parameter!$C$9)*J8-G8*I8)))</f>
        <v/>
      </c>
      <c r="P8" s="22"/>
      <c r="Q8" s="23" t="str">
        <f aca="false">IF(N8="","",IF(IF(P8="",Parameter!$C$7,P8)="Statistik",N8,IF(IF(P8="",Parameter!$C$7,P8)="Maks–rata-rata",O8,MAX(N8,O8))))</f>
        <v/>
      </c>
      <c r="R8" s="23" t="str">
        <f aca="false">IF(Q8="","",I8*G8+Q8)</f>
        <v/>
      </c>
      <c r="S8" s="16" t="str">
        <f aca="false">IF(Q8="","",Q8/I8)</f>
        <v/>
      </c>
      <c r="T8" s="16" t="str">
        <f aca="false">IF(R8="","",R8/I8)</f>
        <v/>
      </c>
      <c r="U8" s="25"/>
      <c r="V8" s="21" t="str">
        <f aca="false">IF(OR(Q8="",U8=""),"",Q8-U8)</f>
        <v/>
      </c>
      <c r="W8" s="24" t="str">
        <f aca="false">IF(OR(U8="",N8=""),"",IF(SQRT(G8*K8^2+I8^2*E8^2)=0,"",NORMSDIST(U8/SQRT(G8*K8^2+I8^2*E8^2))))</f>
        <v/>
      </c>
      <c r="X8" s="25"/>
      <c r="Y8" s="25"/>
      <c r="Z8" s="25"/>
      <c r="AA8" s="21" t="str">
        <f aca="false">IF(Y8="","",Y8+N(Z8))</f>
        <v/>
      </c>
      <c r="AB8" s="16" t="str">
        <f aca="false">IF(OR(AA8="",R8=""),"",(AA8-R8)/I8)</f>
        <v/>
      </c>
      <c r="AC8" s="26" t="str">
        <f aca="false">IF(R8="","Data LT/CR belum lengkap",IF(AA8="","Isi stok gudang",IF(AA8&lt;=R8,"MULAI TENDER / PEMBELIAN",IF(AA8&lt;=R8*(1+Parameter!$C$10),"Siapkan tender","Belum perlu tender")))&amp;IF(AND(Y8&lt;&gt;"",Q8&lt;&gt;""),IF(Y8&lt;Q8," · stok gudang &lt; SS usulan",""),""))</f>
        <v>Data LT/CR belum lengkap</v>
      </c>
      <c r="AD8" s="21"/>
      <c r="AE8" s="21" t="str">
        <f aca="false">IF(I8="","",I8)</f>
        <v/>
      </c>
      <c r="AF8" s="27" t="s">
        <v>74</v>
      </c>
    </row>
    <row r="9" customFormat="false" ht="42" hidden="false" customHeight="true" outlineLevel="0" collapsed="false">
      <c r="A9" s="14" t="s">
        <v>75</v>
      </c>
      <c r="B9" s="15" t="n">
        <f aca="false">COUNT(Data_LT!$H$86:$H$123)</f>
        <v>32</v>
      </c>
      <c r="C9" s="16" t="n">
        <f aca="false">IF(B9=0,"",AVERAGE(Data_LT!$H$86:$H$123))</f>
        <v>68.4375</v>
      </c>
      <c r="D9" s="16" t="n">
        <f aca="false">IF(B9=0,"",PERCENTILE(Data_LT!$H$86:$H$123,Parameter!$C$6))</f>
        <v>74</v>
      </c>
      <c r="E9" s="16" t="n">
        <f aca="false">IF(B9&lt;2,0,STDEV(Data_LT!$H$86:$H$123))</f>
        <v>3.58255180274547</v>
      </c>
      <c r="F9" s="17"/>
      <c r="G9" s="16" t="n">
        <f aca="false">IF(F9&lt;&gt;"",F9,IF(C9="","",MAX(0,C9-Parameter!$C$9)))</f>
        <v>68.4375</v>
      </c>
      <c r="H9" s="15" t="n">
        <f aca="false">COUNT(Data_CR!$D$42:$D$54)</f>
        <v>7</v>
      </c>
      <c r="I9" s="18" t="n">
        <f aca="false">IF(H9=0,"",AVERAGE(Data_CR!$D$42:$D$54))</f>
        <v>2195.62435714286</v>
      </c>
      <c r="J9" s="18" t="n">
        <f aca="false">IF(H9=0,"",PERCENTILE(Data_CR!$D$42:$D$54,Parameter!$C$6))</f>
        <v>2411.99493333333</v>
      </c>
      <c r="K9" s="18" t="n">
        <f aca="false">IF(H9&lt;2,0,STDEV(Data_CR!$D$42:$D$54))</f>
        <v>228.128928542431</v>
      </c>
      <c r="L9" s="19"/>
      <c r="M9" s="20" t="n">
        <f aca="false">NORMSINV(IF(L9="",Parameter!$C$4,L9))</f>
        <v>1.64485362695147</v>
      </c>
      <c r="N9" s="21" t="n">
        <f aca="false">IF(OR(G9="",I9=""),"",M9*SQRT(G9*K9^2+I9^2*E9^2))</f>
        <v>13305.4994939048</v>
      </c>
      <c r="O9" s="21" t="n">
        <f aca="false">IF(OR(G9="",I9=""),"",IF(OR(F9&lt;&gt;"",D9=""),MAX(0,G9*(J9-I9)),MAX(0,MAX(0,D9-Parameter!$C$9)*J9-G9*I9)))</f>
        <v>28224.5831247024</v>
      </c>
      <c r="P9" s="22"/>
      <c r="Q9" s="23" t="n">
        <f aca="false">IF(N9="","",IF(IF(P9="",Parameter!$C$7,P9)="Statistik",N9,IF(IF(P9="",Parameter!$C$7,P9)="Maks–rata-rata",O9,MAX(N9,O9))))</f>
        <v>13305.4994939048</v>
      </c>
      <c r="R9" s="23" t="n">
        <f aca="false">IF(Q9="","",I9*G9+Q9)</f>
        <v>163568.541435869</v>
      </c>
      <c r="S9" s="16" t="n">
        <f aca="false">IF(Q9="","",Q9/I9)</f>
        <v>6.0600072369479</v>
      </c>
      <c r="T9" s="16" t="n">
        <f aca="false">IF(R9="","",R9/I9)</f>
        <v>74.4975072369479</v>
      </c>
      <c r="U9" s="25"/>
      <c r="V9" s="21" t="str">
        <f aca="false">IF(OR(Q9="",U9=""),"",Q9-U9)</f>
        <v/>
      </c>
      <c r="W9" s="24" t="str">
        <f aca="false">IF(OR(U9="",N9=""),"",IF(SQRT(G9*K9^2+I9^2*E9^2)=0,"",NORMSDIST(U9/SQRT(G9*K9^2+I9^2*E9^2))))</f>
        <v/>
      </c>
      <c r="X9" s="25"/>
      <c r="Y9" s="25"/>
      <c r="Z9" s="25"/>
      <c r="AA9" s="21" t="str">
        <f aca="false">IF(Y9="","",Y9+N(Z9))</f>
        <v/>
      </c>
      <c r="AB9" s="16" t="str">
        <f aca="false">IF(OR(AA9="",R9=""),"",(AA9-R9)/I9)</f>
        <v/>
      </c>
      <c r="AC9" s="26" t="str">
        <f aca="false">IF(R9="","Data LT/CR belum lengkap",IF(AA9="","Isi stok gudang",IF(AA9&lt;=R9,"MULAI TENDER / PEMBELIAN",IF(AA9&lt;=R9*(1+Parameter!$C$10),"Siapkan tender","Belum perlu tender")))&amp;IF(AND(Y9&lt;&gt;"",Q9&lt;&gt;""),IF(Y9&lt;Q9," · stok gudang &lt; SS usulan",""),""))</f>
        <v>Isi stok gudang</v>
      </c>
      <c r="AD9" s="21"/>
      <c r="AE9" s="21" t="n">
        <f aca="false">IF(I9="","",I9)</f>
        <v>2195.62435714286</v>
      </c>
      <c r="AF9" s="27" t="s">
        <v>76</v>
      </c>
    </row>
    <row r="10" customFormat="false" ht="42" hidden="false" customHeight="true" outlineLevel="0" collapsed="false">
      <c r="A10" s="14" t="s">
        <v>77</v>
      </c>
      <c r="B10" s="15" t="n">
        <f aca="false">COUNT(Data_LT!$H$125:$H$171)</f>
        <v>41</v>
      </c>
      <c r="C10" s="16" t="n">
        <f aca="false">IF(B10=0,"",AVERAGE(Data_LT!$H$125:$H$171))</f>
        <v>85.4146341463415</v>
      </c>
      <c r="D10" s="16" t="n">
        <f aca="false">IF(B10=0,"",PERCENTILE(Data_LT!$H$125:$H$171,Parameter!$C$6))</f>
        <v>94</v>
      </c>
      <c r="E10" s="16" t="n">
        <f aca="false">IF(B10&lt;2,0,STDEV(Data_LT!$H$125:$H$171))</f>
        <v>7.3074469199444</v>
      </c>
      <c r="F10" s="17"/>
      <c r="G10" s="16" t="n">
        <f aca="false">IF(F10&lt;&gt;"",F10,IF(C10="","",MAX(0,C10-Parameter!$C$9)))</f>
        <v>85.4146341463415</v>
      </c>
      <c r="H10" s="15" t="n">
        <f aca="false">COUNT(Data_CR!$D$56:$D$73)</f>
        <v>12</v>
      </c>
      <c r="I10" s="18" t="n">
        <f aca="false">IF(H10=0,"",AVERAGE(Data_CR!$D$56:$D$73))</f>
        <v>1792.03066111111</v>
      </c>
      <c r="J10" s="18" t="n">
        <f aca="false">IF(H10=0,"",PERCENTILE(Data_CR!$D$56:$D$73,Parameter!$C$6))</f>
        <v>2688.35063666667</v>
      </c>
      <c r="K10" s="18" t="n">
        <f aca="false">IF(H10&lt;2,0,STDEV(Data_CR!$D$56:$D$73))</f>
        <v>721.738760558481</v>
      </c>
      <c r="L10" s="19"/>
      <c r="M10" s="20" t="n">
        <f aca="false">NORMSINV(IF(L10="",Parameter!$C$4,L10))</f>
        <v>1.64485362695147</v>
      </c>
      <c r="N10" s="21" t="n">
        <f aca="false">IF(OR(G10="",I10=""),"",M10*SQRT(G10*K10^2+I10^2*E10^2))</f>
        <v>24172.9983736697</v>
      </c>
      <c r="O10" s="21" t="n">
        <f aca="false">IF(OR(G10="",I10=""),"",IF(OR(F10&lt;&gt;"",D10=""),MAX(0,G10*(J10-I10)),MAX(0,MAX(0,D10-Parameter!$C$9)*J10-G10*I10)))</f>
        <v>99639.3165488347</v>
      </c>
      <c r="P10" s="22"/>
      <c r="Q10" s="23" t="n">
        <f aca="false">IF(N10="","",IF(IF(P10="",Parameter!$C$7,P10)="Statistik",N10,IF(IF(P10="",Parameter!$C$7,P10)="Maks–rata-rata",O10,MAX(N10,O10))))</f>
        <v>24172.9983736697</v>
      </c>
      <c r="R10" s="23" t="n">
        <f aca="false">IF(Q10="","",I10*G10+Q10)</f>
        <v>177238.641671502</v>
      </c>
      <c r="S10" s="16" t="n">
        <f aca="false">IF(Q10="","",Q10/I10)</f>
        <v>13.4891656143214</v>
      </c>
      <c r="T10" s="16" t="n">
        <f aca="false">IF(R10="","",R10/I10)</f>
        <v>98.9037997606629</v>
      </c>
      <c r="U10" s="21" t="n">
        <v>100000</v>
      </c>
      <c r="V10" s="21" t="n">
        <f aca="false">IF(OR(Q10="",U10=""),"",Q10-U10)</f>
        <v>-75827.0016263303</v>
      </c>
      <c r="W10" s="24" t="n">
        <f aca="false">IF(OR(U10="",N10=""),"",IF(SQRT(G10*K10^2+I10^2*E10^2)=0,"",NORMSDIST(U10/SQRT(G10*K10^2+I10^2*E10^2))))</f>
        <v>0.99999999999493</v>
      </c>
      <c r="X10" s="21" t="n">
        <v>20000</v>
      </c>
      <c r="Y10" s="25" t="n">
        <v>145829</v>
      </c>
      <c r="Z10" s="25"/>
      <c r="AA10" s="21" t="n">
        <f aca="false">IF(Y10="","",Y10+N(Z10))</f>
        <v>145829</v>
      </c>
      <c r="AB10" s="16" t="n">
        <f aca="false">IF(OR(AA10="",R10=""),"",(AA10-R10)/I10)</f>
        <v>-17.5274019318547</v>
      </c>
      <c r="AC10" s="26" t="str">
        <f aca="false">IF(R10="","Data LT/CR belum lengkap",IF(AA10="","Isi stok gudang",IF(AA10&lt;=R10,"MULAI TENDER / PEMBELIAN",IF(AA10&lt;=R10*(1+Parameter!$C$10),"Siapkan tender","Belum perlu tender")))&amp;IF(AND(Y10&lt;&gt;"",Q10&lt;&gt;""),IF(Y10&lt;Q10," · stok gudang &lt; SS usulan",""),""))</f>
        <v>MULAI TENDER / PEMBELIAN</v>
      </c>
      <c r="AD10" s="21" t="n">
        <v>120000</v>
      </c>
      <c r="AE10" s="21" t="n">
        <f aca="false">IF(I10="","",I10)</f>
        <v>1792.03066111111</v>
      </c>
      <c r="AF10" s="27" t="s">
        <v>78</v>
      </c>
    </row>
    <row r="11" customFormat="false" ht="42" hidden="false" customHeight="true" outlineLevel="0" collapsed="false">
      <c r="A11" s="14" t="s">
        <v>79</v>
      </c>
      <c r="B11" s="15" t="n">
        <f aca="false">COUNT(Data_LT!$H$173:$H$200)</f>
        <v>22</v>
      </c>
      <c r="C11" s="16" t="n">
        <f aca="false">IF(B11=0,"",AVERAGE(Data_LT!$H$173:$H$200))</f>
        <v>53.1363636363636</v>
      </c>
      <c r="D11" s="16" t="n">
        <f aca="false">IF(B11=0,"",PERCENTILE(Data_LT!$H$173:$H$200,Parameter!$C$6))</f>
        <v>57</v>
      </c>
      <c r="E11" s="16" t="n">
        <f aca="false">IF(B11&lt;2,0,STDEV(Data_LT!$H$173:$H$200))</f>
        <v>3.39881568372691</v>
      </c>
      <c r="F11" s="17"/>
      <c r="G11" s="16" t="n">
        <f aca="false">IF(F11&lt;&gt;"",F11,IF(C11="","",MAX(0,C11-Parameter!$C$9)))</f>
        <v>53.1363636363636</v>
      </c>
      <c r="H11" s="15" t="n">
        <f aca="false">COUNT(Data_CR!$D$75:$D$90)</f>
        <v>10</v>
      </c>
      <c r="I11" s="18" t="n">
        <f aca="false">IF(H11=0,"",AVERAGE(Data_CR!$D$75:$D$90))</f>
        <v>866.476273333333</v>
      </c>
      <c r="J11" s="18" t="n">
        <f aca="false">IF(H11=0,"",PERCENTILE(Data_CR!$D$75:$D$90,Parameter!$C$6))</f>
        <v>1552.82336333333</v>
      </c>
      <c r="K11" s="18" t="n">
        <f aca="false">IF(H11&lt;2,0,STDEV(Data_CR!$D$75:$D$90))</f>
        <v>556.567580214354</v>
      </c>
      <c r="L11" s="19"/>
      <c r="M11" s="20" t="n">
        <f aca="false">NORMSINV(IF(L11="",Parameter!$C$4,L11))</f>
        <v>1.64485362695147</v>
      </c>
      <c r="N11" s="21" t="n">
        <f aca="false">IF(OR(G11="",I11=""),"",M11*SQRT(G11*K11^2+I11^2*E11^2))</f>
        <v>8246.09953310327</v>
      </c>
      <c r="O11" s="21" t="n">
        <f aca="false">IF(OR(G11="",I11=""),"",IF(OR(F11&lt;&gt;"",D11=""),MAX(0,G11*(J11-I11)),MAX(0,MAX(0,D11-Parameter!$C$9)*J11-G11*I11)))</f>
        <v>42469.5333678788</v>
      </c>
      <c r="P11" s="22"/>
      <c r="Q11" s="23" t="n">
        <f aca="false">IF(N11="","",IF(IF(P11="",Parameter!$C$7,P11)="Statistik",N11,IF(IF(P11="",Parameter!$C$7,P11)="Maks–rata-rata",O11,MAX(N11,O11))))</f>
        <v>8246.09953310327</v>
      </c>
      <c r="R11" s="23" t="n">
        <f aca="false">IF(Q11="","",I11*G11+Q11)</f>
        <v>54287.4978752245</v>
      </c>
      <c r="S11" s="16" t="n">
        <f aca="false">IF(Q11="","",Q11/I11)</f>
        <v>9.51682092964939</v>
      </c>
      <c r="T11" s="16" t="n">
        <f aca="false">IF(R11="","",R11/I11)</f>
        <v>62.653184566013</v>
      </c>
      <c r="U11" s="21" t="n">
        <v>20000</v>
      </c>
      <c r="V11" s="21" t="n">
        <f aca="false">IF(OR(Q11="",U11=""),"",Q11-U11)</f>
        <v>-11753.9004668967</v>
      </c>
      <c r="W11" s="24" t="n">
        <f aca="false">IF(OR(U11="",N11=""),"",IF(SQRT(G11*K11^2+I11^2*E11^2)=0,"",NORMSDIST(U11/SQRT(G11*K11^2+I11^2*E11^2))))</f>
        <v>0.999966881087606</v>
      </c>
      <c r="X11" s="21" t="n">
        <v>5000</v>
      </c>
      <c r="Y11" s="25" t="n">
        <v>34723</v>
      </c>
      <c r="Z11" s="25"/>
      <c r="AA11" s="21" t="n">
        <f aca="false">IF(Y11="","",Y11+N(Z11))</f>
        <v>34723</v>
      </c>
      <c r="AB11" s="16" t="n">
        <f aca="false">IF(OR(AA11="",R11=""),"",(AA11-R11)/I11)</f>
        <v>-22.5793809678826</v>
      </c>
      <c r="AC11" s="26" t="str">
        <f aca="false">IF(R11="","Data LT/CR belum lengkap",IF(AA11="","Isi stok gudang",IF(AA11&lt;=R11,"MULAI TENDER / PEMBELIAN",IF(AA11&lt;=R11*(1+Parameter!$C$10),"Siapkan tender","Belum perlu tender")))&amp;IF(AND(Y11&lt;&gt;"",Q11&lt;&gt;""),IF(Y11&lt;Q11," · stok gudang &lt; SS usulan",""),""))</f>
        <v>MULAI TENDER / PEMBELIAN</v>
      </c>
      <c r="AD11" s="21" t="n">
        <v>0</v>
      </c>
      <c r="AE11" s="21" t="n">
        <f aca="false">IF(I11="","",I11)</f>
        <v>866.476273333333</v>
      </c>
      <c r="AF11" s="27" t="s">
        <v>70</v>
      </c>
    </row>
    <row r="12" customFormat="false" ht="42" hidden="false" customHeight="true" outlineLevel="0" collapsed="false">
      <c r="A12" s="14" t="s">
        <v>80</v>
      </c>
      <c r="B12" s="15" t="n">
        <f aca="false">COUNT(Data_LT!$H$202:$H$207)</f>
        <v>0</v>
      </c>
      <c r="C12" s="16" t="str">
        <f aca="false">IF(B12=0,"",AVERAGE(Data_LT!$H$202:$H$207))</f>
        <v/>
      </c>
      <c r="D12" s="16" t="str">
        <f aca="false">IF(B12=0,"",PERCENTILE(Data_LT!$H$202:$H$207,Parameter!$C$6))</f>
        <v/>
      </c>
      <c r="E12" s="16" t="n">
        <f aca="false">IF(B12&lt;2,0,STDEV(Data_LT!$H$202:$H$207))</f>
        <v>0</v>
      </c>
      <c r="F12" s="17"/>
      <c r="G12" s="16" t="str">
        <f aca="false">IF(F12&lt;&gt;"",F12,IF(C12="","",MAX(0,C12-Parameter!$C$9)))</f>
        <v/>
      </c>
      <c r="H12" s="15" t="n">
        <f aca="false">COUNT(Data_CR!$D$92:$D$109)</f>
        <v>12</v>
      </c>
      <c r="I12" s="18" t="n">
        <f aca="false">IF(H12=0,"",AVERAGE(Data_CR!$D$92:$D$109))</f>
        <v>1795.46061111111</v>
      </c>
      <c r="J12" s="18" t="n">
        <f aca="false">IF(H12=0,"",PERCENTILE(Data_CR!$D$92:$D$109,Parameter!$C$6))</f>
        <v>2025.40651666667</v>
      </c>
      <c r="K12" s="18" t="n">
        <f aca="false">IF(H12&lt;2,0,STDEV(Data_CR!$D$92:$D$109))</f>
        <v>223.294588135805</v>
      </c>
      <c r="L12" s="19"/>
      <c r="M12" s="20" t="n">
        <f aca="false">NORMSINV(IF(L12="",Parameter!$C$4,L12))</f>
        <v>1.64485362695147</v>
      </c>
      <c r="N12" s="21" t="str">
        <f aca="false">IF(OR(G12="",I12=""),"",M12*SQRT(G12*K12^2+I12^2*E12^2))</f>
        <v/>
      </c>
      <c r="O12" s="21" t="str">
        <f aca="false">IF(OR(G12="",I12=""),"",IF(OR(F12&lt;&gt;"",D12=""),MAX(0,G12*(J12-I12)),MAX(0,MAX(0,D12-Parameter!$C$9)*J12-G12*I12)))</f>
        <v/>
      </c>
      <c r="P12" s="22"/>
      <c r="Q12" s="23" t="str">
        <f aca="false">IF(N12="","",IF(IF(P12="",Parameter!$C$7,P12)="Statistik",N12,IF(IF(P12="",Parameter!$C$7,P12)="Maks–rata-rata",O12,MAX(N12,O12))))</f>
        <v/>
      </c>
      <c r="R12" s="23" t="str">
        <f aca="false">IF(Q12="","",I12*G12+Q12)</f>
        <v/>
      </c>
      <c r="S12" s="16" t="str">
        <f aca="false">IF(Q12="","",Q12/I12)</f>
        <v/>
      </c>
      <c r="T12" s="16" t="str">
        <f aca="false">IF(R12="","",R12/I12)</f>
        <v/>
      </c>
      <c r="U12" s="21" t="n">
        <v>20000</v>
      </c>
      <c r="V12" s="21" t="str">
        <f aca="false">IF(OR(Q12="",U12=""),"",Q12-U12)</f>
        <v/>
      </c>
      <c r="W12" s="24" t="str">
        <f aca="false">IF(OR(U12="",N12=""),"",IF(SQRT(G12*K12^2+I12^2*E12^2)=0,"",NORMSDIST(U12/SQRT(G12*K12^2+I12^2*E12^2))))</f>
        <v/>
      </c>
      <c r="X12" s="21" t="n">
        <v>6000</v>
      </c>
      <c r="Y12" s="25" t="n">
        <v>32758</v>
      </c>
      <c r="Z12" s="25"/>
      <c r="AA12" s="21" t="n">
        <f aca="false">IF(Y12="","",Y12+N(Z12))</f>
        <v>32758</v>
      </c>
      <c r="AB12" s="16" t="str">
        <f aca="false">IF(OR(AA12="",R12=""),"",(AA12-R12)/I12)</f>
        <v/>
      </c>
      <c r="AC12" s="26" t="str">
        <f aca="false">IF(R12="","Data LT/CR belum lengkap",IF(AA12="","Isi stok gudang",IF(AA12&lt;=R12,"MULAI TENDER / PEMBELIAN",IF(AA12&lt;=R12*(1+Parameter!$C$10),"Siapkan tender","Belum perlu tender")))&amp;IF(AND(Y12&lt;&gt;"",Q12&lt;&gt;""),IF(Y12&lt;Q12," · stok gudang &lt; SS usulan",""),""))</f>
        <v>Data LT/CR belum lengkap</v>
      </c>
      <c r="AD12" s="21" t="n">
        <v>20000</v>
      </c>
      <c r="AE12" s="21" t="n">
        <f aca="false">IF(I12="","",I12)</f>
        <v>1795.46061111111</v>
      </c>
      <c r="AF12" s="27" t="s">
        <v>81</v>
      </c>
    </row>
    <row r="13" customFormat="false" ht="42" hidden="false" customHeight="true" outlineLevel="0" collapsed="false">
      <c r="A13" s="14" t="s">
        <v>82</v>
      </c>
      <c r="B13" s="15" t="n">
        <f aca="false">COUNT(Data_LT!$H$209:$H$237)</f>
        <v>23</v>
      </c>
      <c r="C13" s="16" t="n">
        <f aca="false">IF(B13=0,"",AVERAGE(Data_LT!$H$209:$H$237))</f>
        <v>68.1739130434783</v>
      </c>
      <c r="D13" s="16" t="n">
        <f aca="false">IF(B13=0,"",PERCENTILE(Data_LT!$H$209:$H$237,Parameter!$C$6))</f>
        <v>69</v>
      </c>
      <c r="E13" s="16" t="n">
        <f aca="false">IF(B13&lt;2,0,STDEV(Data_LT!$H$209:$H$237))</f>
        <v>1.46635521905795</v>
      </c>
      <c r="F13" s="17"/>
      <c r="G13" s="16" t="n">
        <f aca="false">IF(F13&lt;&gt;"",F13,IF(C13="","",MAX(0,C13-Parameter!$C$9)))</f>
        <v>68.1739130434783</v>
      </c>
      <c r="H13" s="15" t="n">
        <f aca="false">COUNT(Data_CR!$D$111:$D$125)</f>
        <v>9</v>
      </c>
      <c r="I13" s="18" t="n">
        <f aca="false">IF(H13=0,"",AVERAGE(Data_CR!$D$111:$D$125))</f>
        <v>494.392296296296</v>
      </c>
      <c r="J13" s="18" t="n">
        <f aca="false">IF(H13=0,"",PERCENTILE(Data_CR!$D$111:$D$125,Parameter!$C$6))</f>
        <v>540.527946666667</v>
      </c>
      <c r="K13" s="18" t="n">
        <f aca="false">IF(H13&lt;2,0,STDEV(Data_CR!$D$111:$D$125))</f>
        <v>53.5677044335806</v>
      </c>
      <c r="L13" s="19"/>
      <c r="M13" s="20" t="n">
        <f aca="false">NORMSINV(IF(L13="",Parameter!$C$4,L13))</f>
        <v>1.64485362695147</v>
      </c>
      <c r="N13" s="21" t="n">
        <f aca="false">IF(OR(G13="",I13=""),"",M13*SQRT(G13*K13^2+I13^2*E13^2))</f>
        <v>1396.85200632827</v>
      </c>
      <c r="O13" s="21" t="n">
        <f aca="false">IF(OR(G13="",I13=""),"",IF(OR(F13&lt;&gt;"",D13=""),MAX(0,G13*(J13-I13)),MAX(0,MAX(0,D13-Parameter!$C$9)*J13-G13*I13)))</f>
        <v>3591.77090293076</v>
      </c>
      <c r="P13" s="22"/>
      <c r="Q13" s="23" t="n">
        <f aca="false">IF(N13="","",IF(IF(P13="",Parameter!$C$7,P13)="Statistik",N13,IF(IF(P13="",Parameter!$C$7,P13)="Maks–rata-rata",O13,MAX(N13,O13))))</f>
        <v>1396.85200632827</v>
      </c>
      <c r="R13" s="23" t="n">
        <f aca="false">IF(Q13="","",I13*G13+Q13)</f>
        <v>35101.5094233975</v>
      </c>
      <c r="S13" s="16" t="n">
        <f aca="false">IF(Q13="","",Q13/I13)</f>
        <v>2.82539193428516</v>
      </c>
      <c r="T13" s="16" t="n">
        <f aca="false">IF(R13="","",R13/I13)</f>
        <v>70.9993049777634</v>
      </c>
      <c r="U13" s="21" t="n">
        <v>10000</v>
      </c>
      <c r="V13" s="21" t="n">
        <f aca="false">IF(OR(Q13="",U13=""),"",Q13-U13)</f>
        <v>-8603.14799367173</v>
      </c>
      <c r="W13" s="24" t="n">
        <f aca="false">IF(OR(U13="",N13=""),"",IF(SQRT(G13*K13^2+I13^2*E13^2)=0,"",NORMSDIST(U13/SQRT(G13*K13^2+I13^2*E13^2))))</f>
        <v>1</v>
      </c>
      <c r="X13" s="21" t="n">
        <v>5000</v>
      </c>
      <c r="Y13" s="25" t="n">
        <v>13984</v>
      </c>
      <c r="Z13" s="25"/>
      <c r="AA13" s="21" t="n">
        <f aca="false">IF(Y13="","",Y13+N(Z13))</f>
        <v>13984</v>
      </c>
      <c r="AB13" s="16" t="n">
        <f aca="false">IF(OR(AA13="",R13=""),"",(AA13-R13)/I13)</f>
        <v>-42.714074595413</v>
      </c>
      <c r="AC13" s="26" t="str">
        <f aca="false">IF(R13="","Data LT/CR belum lengkap",IF(AA13="","Isi stok gudang",IF(AA13&lt;=R13,"MULAI TENDER / PEMBELIAN",IF(AA13&lt;=R13*(1+Parameter!$C$10),"Siapkan tender","Belum perlu tender")))&amp;IF(AND(Y13&lt;&gt;"",Q13&lt;&gt;""),IF(Y13&lt;Q13," · stok gudang &lt; SS usulan",""),""))</f>
        <v>MULAI TENDER / PEMBELIAN</v>
      </c>
      <c r="AD13" s="21" t="n">
        <v>62789</v>
      </c>
      <c r="AE13" s="21" t="n">
        <f aca="false">IF(I13="","",I13)</f>
        <v>494.392296296296</v>
      </c>
      <c r="AF13" s="27" t="s">
        <v>83</v>
      </c>
    </row>
    <row r="15" customFormat="false" ht="15" hidden="false" customHeight="false" outlineLevel="0" collapsed="false">
      <c r="A15" s="28" t="s">
        <v>84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customFormat="false" ht="15" hidden="false" customHeight="false" outlineLevel="0" collapsed="false">
      <c r="A16" s="28" t="s">
        <v>85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customFormat="false" ht="15" hidden="false" customHeight="false" outlineLevel="0" collapsed="false">
      <c r="A17" s="28" t="s">
        <v>86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customFormat="false" ht="15" hidden="false" customHeight="false" outlineLevel="0" collapsed="false">
      <c r="A18" s="28" t="s">
        <v>87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</sheetData>
  <mergeCells count="11">
    <mergeCell ref="B4:G4"/>
    <mergeCell ref="H4:K4"/>
    <mergeCell ref="L4:Q4"/>
    <mergeCell ref="R4:T4"/>
    <mergeCell ref="U4:X4"/>
    <mergeCell ref="Y4:AC4"/>
    <mergeCell ref="AD4:AF4"/>
    <mergeCell ref="A15:T15"/>
    <mergeCell ref="A16:T16"/>
    <mergeCell ref="A17:T17"/>
    <mergeCell ref="A18:T18"/>
  </mergeCells>
  <conditionalFormatting sqref="AC6:AC13">
    <cfRule type="expression" priority="2" aboveAverage="0" equalAverage="0" bottom="0" percent="0" rank="0" text="" dxfId="0">
      <formula>LEFT(AC6,5)="MULAI"</formula>
    </cfRule>
    <cfRule type="expression" priority="3" aboveAverage="0" equalAverage="0" bottom="0" percent="0" rank="0" text="" dxfId="1">
      <formula>LEFT(AC6,8)="Siapkan "</formula>
    </cfRule>
    <cfRule type="expression" priority="4" aboveAverage="0" equalAverage="0" bottom="0" percent="0" rank="0" text="" dxfId="2">
      <formula>LEFT(AC6,5)="Belum"</formula>
    </cfRule>
  </conditionalFormatting>
  <dataValidations count="1">
    <dataValidation allowBlank="true" errorStyle="stop" operator="between" showDropDown="false" showErrorMessage="false" showInputMessage="false" sqref="P6:P13" type="list">
      <formula1>"Statistik,Maks–rata-rata,Terbesar"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70"/>
  </cols>
  <sheetData>
    <row r="1" customFormat="false" ht="17.35" hidden="false" customHeight="false" outlineLevel="0" collapsed="false">
      <c r="B1" s="11" t="s">
        <v>88</v>
      </c>
    </row>
    <row r="3" customFormat="false" ht="15" hidden="false" customHeight="false" outlineLevel="0" collapsed="false">
      <c r="B3" s="13" t="s">
        <v>89</v>
      </c>
      <c r="C3" s="13" t="s">
        <v>90</v>
      </c>
      <c r="D3" s="13" t="s">
        <v>91</v>
      </c>
      <c r="E3" s="13" t="s">
        <v>92</v>
      </c>
    </row>
    <row r="4" customFormat="false" ht="15" hidden="false" customHeight="false" outlineLevel="0" collapsed="false">
      <c r="B4" s="7" t="s">
        <v>93</v>
      </c>
      <c r="C4" s="19" t="n">
        <v>0.95</v>
      </c>
      <c r="D4" s="2" t="s">
        <v>94</v>
      </c>
      <c r="E4" s="29" t="s">
        <v>95</v>
      </c>
    </row>
    <row r="5" customFormat="false" ht="15" hidden="false" customHeight="false" outlineLevel="0" collapsed="false">
      <c r="B5" s="7" t="s">
        <v>96</v>
      </c>
      <c r="C5" s="20" t="n">
        <f aca="false">NORMSINV(C4)</f>
        <v>1.64485362695147</v>
      </c>
      <c r="D5" s="2"/>
      <c r="E5" s="29" t="s">
        <v>97</v>
      </c>
    </row>
    <row r="6" customFormat="false" ht="22.35" hidden="false" customHeight="false" outlineLevel="0" collapsed="false">
      <c r="B6" s="7" t="s">
        <v>98</v>
      </c>
      <c r="C6" s="19" t="n">
        <v>0.9</v>
      </c>
      <c r="D6" s="2" t="s">
        <v>94</v>
      </c>
      <c r="E6" s="29" t="s">
        <v>99</v>
      </c>
    </row>
    <row r="7" customFormat="false" ht="15" hidden="false" customHeight="false" outlineLevel="0" collapsed="false">
      <c r="B7" s="7" t="s">
        <v>100</v>
      </c>
      <c r="C7" s="22" t="s">
        <v>101</v>
      </c>
      <c r="D7" s="2"/>
      <c r="E7" s="29" t="s">
        <v>102</v>
      </c>
    </row>
    <row r="8" customFormat="false" ht="15" hidden="false" customHeight="false" outlineLevel="0" collapsed="false">
      <c r="B8" s="7" t="s">
        <v>103</v>
      </c>
      <c r="C8" s="30" t="n">
        <v>30</v>
      </c>
      <c r="D8" s="2" t="s">
        <v>104</v>
      </c>
      <c r="E8" s="29" t="s">
        <v>105</v>
      </c>
    </row>
    <row r="9" customFormat="false" ht="15" hidden="false" customHeight="false" outlineLevel="0" collapsed="false">
      <c r="B9" s="7" t="s">
        <v>106</v>
      </c>
      <c r="C9" s="30" t="n">
        <v>0</v>
      </c>
      <c r="D9" s="2" t="s">
        <v>104</v>
      </c>
      <c r="E9" s="29" t="s">
        <v>107</v>
      </c>
    </row>
    <row r="10" customFormat="false" ht="15" hidden="false" customHeight="false" outlineLevel="0" collapsed="false">
      <c r="B10" s="7" t="s">
        <v>108</v>
      </c>
      <c r="C10" s="19" t="n">
        <v>0.1</v>
      </c>
      <c r="D10" s="2" t="s">
        <v>94</v>
      </c>
      <c r="E10" s="29" t="s">
        <v>109</v>
      </c>
    </row>
  </sheetData>
  <dataValidations count="1">
    <dataValidation allowBlank="false" errorStyle="stop" operator="between" showDropDown="false" showErrorMessage="false" showInputMessage="false" sqref="C7" type="list">
      <formula1>"Statistik,Maks–rata-rata,Terbesar"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</cols>
  <sheetData>
    <row r="1" customFormat="false" ht="23.85" hidden="false" customHeight="false" outlineLevel="0" collapsed="false">
      <c r="A1" s="13" t="s">
        <v>110</v>
      </c>
      <c r="B1" s="13" t="s">
        <v>111</v>
      </c>
      <c r="C1" s="13" t="s">
        <v>112</v>
      </c>
      <c r="D1" s="13" t="s">
        <v>113</v>
      </c>
      <c r="E1" s="13" t="s">
        <v>114</v>
      </c>
      <c r="F1" s="13" t="s">
        <v>115</v>
      </c>
      <c r="G1" s="13" t="s">
        <v>116</v>
      </c>
      <c r="H1" s="13" t="s">
        <v>117</v>
      </c>
      <c r="J1" s="2" t="s">
        <v>118</v>
      </c>
    </row>
    <row r="2" customFormat="false" ht="15" hidden="false" customHeight="false" outlineLevel="0" collapsed="false">
      <c r="A2" s="14" t="s">
        <v>69</v>
      </c>
      <c r="B2" s="15" t="n">
        <v>1</v>
      </c>
      <c r="C2" s="14" t="s">
        <v>119</v>
      </c>
      <c r="D2" s="15" t="n">
        <f aca="false">7+0+25+7</f>
        <v>39</v>
      </c>
      <c r="E2" s="15" t="n">
        <v>15</v>
      </c>
      <c r="F2" s="15" t="n">
        <v>10</v>
      </c>
      <c r="G2" s="15"/>
      <c r="H2" s="15" t="n">
        <f aca="false">IF(COUNT(D2:G2)=0,"",SUM(D2:G2))</f>
        <v>64</v>
      </c>
    </row>
    <row r="3" customFormat="false" ht="15" hidden="false" customHeight="false" outlineLevel="0" collapsed="false">
      <c r="A3" s="14" t="s">
        <v>69</v>
      </c>
      <c r="B3" s="15" t="n">
        <v>2</v>
      </c>
      <c r="C3" s="14" t="s">
        <v>120</v>
      </c>
      <c r="D3" s="15" t="n">
        <f aca="false">7+0+25+7</f>
        <v>39</v>
      </c>
      <c r="E3" s="15" t="n">
        <v>7</v>
      </c>
      <c r="F3" s="15" t="n">
        <v>10</v>
      </c>
      <c r="G3" s="15"/>
      <c r="H3" s="15" t="n">
        <f aca="false">IF(COUNT(D3:G3)=0,"",SUM(D3:G3))</f>
        <v>56</v>
      </c>
    </row>
    <row r="4" customFormat="false" ht="15" hidden="false" customHeight="false" outlineLevel="0" collapsed="false">
      <c r="A4" s="14" t="s">
        <v>69</v>
      </c>
      <c r="B4" s="15" t="n">
        <v>3</v>
      </c>
      <c r="C4" s="14" t="s">
        <v>119</v>
      </c>
      <c r="D4" s="15" t="n">
        <f aca="false">7+0+25+7</f>
        <v>39</v>
      </c>
      <c r="E4" s="15" t="n">
        <v>12</v>
      </c>
      <c r="F4" s="15" t="n">
        <v>10</v>
      </c>
      <c r="G4" s="15"/>
      <c r="H4" s="15" t="n">
        <f aca="false">IF(COUNT(D4:G4)=0,"",SUM(D4:G4))</f>
        <v>61</v>
      </c>
    </row>
    <row r="5" customFormat="false" ht="15" hidden="false" customHeight="false" outlineLevel="0" collapsed="false">
      <c r="A5" s="14" t="s">
        <v>69</v>
      </c>
      <c r="B5" s="15" t="n">
        <v>4</v>
      </c>
      <c r="C5" s="14" t="s">
        <v>121</v>
      </c>
      <c r="D5" s="15" t="n">
        <f aca="false">7+0+25+7</f>
        <v>39</v>
      </c>
      <c r="E5" s="15" t="n">
        <v>7</v>
      </c>
      <c r="F5" s="15" t="n">
        <v>10</v>
      </c>
      <c r="G5" s="15"/>
      <c r="H5" s="15" t="n">
        <f aca="false">IF(COUNT(D5:G5)=0,"",SUM(D5:G5))</f>
        <v>56</v>
      </c>
    </row>
    <row r="6" customFormat="false" ht="15" hidden="false" customHeight="false" outlineLevel="0" collapsed="false">
      <c r="A6" s="14" t="s">
        <v>69</v>
      </c>
      <c r="B6" s="15" t="n">
        <v>5</v>
      </c>
      <c r="C6" s="14" t="s">
        <v>119</v>
      </c>
      <c r="D6" s="15" t="n">
        <f aca="false">7+0+25+7</f>
        <v>39</v>
      </c>
      <c r="E6" s="15" t="n">
        <v>15</v>
      </c>
      <c r="F6" s="15" t="n">
        <v>10</v>
      </c>
      <c r="G6" s="15"/>
      <c r="H6" s="15" t="n">
        <f aca="false">IF(COUNT(D6:G6)=0,"",SUM(D6:G6))</f>
        <v>64</v>
      </c>
    </row>
    <row r="7" customFormat="false" ht="15" hidden="false" customHeight="false" outlineLevel="0" collapsed="false">
      <c r="A7" s="14" t="s">
        <v>69</v>
      </c>
      <c r="B7" s="15" t="n">
        <v>6</v>
      </c>
      <c r="C7" s="14" t="s">
        <v>119</v>
      </c>
      <c r="D7" s="15" t="n">
        <f aca="false">7+0+25+7</f>
        <v>39</v>
      </c>
      <c r="E7" s="15" t="n">
        <v>15</v>
      </c>
      <c r="F7" s="15" t="n">
        <v>10</v>
      </c>
      <c r="G7" s="15"/>
      <c r="H7" s="15" t="n">
        <f aca="false">IF(COUNT(D7:G7)=0,"",SUM(D7:G7))</f>
        <v>64</v>
      </c>
    </row>
    <row r="8" customFormat="false" ht="15" hidden="false" customHeight="false" outlineLevel="0" collapsed="false">
      <c r="A8" s="14" t="s">
        <v>69</v>
      </c>
      <c r="B8" s="15" t="n">
        <v>7</v>
      </c>
      <c r="C8" s="14" t="s">
        <v>119</v>
      </c>
      <c r="D8" s="15" t="n">
        <f aca="false">7+0+25+7</f>
        <v>39</v>
      </c>
      <c r="E8" s="15" t="n">
        <v>14</v>
      </c>
      <c r="F8" s="15" t="n">
        <v>10</v>
      </c>
      <c r="G8" s="15"/>
      <c r="H8" s="15" t="n">
        <f aca="false">IF(COUNT(D8:G8)=0,"",SUM(D8:G8))</f>
        <v>63</v>
      </c>
    </row>
    <row r="9" customFormat="false" ht="15" hidden="false" customHeight="false" outlineLevel="0" collapsed="false">
      <c r="A9" s="14" t="s">
        <v>69</v>
      </c>
      <c r="B9" s="15" t="n">
        <v>8</v>
      </c>
      <c r="C9" s="14" t="s">
        <v>119</v>
      </c>
      <c r="D9" s="15" t="n">
        <f aca="false">7+0+25+7</f>
        <v>39</v>
      </c>
      <c r="E9" s="15" t="n">
        <v>10</v>
      </c>
      <c r="F9" s="15" t="n">
        <v>10</v>
      </c>
      <c r="G9" s="15"/>
      <c r="H9" s="15" t="n">
        <f aca="false">IF(COUNT(D9:G9)=0,"",SUM(D9:G9))</f>
        <v>59</v>
      </c>
    </row>
    <row r="10" customFormat="false" ht="15" hidden="false" customHeight="false" outlineLevel="0" collapsed="false">
      <c r="A10" s="14" t="s">
        <v>69</v>
      </c>
      <c r="B10" s="15" t="n">
        <v>9</v>
      </c>
      <c r="C10" s="14" t="s">
        <v>121</v>
      </c>
      <c r="D10" s="15" t="n">
        <f aca="false">7+0+25+7</f>
        <v>39</v>
      </c>
      <c r="E10" s="15" t="n">
        <v>7</v>
      </c>
      <c r="F10" s="15" t="n">
        <v>10</v>
      </c>
      <c r="G10" s="15"/>
      <c r="H10" s="15" t="n">
        <f aca="false">IF(COUNT(D10:G10)=0,"",SUM(D10:G10))</f>
        <v>56</v>
      </c>
    </row>
    <row r="11" customFormat="false" ht="15" hidden="false" customHeight="false" outlineLevel="0" collapsed="false">
      <c r="A11" s="14" t="s">
        <v>69</v>
      </c>
      <c r="B11" s="15" t="n">
        <v>10</v>
      </c>
      <c r="C11" s="14" t="s">
        <v>121</v>
      </c>
      <c r="D11" s="15" t="n">
        <f aca="false">7+0+25+7</f>
        <v>39</v>
      </c>
      <c r="E11" s="15" t="n">
        <v>7</v>
      </c>
      <c r="F11" s="15" t="n">
        <v>10</v>
      </c>
      <c r="G11" s="15"/>
      <c r="H11" s="15" t="n">
        <f aca="false">IF(COUNT(D11:G11)=0,"",SUM(D11:G11))</f>
        <v>56</v>
      </c>
    </row>
    <row r="12" customFormat="false" ht="15" hidden="false" customHeight="false" outlineLevel="0" collapsed="false">
      <c r="A12" s="14" t="s">
        <v>69</v>
      </c>
      <c r="B12" s="15" t="n">
        <v>11</v>
      </c>
      <c r="C12" s="14" t="s">
        <v>119</v>
      </c>
      <c r="D12" s="15" t="n">
        <f aca="false">7+0+25+7</f>
        <v>39</v>
      </c>
      <c r="E12" s="15" t="n">
        <v>14</v>
      </c>
      <c r="F12" s="15" t="n">
        <v>10</v>
      </c>
      <c r="G12" s="15"/>
      <c r="H12" s="15" t="n">
        <f aca="false">IF(COUNT(D12:G12)=0,"",SUM(D12:G12))</f>
        <v>63</v>
      </c>
    </row>
    <row r="13" customFormat="false" ht="15" hidden="false" customHeight="false" outlineLevel="0" collapsed="false">
      <c r="A13" s="14" t="s">
        <v>69</v>
      </c>
      <c r="B13" s="15" t="n">
        <v>12</v>
      </c>
      <c r="C13" s="14" t="s">
        <v>119</v>
      </c>
      <c r="D13" s="15" t="n">
        <f aca="false">7+0+25+7</f>
        <v>39</v>
      </c>
      <c r="E13" s="15" t="n">
        <v>9</v>
      </c>
      <c r="F13" s="15" t="n">
        <v>10</v>
      </c>
      <c r="G13" s="15"/>
      <c r="H13" s="15" t="n">
        <f aca="false">IF(COUNT(D13:G13)=0,"",SUM(D13:G13))</f>
        <v>58</v>
      </c>
    </row>
    <row r="14" customFormat="false" ht="15" hidden="false" customHeight="false" outlineLevel="0" collapsed="false">
      <c r="A14" s="14" t="s">
        <v>69</v>
      </c>
      <c r="B14" s="15" t="n">
        <v>13</v>
      </c>
      <c r="C14" s="14" t="s">
        <v>121</v>
      </c>
      <c r="D14" s="15" t="n">
        <f aca="false">7+0+25+7</f>
        <v>39</v>
      </c>
      <c r="E14" s="15" t="n">
        <v>14</v>
      </c>
      <c r="F14" s="15" t="n">
        <v>10</v>
      </c>
      <c r="G14" s="15"/>
      <c r="H14" s="15" t="n">
        <f aca="false">IF(COUNT(D14:G14)=0,"",SUM(D14:G14))</f>
        <v>63</v>
      </c>
    </row>
    <row r="15" customFormat="false" ht="15" hidden="false" customHeight="false" outlineLevel="0" collapsed="false">
      <c r="A15" s="14" t="s">
        <v>69</v>
      </c>
      <c r="B15" s="15" t="n">
        <v>14</v>
      </c>
      <c r="C15" s="14" t="s">
        <v>119</v>
      </c>
      <c r="D15" s="15" t="n">
        <f aca="false">7+0+25+7</f>
        <v>39</v>
      </c>
      <c r="E15" s="15" t="n">
        <v>10</v>
      </c>
      <c r="F15" s="15" t="n">
        <v>10</v>
      </c>
      <c r="G15" s="15"/>
      <c r="H15" s="15" t="n">
        <f aca="false">IF(COUNT(D15:G15)=0,"",SUM(D15:G15))</f>
        <v>59</v>
      </c>
    </row>
    <row r="16" customFormat="false" ht="15" hidden="false" customHeight="false" outlineLevel="0" collapsed="false">
      <c r="A16" s="14" t="s">
        <v>69</v>
      </c>
      <c r="C16" s="30"/>
      <c r="D16" s="30"/>
      <c r="E16" s="30"/>
      <c r="F16" s="30"/>
      <c r="G16" s="30"/>
      <c r="H16" s="15" t="str">
        <f aca="false">IF(COUNT(D16:G16)=0,"",SUM(D16:G16))</f>
        <v/>
      </c>
    </row>
    <row r="17" customFormat="false" ht="15" hidden="false" customHeight="false" outlineLevel="0" collapsed="false">
      <c r="A17" s="14" t="s">
        <v>69</v>
      </c>
      <c r="C17" s="30"/>
      <c r="D17" s="30"/>
      <c r="E17" s="30"/>
      <c r="F17" s="30"/>
      <c r="G17" s="30"/>
      <c r="H17" s="15" t="str">
        <f aca="false">IF(COUNT(D17:G17)=0,"",SUM(D17:G17))</f>
        <v/>
      </c>
    </row>
    <row r="18" customFormat="false" ht="15" hidden="false" customHeight="false" outlineLevel="0" collapsed="false">
      <c r="A18" s="14" t="s">
        <v>69</v>
      </c>
      <c r="C18" s="30"/>
      <c r="D18" s="30"/>
      <c r="E18" s="30"/>
      <c r="F18" s="30"/>
      <c r="G18" s="30"/>
      <c r="H18" s="15" t="str">
        <f aca="false">IF(COUNT(D18:G18)=0,"",SUM(D18:G18))</f>
        <v/>
      </c>
    </row>
    <row r="19" customFormat="false" ht="15" hidden="false" customHeight="false" outlineLevel="0" collapsed="false">
      <c r="A19" s="14" t="s">
        <v>69</v>
      </c>
      <c r="C19" s="30"/>
      <c r="D19" s="30"/>
      <c r="E19" s="30"/>
      <c r="F19" s="30"/>
      <c r="G19" s="30"/>
      <c r="H19" s="15" t="str">
        <f aca="false">IF(COUNT(D19:G19)=0,"",SUM(D19:G19))</f>
        <v/>
      </c>
    </row>
    <row r="20" customFormat="false" ht="15" hidden="false" customHeight="false" outlineLevel="0" collapsed="false">
      <c r="A20" s="14" t="s">
        <v>69</v>
      </c>
      <c r="C20" s="30"/>
      <c r="D20" s="30"/>
      <c r="E20" s="30"/>
      <c r="F20" s="30"/>
      <c r="G20" s="30"/>
      <c r="H20" s="15" t="str">
        <f aca="false">IF(COUNT(D20:G20)=0,"",SUM(D20:G20))</f>
        <v/>
      </c>
    </row>
    <row r="21" customFormat="false" ht="15" hidden="false" customHeight="false" outlineLevel="0" collapsed="false">
      <c r="A21" s="14" t="s">
        <v>69</v>
      </c>
      <c r="C21" s="30"/>
      <c r="D21" s="30"/>
      <c r="E21" s="30"/>
      <c r="F21" s="30"/>
      <c r="G21" s="30"/>
      <c r="H21" s="15" t="str">
        <f aca="false">IF(COUNT(D21:G21)=0,"",SUM(D21:G21))</f>
        <v/>
      </c>
    </row>
    <row r="23" customFormat="false" ht="15" hidden="false" customHeight="false" outlineLevel="0" collapsed="false">
      <c r="A23" s="14" t="s">
        <v>71</v>
      </c>
      <c r="B23" s="15" t="n">
        <v>1</v>
      </c>
      <c r="C23" s="14" t="s">
        <v>122</v>
      </c>
      <c r="D23" s="15" t="n">
        <f aca="false">7+0+25+14</f>
        <v>46</v>
      </c>
      <c r="E23" s="15" t="n">
        <v>54</v>
      </c>
      <c r="F23" s="15" t="n">
        <v>10</v>
      </c>
      <c r="G23" s="15"/>
      <c r="H23" s="15" t="n">
        <f aca="false">IF(COUNT(D23:G23)=0,"",SUM(D23:G23))</f>
        <v>110</v>
      </c>
    </row>
    <row r="24" customFormat="false" ht="15" hidden="false" customHeight="false" outlineLevel="0" collapsed="false">
      <c r="A24" s="14" t="s">
        <v>71</v>
      </c>
      <c r="B24" s="15" t="n">
        <v>2</v>
      </c>
      <c r="C24" s="14" t="s">
        <v>123</v>
      </c>
      <c r="D24" s="15" t="n">
        <f aca="false">7+0+25+14</f>
        <v>46</v>
      </c>
      <c r="E24" s="15" t="n">
        <v>28</v>
      </c>
      <c r="F24" s="15" t="n">
        <v>10</v>
      </c>
      <c r="G24" s="15"/>
      <c r="H24" s="15" t="n">
        <f aca="false">IF(COUNT(D24:G24)=0,"",SUM(D24:G24))</f>
        <v>84</v>
      </c>
    </row>
    <row r="25" customFormat="false" ht="15" hidden="false" customHeight="false" outlineLevel="0" collapsed="false">
      <c r="A25" s="14" t="s">
        <v>71</v>
      </c>
      <c r="B25" s="15" t="n">
        <v>3</v>
      </c>
      <c r="C25" s="14" t="s">
        <v>123</v>
      </c>
      <c r="D25" s="15" t="n">
        <f aca="false">7+0+25+14</f>
        <v>46</v>
      </c>
      <c r="E25" s="15" t="n">
        <v>18</v>
      </c>
      <c r="F25" s="15" t="n">
        <v>10</v>
      </c>
      <c r="G25" s="15"/>
      <c r="H25" s="15" t="n">
        <f aca="false">IF(COUNT(D25:G25)=0,"",SUM(D25:G25))</f>
        <v>74</v>
      </c>
    </row>
    <row r="26" customFormat="false" ht="15" hidden="false" customHeight="false" outlineLevel="0" collapsed="false">
      <c r="A26" s="14" t="s">
        <v>71</v>
      </c>
      <c r="B26" s="15" t="n">
        <v>4</v>
      </c>
      <c r="C26" s="14" t="s">
        <v>123</v>
      </c>
      <c r="D26" s="15" t="n">
        <f aca="false">7+0+25+14</f>
        <v>46</v>
      </c>
      <c r="E26" s="15" t="n">
        <v>22</v>
      </c>
      <c r="F26" s="15" t="n">
        <v>10</v>
      </c>
      <c r="G26" s="15"/>
      <c r="H26" s="15" t="n">
        <f aca="false">IF(COUNT(D26:G26)=0,"",SUM(D26:G26))</f>
        <v>78</v>
      </c>
    </row>
    <row r="27" customFormat="false" ht="15" hidden="false" customHeight="false" outlineLevel="0" collapsed="false">
      <c r="A27" s="14" t="s">
        <v>71</v>
      </c>
      <c r="B27" s="15" t="n">
        <v>5</v>
      </c>
      <c r="C27" s="14" t="s">
        <v>124</v>
      </c>
      <c r="D27" s="15" t="n">
        <f aca="false">7+0+25+14</f>
        <v>46</v>
      </c>
      <c r="E27" s="15" t="n">
        <v>31</v>
      </c>
      <c r="F27" s="15" t="n">
        <v>10</v>
      </c>
      <c r="G27" s="15"/>
      <c r="H27" s="15" t="n">
        <f aca="false">IF(COUNT(D27:G27)=0,"",SUM(D27:G27))</f>
        <v>87</v>
      </c>
    </row>
    <row r="28" customFormat="false" ht="15" hidden="false" customHeight="false" outlineLevel="0" collapsed="false">
      <c r="A28" s="14" t="s">
        <v>71</v>
      </c>
      <c r="B28" s="15" t="n">
        <v>6</v>
      </c>
      <c r="C28" s="14" t="s">
        <v>124</v>
      </c>
      <c r="D28" s="15" t="n">
        <f aca="false">7+0+25+14</f>
        <v>46</v>
      </c>
      <c r="E28" s="15" t="n">
        <v>32</v>
      </c>
      <c r="F28" s="15" t="n">
        <v>10</v>
      </c>
      <c r="G28" s="15"/>
      <c r="H28" s="15" t="n">
        <f aca="false">IF(COUNT(D28:G28)=0,"",SUM(D28:G28))</f>
        <v>88</v>
      </c>
    </row>
    <row r="29" customFormat="false" ht="15" hidden="false" customHeight="false" outlineLevel="0" collapsed="false">
      <c r="A29" s="14" t="s">
        <v>71</v>
      </c>
      <c r="B29" s="15" t="n">
        <v>7</v>
      </c>
      <c r="C29" s="14" t="s">
        <v>124</v>
      </c>
      <c r="D29" s="15" t="n">
        <f aca="false">7+0+25+14</f>
        <v>46</v>
      </c>
      <c r="E29" s="15" t="n">
        <v>37</v>
      </c>
      <c r="F29" s="15" t="n">
        <v>10</v>
      </c>
      <c r="G29" s="15"/>
      <c r="H29" s="15" t="n">
        <f aca="false">IF(COUNT(D29:G29)=0,"",SUM(D29:G29))</f>
        <v>93</v>
      </c>
    </row>
    <row r="30" customFormat="false" ht="15" hidden="false" customHeight="false" outlineLevel="0" collapsed="false">
      <c r="A30" s="14" t="s">
        <v>71</v>
      </c>
      <c r="B30" s="15" t="n">
        <v>8</v>
      </c>
      <c r="C30" s="14" t="s">
        <v>124</v>
      </c>
      <c r="D30" s="15" t="n">
        <f aca="false">7+0+25+14</f>
        <v>46</v>
      </c>
      <c r="E30" s="15" t="n">
        <v>49</v>
      </c>
      <c r="F30" s="15" t="n">
        <v>10</v>
      </c>
      <c r="G30" s="15"/>
      <c r="H30" s="15" t="n">
        <f aca="false">IF(COUNT(D30:G30)=0,"",SUM(D30:G30))</f>
        <v>105</v>
      </c>
    </row>
    <row r="31" customFormat="false" ht="15" hidden="false" customHeight="false" outlineLevel="0" collapsed="false">
      <c r="A31" s="14" t="s">
        <v>71</v>
      </c>
      <c r="B31" s="15" t="n">
        <v>9</v>
      </c>
      <c r="C31" s="14" t="s">
        <v>124</v>
      </c>
      <c r="D31" s="15" t="n">
        <f aca="false">7+0+25+14</f>
        <v>46</v>
      </c>
      <c r="E31" s="15" t="n">
        <v>40</v>
      </c>
      <c r="F31" s="15" t="n">
        <v>10</v>
      </c>
      <c r="G31" s="15"/>
      <c r="H31" s="15" t="n">
        <f aca="false">IF(COUNT(D31:G31)=0,"",SUM(D31:G31))</f>
        <v>96</v>
      </c>
    </row>
    <row r="32" customFormat="false" ht="15" hidden="false" customHeight="false" outlineLevel="0" collapsed="false">
      <c r="A32" s="14" t="s">
        <v>71</v>
      </c>
      <c r="B32" s="15" t="n">
        <v>10</v>
      </c>
      <c r="C32" s="14" t="s">
        <v>124</v>
      </c>
      <c r="D32" s="15" t="n">
        <f aca="false">7+0+25+14</f>
        <v>46</v>
      </c>
      <c r="E32" s="15" t="n">
        <v>41</v>
      </c>
      <c r="F32" s="15" t="n">
        <v>10</v>
      </c>
      <c r="G32" s="15"/>
      <c r="H32" s="15" t="n">
        <f aca="false">IF(COUNT(D32:G32)=0,"",SUM(D32:G32))</f>
        <v>97</v>
      </c>
    </row>
    <row r="33" customFormat="false" ht="15" hidden="false" customHeight="false" outlineLevel="0" collapsed="false">
      <c r="A33" s="14" t="s">
        <v>71</v>
      </c>
      <c r="B33" s="15" t="n">
        <v>11</v>
      </c>
      <c r="C33" s="14" t="s">
        <v>122</v>
      </c>
      <c r="D33" s="15" t="n">
        <f aca="false">7+0+25+14</f>
        <v>46</v>
      </c>
      <c r="E33" s="15" t="n">
        <v>42</v>
      </c>
      <c r="F33" s="15" t="n">
        <v>10</v>
      </c>
      <c r="G33" s="15"/>
      <c r="H33" s="15" t="n">
        <f aca="false">IF(COUNT(D33:G33)=0,"",SUM(D33:G33))</f>
        <v>98</v>
      </c>
    </row>
    <row r="34" customFormat="false" ht="15" hidden="false" customHeight="false" outlineLevel="0" collapsed="false">
      <c r="A34" s="14" t="s">
        <v>71</v>
      </c>
      <c r="B34" s="15" t="n">
        <v>12</v>
      </c>
      <c r="C34" s="14" t="s">
        <v>123</v>
      </c>
      <c r="D34" s="15" t="n">
        <f aca="false">7+0+25+14</f>
        <v>46</v>
      </c>
      <c r="E34" s="15" t="n">
        <v>27</v>
      </c>
      <c r="F34" s="15" t="n">
        <v>10</v>
      </c>
      <c r="G34" s="15"/>
      <c r="H34" s="15" t="n">
        <f aca="false">IF(COUNT(D34:G34)=0,"",SUM(D34:G34))</f>
        <v>83</v>
      </c>
    </row>
    <row r="35" customFormat="false" ht="15" hidden="false" customHeight="false" outlineLevel="0" collapsed="false">
      <c r="A35" s="14" t="s">
        <v>71</v>
      </c>
      <c r="B35" s="15" t="n">
        <v>13</v>
      </c>
      <c r="C35" s="14" t="s">
        <v>123</v>
      </c>
      <c r="D35" s="15" t="n">
        <f aca="false">7+0+25+14</f>
        <v>46</v>
      </c>
      <c r="E35" s="15" t="n">
        <v>28</v>
      </c>
      <c r="F35" s="15" t="n">
        <v>10</v>
      </c>
      <c r="G35" s="15"/>
      <c r="H35" s="15" t="n">
        <f aca="false">IF(COUNT(D35:G35)=0,"",SUM(D35:G35))</f>
        <v>84</v>
      </c>
    </row>
    <row r="36" customFormat="false" ht="15" hidden="false" customHeight="false" outlineLevel="0" collapsed="false">
      <c r="A36" s="14" t="s">
        <v>71</v>
      </c>
      <c r="B36" s="15" t="n">
        <v>14</v>
      </c>
      <c r="C36" s="14" t="s">
        <v>122</v>
      </c>
      <c r="D36" s="15" t="n">
        <f aca="false">7+0+25+14</f>
        <v>46</v>
      </c>
      <c r="E36" s="15" t="n">
        <v>42</v>
      </c>
      <c r="F36" s="15" t="n">
        <v>10</v>
      </c>
      <c r="G36" s="15"/>
      <c r="H36" s="15" t="n">
        <f aca="false">IF(COUNT(D36:G36)=0,"",SUM(D36:G36))</f>
        <v>98</v>
      </c>
    </row>
    <row r="37" customFormat="false" ht="15" hidden="false" customHeight="false" outlineLevel="0" collapsed="false">
      <c r="A37" s="14" t="s">
        <v>71</v>
      </c>
      <c r="B37" s="15" t="n">
        <v>15</v>
      </c>
      <c r="C37" s="14" t="s">
        <v>122</v>
      </c>
      <c r="D37" s="15" t="n">
        <f aca="false">7+0+25+14</f>
        <v>46</v>
      </c>
      <c r="E37" s="15" t="n">
        <v>50</v>
      </c>
      <c r="F37" s="15" t="n">
        <v>10</v>
      </c>
      <c r="G37" s="15"/>
      <c r="H37" s="15" t="n">
        <f aca="false">IF(COUNT(D37:G37)=0,"",SUM(D37:G37))</f>
        <v>106</v>
      </c>
    </row>
    <row r="38" customFormat="false" ht="15" hidden="false" customHeight="false" outlineLevel="0" collapsed="false">
      <c r="A38" s="14" t="s">
        <v>71</v>
      </c>
      <c r="B38" s="15" t="n">
        <v>16</v>
      </c>
      <c r="C38" s="14" t="s">
        <v>122</v>
      </c>
      <c r="D38" s="15" t="n">
        <f aca="false">7+0+25+14</f>
        <v>46</v>
      </c>
      <c r="E38" s="15" t="n">
        <v>44</v>
      </c>
      <c r="F38" s="15" t="n">
        <v>10</v>
      </c>
      <c r="G38" s="15"/>
      <c r="H38" s="15" t="n">
        <f aca="false">IF(COUNT(D38:G38)=0,"",SUM(D38:G38))</f>
        <v>100</v>
      </c>
    </row>
    <row r="39" customFormat="false" ht="15" hidden="false" customHeight="false" outlineLevel="0" collapsed="false">
      <c r="A39" s="14" t="s">
        <v>71</v>
      </c>
      <c r="B39" s="15" t="n">
        <v>17</v>
      </c>
      <c r="C39" s="14" t="s">
        <v>122</v>
      </c>
      <c r="D39" s="15" t="n">
        <f aca="false">7+0+25+14</f>
        <v>46</v>
      </c>
      <c r="E39" s="15" t="n">
        <v>43</v>
      </c>
      <c r="F39" s="15" t="n">
        <v>10</v>
      </c>
      <c r="G39" s="15"/>
      <c r="H39" s="15" t="n">
        <f aca="false">IF(COUNT(D39:G39)=0,"",SUM(D39:G39))</f>
        <v>99</v>
      </c>
    </row>
    <row r="40" customFormat="false" ht="15" hidden="false" customHeight="false" outlineLevel="0" collapsed="false">
      <c r="A40" s="14" t="s">
        <v>71</v>
      </c>
      <c r="B40" s="15" t="n">
        <v>18</v>
      </c>
      <c r="C40" s="14" t="s">
        <v>124</v>
      </c>
      <c r="D40" s="15" t="n">
        <f aca="false">7+0+25+14</f>
        <v>46</v>
      </c>
      <c r="E40" s="15" t="n">
        <v>39</v>
      </c>
      <c r="F40" s="15" t="n">
        <v>10</v>
      </c>
      <c r="G40" s="15"/>
      <c r="H40" s="15" t="n">
        <f aca="false">IF(COUNT(D40:G40)=0,"",SUM(D40:G40))</f>
        <v>95</v>
      </c>
    </row>
    <row r="41" customFormat="false" ht="15" hidden="false" customHeight="false" outlineLevel="0" collapsed="false">
      <c r="A41" s="14" t="s">
        <v>71</v>
      </c>
      <c r="B41" s="15" t="n">
        <v>19</v>
      </c>
      <c r="C41" s="14" t="s">
        <v>124</v>
      </c>
      <c r="D41" s="15" t="n">
        <f aca="false">7+0+25+14</f>
        <v>46</v>
      </c>
      <c r="E41" s="15" t="n">
        <v>43</v>
      </c>
      <c r="F41" s="15" t="n">
        <v>10</v>
      </c>
      <c r="G41" s="15"/>
      <c r="H41" s="15" t="n">
        <f aca="false">IF(COUNT(D41:G41)=0,"",SUM(D41:G41))</f>
        <v>99</v>
      </c>
    </row>
    <row r="42" customFormat="false" ht="15" hidden="false" customHeight="false" outlineLevel="0" collapsed="false">
      <c r="A42" s="14" t="s">
        <v>71</v>
      </c>
      <c r="B42" s="15" t="n">
        <v>20</v>
      </c>
      <c r="C42" s="14" t="s">
        <v>124</v>
      </c>
      <c r="D42" s="15" t="n">
        <f aca="false">7+0+25+14</f>
        <v>46</v>
      </c>
      <c r="E42" s="15" t="n">
        <v>43</v>
      </c>
      <c r="F42" s="15" t="n">
        <v>10</v>
      </c>
      <c r="G42" s="15"/>
      <c r="H42" s="15" t="n">
        <f aca="false">IF(COUNT(D42:G42)=0,"",SUM(D42:G42))</f>
        <v>99</v>
      </c>
    </row>
    <row r="43" customFormat="false" ht="15" hidden="false" customHeight="false" outlineLevel="0" collapsed="false">
      <c r="A43" s="14" t="s">
        <v>71</v>
      </c>
      <c r="B43" s="15" t="n">
        <v>21</v>
      </c>
      <c r="C43" s="14" t="s">
        <v>124</v>
      </c>
      <c r="D43" s="15" t="n">
        <f aca="false">7+0+25+14</f>
        <v>46</v>
      </c>
      <c r="E43" s="15" t="n">
        <v>42</v>
      </c>
      <c r="F43" s="15" t="n">
        <v>10</v>
      </c>
      <c r="G43" s="15"/>
      <c r="H43" s="15" t="n">
        <f aca="false">IF(COUNT(D43:G43)=0,"",SUM(D43:G43))</f>
        <v>98</v>
      </c>
    </row>
    <row r="44" customFormat="false" ht="15" hidden="false" customHeight="false" outlineLevel="0" collapsed="false">
      <c r="A44" s="14" t="s">
        <v>71</v>
      </c>
      <c r="B44" s="15" t="n">
        <v>22</v>
      </c>
      <c r="C44" s="14" t="s">
        <v>124</v>
      </c>
      <c r="D44" s="15" t="n">
        <f aca="false">7+0+25+14</f>
        <v>46</v>
      </c>
      <c r="E44" s="15" t="n">
        <v>44</v>
      </c>
      <c r="F44" s="15" t="n">
        <v>10</v>
      </c>
      <c r="G44" s="15"/>
      <c r="H44" s="15" t="n">
        <f aca="false">IF(COUNT(D44:G44)=0,"",SUM(D44:G44))</f>
        <v>100</v>
      </c>
    </row>
    <row r="45" customFormat="false" ht="15" hidden="false" customHeight="false" outlineLevel="0" collapsed="false">
      <c r="A45" s="14" t="s">
        <v>71</v>
      </c>
      <c r="B45" s="15" t="n">
        <v>23</v>
      </c>
      <c r="C45" s="14" t="s">
        <v>124</v>
      </c>
      <c r="D45" s="15" t="n">
        <f aca="false">7+0+25+14</f>
        <v>46</v>
      </c>
      <c r="E45" s="15" t="n">
        <v>46</v>
      </c>
      <c r="F45" s="15" t="n">
        <v>10</v>
      </c>
      <c r="G45" s="15"/>
      <c r="H45" s="15" t="n">
        <f aca="false">IF(COUNT(D45:G45)=0,"",SUM(D45:G45))</f>
        <v>102</v>
      </c>
    </row>
    <row r="46" customFormat="false" ht="15" hidden="false" customHeight="false" outlineLevel="0" collapsed="false">
      <c r="A46" s="14" t="s">
        <v>71</v>
      </c>
      <c r="B46" s="15" t="n">
        <v>24</v>
      </c>
      <c r="C46" s="14" t="s">
        <v>124</v>
      </c>
      <c r="D46" s="15" t="n">
        <f aca="false">7+0+25+14</f>
        <v>46</v>
      </c>
      <c r="E46" s="15" t="n">
        <v>35</v>
      </c>
      <c r="F46" s="15" t="n">
        <v>10</v>
      </c>
      <c r="G46" s="15"/>
      <c r="H46" s="15" t="n">
        <f aca="false">IF(COUNT(D46:G46)=0,"",SUM(D46:G46))</f>
        <v>91</v>
      </c>
    </row>
    <row r="47" customFormat="false" ht="15" hidden="false" customHeight="false" outlineLevel="0" collapsed="false">
      <c r="A47" s="14" t="s">
        <v>71</v>
      </c>
      <c r="B47" s="15" t="n">
        <v>25</v>
      </c>
      <c r="C47" s="14" t="s">
        <v>122</v>
      </c>
      <c r="D47" s="15" t="n">
        <f aca="false">7+0+25+14</f>
        <v>46</v>
      </c>
      <c r="E47" s="15" t="n">
        <v>42</v>
      </c>
      <c r="F47" s="15" t="n">
        <v>10</v>
      </c>
      <c r="G47" s="15"/>
      <c r="H47" s="15" t="n">
        <f aca="false">IF(COUNT(D47:G47)=0,"",SUM(D47:G47))</f>
        <v>98</v>
      </c>
    </row>
    <row r="48" customFormat="false" ht="15" hidden="false" customHeight="false" outlineLevel="0" collapsed="false">
      <c r="A48" s="14" t="s">
        <v>71</v>
      </c>
      <c r="B48" s="15" t="n">
        <v>26</v>
      </c>
      <c r="C48" s="14" t="s">
        <v>122</v>
      </c>
      <c r="D48" s="15" t="n">
        <f aca="false">7+0+25+14</f>
        <v>46</v>
      </c>
      <c r="E48" s="15" t="n">
        <v>51</v>
      </c>
      <c r="F48" s="15" t="n">
        <v>10</v>
      </c>
      <c r="G48" s="15"/>
      <c r="H48" s="15" t="n">
        <f aca="false">IF(COUNT(D48:G48)=0,"",SUM(D48:G48))</f>
        <v>107</v>
      </c>
    </row>
    <row r="49" customFormat="false" ht="15" hidden="false" customHeight="false" outlineLevel="0" collapsed="false">
      <c r="A49" s="14" t="s">
        <v>71</v>
      </c>
      <c r="B49" s="15" t="n">
        <v>27</v>
      </c>
      <c r="C49" s="14" t="s">
        <v>122</v>
      </c>
      <c r="D49" s="15" t="n">
        <f aca="false">7+0+25+14</f>
        <v>46</v>
      </c>
      <c r="E49" s="15" t="n">
        <v>58</v>
      </c>
      <c r="F49" s="15" t="n">
        <v>10</v>
      </c>
      <c r="G49" s="15"/>
      <c r="H49" s="15" t="n">
        <f aca="false">IF(COUNT(D49:G49)=0,"",SUM(D49:G49))</f>
        <v>114</v>
      </c>
    </row>
    <row r="50" customFormat="false" ht="15" hidden="false" customHeight="false" outlineLevel="0" collapsed="false">
      <c r="A50" s="14" t="s">
        <v>71</v>
      </c>
      <c r="B50" s="15" t="n">
        <v>28</v>
      </c>
      <c r="C50" s="14" t="s">
        <v>122</v>
      </c>
      <c r="D50" s="15" t="n">
        <f aca="false">7+0+25+14</f>
        <v>46</v>
      </c>
      <c r="E50" s="15" t="n">
        <v>66</v>
      </c>
      <c r="F50" s="15" t="n">
        <v>10</v>
      </c>
      <c r="G50" s="15"/>
      <c r="H50" s="15" t="n">
        <f aca="false">IF(COUNT(D50:G50)=0,"",SUM(D50:G50))</f>
        <v>122</v>
      </c>
    </row>
    <row r="51" customFormat="false" ht="15" hidden="false" customHeight="false" outlineLevel="0" collapsed="false">
      <c r="A51" s="14" t="s">
        <v>71</v>
      </c>
      <c r="B51" s="15" t="n">
        <v>29</v>
      </c>
      <c r="C51" s="14" t="s">
        <v>123</v>
      </c>
      <c r="D51" s="15" t="n">
        <f aca="false">7+0+25+14</f>
        <v>46</v>
      </c>
      <c r="E51" s="15" t="n">
        <v>22</v>
      </c>
      <c r="F51" s="15" t="n">
        <v>10</v>
      </c>
      <c r="G51" s="15"/>
      <c r="H51" s="15" t="n">
        <f aca="false">IF(COUNT(D51:G51)=0,"",SUM(D51:G51))</f>
        <v>78</v>
      </c>
    </row>
    <row r="52" customFormat="false" ht="15" hidden="false" customHeight="false" outlineLevel="0" collapsed="false">
      <c r="A52" s="14" t="s">
        <v>71</v>
      </c>
      <c r="B52" s="15" t="n">
        <v>30</v>
      </c>
      <c r="C52" s="14" t="s">
        <v>123</v>
      </c>
      <c r="D52" s="15" t="n">
        <f aca="false">7+0+25+14</f>
        <v>46</v>
      </c>
      <c r="E52" s="15" t="n">
        <v>23</v>
      </c>
      <c r="F52" s="15" t="n">
        <v>10</v>
      </c>
      <c r="G52" s="15"/>
      <c r="H52" s="15" t="n">
        <f aca="false">IF(COUNT(D52:G52)=0,"",SUM(D52:G52))</f>
        <v>79</v>
      </c>
    </row>
    <row r="53" customFormat="false" ht="15" hidden="false" customHeight="false" outlineLevel="0" collapsed="false">
      <c r="A53" s="14" t="s">
        <v>71</v>
      </c>
      <c r="B53" s="15" t="n">
        <v>31</v>
      </c>
      <c r="C53" s="14" t="s">
        <v>124</v>
      </c>
      <c r="D53" s="15" t="n">
        <f aca="false">7+0+25+14</f>
        <v>46</v>
      </c>
      <c r="E53" s="15" t="n">
        <v>45</v>
      </c>
      <c r="F53" s="15" t="n">
        <v>10</v>
      </c>
      <c r="G53" s="15"/>
      <c r="H53" s="15" t="n">
        <f aca="false">IF(COUNT(D53:G53)=0,"",SUM(D53:G53))</f>
        <v>101</v>
      </c>
    </row>
    <row r="54" customFormat="false" ht="15" hidden="false" customHeight="false" outlineLevel="0" collapsed="false">
      <c r="A54" s="14" t="s">
        <v>71</v>
      </c>
      <c r="B54" s="15" t="n">
        <v>32</v>
      </c>
      <c r="C54" s="14" t="s">
        <v>124</v>
      </c>
      <c r="D54" s="15" t="n">
        <f aca="false">7+0+25+14</f>
        <v>46</v>
      </c>
      <c r="E54" s="15" t="n">
        <v>63</v>
      </c>
      <c r="F54" s="15" t="n">
        <v>10</v>
      </c>
      <c r="G54" s="15"/>
      <c r="H54" s="15" t="n">
        <f aca="false">IF(COUNT(D54:G54)=0,"",SUM(D54:G54))</f>
        <v>119</v>
      </c>
    </row>
    <row r="55" customFormat="false" ht="15" hidden="false" customHeight="false" outlineLevel="0" collapsed="false">
      <c r="A55" s="14" t="s">
        <v>71</v>
      </c>
      <c r="B55" s="15" t="n">
        <v>33</v>
      </c>
      <c r="C55" s="14" t="s">
        <v>124</v>
      </c>
      <c r="D55" s="15" t="n">
        <f aca="false">7+0+25+14</f>
        <v>46</v>
      </c>
      <c r="E55" s="15" t="n">
        <v>28</v>
      </c>
      <c r="F55" s="15" t="n">
        <v>10</v>
      </c>
      <c r="G55" s="15"/>
      <c r="H55" s="15" t="n">
        <f aca="false">IF(COUNT(D55:G55)=0,"",SUM(D55:G55))</f>
        <v>84</v>
      </c>
    </row>
    <row r="56" customFormat="false" ht="15" hidden="false" customHeight="false" outlineLevel="0" collapsed="false">
      <c r="A56" s="14" t="s">
        <v>71</v>
      </c>
      <c r="B56" s="15" t="n">
        <v>34</v>
      </c>
      <c r="C56" s="14" t="s">
        <v>124</v>
      </c>
      <c r="D56" s="15" t="n">
        <f aca="false">7+0+25+14</f>
        <v>46</v>
      </c>
      <c r="E56" s="15" t="n">
        <v>45</v>
      </c>
      <c r="F56" s="15" t="n">
        <v>10</v>
      </c>
      <c r="G56" s="15"/>
      <c r="H56" s="15" t="n">
        <f aca="false">IF(COUNT(D56:G56)=0,"",SUM(D56:G56))</f>
        <v>101</v>
      </c>
    </row>
    <row r="57" customFormat="false" ht="15" hidden="false" customHeight="false" outlineLevel="0" collapsed="false">
      <c r="A57" s="14" t="s">
        <v>71</v>
      </c>
      <c r="B57" s="15" t="n">
        <v>35</v>
      </c>
      <c r="C57" s="14" t="s">
        <v>124</v>
      </c>
      <c r="D57" s="15" t="n">
        <f aca="false">7+0+25+14</f>
        <v>46</v>
      </c>
      <c r="E57" s="15" t="n">
        <v>42</v>
      </c>
      <c r="F57" s="15" t="n">
        <v>10</v>
      </c>
      <c r="G57" s="15"/>
      <c r="H57" s="15" t="n">
        <f aca="false">IF(COUNT(D57:G57)=0,"",SUM(D57:G57))</f>
        <v>98</v>
      </c>
    </row>
    <row r="58" customFormat="false" ht="15" hidden="false" customHeight="false" outlineLevel="0" collapsed="false">
      <c r="A58" s="14" t="s">
        <v>71</v>
      </c>
      <c r="B58" s="15" t="n">
        <v>36</v>
      </c>
      <c r="C58" s="14" t="s">
        <v>122</v>
      </c>
      <c r="D58" s="15" t="n">
        <f aca="false">7+0+25+14</f>
        <v>46</v>
      </c>
      <c r="E58" s="15" t="n">
        <v>41</v>
      </c>
      <c r="F58" s="15" t="n">
        <v>10</v>
      </c>
      <c r="G58" s="15"/>
      <c r="H58" s="15" t="n">
        <f aca="false">IF(COUNT(D58:G58)=0,"",SUM(D58:G58))</f>
        <v>97</v>
      </c>
    </row>
    <row r="59" customFormat="false" ht="15" hidden="false" customHeight="false" outlineLevel="0" collapsed="false">
      <c r="A59" s="14" t="s">
        <v>71</v>
      </c>
      <c r="B59" s="15" t="n">
        <v>37</v>
      </c>
      <c r="C59" s="14" t="s">
        <v>124</v>
      </c>
      <c r="D59" s="15" t="n">
        <f aca="false">7+0+25+14</f>
        <v>46</v>
      </c>
      <c r="E59" s="15" t="n">
        <v>44</v>
      </c>
      <c r="F59" s="15" t="n">
        <v>10</v>
      </c>
      <c r="G59" s="15"/>
      <c r="H59" s="15" t="n">
        <f aca="false">IF(COUNT(D59:G59)=0,"",SUM(D59:G59))</f>
        <v>100</v>
      </c>
    </row>
    <row r="60" customFormat="false" ht="15" hidden="false" customHeight="false" outlineLevel="0" collapsed="false">
      <c r="A60" s="14" t="s">
        <v>71</v>
      </c>
      <c r="B60" s="15" t="n">
        <v>38</v>
      </c>
      <c r="C60" s="14" t="s">
        <v>124</v>
      </c>
      <c r="D60" s="15" t="n">
        <f aca="false">7+0+25+14</f>
        <v>46</v>
      </c>
      <c r="E60" s="15" t="n">
        <v>44</v>
      </c>
      <c r="F60" s="15" t="n">
        <v>10</v>
      </c>
      <c r="G60" s="15"/>
      <c r="H60" s="15" t="n">
        <f aca="false">IF(COUNT(D60:G60)=0,"",SUM(D60:G60))</f>
        <v>100</v>
      </c>
    </row>
    <row r="61" customFormat="false" ht="15" hidden="false" customHeight="false" outlineLevel="0" collapsed="false">
      <c r="A61" s="14" t="s">
        <v>71</v>
      </c>
      <c r="B61" s="15" t="n">
        <v>39</v>
      </c>
      <c r="C61" s="14" t="s">
        <v>124</v>
      </c>
      <c r="D61" s="15" t="n">
        <f aca="false">7+0+25+14</f>
        <v>46</v>
      </c>
      <c r="E61" s="15" t="n">
        <v>49</v>
      </c>
      <c r="F61" s="15" t="n">
        <v>10</v>
      </c>
      <c r="G61" s="15"/>
      <c r="H61" s="15" t="n">
        <f aca="false">IF(COUNT(D61:G61)=0,"",SUM(D61:G61))</f>
        <v>105</v>
      </c>
    </row>
    <row r="62" customFormat="false" ht="15" hidden="false" customHeight="false" outlineLevel="0" collapsed="false">
      <c r="A62" s="14" t="s">
        <v>71</v>
      </c>
      <c r="B62" s="15" t="n">
        <v>40</v>
      </c>
      <c r="C62" s="14" t="s">
        <v>124</v>
      </c>
      <c r="D62" s="15" t="n">
        <f aca="false">7+0+25+14</f>
        <v>46</v>
      </c>
      <c r="E62" s="15" t="n">
        <v>42</v>
      </c>
      <c r="F62" s="15" t="n">
        <v>10</v>
      </c>
      <c r="G62" s="15"/>
      <c r="H62" s="15" t="n">
        <f aca="false">IF(COUNT(D62:G62)=0,"",SUM(D62:G62))</f>
        <v>98</v>
      </c>
    </row>
    <row r="63" customFormat="false" ht="15" hidden="false" customHeight="false" outlineLevel="0" collapsed="false">
      <c r="A63" s="14" t="s">
        <v>71</v>
      </c>
      <c r="B63" s="15" t="n">
        <v>41</v>
      </c>
      <c r="C63" s="14" t="s">
        <v>124</v>
      </c>
      <c r="D63" s="15" t="n">
        <f aca="false">7+0+25+14</f>
        <v>46</v>
      </c>
      <c r="E63" s="15" t="n">
        <v>40</v>
      </c>
      <c r="F63" s="15" t="n">
        <v>10</v>
      </c>
      <c r="G63" s="15"/>
      <c r="H63" s="15" t="n">
        <f aca="false">IF(COUNT(D63:G63)=0,"",SUM(D63:G63))</f>
        <v>96</v>
      </c>
    </row>
    <row r="64" customFormat="false" ht="15" hidden="false" customHeight="false" outlineLevel="0" collapsed="false">
      <c r="A64" s="14" t="s">
        <v>71</v>
      </c>
      <c r="B64" s="15" t="n">
        <v>42</v>
      </c>
      <c r="C64" s="14" t="s">
        <v>122</v>
      </c>
      <c r="D64" s="15" t="n">
        <f aca="false">7+0+25+14</f>
        <v>46</v>
      </c>
      <c r="E64" s="15" t="n">
        <v>62</v>
      </c>
      <c r="F64" s="15" t="n">
        <v>10</v>
      </c>
      <c r="G64" s="15"/>
      <c r="H64" s="15" t="n">
        <f aca="false">IF(COUNT(D64:G64)=0,"",SUM(D64:G64))</f>
        <v>118</v>
      </c>
    </row>
    <row r="65" customFormat="false" ht="15" hidden="false" customHeight="false" outlineLevel="0" collapsed="false">
      <c r="A65" s="14" t="s">
        <v>71</v>
      </c>
      <c r="B65" s="15" t="n">
        <v>43</v>
      </c>
      <c r="C65" s="14" t="s">
        <v>122</v>
      </c>
      <c r="D65" s="15" t="n">
        <f aca="false">7+0+25+14</f>
        <v>46</v>
      </c>
      <c r="E65" s="15" t="n">
        <v>51</v>
      </c>
      <c r="F65" s="15" t="n">
        <v>10</v>
      </c>
      <c r="G65" s="15"/>
      <c r="H65" s="15" t="n">
        <f aca="false">IF(COUNT(D65:G65)=0,"",SUM(D65:G65))</f>
        <v>107</v>
      </c>
    </row>
    <row r="66" customFormat="false" ht="15" hidden="false" customHeight="false" outlineLevel="0" collapsed="false">
      <c r="A66" s="14" t="s">
        <v>71</v>
      </c>
      <c r="B66" s="15" t="n">
        <v>44</v>
      </c>
      <c r="C66" s="14" t="s">
        <v>124</v>
      </c>
      <c r="D66" s="15" t="n">
        <f aca="false">7+0+25+14</f>
        <v>46</v>
      </c>
      <c r="E66" s="15" t="n">
        <v>55</v>
      </c>
      <c r="F66" s="15" t="n">
        <v>10</v>
      </c>
      <c r="G66" s="15"/>
      <c r="H66" s="15" t="n">
        <f aca="false">IF(COUNT(D66:G66)=0,"",SUM(D66:G66))</f>
        <v>111</v>
      </c>
    </row>
    <row r="67" customFormat="false" ht="15" hidden="false" customHeight="false" outlineLevel="0" collapsed="false">
      <c r="A67" s="14" t="s">
        <v>71</v>
      </c>
      <c r="B67" s="15" t="n">
        <v>45</v>
      </c>
      <c r="C67" s="14" t="s">
        <v>124</v>
      </c>
      <c r="D67" s="15" t="n">
        <f aca="false">7+0+25+14</f>
        <v>46</v>
      </c>
      <c r="E67" s="15" t="n">
        <v>48</v>
      </c>
      <c r="F67" s="15" t="n">
        <v>10</v>
      </c>
      <c r="G67" s="15"/>
      <c r="H67" s="15" t="n">
        <f aca="false">IF(COUNT(D67:G67)=0,"",SUM(D67:G67))</f>
        <v>104</v>
      </c>
    </row>
    <row r="68" customFormat="false" ht="15" hidden="false" customHeight="false" outlineLevel="0" collapsed="false">
      <c r="A68" s="14" t="s">
        <v>71</v>
      </c>
      <c r="B68" s="15" t="n">
        <v>46</v>
      </c>
      <c r="C68" s="14" t="s">
        <v>123</v>
      </c>
      <c r="D68" s="15" t="n">
        <f aca="false">7+0+25+14</f>
        <v>46</v>
      </c>
      <c r="E68" s="15" t="n">
        <v>26</v>
      </c>
      <c r="F68" s="15" t="n">
        <v>10</v>
      </c>
      <c r="G68" s="15"/>
      <c r="H68" s="15" t="n">
        <f aca="false">IF(COUNT(D68:G68)=0,"",SUM(D68:G68))</f>
        <v>82</v>
      </c>
    </row>
    <row r="69" customFormat="false" ht="15" hidden="false" customHeight="false" outlineLevel="0" collapsed="false">
      <c r="A69" s="14" t="s">
        <v>71</v>
      </c>
      <c r="B69" s="15" t="n">
        <v>47</v>
      </c>
      <c r="C69" s="14" t="s">
        <v>123</v>
      </c>
      <c r="D69" s="15" t="n">
        <f aca="false">7+0+25+14</f>
        <v>46</v>
      </c>
      <c r="E69" s="15" t="n">
        <v>25</v>
      </c>
      <c r="F69" s="15" t="n">
        <v>10</v>
      </c>
      <c r="G69" s="15"/>
      <c r="H69" s="15" t="n">
        <f aca="false">IF(COUNT(D69:G69)=0,"",SUM(D69:G69))</f>
        <v>81</v>
      </c>
    </row>
    <row r="70" customFormat="false" ht="15" hidden="false" customHeight="false" outlineLevel="0" collapsed="false">
      <c r="A70" s="14" t="s">
        <v>71</v>
      </c>
      <c r="B70" s="15" t="n">
        <v>48</v>
      </c>
      <c r="C70" s="14" t="s">
        <v>123</v>
      </c>
      <c r="D70" s="15" t="n">
        <f aca="false">7+0+25+14</f>
        <v>46</v>
      </c>
      <c r="E70" s="15" t="n">
        <v>26</v>
      </c>
      <c r="F70" s="15" t="n">
        <v>10</v>
      </c>
      <c r="G70" s="15"/>
      <c r="H70" s="15" t="n">
        <f aca="false">IF(COUNT(D70:G70)=0,"",SUM(D70:G70))</f>
        <v>82</v>
      </c>
    </row>
    <row r="71" customFormat="false" ht="15" hidden="false" customHeight="false" outlineLevel="0" collapsed="false">
      <c r="A71" s="14" t="s">
        <v>71</v>
      </c>
      <c r="B71" s="15" t="n">
        <v>49</v>
      </c>
      <c r="C71" s="14" t="s">
        <v>123</v>
      </c>
      <c r="D71" s="15" t="n">
        <f aca="false">7+0+25+14</f>
        <v>46</v>
      </c>
      <c r="E71" s="15" t="n">
        <v>25</v>
      </c>
      <c r="F71" s="15" t="n">
        <v>10</v>
      </c>
      <c r="G71" s="15"/>
      <c r="H71" s="15" t="n">
        <f aca="false">IF(COUNT(D71:G71)=0,"",SUM(D71:G71))</f>
        <v>81</v>
      </c>
    </row>
    <row r="72" customFormat="false" ht="15" hidden="false" customHeight="false" outlineLevel="0" collapsed="false">
      <c r="A72" s="14" t="s">
        <v>71</v>
      </c>
      <c r="C72" s="30"/>
      <c r="D72" s="30"/>
      <c r="E72" s="30"/>
      <c r="F72" s="30"/>
      <c r="G72" s="30"/>
      <c r="H72" s="15" t="str">
        <f aca="false">IF(COUNT(D72:G72)=0,"",SUM(D72:G72))</f>
        <v/>
      </c>
    </row>
    <row r="73" customFormat="false" ht="15" hidden="false" customHeight="false" outlineLevel="0" collapsed="false">
      <c r="A73" s="14" t="s">
        <v>71</v>
      </c>
      <c r="C73" s="30"/>
      <c r="D73" s="30"/>
      <c r="E73" s="30"/>
      <c r="F73" s="30"/>
      <c r="G73" s="30"/>
      <c r="H73" s="15" t="str">
        <f aca="false">IF(COUNT(D73:G73)=0,"",SUM(D73:G73))</f>
        <v/>
      </c>
    </row>
    <row r="74" customFormat="false" ht="15" hidden="false" customHeight="false" outlineLevel="0" collapsed="false">
      <c r="A74" s="14" t="s">
        <v>71</v>
      </c>
      <c r="C74" s="30"/>
      <c r="D74" s="30"/>
      <c r="E74" s="30"/>
      <c r="F74" s="30"/>
      <c r="G74" s="30"/>
      <c r="H74" s="15" t="str">
        <f aca="false">IF(COUNT(D74:G74)=0,"",SUM(D74:G74))</f>
        <v/>
      </c>
    </row>
    <row r="75" customFormat="false" ht="15" hidden="false" customHeight="false" outlineLevel="0" collapsed="false">
      <c r="A75" s="14" t="s">
        <v>71</v>
      </c>
      <c r="C75" s="30"/>
      <c r="D75" s="30"/>
      <c r="E75" s="30"/>
      <c r="F75" s="30"/>
      <c r="G75" s="30"/>
      <c r="H75" s="15" t="str">
        <f aca="false">IF(COUNT(D75:G75)=0,"",SUM(D75:G75))</f>
        <v/>
      </c>
    </row>
    <row r="76" customFormat="false" ht="15" hidden="false" customHeight="false" outlineLevel="0" collapsed="false">
      <c r="A76" s="14" t="s">
        <v>71</v>
      </c>
      <c r="C76" s="30"/>
      <c r="D76" s="30"/>
      <c r="E76" s="30"/>
      <c r="F76" s="30"/>
      <c r="G76" s="30"/>
      <c r="H76" s="15" t="str">
        <f aca="false">IF(COUNT(D76:G76)=0,"",SUM(D76:G76))</f>
        <v/>
      </c>
    </row>
    <row r="77" customFormat="false" ht="15" hidden="false" customHeight="false" outlineLevel="0" collapsed="false">
      <c r="A77" s="14" t="s">
        <v>71</v>
      </c>
      <c r="C77" s="30"/>
      <c r="D77" s="30"/>
      <c r="E77" s="30"/>
      <c r="F77" s="30"/>
      <c r="G77" s="30"/>
      <c r="H77" s="15" t="str">
        <f aca="false">IF(COUNT(D77:G77)=0,"",SUM(D77:G77))</f>
        <v/>
      </c>
    </row>
    <row r="79" customFormat="false" ht="15" hidden="false" customHeight="false" outlineLevel="0" collapsed="false">
      <c r="A79" s="14" t="s">
        <v>73</v>
      </c>
      <c r="C79" s="30"/>
      <c r="D79" s="30"/>
      <c r="E79" s="30"/>
      <c r="F79" s="30"/>
      <c r="G79" s="30"/>
      <c r="H79" s="15" t="str">
        <f aca="false">IF(COUNT(D79:G79)=0,"",SUM(D79:G79))</f>
        <v/>
      </c>
    </row>
    <row r="80" customFormat="false" ht="15" hidden="false" customHeight="false" outlineLevel="0" collapsed="false">
      <c r="A80" s="14" t="s">
        <v>73</v>
      </c>
      <c r="C80" s="30"/>
      <c r="D80" s="30"/>
      <c r="E80" s="30"/>
      <c r="F80" s="30"/>
      <c r="G80" s="30"/>
      <c r="H80" s="15" t="str">
        <f aca="false">IF(COUNT(D80:G80)=0,"",SUM(D80:G80))</f>
        <v/>
      </c>
    </row>
    <row r="81" customFormat="false" ht="15" hidden="false" customHeight="false" outlineLevel="0" collapsed="false">
      <c r="A81" s="14" t="s">
        <v>73</v>
      </c>
      <c r="C81" s="30"/>
      <c r="D81" s="30"/>
      <c r="E81" s="30"/>
      <c r="F81" s="30"/>
      <c r="G81" s="30"/>
      <c r="H81" s="15" t="str">
        <f aca="false">IF(COUNT(D81:G81)=0,"",SUM(D81:G81))</f>
        <v/>
      </c>
    </row>
    <row r="82" customFormat="false" ht="15" hidden="false" customHeight="false" outlineLevel="0" collapsed="false">
      <c r="A82" s="14" t="s">
        <v>73</v>
      </c>
      <c r="C82" s="30"/>
      <c r="D82" s="30"/>
      <c r="E82" s="30"/>
      <c r="F82" s="30"/>
      <c r="G82" s="30"/>
      <c r="H82" s="15" t="str">
        <f aca="false">IF(COUNT(D82:G82)=0,"",SUM(D82:G82))</f>
        <v/>
      </c>
    </row>
    <row r="83" customFormat="false" ht="15" hidden="false" customHeight="false" outlineLevel="0" collapsed="false">
      <c r="A83" s="14" t="s">
        <v>73</v>
      </c>
      <c r="C83" s="30"/>
      <c r="D83" s="30"/>
      <c r="E83" s="30"/>
      <c r="F83" s="30"/>
      <c r="G83" s="30"/>
      <c r="H83" s="15" t="str">
        <f aca="false">IF(COUNT(D83:G83)=0,"",SUM(D83:G83))</f>
        <v/>
      </c>
    </row>
    <row r="84" customFormat="false" ht="15" hidden="false" customHeight="false" outlineLevel="0" collapsed="false">
      <c r="A84" s="14" t="s">
        <v>73</v>
      </c>
      <c r="C84" s="30"/>
      <c r="D84" s="30"/>
      <c r="E84" s="30"/>
      <c r="F84" s="30"/>
      <c r="G84" s="30"/>
      <c r="H84" s="15" t="str">
        <f aca="false">IF(COUNT(D84:G84)=0,"",SUM(D84:G84))</f>
        <v/>
      </c>
    </row>
    <row r="86" customFormat="false" ht="15" hidden="false" customHeight="false" outlineLevel="0" collapsed="false">
      <c r="A86" s="14" t="s">
        <v>75</v>
      </c>
      <c r="B86" s="15" t="n">
        <v>1</v>
      </c>
      <c r="C86" s="14"/>
      <c r="D86" s="15" t="n">
        <f aca="false">7+0+25+14</f>
        <v>46</v>
      </c>
      <c r="E86" s="15" t="n">
        <v>15</v>
      </c>
      <c r="F86" s="15" t="n">
        <v>10</v>
      </c>
      <c r="G86" s="15"/>
      <c r="H86" s="15" t="n">
        <f aca="false">IF(COUNT(D86:G86)=0,"",SUM(D86:G86))</f>
        <v>71</v>
      </c>
    </row>
    <row r="87" customFormat="false" ht="15" hidden="false" customHeight="false" outlineLevel="0" collapsed="false">
      <c r="A87" s="14" t="s">
        <v>75</v>
      </c>
      <c r="B87" s="15" t="n">
        <v>2</v>
      </c>
      <c r="C87" s="14" t="s">
        <v>119</v>
      </c>
      <c r="D87" s="15" t="n">
        <f aca="false">7+0+25+14</f>
        <v>46</v>
      </c>
      <c r="E87" s="15" t="n">
        <v>18</v>
      </c>
      <c r="F87" s="15" t="n">
        <v>10</v>
      </c>
      <c r="G87" s="15"/>
      <c r="H87" s="15" t="n">
        <f aca="false">IF(COUNT(D87:G87)=0,"",SUM(D87:G87))</f>
        <v>74</v>
      </c>
    </row>
    <row r="88" customFormat="false" ht="15" hidden="false" customHeight="false" outlineLevel="0" collapsed="false">
      <c r="A88" s="14" t="s">
        <v>75</v>
      </c>
      <c r="B88" s="15" t="n">
        <v>3</v>
      </c>
      <c r="C88" s="14" t="s">
        <v>119</v>
      </c>
      <c r="D88" s="15" t="n">
        <f aca="false">7+0+25+14</f>
        <v>46</v>
      </c>
      <c r="E88" s="15" t="n">
        <v>18</v>
      </c>
      <c r="F88" s="15" t="n">
        <v>10</v>
      </c>
      <c r="G88" s="15"/>
      <c r="H88" s="15" t="n">
        <f aca="false">IF(COUNT(D88:G88)=0,"",SUM(D88:G88))</f>
        <v>74</v>
      </c>
    </row>
    <row r="89" customFormat="false" ht="15" hidden="false" customHeight="false" outlineLevel="0" collapsed="false">
      <c r="A89" s="14" t="s">
        <v>75</v>
      </c>
      <c r="B89" s="15" t="n">
        <v>4</v>
      </c>
      <c r="C89" s="14" t="s">
        <v>119</v>
      </c>
      <c r="D89" s="15" t="n">
        <f aca="false">7+0+25+14</f>
        <v>46</v>
      </c>
      <c r="E89" s="15" t="n">
        <v>18</v>
      </c>
      <c r="F89" s="15" t="n">
        <v>10</v>
      </c>
      <c r="G89" s="15"/>
      <c r="H89" s="15" t="n">
        <f aca="false">IF(COUNT(D89:G89)=0,"",SUM(D89:G89))</f>
        <v>74</v>
      </c>
    </row>
    <row r="90" customFormat="false" ht="15" hidden="false" customHeight="false" outlineLevel="0" collapsed="false">
      <c r="A90" s="14" t="s">
        <v>75</v>
      </c>
      <c r="B90" s="15" t="n">
        <v>5</v>
      </c>
      <c r="C90" s="14" t="s">
        <v>119</v>
      </c>
      <c r="D90" s="15" t="n">
        <f aca="false">7+0+25+14</f>
        <v>46</v>
      </c>
      <c r="E90" s="15" t="n">
        <v>6</v>
      </c>
      <c r="F90" s="15" t="n">
        <v>10</v>
      </c>
      <c r="G90" s="15"/>
      <c r="H90" s="15" t="n">
        <f aca="false">IF(COUNT(D90:G90)=0,"",SUM(D90:G90))</f>
        <v>62</v>
      </c>
    </row>
    <row r="91" customFormat="false" ht="15" hidden="false" customHeight="false" outlineLevel="0" collapsed="false">
      <c r="A91" s="14" t="s">
        <v>75</v>
      </c>
      <c r="B91" s="15" t="n">
        <v>6</v>
      </c>
      <c r="C91" s="14" t="s">
        <v>119</v>
      </c>
      <c r="D91" s="15" t="n">
        <f aca="false">7+0+25+14</f>
        <v>46</v>
      </c>
      <c r="E91" s="15" t="n">
        <v>12</v>
      </c>
      <c r="F91" s="15" t="n">
        <v>10</v>
      </c>
      <c r="G91" s="15"/>
      <c r="H91" s="15" t="n">
        <f aca="false">IF(COUNT(D91:G91)=0,"",SUM(D91:G91))</f>
        <v>68</v>
      </c>
    </row>
    <row r="92" customFormat="false" ht="15" hidden="false" customHeight="false" outlineLevel="0" collapsed="false">
      <c r="A92" s="14" t="s">
        <v>75</v>
      </c>
      <c r="B92" s="15" t="n">
        <v>7</v>
      </c>
      <c r="C92" s="14" t="s">
        <v>119</v>
      </c>
      <c r="D92" s="15" t="n">
        <f aca="false">7+0+25+14</f>
        <v>46</v>
      </c>
      <c r="E92" s="15" t="n">
        <v>14</v>
      </c>
      <c r="F92" s="15" t="n">
        <v>10</v>
      </c>
      <c r="G92" s="15"/>
      <c r="H92" s="15" t="n">
        <f aca="false">IF(COUNT(D92:G92)=0,"",SUM(D92:G92))</f>
        <v>70</v>
      </c>
    </row>
    <row r="93" customFormat="false" ht="15" hidden="false" customHeight="false" outlineLevel="0" collapsed="false">
      <c r="A93" s="14" t="s">
        <v>75</v>
      </c>
      <c r="B93" s="15" t="n">
        <v>8</v>
      </c>
      <c r="C93" s="14" t="s">
        <v>119</v>
      </c>
      <c r="D93" s="15" t="n">
        <f aca="false">7+0+25+14</f>
        <v>46</v>
      </c>
      <c r="E93" s="15" t="n">
        <v>15</v>
      </c>
      <c r="F93" s="15" t="n">
        <v>10</v>
      </c>
      <c r="G93" s="15"/>
      <c r="H93" s="15" t="n">
        <f aca="false">IF(COUNT(D93:G93)=0,"",SUM(D93:G93))</f>
        <v>71</v>
      </c>
    </row>
    <row r="94" customFormat="false" ht="15" hidden="false" customHeight="false" outlineLevel="0" collapsed="false">
      <c r="A94" s="14" t="s">
        <v>75</v>
      </c>
      <c r="B94" s="15" t="n">
        <v>9</v>
      </c>
      <c r="C94" s="14" t="s">
        <v>119</v>
      </c>
      <c r="D94" s="15" t="n">
        <f aca="false">7+0+25+14</f>
        <v>46</v>
      </c>
      <c r="E94" s="15" t="n">
        <v>15</v>
      </c>
      <c r="F94" s="15" t="n">
        <v>10</v>
      </c>
      <c r="G94" s="15"/>
      <c r="H94" s="15" t="n">
        <f aca="false">IF(COUNT(D94:G94)=0,"",SUM(D94:G94))</f>
        <v>71</v>
      </c>
    </row>
    <row r="95" customFormat="false" ht="15" hidden="false" customHeight="false" outlineLevel="0" collapsed="false">
      <c r="A95" s="14" t="s">
        <v>75</v>
      </c>
      <c r="B95" s="15" t="n">
        <v>10</v>
      </c>
      <c r="C95" s="14" t="s">
        <v>119</v>
      </c>
      <c r="D95" s="15" t="n">
        <f aca="false">7+0+25+14</f>
        <v>46</v>
      </c>
      <c r="E95" s="15" t="n">
        <v>8</v>
      </c>
      <c r="F95" s="15" t="n">
        <v>10</v>
      </c>
      <c r="G95" s="15"/>
      <c r="H95" s="15" t="n">
        <f aca="false">IF(COUNT(D95:G95)=0,"",SUM(D95:G95))</f>
        <v>64</v>
      </c>
    </row>
    <row r="96" customFormat="false" ht="15" hidden="false" customHeight="false" outlineLevel="0" collapsed="false">
      <c r="A96" s="14" t="s">
        <v>75</v>
      </c>
      <c r="B96" s="15" t="n">
        <v>11</v>
      </c>
      <c r="C96" s="14" t="s">
        <v>119</v>
      </c>
      <c r="D96" s="15" t="n">
        <f aca="false">7+0+25+14</f>
        <v>46</v>
      </c>
      <c r="E96" s="15" t="n">
        <v>10</v>
      </c>
      <c r="F96" s="15" t="n">
        <v>10</v>
      </c>
      <c r="G96" s="15"/>
      <c r="H96" s="15" t="n">
        <f aca="false">IF(COUNT(D96:G96)=0,"",SUM(D96:G96))</f>
        <v>66</v>
      </c>
    </row>
    <row r="97" customFormat="false" ht="15" hidden="false" customHeight="false" outlineLevel="0" collapsed="false">
      <c r="A97" s="14" t="s">
        <v>75</v>
      </c>
      <c r="B97" s="15" t="n">
        <v>12</v>
      </c>
      <c r="C97" s="14" t="s">
        <v>119</v>
      </c>
      <c r="D97" s="15" t="n">
        <f aca="false">7+0+25+14</f>
        <v>46</v>
      </c>
      <c r="E97" s="15" t="n">
        <v>19</v>
      </c>
      <c r="F97" s="15" t="n">
        <v>10</v>
      </c>
      <c r="G97" s="15"/>
      <c r="H97" s="15" t="n">
        <f aca="false">IF(COUNT(D97:G97)=0,"",SUM(D97:G97))</f>
        <v>75</v>
      </c>
    </row>
    <row r="98" customFormat="false" ht="15" hidden="false" customHeight="false" outlineLevel="0" collapsed="false">
      <c r="A98" s="14" t="s">
        <v>75</v>
      </c>
      <c r="B98" s="15" t="n">
        <v>13</v>
      </c>
      <c r="C98" s="14" t="s">
        <v>119</v>
      </c>
      <c r="D98" s="15" t="n">
        <f aca="false">7+0+25+14</f>
        <v>46</v>
      </c>
      <c r="E98" s="15" t="n">
        <v>10</v>
      </c>
      <c r="F98" s="15" t="n">
        <v>10</v>
      </c>
      <c r="G98" s="15"/>
      <c r="H98" s="15" t="n">
        <f aca="false">IF(COUNT(D98:G98)=0,"",SUM(D98:G98))</f>
        <v>66</v>
      </c>
    </row>
    <row r="99" customFormat="false" ht="15" hidden="false" customHeight="false" outlineLevel="0" collapsed="false">
      <c r="A99" s="14" t="s">
        <v>75</v>
      </c>
      <c r="B99" s="15" t="n">
        <v>14</v>
      </c>
      <c r="C99" s="14" t="s">
        <v>119</v>
      </c>
      <c r="D99" s="15" t="n">
        <f aca="false">7+0+25+14</f>
        <v>46</v>
      </c>
      <c r="E99" s="15" t="n">
        <v>5</v>
      </c>
      <c r="F99" s="15" t="n">
        <v>10</v>
      </c>
      <c r="G99" s="15"/>
      <c r="H99" s="15" t="n">
        <f aca="false">IF(COUNT(D99:G99)=0,"",SUM(D99:G99))</f>
        <v>61</v>
      </c>
    </row>
    <row r="100" customFormat="false" ht="15" hidden="false" customHeight="false" outlineLevel="0" collapsed="false">
      <c r="A100" s="14" t="s">
        <v>75</v>
      </c>
      <c r="B100" s="15" t="n">
        <v>15</v>
      </c>
      <c r="C100" s="14" t="s">
        <v>119</v>
      </c>
      <c r="D100" s="15" t="n">
        <f aca="false">7+0+25+14</f>
        <v>46</v>
      </c>
      <c r="E100" s="15" t="n">
        <v>14</v>
      </c>
      <c r="F100" s="15" t="n">
        <v>10</v>
      </c>
      <c r="G100" s="15"/>
      <c r="H100" s="15" t="n">
        <f aca="false">IF(COUNT(D100:G100)=0,"",SUM(D100:G100))</f>
        <v>70</v>
      </c>
    </row>
    <row r="101" customFormat="false" ht="15" hidden="false" customHeight="false" outlineLevel="0" collapsed="false">
      <c r="A101" s="14" t="s">
        <v>75</v>
      </c>
      <c r="B101" s="15" t="n">
        <v>16</v>
      </c>
      <c r="C101" s="14" t="s">
        <v>119</v>
      </c>
      <c r="D101" s="15" t="n">
        <f aca="false">7+0+25+14</f>
        <v>46</v>
      </c>
      <c r="E101" s="15" t="n">
        <v>8</v>
      </c>
      <c r="F101" s="15" t="n">
        <v>10</v>
      </c>
      <c r="G101" s="15"/>
      <c r="H101" s="15" t="n">
        <f aca="false">IF(COUNT(D101:G101)=0,"",SUM(D101:G101))</f>
        <v>64</v>
      </c>
    </row>
    <row r="102" customFormat="false" ht="15" hidden="false" customHeight="false" outlineLevel="0" collapsed="false">
      <c r="A102" s="14" t="s">
        <v>75</v>
      </c>
      <c r="B102" s="15" t="n">
        <v>17</v>
      </c>
      <c r="C102" s="14" t="s">
        <v>119</v>
      </c>
      <c r="D102" s="15" t="n">
        <f aca="false">7+0+25+14</f>
        <v>46</v>
      </c>
      <c r="E102" s="15" t="n">
        <v>11</v>
      </c>
      <c r="F102" s="15" t="n">
        <v>10</v>
      </c>
      <c r="G102" s="15"/>
      <c r="H102" s="15" t="n">
        <f aca="false">IF(COUNT(D102:G102)=0,"",SUM(D102:G102))</f>
        <v>67</v>
      </c>
    </row>
    <row r="103" customFormat="false" ht="15" hidden="false" customHeight="false" outlineLevel="0" collapsed="false">
      <c r="A103" s="14" t="s">
        <v>75</v>
      </c>
      <c r="B103" s="15" t="n">
        <v>18</v>
      </c>
      <c r="C103" s="14" t="s">
        <v>119</v>
      </c>
      <c r="D103" s="15" t="n">
        <f aca="false">7+0+25+14</f>
        <v>46</v>
      </c>
      <c r="E103" s="15" t="n">
        <v>19</v>
      </c>
      <c r="F103" s="15" t="n">
        <v>10</v>
      </c>
      <c r="G103" s="15"/>
      <c r="H103" s="15" t="n">
        <f aca="false">IF(COUNT(D103:G103)=0,"",SUM(D103:G103))</f>
        <v>75</v>
      </c>
    </row>
    <row r="104" customFormat="false" ht="15" hidden="false" customHeight="false" outlineLevel="0" collapsed="false">
      <c r="A104" s="14" t="s">
        <v>75</v>
      </c>
      <c r="B104" s="15" t="n">
        <v>19</v>
      </c>
      <c r="C104" s="14" t="s">
        <v>119</v>
      </c>
      <c r="D104" s="15" t="n">
        <f aca="false">7+0+25+14</f>
        <v>46</v>
      </c>
      <c r="E104" s="15" t="n">
        <v>9</v>
      </c>
      <c r="F104" s="15" t="n">
        <v>10</v>
      </c>
      <c r="G104" s="15"/>
      <c r="H104" s="15" t="n">
        <f aca="false">IF(COUNT(D104:G104)=0,"",SUM(D104:G104))</f>
        <v>65</v>
      </c>
    </row>
    <row r="105" customFormat="false" ht="15" hidden="false" customHeight="false" outlineLevel="0" collapsed="false">
      <c r="A105" s="14" t="s">
        <v>75</v>
      </c>
      <c r="B105" s="15" t="n">
        <v>20</v>
      </c>
      <c r="C105" s="14" t="s">
        <v>119</v>
      </c>
      <c r="D105" s="15" t="n">
        <f aca="false">7+0+25+14</f>
        <v>46</v>
      </c>
      <c r="E105" s="15" t="n">
        <v>9</v>
      </c>
      <c r="F105" s="15" t="n">
        <v>10</v>
      </c>
      <c r="G105" s="15"/>
      <c r="H105" s="15" t="n">
        <f aca="false">IF(COUNT(D105:G105)=0,"",SUM(D105:G105))</f>
        <v>65</v>
      </c>
    </row>
    <row r="106" customFormat="false" ht="15" hidden="false" customHeight="false" outlineLevel="0" collapsed="false">
      <c r="A106" s="14" t="s">
        <v>75</v>
      </c>
      <c r="B106" s="15" t="n">
        <v>21</v>
      </c>
      <c r="C106" s="14" t="s">
        <v>119</v>
      </c>
      <c r="D106" s="15" t="n">
        <f aca="false">7+0+25+14</f>
        <v>46</v>
      </c>
      <c r="E106" s="15" t="n">
        <v>12</v>
      </c>
      <c r="F106" s="15" t="n">
        <v>10</v>
      </c>
      <c r="G106" s="15"/>
      <c r="H106" s="15" t="n">
        <f aca="false">IF(COUNT(D106:G106)=0,"",SUM(D106:G106))</f>
        <v>68</v>
      </c>
    </row>
    <row r="107" customFormat="false" ht="15" hidden="false" customHeight="false" outlineLevel="0" collapsed="false">
      <c r="A107" s="14" t="s">
        <v>75</v>
      </c>
      <c r="B107" s="15" t="n">
        <v>22</v>
      </c>
      <c r="C107" s="14" t="s">
        <v>119</v>
      </c>
      <c r="D107" s="15" t="n">
        <f aca="false">7+0+25+14</f>
        <v>46</v>
      </c>
      <c r="E107" s="15" t="n">
        <v>12</v>
      </c>
      <c r="F107" s="15" t="n">
        <v>10</v>
      </c>
      <c r="G107" s="15"/>
      <c r="H107" s="15" t="n">
        <f aca="false">IF(COUNT(D107:G107)=0,"",SUM(D107:G107))</f>
        <v>68</v>
      </c>
    </row>
    <row r="108" customFormat="false" ht="15" hidden="false" customHeight="false" outlineLevel="0" collapsed="false">
      <c r="A108" s="14" t="s">
        <v>75</v>
      </c>
      <c r="B108" s="15" t="n">
        <v>23</v>
      </c>
      <c r="C108" s="14" t="s">
        <v>119</v>
      </c>
      <c r="D108" s="15" t="n">
        <f aca="false">7+0+25+14</f>
        <v>46</v>
      </c>
      <c r="E108" s="15" t="n">
        <v>13</v>
      </c>
      <c r="F108" s="15" t="n">
        <v>10</v>
      </c>
      <c r="G108" s="15"/>
      <c r="H108" s="15" t="n">
        <f aca="false">IF(COUNT(D108:G108)=0,"",SUM(D108:G108))</f>
        <v>69</v>
      </c>
    </row>
    <row r="109" customFormat="false" ht="15" hidden="false" customHeight="false" outlineLevel="0" collapsed="false">
      <c r="A109" s="14" t="s">
        <v>75</v>
      </c>
      <c r="B109" s="15" t="n">
        <v>24</v>
      </c>
      <c r="C109" s="14" t="s">
        <v>119</v>
      </c>
      <c r="D109" s="15" t="n">
        <f aca="false">7+0+25+14</f>
        <v>46</v>
      </c>
      <c r="E109" s="15" t="n">
        <v>13</v>
      </c>
      <c r="F109" s="15" t="n">
        <v>10</v>
      </c>
      <c r="G109" s="15"/>
      <c r="H109" s="15" t="n">
        <f aca="false">IF(COUNT(D109:G109)=0,"",SUM(D109:G109))</f>
        <v>69</v>
      </c>
    </row>
    <row r="110" customFormat="false" ht="15" hidden="false" customHeight="false" outlineLevel="0" collapsed="false">
      <c r="A110" s="14" t="s">
        <v>75</v>
      </c>
      <c r="B110" s="15" t="n">
        <v>25</v>
      </c>
      <c r="C110" s="14" t="s">
        <v>119</v>
      </c>
      <c r="D110" s="15" t="n">
        <f aca="false">7+0+25+14</f>
        <v>46</v>
      </c>
      <c r="E110" s="15" t="n">
        <v>9</v>
      </c>
      <c r="F110" s="15" t="n">
        <v>10</v>
      </c>
      <c r="G110" s="15"/>
      <c r="H110" s="15" t="n">
        <f aca="false">IF(COUNT(D110:G110)=0,"",SUM(D110:G110))</f>
        <v>65</v>
      </c>
    </row>
    <row r="111" customFormat="false" ht="15" hidden="false" customHeight="false" outlineLevel="0" collapsed="false">
      <c r="A111" s="14" t="s">
        <v>75</v>
      </c>
      <c r="B111" s="15" t="n">
        <v>26</v>
      </c>
      <c r="C111" s="14" t="s">
        <v>119</v>
      </c>
      <c r="D111" s="15" t="n">
        <f aca="false">7+0+25+14</f>
        <v>46</v>
      </c>
      <c r="E111" s="15" t="n">
        <v>12</v>
      </c>
      <c r="F111" s="15" t="n">
        <v>10</v>
      </c>
      <c r="G111" s="15"/>
      <c r="H111" s="15" t="n">
        <f aca="false">IF(COUNT(D111:G111)=0,"",SUM(D111:G111))</f>
        <v>68</v>
      </c>
    </row>
    <row r="112" customFormat="false" ht="15" hidden="false" customHeight="false" outlineLevel="0" collapsed="false">
      <c r="A112" s="14" t="s">
        <v>75</v>
      </c>
      <c r="B112" s="15" t="n">
        <v>27</v>
      </c>
      <c r="C112" s="14" t="s">
        <v>119</v>
      </c>
      <c r="D112" s="15" t="n">
        <f aca="false">7+0+25+14</f>
        <v>46</v>
      </c>
      <c r="E112" s="15" t="n">
        <v>12</v>
      </c>
      <c r="F112" s="15" t="n">
        <v>10</v>
      </c>
      <c r="G112" s="15"/>
      <c r="H112" s="15" t="n">
        <f aca="false">IF(COUNT(D112:G112)=0,"",SUM(D112:G112))</f>
        <v>68</v>
      </c>
    </row>
    <row r="113" customFormat="false" ht="15" hidden="false" customHeight="false" outlineLevel="0" collapsed="false">
      <c r="A113" s="14" t="s">
        <v>75</v>
      </c>
      <c r="B113" s="15" t="n">
        <v>28</v>
      </c>
      <c r="C113" s="14" t="s">
        <v>119</v>
      </c>
      <c r="D113" s="15" t="n">
        <f aca="false">7+0+25+14</f>
        <v>46</v>
      </c>
      <c r="E113" s="15" t="n">
        <v>10</v>
      </c>
      <c r="F113" s="15" t="n">
        <v>10</v>
      </c>
      <c r="G113" s="15"/>
      <c r="H113" s="15" t="n">
        <f aca="false">IF(COUNT(D113:G113)=0,"",SUM(D113:G113))</f>
        <v>66</v>
      </c>
    </row>
    <row r="114" customFormat="false" ht="15" hidden="false" customHeight="false" outlineLevel="0" collapsed="false">
      <c r="A114" s="14" t="s">
        <v>75</v>
      </c>
      <c r="B114" s="15" t="n">
        <v>29</v>
      </c>
      <c r="C114" s="14" t="s">
        <v>119</v>
      </c>
      <c r="D114" s="15" t="n">
        <f aca="false">7+0+25+14</f>
        <v>46</v>
      </c>
      <c r="E114" s="15" t="n">
        <v>13</v>
      </c>
      <c r="F114" s="15" t="n">
        <v>10</v>
      </c>
      <c r="G114" s="15"/>
      <c r="H114" s="15" t="n">
        <f aca="false">IF(COUNT(D114:G114)=0,"",SUM(D114:G114))</f>
        <v>69</v>
      </c>
    </row>
    <row r="115" customFormat="false" ht="15" hidden="false" customHeight="false" outlineLevel="0" collapsed="false">
      <c r="A115" s="14" t="s">
        <v>75</v>
      </c>
      <c r="B115" s="15" t="n">
        <v>30</v>
      </c>
      <c r="C115" s="14" t="s">
        <v>119</v>
      </c>
      <c r="D115" s="15" t="n">
        <f aca="false">7+0+25+14</f>
        <v>46</v>
      </c>
      <c r="E115" s="15" t="n">
        <v>13</v>
      </c>
      <c r="F115" s="15" t="n">
        <v>10</v>
      </c>
      <c r="G115" s="15"/>
      <c r="H115" s="15" t="n">
        <f aca="false">IF(COUNT(D115:G115)=0,"",SUM(D115:G115))</f>
        <v>69</v>
      </c>
    </row>
    <row r="116" customFormat="false" ht="15" hidden="false" customHeight="false" outlineLevel="0" collapsed="false">
      <c r="A116" s="14" t="s">
        <v>75</v>
      </c>
      <c r="B116" s="15" t="n">
        <v>31</v>
      </c>
      <c r="C116" s="14" t="s">
        <v>119</v>
      </c>
      <c r="D116" s="15" t="n">
        <f aca="false">7+0+25+14</f>
        <v>46</v>
      </c>
      <c r="E116" s="15" t="n">
        <v>13</v>
      </c>
      <c r="F116" s="15" t="n">
        <v>10</v>
      </c>
      <c r="G116" s="15"/>
      <c r="H116" s="15" t="n">
        <f aca="false">IF(COUNT(D116:G116)=0,"",SUM(D116:G116))</f>
        <v>69</v>
      </c>
    </row>
    <row r="117" customFormat="false" ht="15" hidden="false" customHeight="false" outlineLevel="0" collapsed="false">
      <c r="A117" s="14" t="s">
        <v>75</v>
      </c>
      <c r="B117" s="15" t="n">
        <v>32</v>
      </c>
      <c r="C117" s="14" t="s">
        <v>119</v>
      </c>
      <c r="D117" s="15" t="n">
        <f aca="false">7+0+25+14</f>
        <v>46</v>
      </c>
      <c r="E117" s="15" t="n">
        <v>13</v>
      </c>
      <c r="F117" s="15" t="n">
        <v>10</v>
      </c>
      <c r="G117" s="15"/>
      <c r="H117" s="15" t="n">
        <f aca="false">IF(COUNT(D117:G117)=0,"",SUM(D117:G117))</f>
        <v>69</v>
      </c>
    </row>
    <row r="118" customFormat="false" ht="15" hidden="false" customHeight="false" outlineLevel="0" collapsed="false">
      <c r="A118" s="14" t="s">
        <v>75</v>
      </c>
      <c r="C118" s="30"/>
      <c r="D118" s="30"/>
      <c r="E118" s="30"/>
      <c r="F118" s="30"/>
      <c r="G118" s="30"/>
      <c r="H118" s="15" t="str">
        <f aca="false">IF(COUNT(D118:G118)=0,"",SUM(D118:G118))</f>
        <v/>
      </c>
    </row>
    <row r="119" customFormat="false" ht="15" hidden="false" customHeight="false" outlineLevel="0" collapsed="false">
      <c r="A119" s="14" t="s">
        <v>75</v>
      </c>
      <c r="C119" s="30"/>
      <c r="D119" s="30"/>
      <c r="E119" s="30"/>
      <c r="F119" s="30"/>
      <c r="G119" s="30"/>
      <c r="H119" s="15" t="str">
        <f aca="false">IF(COUNT(D119:G119)=0,"",SUM(D119:G119))</f>
        <v/>
      </c>
    </row>
    <row r="120" customFormat="false" ht="15" hidden="false" customHeight="false" outlineLevel="0" collapsed="false">
      <c r="A120" s="14" t="s">
        <v>75</v>
      </c>
      <c r="C120" s="30"/>
      <c r="D120" s="30"/>
      <c r="E120" s="30"/>
      <c r="F120" s="30"/>
      <c r="G120" s="30"/>
      <c r="H120" s="15" t="str">
        <f aca="false">IF(COUNT(D120:G120)=0,"",SUM(D120:G120))</f>
        <v/>
      </c>
    </row>
    <row r="121" customFormat="false" ht="15" hidden="false" customHeight="false" outlineLevel="0" collapsed="false">
      <c r="A121" s="14" t="s">
        <v>75</v>
      </c>
      <c r="C121" s="30"/>
      <c r="D121" s="30"/>
      <c r="E121" s="30"/>
      <c r="F121" s="30"/>
      <c r="G121" s="30"/>
      <c r="H121" s="15" t="str">
        <f aca="false">IF(COUNT(D121:G121)=0,"",SUM(D121:G121))</f>
        <v/>
      </c>
    </row>
    <row r="122" customFormat="false" ht="15" hidden="false" customHeight="false" outlineLevel="0" collapsed="false">
      <c r="A122" s="14" t="s">
        <v>75</v>
      </c>
      <c r="C122" s="30"/>
      <c r="D122" s="30"/>
      <c r="E122" s="30"/>
      <c r="F122" s="30"/>
      <c r="G122" s="30"/>
      <c r="H122" s="15" t="str">
        <f aca="false">IF(COUNT(D122:G122)=0,"",SUM(D122:G122))</f>
        <v/>
      </c>
    </row>
    <row r="123" customFormat="false" ht="15" hidden="false" customHeight="false" outlineLevel="0" collapsed="false">
      <c r="A123" s="14" t="s">
        <v>75</v>
      </c>
      <c r="C123" s="30"/>
      <c r="D123" s="30"/>
      <c r="E123" s="30"/>
      <c r="F123" s="30"/>
      <c r="G123" s="30"/>
      <c r="H123" s="15" t="str">
        <f aca="false">IF(COUNT(D123:G123)=0,"",SUM(D123:G123))</f>
        <v/>
      </c>
    </row>
    <row r="125" customFormat="false" ht="15" hidden="false" customHeight="false" outlineLevel="0" collapsed="false">
      <c r="A125" s="14" t="s">
        <v>77</v>
      </c>
      <c r="B125" s="15" t="n">
        <v>1</v>
      </c>
      <c r="C125" s="14" t="s">
        <v>125</v>
      </c>
      <c r="D125" s="15" t="n">
        <f aca="false">7+0+25+14</f>
        <v>46</v>
      </c>
      <c r="E125" s="15" t="n">
        <v>43</v>
      </c>
      <c r="F125" s="15" t="n">
        <v>14</v>
      </c>
      <c r="G125" s="15"/>
      <c r="H125" s="15" t="n">
        <f aca="false">IF(COUNT(D125:G125)=0,"",SUM(D125:G125))</f>
        <v>103</v>
      </c>
    </row>
    <row r="126" customFormat="false" ht="15" hidden="false" customHeight="false" outlineLevel="0" collapsed="false">
      <c r="A126" s="14" t="s">
        <v>77</v>
      </c>
      <c r="B126" s="15" t="n">
        <v>2</v>
      </c>
      <c r="C126" s="14" t="s">
        <v>123</v>
      </c>
      <c r="D126" s="15" t="n">
        <f aca="false">7+0+25+14</f>
        <v>46</v>
      </c>
      <c r="E126" s="15" t="n">
        <v>23</v>
      </c>
      <c r="F126" s="15" t="n">
        <v>14</v>
      </c>
      <c r="G126" s="15"/>
      <c r="H126" s="15" t="n">
        <f aca="false">IF(COUNT(D126:G126)=0,"",SUM(D126:G126))</f>
        <v>83</v>
      </c>
    </row>
    <row r="127" customFormat="false" ht="15" hidden="false" customHeight="false" outlineLevel="0" collapsed="false">
      <c r="A127" s="14" t="s">
        <v>77</v>
      </c>
      <c r="B127" s="15" t="n">
        <v>3</v>
      </c>
      <c r="C127" s="14" t="s">
        <v>123</v>
      </c>
      <c r="D127" s="15" t="n">
        <f aca="false">7+0+25+14</f>
        <v>46</v>
      </c>
      <c r="E127" s="15" t="n">
        <v>23</v>
      </c>
      <c r="F127" s="15" t="n">
        <v>14</v>
      </c>
      <c r="G127" s="15"/>
      <c r="H127" s="15" t="n">
        <f aca="false">IF(COUNT(D127:G127)=0,"",SUM(D127:G127))</f>
        <v>83</v>
      </c>
    </row>
    <row r="128" customFormat="false" ht="15" hidden="false" customHeight="false" outlineLevel="0" collapsed="false">
      <c r="A128" s="14" t="s">
        <v>77</v>
      </c>
      <c r="B128" s="15" t="n">
        <v>4</v>
      </c>
      <c r="C128" s="14" t="s">
        <v>123</v>
      </c>
      <c r="D128" s="15" t="n">
        <f aca="false">7+0+25+14</f>
        <v>46</v>
      </c>
      <c r="E128" s="15" t="n">
        <v>23</v>
      </c>
      <c r="F128" s="15" t="n">
        <v>14</v>
      </c>
      <c r="G128" s="15"/>
      <c r="H128" s="15" t="n">
        <f aca="false">IF(COUNT(D128:G128)=0,"",SUM(D128:G128))</f>
        <v>83</v>
      </c>
    </row>
    <row r="129" customFormat="false" ht="15" hidden="false" customHeight="false" outlineLevel="0" collapsed="false">
      <c r="A129" s="14" t="s">
        <v>77</v>
      </c>
      <c r="B129" s="15" t="n">
        <v>5</v>
      </c>
      <c r="C129" s="14" t="s">
        <v>123</v>
      </c>
      <c r="D129" s="15" t="n">
        <f aca="false">7+0+25+14</f>
        <v>46</v>
      </c>
      <c r="E129" s="15" t="n">
        <v>23</v>
      </c>
      <c r="F129" s="15" t="n">
        <v>14</v>
      </c>
      <c r="G129" s="15"/>
      <c r="H129" s="15" t="n">
        <f aca="false">IF(COUNT(D129:G129)=0,"",SUM(D129:G129))</f>
        <v>83</v>
      </c>
    </row>
    <row r="130" customFormat="false" ht="15" hidden="false" customHeight="false" outlineLevel="0" collapsed="false">
      <c r="A130" s="14" t="s">
        <v>77</v>
      </c>
      <c r="B130" s="15" t="n">
        <v>6</v>
      </c>
      <c r="C130" s="14" t="s">
        <v>126</v>
      </c>
      <c r="D130" s="15" t="n">
        <f aca="false">7+0+25+14</f>
        <v>46</v>
      </c>
      <c r="E130" s="15" t="n">
        <v>23</v>
      </c>
      <c r="F130" s="15" t="n">
        <v>14</v>
      </c>
      <c r="G130" s="15"/>
      <c r="H130" s="15" t="n">
        <f aca="false">IF(COUNT(D130:G130)=0,"",SUM(D130:G130))</f>
        <v>83</v>
      </c>
    </row>
    <row r="131" customFormat="false" ht="15" hidden="false" customHeight="false" outlineLevel="0" collapsed="false">
      <c r="A131" s="14" t="s">
        <v>77</v>
      </c>
      <c r="B131" s="15" t="n">
        <v>7</v>
      </c>
      <c r="C131" s="14" t="s">
        <v>126</v>
      </c>
      <c r="D131" s="15" t="n">
        <f aca="false">7+0+25+14</f>
        <v>46</v>
      </c>
      <c r="E131" s="15" t="n">
        <v>23</v>
      </c>
      <c r="F131" s="15" t="n">
        <v>14</v>
      </c>
      <c r="G131" s="15"/>
      <c r="H131" s="15" t="n">
        <f aca="false">IF(COUNT(D131:G131)=0,"",SUM(D131:G131))</f>
        <v>83</v>
      </c>
    </row>
    <row r="132" customFormat="false" ht="15" hidden="false" customHeight="false" outlineLevel="0" collapsed="false">
      <c r="A132" s="14" t="s">
        <v>77</v>
      </c>
      <c r="B132" s="15" t="n">
        <v>8</v>
      </c>
      <c r="C132" s="14" t="s">
        <v>126</v>
      </c>
      <c r="D132" s="15" t="n">
        <f aca="false">7+0+25+14</f>
        <v>46</v>
      </c>
      <c r="E132" s="15" t="n">
        <v>23</v>
      </c>
      <c r="F132" s="15" t="n">
        <v>14</v>
      </c>
      <c r="G132" s="15"/>
      <c r="H132" s="15" t="n">
        <f aca="false">IF(COUNT(D132:G132)=0,"",SUM(D132:G132))</f>
        <v>83</v>
      </c>
    </row>
    <row r="133" customFormat="false" ht="15" hidden="false" customHeight="false" outlineLevel="0" collapsed="false">
      <c r="A133" s="14" t="s">
        <v>77</v>
      </c>
      <c r="B133" s="15" t="n">
        <v>9</v>
      </c>
      <c r="C133" s="14" t="s">
        <v>126</v>
      </c>
      <c r="D133" s="15" t="n">
        <f aca="false">7+0+25+14</f>
        <v>46</v>
      </c>
      <c r="E133" s="15" t="n">
        <v>23</v>
      </c>
      <c r="F133" s="15" t="n">
        <v>14</v>
      </c>
      <c r="G133" s="15"/>
      <c r="H133" s="15" t="n">
        <f aca="false">IF(COUNT(D133:G133)=0,"",SUM(D133:G133))</f>
        <v>83</v>
      </c>
    </row>
    <row r="134" customFormat="false" ht="15" hidden="false" customHeight="false" outlineLevel="0" collapsed="false">
      <c r="A134" s="14" t="s">
        <v>77</v>
      </c>
      <c r="B134" s="15" t="n">
        <v>10</v>
      </c>
      <c r="C134" s="14" t="s">
        <v>127</v>
      </c>
      <c r="D134" s="15" t="n">
        <f aca="false">7+0+25+14</f>
        <v>46</v>
      </c>
      <c r="E134" s="15" t="n">
        <v>23</v>
      </c>
      <c r="F134" s="15" t="n">
        <v>14</v>
      </c>
      <c r="G134" s="15"/>
      <c r="H134" s="15" t="n">
        <f aca="false">IF(COUNT(D134:G134)=0,"",SUM(D134:G134))</f>
        <v>83</v>
      </c>
    </row>
    <row r="135" customFormat="false" ht="15" hidden="false" customHeight="false" outlineLevel="0" collapsed="false">
      <c r="A135" s="14" t="s">
        <v>77</v>
      </c>
      <c r="B135" s="15" t="n">
        <v>11</v>
      </c>
      <c r="C135" s="14" t="s">
        <v>123</v>
      </c>
      <c r="D135" s="15" t="n">
        <f aca="false">7+0+25+14</f>
        <v>46</v>
      </c>
      <c r="E135" s="15" t="n">
        <v>23</v>
      </c>
      <c r="F135" s="15" t="n">
        <v>14</v>
      </c>
      <c r="G135" s="15"/>
      <c r="H135" s="15" t="n">
        <f aca="false">IF(COUNT(D135:G135)=0,"",SUM(D135:G135))</f>
        <v>83</v>
      </c>
    </row>
    <row r="136" customFormat="false" ht="15" hidden="false" customHeight="false" outlineLevel="0" collapsed="false">
      <c r="A136" s="14" t="s">
        <v>77</v>
      </c>
      <c r="B136" s="15" t="n">
        <v>12</v>
      </c>
      <c r="C136" s="14" t="s">
        <v>123</v>
      </c>
      <c r="D136" s="15" t="n">
        <f aca="false">7+0+25+14</f>
        <v>46</v>
      </c>
      <c r="E136" s="15" t="n">
        <v>23</v>
      </c>
      <c r="F136" s="15" t="n">
        <v>14</v>
      </c>
      <c r="G136" s="15"/>
      <c r="H136" s="15" t="n">
        <f aca="false">IF(COUNT(D136:G136)=0,"",SUM(D136:G136))</f>
        <v>83</v>
      </c>
    </row>
    <row r="137" customFormat="false" ht="15" hidden="false" customHeight="false" outlineLevel="0" collapsed="false">
      <c r="A137" s="14" t="s">
        <v>77</v>
      </c>
      <c r="B137" s="15" t="n">
        <v>13</v>
      </c>
      <c r="C137" s="14" t="s">
        <v>127</v>
      </c>
      <c r="D137" s="15" t="n">
        <f aca="false">7+0+25+14</f>
        <v>46</v>
      </c>
      <c r="E137" s="15" t="n">
        <v>23</v>
      </c>
      <c r="F137" s="15" t="n">
        <v>14</v>
      </c>
      <c r="G137" s="15"/>
      <c r="H137" s="15" t="n">
        <f aca="false">IF(COUNT(D137:G137)=0,"",SUM(D137:G137))</f>
        <v>83</v>
      </c>
    </row>
    <row r="138" customFormat="false" ht="15" hidden="false" customHeight="false" outlineLevel="0" collapsed="false">
      <c r="A138" s="14" t="s">
        <v>77</v>
      </c>
      <c r="B138" s="15" t="n">
        <v>14</v>
      </c>
      <c r="C138" s="14" t="s">
        <v>123</v>
      </c>
      <c r="D138" s="15" t="n">
        <f aca="false">7+0+25+14</f>
        <v>46</v>
      </c>
      <c r="E138" s="15" t="n">
        <v>23</v>
      </c>
      <c r="F138" s="15" t="n">
        <v>14</v>
      </c>
      <c r="G138" s="15"/>
      <c r="H138" s="15" t="n">
        <f aca="false">IF(COUNT(D138:G138)=0,"",SUM(D138:G138))</f>
        <v>83</v>
      </c>
    </row>
    <row r="139" customFormat="false" ht="15" hidden="false" customHeight="false" outlineLevel="0" collapsed="false">
      <c r="A139" s="14" t="s">
        <v>77</v>
      </c>
      <c r="B139" s="15" t="n">
        <v>15</v>
      </c>
      <c r="C139" s="14" t="s">
        <v>127</v>
      </c>
      <c r="D139" s="15" t="n">
        <f aca="false">7+0+25+14</f>
        <v>46</v>
      </c>
      <c r="E139" s="15" t="n">
        <v>23</v>
      </c>
      <c r="F139" s="15" t="n">
        <v>14</v>
      </c>
      <c r="G139" s="15"/>
      <c r="H139" s="15" t="n">
        <f aca="false">IF(COUNT(D139:G139)=0,"",SUM(D139:G139))</f>
        <v>83</v>
      </c>
    </row>
    <row r="140" customFormat="false" ht="15" hidden="false" customHeight="false" outlineLevel="0" collapsed="false">
      <c r="A140" s="14" t="s">
        <v>77</v>
      </c>
      <c r="B140" s="15" t="n">
        <v>16</v>
      </c>
      <c r="C140" s="14" t="s">
        <v>127</v>
      </c>
      <c r="D140" s="15" t="n">
        <f aca="false">7+0+25+14</f>
        <v>46</v>
      </c>
      <c r="E140" s="15" t="n">
        <v>34</v>
      </c>
      <c r="F140" s="15" t="n">
        <v>14</v>
      </c>
      <c r="G140" s="15"/>
      <c r="H140" s="15" t="n">
        <f aca="false">IF(COUNT(D140:G140)=0,"",SUM(D140:G140))</f>
        <v>94</v>
      </c>
    </row>
    <row r="141" customFormat="false" ht="15" hidden="false" customHeight="false" outlineLevel="0" collapsed="false">
      <c r="A141" s="14" t="s">
        <v>77</v>
      </c>
      <c r="B141" s="15" t="n">
        <v>17</v>
      </c>
      <c r="C141" s="14" t="s">
        <v>127</v>
      </c>
      <c r="D141" s="15" t="n">
        <f aca="false">7+0+25+14</f>
        <v>46</v>
      </c>
      <c r="E141" s="15" t="n">
        <v>23</v>
      </c>
      <c r="F141" s="15" t="n">
        <v>14</v>
      </c>
      <c r="G141" s="15"/>
      <c r="H141" s="15" t="n">
        <f aca="false">IF(COUNT(D141:G141)=0,"",SUM(D141:G141))</f>
        <v>83</v>
      </c>
    </row>
    <row r="142" customFormat="false" ht="15" hidden="false" customHeight="false" outlineLevel="0" collapsed="false">
      <c r="A142" s="14" t="s">
        <v>77</v>
      </c>
      <c r="B142" s="15" t="n">
        <v>18</v>
      </c>
      <c r="C142" s="14" t="s">
        <v>123</v>
      </c>
      <c r="D142" s="15" t="n">
        <f aca="false">7+0+25+14</f>
        <v>46</v>
      </c>
      <c r="E142" s="15" t="n">
        <v>23</v>
      </c>
      <c r="F142" s="15" t="n">
        <v>14</v>
      </c>
      <c r="G142" s="15"/>
      <c r="H142" s="15" t="n">
        <f aca="false">IF(COUNT(D142:G142)=0,"",SUM(D142:G142))</f>
        <v>83</v>
      </c>
    </row>
    <row r="143" customFormat="false" ht="15" hidden="false" customHeight="false" outlineLevel="0" collapsed="false">
      <c r="A143" s="14" t="s">
        <v>77</v>
      </c>
      <c r="B143" s="15" t="n">
        <v>19</v>
      </c>
      <c r="C143" s="14" t="s">
        <v>127</v>
      </c>
      <c r="D143" s="15" t="n">
        <f aca="false">7+0+25+14</f>
        <v>46</v>
      </c>
      <c r="E143" s="15" t="n">
        <v>37</v>
      </c>
      <c r="F143" s="15" t="n">
        <v>14</v>
      </c>
      <c r="G143" s="15"/>
      <c r="H143" s="15" t="n">
        <f aca="false">IF(COUNT(D143:G143)=0,"",SUM(D143:G143))</f>
        <v>97</v>
      </c>
    </row>
    <row r="144" customFormat="false" ht="15" hidden="false" customHeight="false" outlineLevel="0" collapsed="false">
      <c r="A144" s="14" t="s">
        <v>77</v>
      </c>
      <c r="B144" s="15" t="n">
        <v>20</v>
      </c>
      <c r="C144" s="14" t="s">
        <v>127</v>
      </c>
      <c r="D144" s="15" t="n">
        <f aca="false">7+0+25+14</f>
        <v>46</v>
      </c>
      <c r="E144" s="15" t="n">
        <v>28</v>
      </c>
      <c r="F144" s="15" t="n">
        <v>14</v>
      </c>
      <c r="G144" s="15"/>
      <c r="H144" s="15" t="n">
        <f aca="false">IF(COUNT(D144:G144)=0,"",SUM(D144:G144))</f>
        <v>88</v>
      </c>
    </row>
    <row r="145" customFormat="false" ht="15" hidden="false" customHeight="false" outlineLevel="0" collapsed="false">
      <c r="A145" s="14" t="s">
        <v>77</v>
      </c>
      <c r="B145" s="15" t="n">
        <v>21</v>
      </c>
      <c r="C145" s="14" t="s">
        <v>125</v>
      </c>
      <c r="D145" s="15" t="n">
        <f aca="false">7+0+25+14</f>
        <v>46</v>
      </c>
      <c r="E145" s="15" t="n">
        <v>25</v>
      </c>
      <c r="F145" s="15" t="n">
        <v>14</v>
      </c>
      <c r="G145" s="15"/>
      <c r="H145" s="15" t="n">
        <f aca="false">IF(COUNT(D145:G145)=0,"",SUM(D145:G145))</f>
        <v>85</v>
      </c>
    </row>
    <row r="146" customFormat="false" ht="15" hidden="false" customHeight="false" outlineLevel="0" collapsed="false">
      <c r="A146" s="14" t="s">
        <v>77</v>
      </c>
      <c r="B146" s="15" t="n">
        <v>22</v>
      </c>
      <c r="C146" s="14" t="s">
        <v>127</v>
      </c>
      <c r="D146" s="15" t="n">
        <f aca="false">7+0+25+14</f>
        <v>46</v>
      </c>
      <c r="E146" s="15" t="n">
        <v>20</v>
      </c>
      <c r="F146" s="15" t="n">
        <v>14</v>
      </c>
      <c r="G146" s="15"/>
      <c r="H146" s="15" t="n">
        <f aca="false">IF(COUNT(D146:G146)=0,"",SUM(D146:G146))</f>
        <v>80</v>
      </c>
    </row>
    <row r="147" customFormat="false" ht="15" hidden="false" customHeight="false" outlineLevel="0" collapsed="false">
      <c r="A147" s="14" t="s">
        <v>77</v>
      </c>
      <c r="B147" s="15" t="n">
        <v>23</v>
      </c>
      <c r="C147" s="14" t="s">
        <v>127</v>
      </c>
      <c r="D147" s="15" t="n">
        <f aca="false">7+0+25+14</f>
        <v>46</v>
      </c>
      <c r="E147" s="15" t="n">
        <v>18</v>
      </c>
      <c r="F147" s="15" t="n">
        <v>14</v>
      </c>
      <c r="G147" s="15"/>
      <c r="H147" s="15" t="n">
        <f aca="false">IF(COUNT(D147:G147)=0,"",SUM(D147:G147))</f>
        <v>78</v>
      </c>
    </row>
    <row r="148" customFormat="false" ht="15" hidden="false" customHeight="false" outlineLevel="0" collapsed="false">
      <c r="A148" s="14" t="s">
        <v>77</v>
      </c>
      <c r="B148" s="15" t="n">
        <v>24</v>
      </c>
      <c r="C148" s="14" t="s">
        <v>123</v>
      </c>
      <c r="D148" s="15" t="n">
        <f aca="false">7+0+25+14</f>
        <v>46</v>
      </c>
      <c r="E148" s="15" t="n">
        <v>23</v>
      </c>
      <c r="F148" s="15" t="n">
        <v>14</v>
      </c>
      <c r="G148" s="15"/>
      <c r="H148" s="15" t="n">
        <f aca="false">IF(COUNT(D148:G148)=0,"",SUM(D148:G148))</f>
        <v>83</v>
      </c>
    </row>
    <row r="149" customFormat="false" ht="15" hidden="false" customHeight="false" outlineLevel="0" collapsed="false">
      <c r="A149" s="14" t="s">
        <v>77</v>
      </c>
      <c r="B149" s="15" t="n">
        <v>25</v>
      </c>
      <c r="C149" s="14" t="s">
        <v>123</v>
      </c>
      <c r="D149" s="15" t="n">
        <f aca="false">7+0+25+14</f>
        <v>46</v>
      </c>
      <c r="E149" s="15" t="n">
        <v>20</v>
      </c>
      <c r="F149" s="15" t="n">
        <v>14</v>
      </c>
      <c r="G149" s="15"/>
      <c r="H149" s="15" t="n">
        <f aca="false">IF(COUNT(D149:G149)=0,"",SUM(D149:G149))</f>
        <v>80</v>
      </c>
    </row>
    <row r="150" customFormat="false" ht="15" hidden="false" customHeight="false" outlineLevel="0" collapsed="false">
      <c r="A150" s="14" t="s">
        <v>77</v>
      </c>
      <c r="B150" s="15" t="n">
        <v>26</v>
      </c>
      <c r="C150" s="14" t="s">
        <v>123</v>
      </c>
      <c r="D150" s="15" t="n">
        <f aca="false">7+0+25+14</f>
        <v>46</v>
      </c>
      <c r="E150" s="15" t="n">
        <v>21</v>
      </c>
      <c r="F150" s="15" t="n">
        <v>14</v>
      </c>
      <c r="G150" s="15"/>
      <c r="H150" s="15" t="n">
        <f aca="false">IF(COUNT(D150:G150)=0,"",SUM(D150:G150))</f>
        <v>81</v>
      </c>
    </row>
    <row r="151" customFormat="false" ht="15" hidden="false" customHeight="false" outlineLevel="0" collapsed="false">
      <c r="A151" s="14" t="s">
        <v>77</v>
      </c>
      <c r="B151" s="15" t="n">
        <v>27</v>
      </c>
      <c r="C151" s="14" t="s">
        <v>123</v>
      </c>
      <c r="D151" s="15" t="n">
        <f aca="false">7+0+25+14</f>
        <v>46</v>
      </c>
      <c r="E151" s="15" t="n">
        <v>20</v>
      </c>
      <c r="F151" s="15" t="n">
        <v>14</v>
      </c>
      <c r="G151" s="15"/>
      <c r="H151" s="15" t="n">
        <f aca="false">IF(COUNT(D151:G151)=0,"",SUM(D151:G151))</f>
        <v>80</v>
      </c>
    </row>
    <row r="152" customFormat="false" ht="15" hidden="false" customHeight="false" outlineLevel="0" collapsed="false">
      <c r="A152" s="14" t="s">
        <v>77</v>
      </c>
      <c r="B152" s="15" t="n">
        <v>28</v>
      </c>
      <c r="C152" s="14" t="s">
        <v>123</v>
      </c>
      <c r="D152" s="15" t="n">
        <f aca="false">7+0+25+14</f>
        <v>46</v>
      </c>
      <c r="E152" s="15" t="n">
        <v>19</v>
      </c>
      <c r="F152" s="15" t="n">
        <v>14</v>
      </c>
      <c r="G152" s="15"/>
      <c r="H152" s="15" t="n">
        <f aca="false">IF(COUNT(D152:G152)=0,"",SUM(D152:G152))</f>
        <v>79</v>
      </c>
    </row>
    <row r="153" customFormat="false" ht="15" hidden="false" customHeight="false" outlineLevel="0" collapsed="false">
      <c r="A153" s="14" t="s">
        <v>77</v>
      </c>
      <c r="B153" s="15" t="n">
        <v>29</v>
      </c>
      <c r="C153" s="14" t="s">
        <v>127</v>
      </c>
      <c r="D153" s="15" t="n">
        <f aca="false">7+0+25+14</f>
        <v>46</v>
      </c>
      <c r="E153" s="15" t="n">
        <v>20</v>
      </c>
      <c r="F153" s="15" t="n">
        <v>14</v>
      </c>
      <c r="G153" s="15"/>
      <c r="H153" s="15" t="n">
        <f aca="false">IF(COUNT(D153:G153)=0,"",SUM(D153:G153))</f>
        <v>80</v>
      </c>
    </row>
    <row r="154" customFormat="false" ht="15" hidden="false" customHeight="false" outlineLevel="0" collapsed="false">
      <c r="A154" s="14" t="s">
        <v>77</v>
      </c>
      <c r="B154" s="15" t="n">
        <v>30</v>
      </c>
      <c r="C154" s="14" t="s">
        <v>127</v>
      </c>
      <c r="D154" s="15" t="n">
        <f aca="false">7+0+25+14</f>
        <v>46</v>
      </c>
      <c r="E154" s="15" t="n">
        <v>25</v>
      </c>
      <c r="F154" s="15" t="n">
        <v>14</v>
      </c>
      <c r="G154" s="15"/>
      <c r="H154" s="15" t="n">
        <f aca="false">IF(COUNT(D154:G154)=0,"",SUM(D154:G154))</f>
        <v>85</v>
      </c>
    </row>
    <row r="155" customFormat="false" ht="15" hidden="false" customHeight="false" outlineLevel="0" collapsed="false">
      <c r="A155" s="14" t="s">
        <v>77</v>
      </c>
      <c r="B155" s="15" t="n">
        <v>31</v>
      </c>
      <c r="C155" s="14" t="s">
        <v>127</v>
      </c>
      <c r="D155" s="15" t="n">
        <f aca="false">7+0+25+14</f>
        <v>46</v>
      </c>
      <c r="E155" s="15" t="n">
        <v>30</v>
      </c>
      <c r="F155" s="15" t="n">
        <v>14</v>
      </c>
      <c r="G155" s="15"/>
      <c r="H155" s="15" t="n">
        <f aca="false">IF(COUNT(D155:G155)=0,"",SUM(D155:G155))</f>
        <v>90</v>
      </c>
    </row>
    <row r="156" customFormat="false" ht="15" hidden="false" customHeight="false" outlineLevel="0" collapsed="false">
      <c r="A156" s="14" t="s">
        <v>77</v>
      </c>
      <c r="B156" s="15" t="n">
        <v>32</v>
      </c>
      <c r="C156" s="14" t="s">
        <v>125</v>
      </c>
      <c r="D156" s="15" t="n">
        <f aca="false">7+0+25+14</f>
        <v>46</v>
      </c>
      <c r="E156" s="15" t="n">
        <v>22</v>
      </c>
      <c r="F156" s="15" t="n">
        <v>14</v>
      </c>
      <c r="G156" s="15"/>
      <c r="H156" s="15" t="n">
        <f aca="false">IF(COUNT(D156:G156)=0,"",SUM(D156:G156))</f>
        <v>82</v>
      </c>
    </row>
    <row r="157" customFormat="false" ht="15" hidden="false" customHeight="false" outlineLevel="0" collapsed="false">
      <c r="A157" s="14" t="s">
        <v>77</v>
      </c>
      <c r="B157" s="15" t="n">
        <v>33</v>
      </c>
      <c r="C157" s="14" t="s">
        <v>125</v>
      </c>
      <c r="D157" s="15" t="n">
        <f aca="false">7+0+25+14</f>
        <v>46</v>
      </c>
      <c r="E157" s="15" t="n">
        <v>54</v>
      </c>
      <c r="F157" s="15" t="n">
        <v>14</v>
      </c>
      <c r="G157" s="15"/>
      <c r="H157" s="15" t="n">
        <f aca="false">IF(COUNT(D157:G157)=0,"",SUM(D157:G157))</f>
        <v>114</v>
      </c>
    </row>
    <row r="158" customFormat="false" ht="15" hidden="false" customHeight="false" outlineLevel="0" collapsed="false">
      <c r="A158" s="14" t="s">
        <v>77</v>
      </c>
      <c r="B158" s="15" t="n">
        <v>34</v>
      </c>
      <c r="C158" s="14" t="s">
        <v>125</v>
      </c>
      <c r="D158" s="15" t="n">
        <f aca="false">7+0+25+14</f>
        <v>46</v>
      </c>
      <c r="E158" s="15" t="n">
        <v>44</v>
      </c>
      <c r="F158" s="15" t="n">
        <v>14</v>
      </c>
      <c r="G158" s="15"/>
      <c r="H158" s="15" t="n">
        <f aca="false">IF(COUNT(D158:G158)=0,"",SUM(D158:G158))</f>
        <v>104</v>
      </c>
    </row>
    <row r="159" customFormat="false" ht="15" hidden="false" customHeight="false" outlineLevel="0" collapsed="false">
      <c r="A159" s="14" t="s">
        <v>77</v>
      </c>
      <c r="B159" s="15" t="n">
        <v>35</v>
      </c>
      <c r="C159" s="14" t="s">
        <v>125</v>
      </c>
      <c r="D159" s="15" t="n">
        <f aca="false">7+0+25+14</f>
        <v>46</v>
      </c>
      <c r="E159" s="15" t="n">
        <v>31</v>
      </c>
      <c r="F159" s="15" t="n">
        <v>14</v>
      </c>
      <c r="G159" s="15"/>
      <c r="H159" s="15" t="n">
        <f aca="false">IF(COUNT(D159:G159)=0,"",SUM(D159:G159))</f>
        <v>91</v>
      </c>
    </row>
    <row r="160" customFormat="false" ht="15" hidden="false" customHeight="false" outlineLevel="0" collapsed="false">
      <c r="A160" s="14" t="s">
        <v>77</v>
      </c>
      <c r="B160" s="15" t="n">
        <v>36</v>
      </c>
      <c r="C160" s="14" t="s">
        <v>123</v>
      </c>
      <c r="D160" s="15" t="n">
        <f aca="false">7+0+25+14</f>
        <v>46</v>
      </c>
      <c r="E160" s="15" t="n">
        <v>19</v>
      </c>
      <c r="F160" s="15" t="n">
        <v>14</v>
      </c>
      <c r="G160" s="15"/>
      <c r="H160" s="15" t="n">
        <f aca="false">IF(COUNT(D160:G160)=0,"",SUM(D160:G160))</f>
        <v>79</v>
      </c>
    </row>
    <row r="161" customFormat="false" ht="15" hidden="false" customHeight="false" outlineLevel="0" collapsed="false">
      <c r="A161" s="14" t="s">
        <v>77</v>
      </c>
      <c r="B161" s="15" t="n">
        <v>37</v>
      </c>
      <c r="C161" s="14" t="s">
        <v>123</v>
      </c>
      <c r="D161" s="15" t="n">
        <f aca="false">7+0+25+14</f>
        <v>46</v>
      </c>
      <c r="E161" s="15" t="n">
        <v>23</v>
      </c>
      <c r="F161" s="15" t="n">
        <v>14</v>
      </c>
      <c r="G161" s="15"/>
      <c r="H161" s="15" t="n">
        <f aca="false">IF(COUNT(D161:G161)=0,"",SUM(D161:G161))</f>
        <v>83</v>
      </c>
    </row>
    <row r="162" customFormat="false" ht="15" hidden="false" customHeight="false" outlineLevel="0" collapsed="false">
      <c r="A162" s="14" t="s">
        <v>77</v>
      </c>
      <c r="B162" s="15" t="n">
        <v>38</v>
      </c>
      <c r="C162" s="14" t="s">
        <v>123</v>
      </c>
      <c r="D162" s="15" t="n">
        <f aca="false">7+0+25+14</f>
        <v>46</v>
      </c>
      <c r="E162" s="15" t="n">
        <v>23</v>
      </c>
      <c r="F162" s="15" t="n">
        <v>14</v>
      </c>
      <c r="G162" s="15"/>
      <c r="H162" s="15" t="n">
        <f aca="false">IF(COUNT(D162:G162)=0,"",SUM(D162:G162))</f>
        <v>83</v>
      </c>
    </row>
    <row r="163" customFormat="false" ht="15" hidden="false" customHeight="false" outlineLevel="0" collapsed="false">
      <c r="A163" s="14" t="s">
        <v>77</v>
      </c>
      <c r="B163" s="15" t="n">
        <v>39</v>
      </c>
      <c r="C163" s="14" t="s">
        <v>123</v>
      </c>
      <c r="D163" s="15" t="n">
        <f aca="false">7+0+25+14</f>
        <v>46</v>
      </c>
      <c r="E163" s="15" t="n">
        <v>25</v>
      </c>
      <c r="F163" s="15" t="n">
        <v>14</v>
      </c>
      <c r="G163" s="15"/>
      <c r="H163" s="15" t="n">
        <f aca="false">IF(COUNT(D163:G163)=0,"",SUM(D163:G163))</f>
        <v>85</v>
      </c>
    </row>
    <row r="164" customFormat="false" ht="15" hidden="false" customHeight="false" outlineLevel="0" collapsed="false">
      <c r="A164" s="14" t="s">
        <v>77</v>
      </c>
      <c r="B164" s="15" t="n">
        <v>40</v>
      </c>
      <c r="C164" s="14" t="s">
        <v>127</v>
      </c>
      <c r="D164" s="15" t="n">
        <f aca="false">7+0+25+14</f>
        <v>46</v>
      </c>
      <c r="E164" s="15" t="n">
        <v>25</v>
      </c>
      <c r="F164" s="15" t="n">
        <v>14</v>
      </c>
      <c r="G164" s="15"/>
      <c r="H164" s="15" t="n">
        <f aca="false">IF(COUNT(D164:G164)=0,"",SUM(D164:G164))</f>
        <v>85</v>
      </c>
    </row>
    <row r="165" customFormat="false" ht="15" hidden="false" customHeight="false" outlineLevel="0" collapsed="false">
      <c r="A165" s="14" t="s">
        <v>77</v>
      </c>
      <c r="B165" s="15" t="n">
        <v>41</v>
      </c>
      <c r="C165" s="14" t="s">
        <v>127</v>
      </c>
      <c r="D165" s="15" t="n">
        <f aca="false">7+0+25+14</f>
        <v>46</v>
      </c>
      <c r="E165" s="15" t="n">
        <v>25</v>
      </c>
      <c r="F165" s="15" t="n">
        <v>14</v>
      </c>
      <c r="G165" s="15"/>
      <c r="H165" s="15" t="n">
        <f aca="false">IF(COUNT(D165:G165)=0,"",SUM(D165:G165))</f>
        <v>85</v>
      </c>
    </row>
    <row r="166" customFormat="false" ht="15" hidden="false" customHeight="false" outlineLevel="0" collapsed="false">
      <c r="A166" s="14" t="s">
        <v>77</v>
      </c>
      <c r="C166" s="30"/>
      <c r="D166" s="30"/>
      <c r="E166" s="30"/>
      <c r="F166" s="30"/>
      <c r="G166" s="30"/>
      <c r="H166" s="15" t="str">
        <f aca="false">IF(COUNT(D166:G166)=0,"",SUM(D166:G166))</f>
        <v/>
      </c>
    </row>
    <row r="167" customFormat="false" ht="15" hidden="false" customHeight="false" outlineLevel="0" collapsed="false">
      <c r="A167" s="14" t="s">
        <v>77</v>
      </c>
      <c r="C167" s="30"/>
      <c r="D167" s="30"/>
      <c r="E167" s="30"/>
      <c r="F167" s="30"/>
      <c r="G167" s="30"/>
      <c r="H167" s="15" t="str">
        <f aca="false">IF(COUNT(D167:G167)=0,"",SUM(D167:G167))</f>
        <v/>
      </c>
    </row>
    <row r="168" customFormat="false" ht="15" hidden="false" customHeight="false" outlineLevel="0" collapsed="false">
      <c r="A168" s="14" t="s">
        <v>77</v>
      </c>
      <c r="C168" s="30"/>
      <c r="D168" s="30"/>
      <c r="E168" s="30"/>
      <c r="F168" s="30"/>
      <c r="G168" s="30"/>
      <c r="H168" s="15" t="str">
        <f aca="false">IF(COUNT(D168:G168)=0,"",SUM(D168:G168))</f>
        <v/>
      </c>
    </row>
    <row r="169" customFormat="false" ht="15" hidden="false" customHeight="false" outlineLevel="0" collapsed="false">
      <c r="A169" s="14" t="s">
        <v>77</v>
      </c>
      <c r="C169" s="30"/>
      <c r="D169" s="30"/>
      <c r="E169" s="30"/>
      <c r="F169" s="30"/>
      <c r="G169" s="30"/>
      <c r="H169" s="15" t="str">
        <f aca="false">IF(COUNT(D169:G169)=0,"",SUM(D169:G169))</f>
        <v/>
      </c>
    </row>
    <row r="170" customFormat="false" ht="15" hidden="false" customHeight="false" outlineLevel="0" collapsed="false">
      <c r="A170" s="14" t="s">
        <v>77</v>
      </c>
      <c r="C170" s="30"/>
      <c r="D170" s="30"/>
      <c r="E170" s="30"/>
      <c r="F170" s="30"/>
      <c r="G170" s="30"/>
      <c r="H170" s="15" t="str">
        <f aca="false">IF(COUNT(D170:G170)=0,"",SUM(D170:G170))</f>
        <v/>
      </c>
    </row>
    <row r="171" customFormat="false" ht="15" hidden="false" customHeight="false" outlineLevel="0" collapsed="false">
      <c r="A171" s="14" t="s">
        <v>77</v>
      </c>
      <c r="C171" s="30"/>
      <c r="D171" s="30"/>
      <c r="E171" s="30"/>
      <c r="F171" s="30"/>
      <c r="G171" s="30"/>
      <c r="H171" s="15" t="str">
        <f aca="false">IF(COUNT(D171:G171)=0,"",SUM(D171:G171))</f>
        <v/>
      </c>
    </row>
    <row r="173" customFormat="false" ht="15" hidden="false" customHeight="false" outlineLevel="0" collapsed="false">
      <c r="A173" s="14" t="s">
        <v>79</v>
      </c>
      <c r="B173" s="15" t="n">
        <v>1</v>
      </c>
      <c r="C173" s="14" t="s">
        <v>128</v>
      </c>
      <c r="D173" s="15" t="n">
        <f aca="false">7+0+25+7</f>
        <v>39</v>
      </c>
      <c r="E173" s="15" t="n">
        <v>15</v>
      </c>
      <c r="F173" s="15" t="n">
        <v>4</v>
      </c>
      <c r="G173" s="15"/>
      <c r="H173" s="15" t="n">
        <f aca="false">IF(COUNT(D173:G173)=0,"",SUM(D173:G173))</f>
        <v>58</v>
      </c>
    </row>
    <row r="174" customFormat="false" ht="15" hidden="false" customHeight="false" outlineLevel="0" collapsed="false">
      <c r="A174" s="14" t="s">
        <v>79</v>
      </c>
      <c r="B174" s="15" t="n">
        <v>2</v>
      </c>
      <c r="C174" s="14" t="s">
        <v>128</v>
      </c>
      <c r="D174" s="15" t="n">
        <f aca="false">7+0+25+7</f>
        <v>39</v>
      </c>
      <c r="E174" s="15" t="n">
        <v>10</v>
      </c>
      <c r="F174" s="15" t="n">
        <v>4</v>
      </c>
      <c r="G174" s="15"/>
      <c r="H174" s="15" t="n">
        <f aca="false">IF(COUNT(D174:G174)=0,"",SUM(D174:G174))</f>
        <v>53</v>
      </c>
    </row>
    <row r="175" customFormat="false" ht="15" hidden="false" customHeight="false" outlineLevel="0" collapsed="false">
      <c r="A175" s="14" t="s">
        <v>79</v>
      </c>
      <c r="B175" s="15" t="n">
        <v>3</v>
      </c>
      <c r="C175" s="14" t="s">
        <v>119</v>
      </c>
      <c r="D175" s="15" t="n">
        <f aca="false">7+0+25+7</f>
        <v>39</v>
      </c>
      <c r="E175" s="15" t="n">
        <v>12</v>
      </c>
      <c r="F175" s="15" t="n">
        <v>4</v>
      </c>
      <c r="G175" s="15"/>
      <c r="H175" s="15" t="n">
        <f aca="false">IF(COUNT(D175:G175)=0,"",SUM(D175:G175))</f>
        <v>55</v>
      </c>
    </row>
    <row r="176" customFormat="false" ht="15" hidden="false" customHeight="false" outlineLevel="0" collapsed="false">
      <c r="A176" s="14" t="s">
        <v>79</v>
      </c>
      <c r="B176" s="15" t="n">
        <v>4</v>
      </c>
      <c r="C176" s="14" t="s">
        <v>128</v>
      </c>
      <c r="D176" s="15" t="n">
        <f aca="false">7+0+25+7</f>
        <v>39</v>
      </c>
      <c r="E176" s="15" t="n">
        <v>12</v>
      </c>
      <c r="F176" s="15" t="n">
        <v>4</v>
      </c>
      <c r="G176" s="15"/>
      <c r="H176" s="15" t="n">
        <f aca="false">IF(COUNT(D176:G176)=0,"",SUM(D176:G176))</f>
        <v>55</v>
      </c>
    </row>
    <row r="177" customFormat="false" ht="15" hidden="false" customHeight="false" outlineLevel="0" collapsed="false">
      <c r="A177" s="14" t="s">
        <v>79</v>
      </c>
      <c r="B177" s="15" t="n">
        <v>5</v>
      </c>
      <c r="C177" s="14" t="s">
        <v>129</v>
      </c>
      <c r="D177" s="15" t="n">
        <f aca="false">7+0+25+7</f>
        <v>39</v>
      </c>
      <c r="E177" s="15" t="n">
        <v>8</v>
      </c>
      <c r="F177" s="15" t="n">
        <v>4</v>
      </c>
      <c r="G177" s="15"/>
      <c r="H177" s="15" t="n">
        <f aca="false">IF(COUNT(D177:G177)=0,"",SUM(D177:G177))</f>
        <v>51</v>
      </c>
    </row>
    <row r="178" customFormat="false" ht="15" hidden="false" customHeight="false" outlineLevel="0" collapsed="false">
      <c r="A178" s="14" t="s">
        <v>79</v>
      </c>
      <c r="B178" s="15" t="n">
        <v>6</v>
      </c>
      <c r="C178" s="14" t="s">
        <v>130</v>
      </c>
      <c r="D178" s="15" t="n">
        <f aca="false">7+0+25+7</f>
        <v>39</v>
      </c>
      <c r="E178" s="15" t="n">
        <v>5</v>
      </c>
      <c r="F178" s="15" t="n">
        <v>4</v>
      </c>
      <c r="G178" s="15"/>
      <c r="H178" s="15" t="n">
        <f aca="false">IF(COUNT(D178:G178)=0,"",SUM(D178:G178))</f>
        <v>48</v>
      </c>
    </row>
    <row r="179" customFormat="false" ht="15" hidden="false" customHeight="false" outlineLevel="0" collapsed="false">
      <c r="A179" s="14" t="s">
        <v>79</v>
      </c>
      <c r="B179" s="15" t="n">
        <v>7</v>
      </c>
      <c r="C179" s="14" t="s">
        <v>128</v>
      </c>
      <c r="D179" s="15" t="n">
        <f aca="false">7+0+25+7</f>
        <v>39</v>
      </c>
      <c r="E179" s="15" t="n">
        <v>9</v>
      </c>
      <c r="F179" s="15" t="n">
        <v>4</v>
      </c>
      <c r="G179" s="15"/>
      <c r="H179" s="15" t="n">
        <f aca="false">IF(COUNT(D179:G179)=0,"",SUM(D179:G179))</f>
        <v>52</v>
      </c>
    </row>
    <row r="180" customFormat="false" ht="15" hidden="false" customHeight="false" outlineLevel="0" collapsed="false">
      <c r="A180" s="14" t="s">
        <v>79</v>
      </c>
      <c r="B180" s="15" t="n">
        <v>8</v>
      </c>
      <c r="C180" s="14" t="s">
        <v>128</v>
      </c>
      <c r="D180" s="15" t="n">
        <f aca="false">7+0+25+7</f>
        <v>39</v>
      </c>
      <c r="E180" s="15" t="n">
        <v>10</v>
      </c>
      <c r="F180" s="15" t="n">
        <v>4</v>
      </c>
      <c r="G180" s="15"/>
      <c r="H180" s="15" t="n">
        <f aca="false">IF(COUNT(D180:G180)=0,"",SUM(D180:G180))</f>
        <v>53</v>
      </c>
    </row>
    <row r="181" customFormat="false" ht="15" hidden="false" customHeight="false" outlineLevel="0" collapsed="false">
      <c r="A181" s="14" t="s">
        <v>79</v>
      </c>
      <c r="B181" s="15" t="n">
        <v>9</v>
      </c>
      <c r="C181" s="14" t="s">
        <v>131</v>
      </c>
      <c r="D181" s="15" t="n">
        <f aca="false">7+0+25+7</f>
        <v>39</v>
      </c>
      <c r="E181" s="15" t="n">
        <v>14</v>
      </c>
      <c r="F181" s="15" t="n">
        <v>4</v>
      </c>
      <c r="G181" s="15"/>
      <c r="H181" s="15" t="n">
        <f aca="false">IF(COUNT(D181:G181)=0,"",SUM(D181:G181))</f>
        <v>57</v>
      </c>
    </row>
    <row r="182" customFormat="false" ht="15" hidden="false" customHeight="false" outlineLevel="0" collapsed="false">
      <c r="A182" s="14" t="s">
        <v>79</v>
      </c>
      <c r="B182" s="15" t="n">
        <v>10</v>
      </c>
      <c r="C182" s="14" t="s">
        <v>119</v>
      </c>
      <c r="D182" s="15" t="n">
        <f aca="false">7+0+25+7</f>
        <v>39</v>
      </c>
      <c r="E182" s="15" t="n">
        <v>10</v>
      </c>
      <c r="F182" s="15" t="n">
        <v>4</v>
      </c>
      <c r="G182" s="15"/>
      <c r="H182" s="15" t="n">
        <f aca="false">IF(COUNT(D182:G182)=0,"",SUM(D182:G182))</f>
        <v>53</v>
      </c>
    </row>
    <row r="183" customFormat="false" ht="15" hidden="false" customHeight="false" outlineLevel="0" collapsed="false">
      <c r="A183" s="14" t="s">
        <v>79</v>
      </c>
      <c r="B183" s="15" t="n">
        <v>11</v>
      </c>
      <c r="C183" s="14" t="s">
        <v>128</v>
      </c>
      <c r="D183" s="15" t="n">
        <f aca="false">7+0+25+7</f>
        <v>39</v>
      </c>
      <c r="E183" s="15" t="n">
        <v>17</v>
      </c>
      <c r="F183" s="15" t="n">
        <v>4</v>
      </c>
      <c r="G183" s="15"/>
      <c r="H183" s="15" t="n">
        <f aca="false">IF(COUNT(D183:G183)=0,"",SUM(D183:G183))</f>
        <v>60</v>
      </c>
    </row>
    <row r="184" customFormat="false" ht="15" hidden="false" customHeight="false" outlineLevel="0" collapsed="false">
      <c r="A184" s="14" t="s">
        <v>79</v>
      </c>
      <c r="B184" s="15" t="n">
        <v>12</v>
      </c>
      <c r="C184" s="14" t="s">
        <v>128</v>
      </c>
      <c r="D184" s="15" t="n">
        <f aca="false">7+0+25+7</f>
        <v>39</v>
      </c>
      <c r="E184" s="15" t="n">
        <v>10</v>
      </c>
      <c r="F184" s="15" t="n">
        <v>4</v>
      </c>
      <c r="G184" s="15"/>
      <c r="H184" s="15" t="n">
        <f aca="false">IF(COUNT(D184:G184)=0,"",SUM(D184:G184))</f>
        <v>53</v>
      </c>
    </row>
    <row r="185" customFormat="false" ht="15" hidden="false" customHeight="false" outlineLevel="0" collapsed="false">
      <c r="A185" s="14" t="s">
        <v>79</v>
      </c>
      <c r="B185" s="15" t="n">
        <v>13</v>
      </c>
      <c r="C185" s="14" t="s">
        <v>130</v>
      </c>
      <c r="D185" s="15" t="n">
        <f aca="false">7+0+25+7</f>
        <v>39</v>
      </c>
      <c r="E185" s="15" t="n">
        <v>5</v>
      </c>
      <c r="F185" s="15" t="n">
        <v>4</v>
      </c>
      <c r="G185" s="15"/>
      <c r="H185" s="15" t="n">
        <f aca="false">IF(COUNT(D185:G185)=0,"",SUM(D185:G185))</f>
        <v>48</v>
      </c>
    </row>
    <row r="186" customFormat="false" ht="15" hidden="false" customHeight="false" outlineLevel="0" collapsed="false">
      <c r="A186" s="14" t="s">
        <v>79</v>
      </c>
      <c r="B186" s="15" t="n">
        <v>14</v>
      </c>
      <c r="C186" s="14" t="s">
        <v>119</v>
      </c>
      <c r="D186" s="15" t="n">
        <f aca="false">7+0+25+7</f>
        <v>39</v>
      </c>
      <c r="E186" s="15" t="n">
        <v>5</v>
      </c>
      <c r="F186" s="15" t="n">
        <v>4</v>
      </c>
      <c r="G186" s="15"/>
      <c r="H186" s="15" t="n">
        <f aca="false">IF(COUNT(D186:G186)=0,"",SUM(D186:G186))</f>
        <v>48</v>
      </c>
    </row>
    <row r="187" customFormat="false" ht="15" hidden="false" customHeight="false" outlineLevel="0" collapsed="false">
      <c r="A187" s="14" t="s">
        <v>79</v>
      </c>
      <c r="B187" s="15" t="n">
        <v>15</v>
      </c>
      <c r="C187" s="14" t="s">
        <v>130</v>
      </c>
      <c r="D187" s="15" t="n">
        <f aca="false">7+0+25+7</f>
        <v>39</v>
      </c>
      <c r="E187" s="15" t="n">
        <v>5</v>
      </c>
      <c r="F187" s="15" t="n">
        <v>4</v>
      </c>
      <c r="G187" s="15"/>
      <c r="H187" s="15" t="n">
        <f aca="false">IF(COUNT(D187:G187)=0,"",SUM(D187:G187))</f>
        <v>48</v>
      </c>
    </row>
    <row r="188" customFormat="false" ht="15" hidden="false" customHeight="false" outlineLevel="0" collapsed="false">
      <c r="A188" s="14" t="s">
        <v>79</v>
      </c>
      <c r="B188" s="15" t="n">
        <v>16</v>
      </c>
      <c r="C188" s="14" t="s">
        <v>119</v>
      </c>
      <c r="D188" s="15" t="n">
        <f aca="false">7+0+25+7</f>
        <v>39</v>
      </c>
      <c r="E188" s="15" t="n">
        <v>9</v>
      </c>
      <c r="F188" s="15" t="n">
        <v>4</v>
      </c>
      <c r="G188" s="15"/>
      <c r="H188" s="15" t="n">
        <f aca="false">IF(COUNT(D188:G188)=0,"",SUM(D188:G188))</f>
        <v>52</v>
      </c>
    </row>
    <row r="189" customFormat="false" ht="15" hidden="false" customHeight="false" outlineLevel="0" collapsed="false">
      <c r="A189" s="14" t="s">
        <v>79</v>
      </c>
      <c r="B189" s="15" t="n">
        <v>17</v>
      </c>
      <c r="C189" s="14" t="s">
        <v>119</v>
      </c>
      <c r="D189" s="15" t="n">
        <f aca="false">7+0+25+7</f>
        <v>39</v>
      </c>
      <c r="E189" s="15" t="n">
        <v>14</v>
      </c>
      <c r="F189" s="15" t="n">
        <v>4</v>
      </c>
      <c r="G189" s="15"/>
      <c r="H189" s="15" t="n">
        <f aca="false">IF(COUNT(D189:G189)=0,"",SUM(D189:G189))</f>
        <v>57</v>
      </c>
    </row>
    <row r="190" customFormat="false" ht="15" hidden="false" customHeight="false" outlineLevel="0" collapsed="false">
      <c r="A190" s="14" t="s">
        <v>79</v>
      </c>
      <c r="B190" s="15" t="n">
        <v>18</v>
      </c>
      <c r="C190" s="14" t="s">
        <v>131</v>
      </c>
      <c r="D190" s="15" t="n">
        <f aca="false">7+0+25+7</f>
        <v>39</v>
      </c>
      <c r="E190" s="15" t="n">
        <v>9</v>
      </c>
      <c r="F190" s="15" t="n">
        <v>4</v>
      </c>
      <c r="G190" s="15"/>
      <c r="H190" s="15" t="n">
        <f aca="false">IF(COUNT(D190:G190)=0,"",SUM(D190:G190))</f>
        <v>52</v>
      </c>
    </row>
    <row r="191" customFormat="false" ht="15" hidden="false" customHeight="false" outlineLevel="0" collapsed="false">
      <c r="A191" s="14" t="s">
        <v>79</v>
      </c>
      <c r="B191" s="15" t="n">
        <v>19</v>
      </c>
      <c r="C191" s="14" t="s">
        <v>119</v>
      </c>
      <c r="D191" s="15" t="n">
        <f aca="false">7+0+25+7</f>
        <v>39</v>
      </c>
      <c r="E191" s="15" t="n">
        <v>8</v>
      </c>
      <c r="F191" s="15" t="n">
        <v>4</v>
      </c>
      <c r="G191" s="15"/>
      <c r="H191" s="15" t="n">
        <f aca="false">IF(COUNT(D191:G191)=0,"",SUM(D191:G191))</f>
        <v>51</v>
      </c>
    </row>
    <row r="192" customFormat="false" ht="15" hidden="false" customHeight="false" outlineLevel="0" collapsed="false">
      <c r="A192" s="14" t="s">
        <v>79</v>
      </c>
      <c r="B192" s="15" t="n">
        <v>20</v>
      </c>
      <c r="C192" s="14" t="s">
        <v>119</v>
      </c>
      <c r="D192" s="15" t="n">
        <f aca="false">7+0+25+7</f>
        <v>39</v>
      </c>
      <c r="E192" s="15" t="n">
        <v>11</v>
      </c>
      <c r="F192" s="15" t="n">
        <v>4</v>
      </c>
      <c r="G192" s="15"/>
      <c r="H192" s="15" t="n">
        <f aca="false">IF(COUNT(D192:G192)=0,"",SUM(D192:G192))</f>
        <v>54</v>
      </c>
    </row>
    <row r="193" customFormat="false" ht="15" hidden="false" customHeight="false" outlineLevel="0" collapsed="false">
      <c r="A193" s="14" t="s">
        <v>79</v>
      </c>
      <c r="B193" s="15" t="n">
        <v>21</v>
      </c>
      <c r="C193" s="14" t="s">
        <v>119</v>
      </c>
      <c r="D193" s="15" t="n">
        <f aca="false">7+0+25+7</f>
        <v>39</v>
      </c>
      <c r="E193" s="15" t="n">
        <v>14</v>
      </c>
      <c r="F193" s="15" t="n">
        <v>4</v>
      </c>
      <c r="G193" s="15"/>
      <c r="H193" s="15" t="n">
        <f aca="false">IF(COUNT(D193:G193)=0,"",SUM(D193:G193))</f>
        <v>57</v>
      </c>
    </row>
    <row r="194" customFormat="false" ht="15" hidden="false" customHeight="false" outlineLevel="0" collapsed="false">
      <c r="A194" s="14" t="s">
        <v>79</v>
      </c>
      <c r="B194" s="15" t="n">
        <v>22</v>
      </c>
      <c r="C194" s="14" t="s">
        <v>119</v>
      </c>
      <c r="D194" s="15" t="n">
        <f aca="false">7+0+25+7</f>
        <v>39</v>
      </c>
      <c r="E194" s="15" t="n">
        <v>11</v>
      </c>
      <c r="F194" s="15" t="n">
        <v>4</v>
      </c>
      <c r="G194" s="15"/>
      <c r="H194" s="15" t="n">
        <f aca="false">IF(COUNT(D194:G194)=0,"",SUM(D194:G194))</f>
        <v>54</v>
      </c>
    </row>
    <row r="195" customFormat="false" ht="15" hidden="false" customHeight="false" outlineLevel="0" collapsed="false">
      <c r="A195" s="14" t="s">
        <v>79</v>
      </c>
      <c r="C195" s="30"/>
      <c r="D195" s="30"/>
      <c r="E195" s="30"/>
      <c r="F195" s="30"/>
      <c r="G195" s="30"/>
      <c r="H195" s="15" t="str">
        <f aca="false">IF(COUNT(D195:G195)=0,"",SUM(D195:G195))</f>
        <v/>
      </c>
    </row>
    <row r="196" customFormat="false" ht="15" hidden="false" customHeight="false" outlineLevel="0" collapsed="false">
      <c r="A196" s="14" t="s">
        <v>79</v>
      </c>
      <c r="C196" s="30"/>
      <c r="D196" s="30"/>
      <c r="E196" s="30"/>
      <c r="F196" s="30"/>
      <c r="G196" s="30"/>
      <c r="H196" s="15" t="str">
        <f aca="false">IF(COUNT(D196:G196)=0,"",SUM(D196:G196))</f>
        <v/>
      </c>
    </row>
    <row r="197" customFormat="false" ht="15" hidden="false" customHeight="false" outlineLevel="0" collapsed="false">
      <c r="A197" s="14" t="s">
        <v>79</v>
      </c>
      <c r="C197" s="30"/>
      <c r="D197" s="30"/>
      <c r="E197" s="30"/>
      <c r="F197" s="30"/>
      <c r="G197" s="30"/>
      <c r="H197" s="15" t="str">
        <f aca="false">IF(COUNT(D197:G197)=0,"",SUM(D197:G197))</f>
        <v/>
      </c>
    </row>
    <row r="198" customFormat="false" ht="15" hidden="false" customHeight="false" outlineLevel="0" collapsed="false">
      <c r="A198" s="14" t="s">
        <v>79</v>
      </c>
      <c r="C198" s="30"/>
      <c r="D198" s="30"/>
      <c r="E198" s="30"/>
      <c r="F198" s="30"/>
      <c r="G198" s="30"/>
      <c r="H198" s="15" t="str">
        <f aca="false">IF(COUNT(D198:G198)=0,"",SUM(D198:G198))</f>
        <v/>
      </c>
    </row>
    <row r="199" customFormat="false" ht="15" hidden="false" customHeight="false" outlineLevel="0" collapsed="false">
      <c r="A199" s="14" t="s">
        <v>79</v>
      </c>
      <c r="C199" s="30"/>
      <c r="D199" s="30"/>
      <c r="E199" s="30"/>
      <c r="F199" s="30"/>
      <c r="G199" s="30"/>
      <c r="H199" s="15" t="str">
        <f aca="false">IF(COUNT(D199:G199)=0,"",SUM(D199:G199))</f>
        <v/>
      </c>
    </row>
    <row r="200" customFormat="false" ht="15" hidden="false" customHeight="false" outlineLevel="0" collapsed="false">
      <c r="A200" s="14" t="s">
        <v>79</v>
      </c>
      <c r="C200" s="30"/>
      <c r="D200" s="30"/>
      <c r="E200" s="30"/>
      <c r="F200" s="30"/>
      <c r="G200" s="30"/>
      <c r="H200" s="15" t="str">
        <f aca="false">IF(COUNT(D200:G200)=0,"",SUM(D200:G200))</f>
        <v/>
      </c>
    </row>
    <row r="202" customFormat="false" ht="15" hidden="false" customHeight="false" outlineLevel="0" collapsed="false">
      <c r="A202" s="14" t="s">
        <v>80</v>
      </c>
      <c r="C202" s="30"/>
      <c r="D202" s="30"/>
      <c r="E202" s="30"/>
      <c r="F202" s="30"/>
      <c r="G202" s="30"/>
      <c r="H202" s="15" t="str">
        <f aca="false">IF(COUNT(D202:G202)=0,"",SUM(D202:G202))</f>
        <v/>
      </c>
    </row>
    <row r="203" customFormat="false" ht="15" hidden="false" customHeight="false" outlineLevel="0" collapsed="false">
      <c r="A203" s="14" t="s">
        <v>80</v>
      </c>
      <c r="C203" s="30"/>
      <c r="D203" s="30"/>
      <c r="E203" s="30"/>
      <c r="F203" s="30"/>
      <c r="G203" s="30"/>
      <c r="H203" s="15" t="str">
        <f aca="false">IF(COUNT(D203:G203)=0,"",SUM(D203:G203))</f>
        <v/>
      </c>
    </row>
    <row r="204" customFormat="false" ht="15" hidden="false" customHeight="false" outlineLevel="0" collapsed="false">
      <c r="A204" s="14" t="s">
        <v>80</v>
      </c>
      <c r="C204" s="30"/>
      <c r="D204" s="30"/>
      <c r="E204" s="30"/>
      <c r="F204" s="30"/>
      <c r="G204" s="30"/>
      <c r="H204" s="15" t="str">
        <f aca="false">IF(COUNT(D204:G204)=0,"",SUM(D204:G204))</f>
        <v/>
      </c>
    </row>
    <row r="205" customFormat="false" ht="15" hidden="false" customHeight="false" outlineLevel="0" collapsed="false">
      <c r="A205" s="14" t="s">
        <v>80</v>
      </c>
      <c r="C205" s="30"/>
      <c r="D205" s="30"/>
      <c r="E205" s="30"/>
      <c r="F205" s="30"/>
      <c r="G205" s="30"/>
      <c r="H205" s="15" t="str">
        <f aca="false">IF(COUNT(D205:G205)=0,"",SUM(D205:G205))</f>
        <v/>
      </c>
    </row>
    <row r="206" customFormat="false" ht="15" hidden="false" customHeight="false" outlineLevel="0" collapsed="false">
      <c r="A206" s="14" t="s">
        <v>80</v>
      </c>
      <c r="C206" s="30"/>
      <c r="D206" s="30"/>
      <c r="E206" s="30"/>
      <c r="F206" s="30"/>
      <c r="G206" s="30"/>
      <c r="H206" s="15" t="str">
        <f aca="false">IF(COUNT(D206:G206)=0,"",SUM(D206:G206))</f>
        <v/>
      </c>
    </row>
    <row r="207" customFormat="false" ht="15" hidden="false" customHeight="false" outlineLevel="0" collapsed="false">
      <c r="A207" s="14" t="s">
        <v>80</v>
      </c>
      <c r="C207" s="30"/>
      <c r="D207" s="30"/>
      <c r="E207" s="30"/>
      <c r="F207" s="30"/>
      <c r="G207" s="30"/>
      <c r="H207" s="15" t="str">
        <f aca="false">IF(COUNT(D207:G207)=0,"",SUM(D207:G207))</f>
        <v/>
      </c>
    </row>
    <row r="209" customFormat="false" ht="15" hidden="false" customHeight="false" outlineLevel="0" collapsed="false">
      <c r="A209" s="14" t="s">
        <v>82</v>
      </c>
      <c r="B209" s="15" t="n">
        <v>1</v>
      </c>
      <c r="C209" s="14" t="s">
        <v>132</v>
      </c>
      <c r="D209" s="15" t="n">
        <f aca="false">7+0+25+7</f>
        <v>39</v>
      </c>
      <c r="E209" s="15" t="n">
        <v>20</v>
      </c>
      <c r="F209" s="15" t="n">
        <v>10</v>
      </c>
      <c r="G209" s="15"/>
      <c r="H209" s="15" t="n">
        <f aca="false">IF(COUNT(D209:G209)=0,"",SUM(D209:G209))</f>
        <v>69</v>
      </c>
    </row>
    <row r="210" customFormat="false" ht="15" hidden="false" customHeight="false" outlineLevel="0" collapsed="false">
      <c r="A210" s="14" t="s">
        <v>82</v>
      </c>
      <c r="B210" s="15" t="n">
        <v>2</v>
      </c>
      <c r="C210" s="14" t="s">
        <v>132</v>
      </c>
      <c r="D210" s="15" t="n">
        <f aca="false">7+0+25+7</f>
        <v>39</v>
      </c>
      <c r="E210" s="15" t="n">
        <v>20</v>
      </c>
      <c r="F210" s="15" t="n">
        <v>10</v>
      </c>
      <c r="G210" s="15"/>
      <c r="H210" s="15" t="n">
        <f aca="false">IF(COUNT(D210:G210)=0,"",SUM(D210:G210))</f>
        <v>69</v>
      </c>
    </row>
    <row r="211" customFormat="false" ht="15" hidden="false" customHeight="false" outlineLevel="0" collapsed="false">
      <c r="A211" s="14" t="s">
        <v>82</v>
      </c>
      <c r="B211" s="15" t="n">
        <v>3</v>
      </c>
      <c r="C211" s="14" t="s">
        <v>133</v>
      </c>
      <c r="D211" s="15" t="n">
        <f aca="false">7+0+25+7</f>
        <v>39</v>
      </c>
      <c r="E211" s="15" t="n">
        <v>20</v>
      </c>
      <c r="F211" s="15" t="n">
        <v>10</v>
      </c>
      <c r="G211" s="15"/>
      <c r="H211" s="15" t="n">
        <f aca="false">IF(COUNT(D211:G211)=0,"",SUM(D211:G211))</f>
        <v>69</v>
      </c>
    </row>
    <row r="212" customFormat="false" ht="15" hidden="false" customHeight="false" outlineLevel="0" collapsed="false">
      <c r="A212" s="14" t="s">
        <v>82</v>
      </c>
      <c r="B212" s="15" t="n">
        <v>4</v>
      </c>
      <c r="C212" s="14" t="s">
        <v>133</v>
      </c>
      <c r="D212" s="15" t="n">
        <f aca="false">7+0+25+7</f>
        <v>39</v>
      </c>
      <c r="E212" s="15" t="n">
        <v>20</v>
      </c>
      <c r="F212" s="15" t="n">
        <v>10</v>
      </c>
      <c r="G212" s="15"/>
      <c r="H212" s="15" t="n">
        <f aca="false">IF(COUNT(D212:G212)=0,"",SUM(D212:G212))</f>
        <v>69</v>
      </c>
    </row>
    <row r="213" customFormat="false" ht="15" hidden="false" customHeight="false" outlineLevel="0" collapsed="false">
      <c r="A213" s="14" t="s">
        <v>82</v>
      </c>
      <c r="B213" s="15" t="n">
        <v>5</v>
      </c>
      <c r="C213" s="14" t="s">
        <v>134</v>
      </c>
      <c r="D213" s="15" t="n">
        <f aca="false">7+0+25+7</f>
        <v>39</v>
      </c>
      <c r="E213" s="15" t="n">
        <v>20</v>
      </c>
      <c r="F213" s="15" t="n">
        <v>10</v>
      </c>
      <c r="G213" s="15"/>
      <c r="H213" s="15" t="n">
        <f aca="false">IF(COUNT(D213:G213)=0,"",SUM(D213:G213))</f>
        <v>69</v>
      </c>
    </row>
    <row r="214" customFormat="false" ht="15" hidden="false" customHeight="false" outlineLevel="0" collapsed="false">
      <c r="A214" s="14" t="s">
        <v>82</v>
      </c>
      <c r="B214" s="15" t="n">
        <v>6</v>
      </c>
      <c r="C214" s="14" t="s">
        <v>132</v>
      </c>
      <c r="D214" s="15" t="n">
        <f aca="false">7+0+25+7</f>
        <v>39</v>
      </c>
      <c r="E214" s="15" t="n">
        <v>20</v>
      </c>
      <c r="F214" s="15" t="n">
        <v>10</v>
      </c>
      <c r="G214" s="15"/>
      <c r="H214" s="15" t="n">
        <f aca="false">IF(COUNT(D214:G214)=0,"",SUM(D214:G214))</f>
        <v>69</v>
      </c>
    </row>
    <row r="215" customFormat="false" ht="15" hidden="false" customHeight="false" outlineLevel="0" collapsed="false">
      <c r="A215" s="14" t="s">
        <v>82</v>
      </c>
      <c r="B215" s="15" t="n">
        <v>7</v>
      </c>
      <c r="C215" s="14" t="s">
        <v>132</v>
      </c>
      <c r="D215" s="15" t="n">
        <f aca="false">7+0+25+7</f>
        <v>39</v>
      </c>
      <c r="E215" s="15" t="n">
        <v>20</v>
      </c>
      <c r="F215" s="15" t="n">
        <v>10</v>
      </c>
      <c r="G215" s="15"/>
      <c r="H215" s="15" t="n">
        <f aca="false">IF(COUNT(D215:G215)=0,"",SUM(D215:G215))</f>
        <v>69</v>
      </c>
    </row>
    <row r="216" customFormat="false" ht="15" hidden="false" customHeight="false" outlineLevel="0" collapsed="false">
      <c r="A216" s="14" t="s">
        <v>82</v>
      </c>
      <c r="B216" s="15" t="n">
        <v>8</v>
      </c>
      <c r="C216" s="14" t="s">
        <v>132</v>
      </c>
      <c r="D216" s="15" t="n">
        <f aca="false">7+0+25+7</f>
        <v>39</v>
      </c>
      <c r="E216" s="15" t="n">
        <v>20</v>
      </c>
      <c r="F216" s="15" t="n">
        <v>10</v>
      </c>
      <c r="G216" s="15"/>
      <c r="H216" s="15" t="n">
        <f aca="false">IF(COUNT(D216:G216)=0,"",SUM(D216:G216))</f>
        <v>69</v>
      </c>
    </row>
    <row r="217" customFormat="false" ht="15" hidden="false" customHeight="false" outlineLevel="0" collapsed="false">
      <c r="A217" s="14" t="s">
        <v>82</v>
      </c>
      <c r="B217" s="15" t="n">
        <v>9</v>
      </c>
      <c r="C217" s="14" t="s">
        <v>133</v>
      </c>
      <c r="D217" s="15" t="n">
        <f aca="false">7+0+25+7</f>
        <v>39</v>
      </c>
      <c r="E217" s="15" t="n">
        <v>20</v>
      </c>
      <c r="F217" s="15" t="n">
        <v>10</v>
      </c>
      <c r="G217" s="15"/>
      <c r="H217" s="15" t="n">
        <f aca="false">IF(COUNT(D217:G217)=0,"",SUM(D217:G217))</f>
        <v>69</v>
      </c>
    </row>
    <row r="218" customFormat="false" ht="15" hidden="false" customHeight="false" outlineLevel="0" collapsed="false">
      <c r="A218" s="14" t="s">
        <v>82</v>
      </c>
      <c r="B218" s="15" t="n">
        <v>10</v>
      </c>
      <c r="C218" s="14" t="s">
        <v>132</v>
      </c>
      <c r="D218" s="15" t="n">
        <f aca="false">7+0+25+7</f>
        <v>39</v>
      </c>
      <c r="E218" s="15" t="n">
        <v>20</v>
      </c>
      <c r="F218" s="15" t="n">
        <v>10</v>
      </c>
      <c r="G218" s="15"/>
      <c r="H218" s="15" t="n">
        <f aca="false">IF(COUNT(D218:G218)=0,"",SUM(D218:G218))</f>
        <v>69</v>
      </c>
    </row>
    <row r="219" customFormat="false" ht="15" hidden="false" customHeight="false" outlineLevel="0" collapsed="false">
      <c r="A219" s="14" t="s">
        <v>82</v>
      </c>
      <c r="B219" s="15" t="n">
        <v>11</v>
      </c>
      <c r="C219" s="14" t="s">
        <v>132</v>
      </c>
      <c r="D219" s="15" t="n">
        <f aca="false">7+0+25+7</f>
        <v>39</v>
      </c>
      <c r="E219" s="15" t="n">
        <v>20</v>
      </c>
      <c r="F219" s="15" t="n">
        <v>10</v>
      </c>
      <c r="G219" s="15"/>
      <c r="H219" s="15" t="n">
        <f aca="false">IF(COUNT(D219:G219)=0,"",SUM(D219:G219))</f>
        <v>69</v>
      </c>
    </row>
    <row r="220" customFormat="false" ht="15" hidden="false" customHeight="false" outlineLevel="0" collapsed="false">
      <c r="A220" s="14" t="s">
        <v>82</v>
      </c>
      <c r="B220" s="15" t="n">
        <v>12</v>
      </c>
      <c r="C220" s="14" t="s">
        <v>133</v>
      </c>
      <c r="D220" s="15" t="n">
        <f aca="false">7+0+25+7</f>
        <v>39</v>
      </c>
      <c r="E220" s="15" t="n">
        <v>20</v>
      </c>
      <c r="F220" s="15" t="n">
        <v>10</v>
      </c>
      <c r="G220" s="15"/>
      <c r="H220" s="15" t="n">
        <f aca="false">IF(COUNT(D220:G220)=0,"",SUM(D220:G220))</f>
        <v>69</v>
      </c>
    </row>
    <row r="221" customFormat="false" ht="15" hidden="false" customHeight="false" outlineLevel="0" collapsed="false">
      <c r="A221" s="14" t="s">
        <v>82</v>
      </c>
      <c r="B221" s="15" t="n">
        <v>13</v>
      </c>
      <c r="C221" s="14" t="s">
        <v>135</v>
      </c>
      <c r="D221" s="15" t="n">
        <f aca="false">7+0+25+7</f>
        <v>39</v>
      </c>
      <c r="E221" s="15" t="n">
        <v>20</v>
      </c>
      <c r="F221" s="15" t="n">
        <v>10</v>
      </c>
      <c r="G221" s="15"/>
      <c r="H221" s="15" t="n">
        <f aca="false">IF(COUNT(D221:G221)=0,"",SUM(D221:G221))</f>
        <v>69</v>
      </c>
    </row>
    <row r="222" customFormat="false" ht="15" hidden="false" customHeight="false" outlineLevel="0" collapsed="false">
      <c r="A222" s="14" t="s">
        <v>82</v>
      </c>
      <c r="B222" s="15" t="n">
        <v>14</v>
      </c>
      <c r="C222" s="14" t="s">
        <v>134</v>
      </c>
      <c r="D222" s="15" t="n">
        <f aca="false">7+0+25+7</f>
        <v>39</v>
      </c>
      <c r="E222" s="15" t="n">
        <v>20</v>
      </c>
      <c r="F222" s="15" t="n">
        <v>10</v>
      </c>
      <c r="G222" s="15"/>
      <c r="H222" s="15" t="n">
        <f aca="false">IF(COUNT(D222:G222)=0,"",SUM(D222:G222))</f>
        <v>69</v>
      </c>
    </row>
    <row r="223" customFormat="false" ht="15" hidden="false" customHeight="false" outlineLevel="0" collapsed="false">
      <c r="A223" s="14" t="s">
        <v>82</v>
      </c>
      <c r="B223" s="15" t="n">
        <v>15</v>
      </c>
      <c r="C223" s="14" t="s">
        <v>133</v>
      </c>
      <c r="D223" s="15" t="n">
        <f aca="false">7+0+25+7</f>
        <v>39</v>
      </c>
      <c r="E223" s="15" t="n">
        <v>17</v>
      </c>
      <c r="F223" s="15" t="n">
        <v>10</v>
      </c>
      <c r="G223" s="15"/>
      <c r="H223" s="15" t="n">
        <f aca="false">IF(COUNT(D223:G223)=0,"",SUM(D223:G223))</f>
        <v>66</v>
      </c>
    </row>
    <row r="224" customFormat="false" ht="15" hidden="false" customHeight="false" outlineLevel="0" collapsed="false">
      <c r="A224" s="14" t="s">
        <v>82</v>
      </c>
      <c r="B224" s="15" t="n">
        <v>16</v>
      </c>
      <c r="C224" s="14" t="s">
        <v>133</v>
      </c>
      <c r="D224" s="15" t="n">
        <f aca="false">7+0+25+7</f>
        <v>39</v>
      </c>
      <c r="E224" s="15" t="n">
        <v>16</v>
      </c>
      <c r="F224" s="15" t="n">
        <v>10</v>
      </c>
      <c r="G224" s="15"/>
      <c r="H224" s="15" t="n">
        <f aca="false">IF(COUNT(D224:G224)=0,"",SUM(D224:G224))</f>
        <v>65</v>
      </c>
    </row>
    <row r="225" customFormat="false" ht="15" hidden="false" customHeight="false" outlineLevel="0" collapsed="false">
      <c r="A225" s="14" t="s">
        <v>82</v>
      </c>
      <c r="B225" s="15" t="n">
        <v>17</v>
      </c>
      <c r="C225" s="14" t="s">
        <v>133</v>
      </c>
      <c r="D225" s="15" t="n">
        <f aca="false">7+0+25+7</f>
        <v>39</v>
      </c>
      <c r="E225" s="15" t="n">
        <v>20</v>
      </c>
      <c r="F225" s="15" t="n">
        <v>10</v>
      </c>
      <c r="G225" s="15"/>
      <c r="H225" s="15" t="n">
        <f aca="false">IF(COUNT(D225:G225)=0,"",SUM(D225:G225))</f>
        <v>69</v>
      </c>
    </row>
    <row r="226" customFormat="false" ht="15" hidden="false" customHeight="false" outlineLevel="0" collapsed="false">
      <c r="A226" s="14" t="s">
        <v>82</v>
      </c>
      <c r="B226" s="15" t="n">
        <v>18</v>
      </c>
      <c r="C226" s="14" t="s">
        <v>133</v>
      </c>
      <c r="D226" s="15" t="n">
        <f aca="false">7+0+25+7</f>
        <v>39</v>
      </c>
      <c r="E226" s="15" t="n">
        <v>18</v>
      </c>
      <c r="F226" s="15" t="n">
        <v>10</v>
      </c>
      <c r="G226" s="15"/>
      <c r="H226" s="15" t="n">
        <f aca="false">IF(COUNT(D226:G226)=0,"",SUM(D226:G226))</f>
        <v>67</v>
      </c>
    </row>
    <row r="227" customFormat="false" ht="15" hidden="false" customHeight="false" outlineLevel="0" collapsed="false">
      <c r="A227" s="14" t="s">
        <v>82</v>
      </c>
      <c r="B227" s="15" t="n">
        <v>19</v>
      </c>
      <c r="C227" s="14" t="s">
        <v>133</v>
      </c>
      <c r="D227" s="15" t="n">
        <f aca="false">7+0+25+7</f>
        <v>39</v>
      </c>
      <c r="E227" s="15" t="n">
        <v>20</v>
      </c>
      <c r="F227" s="15" t="n">
        <v>10</v>
      </c>
      <c r="G227" s="15"/>
      <c r="H227" s="15" t="n">
        <f aca="false">IF(COUNT(D227:G227)=0,"",SUM(D227:G227))</f>
        <v>69</v>
      </c>
    </row>
    <row r="228" customFormat="false" ht="15" hidden="false" customHeight="false" outlineLevel="0" collapsed="false">
      <c r="A228" s="14" t="s">
        <v>82</v>
      </c>
      <c r="B228" s="15" t="n">
        <v>20</v>
      </c>
      <c r="C228" s="14" t="s">
        <v>133</v>
      </c>
      <c r="D228" s="15" t="n">
        <f aca="false">7+0+25+7</f>
        <v>39</v>
      </c>
      <c r="E228" s="15" t="n">
        <v>20</v>
      </c>
      <c r="F228" s="15" t="n">
        <v>10</v>
      </c>
      <c r="G228" s="15"/>
      <c r="H228" s="15" t="n">
        <f aca="false">IF(COUNT(D228:G228)=0,"",SUM(D228:G228))</f>
        <v>69</v>
      </c>
    </row>
    <row r="229" customFormat="false" ht="15" hidden="false" customHeight="false" outlineLevel="0" collapsed="false">
      <c r="A229" s="14" t="s">
        <v>82</v>
      </c>
      <c r="B229" s="15" t="n">
        <v>21</v>
      </c>
      <c r="C229" s="14" t="s">
        <v>133</v>
      </c>
      <c r="D229" s="15" t="n">
        <f aca="false">7+0+25+7</f>
        <v>39</v>
      </c>
      <c r="E229" s="15" t="n">
        <v>17</v>
      </c>
      <c r="F229" s="15" t="n">
        <v>10</v>
      </c>
      <c r="G229" s="15"/>
      <c r="H229" s="15" t="n">
        <f aca="false">IF(COUNT(D229:G229)=0,"",SUM(D229:G229))</f>
        <v>66</v>
      </c>
    </row>
    <row r="230" customFormat="false" ht="15" hidden="false" customHeight="false" outlineLevel="0" collapsed="false">
      <c r="A230" s="14" t="s">
        <v>82</v>
      </c>
      <c r="B230" s="15" t="n">
        <v>22</v>
      </c>
      <c r="C230" s="14" t="s">
        <v>133</v>
      </c>
      <c r="D230" s="15" t="n">
        <f aca="false">7+0+25+7</f>
        <v>39</v>
      </c>
      <c r="E230" s="15" t="n">
        <v>16</v>
      </c>
      <c r="F230" s="15" t="n">
        <v>10</v>
      </c>
      <c r="G230" s="15"/>
      <c r="H230" s="15" t="n">
        <f aca="false">IF(COUNT(D230:G230)=0,"",SUM(D230:G230))</f>
        <v>65</v>
      </c>
    </row>
    <row r="231" customFormat="false" ht="15" hidden="false" customHeight="false" outlineLevel="0" collapsed="false">
      <c r="A231" s="14" t="s">
        <v>82</v>
      </c>
      <c r="B231" s="15" t="n">
        <v>23</v>
      </c>
      <c r="C231" s="14" t="s">
        <v>133</v>
      </c>
      <c r="D231" s="15" t="n">
        <f aca="false">7+0+25+7</f>
        <v>39</v>
      </c>
      <c r="E231" s="15" t="n">
        <v>17</v>
      </c>
      <c r="F231" s="15" t="n">
        <v>10</v>
      </c>
      <c r="G231" s="15"/>
      <c r="H231" s="15" t="n">
        <f aca="false">IF(COUNT(D231:G231)=0,"",SUM(D231:G231))</f>
        <v>66</v>
      </c>
    </row>
    <row r="232" customFormat="false" ht="15" hidden="false" customHeight="false" outlineLevel="0" collapsed="false">
      <c r="A232" s="14" t="s">
        <v>82</v>
      </c>
      <c r="C232" s="30"/>
      <c r="D232" s="30"/>
      <c r="E232" s="30"/>
      <c r="F232" s="30"/>
      <c r="G232" s="30"/>
      <c r="H232" s="15" t="str">
        <f aca="false">IF(COUNT(D232:G232)=0,"",SUM(D232:G232))</f>
        <v/>
      </c>
    </row>
    <row r="233" customFormat="false" ht="15" hidden="false" customHeight="false" outlineLevel="0" collapsed="false">
      <c r="A233" s="14" t="s">
        <v>82</v>
      </c>
      <c r="C233" s="30"/>
      <c r="D233" s="30"/>
      <c r="E233" s="30"/>
      <c r="F233" s="30"/>
      <c r="G233" s="30"/>
      <c r="H233" s="15" t="str">
        <f aca="false">IF(COUNT(D233:G233)=0,"",SUM(D233:G233))</f>
        <v/>
      </c>
    </row>
    <row r="234" customFormat="false" ht="15" hidden="false" customHeight="false" outlineLevel="0" collapsed="false">
      <c r="A234" s="14" t="s">
        <v>82</v>
      </c>
      <c r="C234" s="30"/>
      <c r="D234" s="30"/>
      <c r="E234" s="30"/>
      <c r="F234" s="30"/>
      <c r="G234" s="30"/>
      <c r="H234" s="15" t="str">
        <f aca="false">IF(COUNT(D234:G234)=0,"",SUM(D234:G234))</f>
        <v/>
      </c>
    </row>
    <row r="235" customFormat="false" ht="15" hidden="false" customHeight="false" outlineLevel="0" collapsed="false">
      <c r="A235" s="14" t="s">
        <v>82</v>
      </c>
      <c r="C235" s="30"/>
      <c r="D235" s="30"/>
      <c r="E235" s="30"/>
      <c r="F235" s="30"/>
      <c r="G235" s="30"/>
      <c r="H235" s="15" t="str">
        <f aca="false">IF(COUNT(D235:G235)=0,"",SUM(D235:G235))</f>
        <v/>
      </c>
    </row>
    <row r="236" customFormat="false" ht="15" hidden="false" customHeight="false" outlineLevel="0" collapsed="false">
      <c r="A236" s="14" t="s">
        <v>82</v>
      </c>
      <c r="C236" s="30"/>
      <c r="D236" s="30"/>
      <c r="E236" s="30"/>
      <c r="F236" s="30"/>
      <c r="G236" s="30"/>
      <c r="H236" s="15" t="str">
        <f aca="false">IF(COUNT(D236:G236)=0,"",SUM(D236:G236))</f>
        <v/>
      </c>
    </row>
    <row r="237" customFormat="false" ht="15" hidden="false" customHeight="false" outlineLevel="0" collapsed="false">
      <c r="A237" s="14" t="s">
        <v>82</v>
      </c>
      <c r="C237" s="30"/>
      <c r="D237" s="30"/>
      <c r="E237" s="30"/>
      <c r="F237" s="30"/>
      <c r="G237" s="30"/>
      <c r="H237" s="15" t="str">
        <f aca="false">IF(COUNT(D237:G237)=0,"",SUM(D237:G237))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3" t="s">
        <v>110</v>
      </c>
      <c r="B1" s="13" t="s">
        <v>136</v>
      </c>
      <c r="C1" s="13" t="s">
        <v>137</v>
      </c>
      <c r="D1" s="13" t="s">
        <v>138</v>
      </c>
      <c r="F1" s="2" t="s">
        <v>139</v>
      </c>
    </row>
    <row r="2" customFormat="false" ht="15" hidden="false" customHeight="false" outlineLevel="0" collapsed="false">
      <c r="A2" s="14" t="s">
        <v>69</v>
      </c>
      <c r="B2" s="15" t="n">
        <v>1</v>
      </c>
      <c r="C2" s="21" t="n">
        <v>9295.184</v>
      </c>
      <c r="D2" s="18" t="n">
        <f aca="false">IF(C2="","",C2/Parameter!$C$8)</f>
        <v>309.839466666667</v>
      </c>
    </row>
    <row r="3" customFormat="false" ht="15" hidden="false" customHeight="false" outlineLevel="0" collapsed="false">
      <c r="A3" s="14" t="s">
        <v>69</v>
      </c>
      <c r="B3" s="15" t="n">
        <v>2</v>
      </c>
      <c r="C3" s="21" t="n">
        <v>10314.188</v>
      </c>
      <c r="D3" s="18" t="n">
        <f aca="false">IF(C3="","",C3/Parameter!$C$8)</f>
        <v>343.806266666667</v>
      </c>
    </row>
    <row r="4" customFormat="false" ht="15" hidden="false" customHeight="false" outlineLevel="0" collapsed="false">
      <c r="A4" s="14" t="s">
        <v>69</v>
      </c>
      <c r="B4" s="15" t="n">
        <v>3</v>
      </c>
      <c r="C4" s="21" t="n">
        <v>7067.51</v>
      </c>
      <c r="D4" s="18" t="n">
        <f aca="false">IF(C4="","",C4/Parameter!$C$8)</f>
        <v>235.583666666667</v>
      </c>
    </row>
    <row r="5" customFormat="false" ht="15" hidden="false" customHeight="false" outlineLevel="0" collapsed="false">
      <c r="A5" s="14" t="s">
        <v>69</v>
      </c>
      <c r="B5" s="15" t="n">
        <v>4</v>
      </c>
      <c r="C5" s="21" t="n">
        <v>9061.582</v>
      </c>
      <c r="D5" s="18" t="n">
        <f aca="false">IF(C5="","",C5/Parameter!$C$8)</f>
        <v>302.052733333333</v>
      </c>
    </row>
    <row r="6" customFormat="false" ht="15" hidden="false" customHeight="false" outlineLevel="0" collapsed="false">
      <c r="A6" s="14" t="s">
        <v>69</v>
      </c>
      <c r="B6" s="15" t="n">
        <v>5</v>
      </c>
      <c r="C6" s="21" t="n">
        <v>9478.231</v>
      </c>
      <c r="D6" s="18" t="n">
        <f aca="false">IF(C6="","",C6/Parameter!$C$8)</f>
        <v>315.941033333333</v>
      </c>
    </row>
    <row r="7" customFormat="false" ht="15" hidden="false" customHeight="false" outlineLevel="0" collapsed="false">
      <c r="A7" s="14" t="s">
        <v>69</v>
      </c>
      <c r="B7" s="15" t="n">
        <v>6</v>
      </c>
      <c r="C7" s="21" t="n">
        <v>9158.077</v>
      </c>
      <c r="D7" s="18" t="n">
        <f aca="false">IF(C7="","",C7/Parameter!$C$8)</f>
        <v>305.269233333333</v>
      </c>
    </row>
    <row r="8" customFormat="false" ht="15" hidden="false" customHeight="false" outlineLevel="0" collapsed="false">
      <c r="A8" s="14" t="s">
        <v>69</v>
      </c>
      <c r="B8" s="15" t="n">
        <v>7</v>
      </c>
      <c r="C8" s="21" t="n">
        <v>12378.357</v>
      </c>
      <c r="D8" s="18" t="n">
        <f aca="false">IF(C8="","",C8/Parameter!$C$8)</f>
        <v>412.6119</v>
      </c>
    </row>
    <row r="9" customFormat="false" ht="15" hidden="false" customHeight="false" outlineLevel="0" collapsed="false">
      <c r="A9" s="14" t="s">
        <v>69</v>
      </c>
      <c r="B9" s="15" t="n">
        <v>8</v>
      </c>
      <c r="C9" s="21" t="n">
        <v>10420.958</v>
      </c>
      <c r="D9" s="18" t="n">
        <f aca="false">IF(C9="","",C9/Parameter!$C$8)</f>
        <v>347.365266666667</v>
      </c>
    </row>
    <row r="10" customFormat="false" ht="15" hidden="false" customHeight="false" outlineLevel="0" collapsed="false">
      <c r="A10" s="14" t="s">
        <v>69</v>
      </c>
      <c r="B10" s="15" t="n">
        <v>9</v>
      </c>
      <c r="C10" s="21" t="n">
        <v>9226.875</v>
      </c>
      <c r="D10" s="18" t="n">
        <f aca="false">IF(C10="","",C10/Parameter!$C$8)</f>
        <v>307.5625</v>
      </c>
    </row>
    <row r="11" customFormat="false" ht="15" hidden="false" customHeight="false" outlineLevel="0" collapsed="false">
      <c r="A11" s="14" t="s">
        <v>69</v>
      </c>
      <c r="B11" s="15" t="n">
        <v>10</v>
      </c>
      <c r="C11" s="21" t="n">
        <v>10841.23</v>
      </c>
      <c r="D11" s="18" t="n">
        <f aca="false">IF(C11="","",C11/Parameter!$C$8)</f>
        <v>361.374333333333</v>
      </c>
    </row>
    <row r="12" customFormat="false" ht="15" hidden="false" customHeight="false" outlineLevel="0" collapsed="false">
      <c r="A12" s="14" t="s">
        <v>69</v>
      </c>
      <c r="B12" s="15" t="n">
        <v>11</v>
      </c>
      <c r="C12" s="21" t="n">
        <v>9763.72</v>
      </c>
      <c r="D12" s="18" t="n">
        <f aca="false">IF(C12="","",C12/Parameter!$C$8)</f>
        <v>325.457333333333</v>
      </c>
    </row>
    <row r="13" customFormat="false" ht="15" hidden="false" customHeight="false" outlineLevel="0" collapsed="false">
      <c r="A13" s="14" t="s">
        <v>69</v>
      </c>
      <c r="B13" s="15" t="n">
        <v>12</v>
      </c>
      <c r="C13" s="21" t="n">
        <v>10601.24</v>
      </c>
      <c r="D13" s="18" t="n">
        <f aca="false">IF(C13="","",C13/Parameter!$C$8)</f>
        <v>353.374666666667</v>
      </c>
    </row>
    <row r="14" customFormat="false" ht="15" hidden="false" customHeight="false" outlineLevel="0" collapsed="false">
      <c r="A14" s="14" t="s">
        <v>69</v>
      </c>
      <c r="C14" s="25"/>
      <c r="D14" s="18" t="str">
        <f aca="false">IF(C14="","",C14/Parameter!$C$8)</f>
        <v/>
      </c>
    </row>
    <row r="15" customFormat="false" ht="15" hidden="false" customHeight="false" outlineLevel="0" collapsed="false">
      <c r="A15" s="14" t="s">
        <v>69</v>
      </c>
      <c r="C15" s="25"/>
      <c r="D15" s="18" t="str">
        <f aca="false">IF(C15="","",C15/Parameter!$C$8)</f>
        <v/>
      </c>
    </row>
    <row r="16" customFormat="false" ht="15" hidden="false" customHeight="false" outlineLevel="0" collapsed="false">
      <c r="A16" s="14" t="s">
        <v>69</v>
      </c>
      <c r="C16" s="25"/>
      <c r="D16" s="18" t="str">
        <f aca="false">IF(C16="","",C16/Parameter!$C$8)</f>
        <v/>
      </c>
    </row>
    <row r="17" customFormat="false" ht="15" hidden="false" customHeight="false" outlineLevel="0" collapsed="false">
      <c r="A17" s="14" t="s">
        <v>69</v>
      </c>
      <c r="C17" s="25"/>
      <c r="D17" s="18" t="str">
        <f aca="false">IF(C17="","",C17/Parameter!$C$8)</f>
        <v/>
      </c>
    </row>
    <row r="18" customFormat="false" ht="15" hidden="false" customHeight="false" outlineLevel="0" collapsed="false">
      <c r="A18" s="14" t="s">
        <v>69</v>
      </c>
      <c r="C18" s="25"/>
      <c r="D18" s="18" t="str">
        <f aca="false">IF(C18="","",C18/Parameter!$C$8)</f>
        <v/>
      </c>
    </row>
    <row r="19" customFormat="false" ht="15" hidden="false" customHeight="false" outlineLevel="0" collapsed="false">
      <c r="A19" s="14" t="s">
        <v>69</v>
      </c>
      <c r="C19" s="25"/>
      <c r="D19" s="18" t="str">
        <f aca="false">IF(C19="","",C19/Parameter!$C$8)</f>
        <v/>
      </c>
    </row>
    <row r="21" customFormat="false" ht="15" hidden="false" customHeight="false" outlineLevel="0" collapsed="false">
      <c r="A21" s="14" t="s">
        <v>71</v>
      </c>
      <c r="B21" s="15" t="n">
        <v>1</v>
      </c>
      <c r="C21" s="21" t="n">
        <v>55738.541</v>
      </c>
      <c r="D21" s="18" t="n">
        <f aca="false">IF(C21="","",C21/Parameter!$C$8)</f>
        <v>1857.95136666667</v>
      </c>
    </row>
    <row r="22" customFormat="false" ht="15" hidden="false" customHeight="false" outlineLevel="0" collapsed="false">
      <c r="A22" s="14" t="s">
        <v>71</v>
      </c>
      <c r="B22" s="15" t="n">
        <v>2</v>
      </c>
      <c r="C22" s="21" t="n">
        <v>58749.507</v>
      </c>
      <c r="D22" s="18" t="n">
        <f aca="false">IF(C22="","",C22/Parameter!$C$8)</f>
        <v>1958.3169</v>
      </c>
    </row>
    <row r="23" customFormat="false" ht="15" hidden="false" customHeight="false" outlineLevel="0" collapsed="false">
      <c r="A23" s="14" t="s">
        <v>71</v>
      </c>
      <c r="B23" s="15" t="n">
        <v>3</v>
      </c>
      <c r="C23" s="21" t="n">
        <v>55700.005</v>
      </c>
      <c r="D23" s="18" t="n">
        <f aca="false">IF(C23="","",C23/Parameter!$C$8)</f>
        <v>1856.66683333333</v>
      </c>
    </row>
    <row r="24" customFormat="false" ht="15" hidden="false" customHeight="false" outlineLevel="0" collapsed="false">
      <c r="A24" s="14" t="s">
        <v>71</v>
      </c>
      <c r="B24" s="15" t="n">
        <v>4</v>
      </c>
      <c r="C24" s="21" t="n">
        <v>50873.094</v>
      </c>
      <c r="D24" s="18" t="n">
        <f aca="false">IF(C24="","",C24/Parameter!$C$8)</f>
        <v>1695.7698</v>
      </c>
    </row>
    <row r="25" customFormat="false" ht="15" hidden="false" customHeight="false" outlineLevel="0" collapsed="false">
      <c r="A25" s="14" t="s">
        <v>71</v>
      </c>
      <c r="B25" s="15" t="n">
        <v>5</v>
      </c>
      <c r="C25" s="21" t="n">
        <v>45590.83</v>
      </c>
      <c r="D25" s="18" t="n">
        <f aca="false">IF(C25="","",C25/Parameter!$C$8)</f>
        <v>1519.69433333333</v>
      </c>
    </row>
    <row r="26" customFormat="false" ht="15" hidden="false" customHeight="false" outlineLevel="0" collapsed="false">
      <c r="A26" s="14" t="s">
        <v>71</v>
      </c>
      <c r="B26" s="15" t="n">
        <v>6</v>
      </c>
      <c r="C26" s="21" t="n">
        <v>57307.233</v>
      </c>
      <c r="D26" s="18" t="n">
        <f aca="false">IF(C26="","",C26/Parameter!$C$8)</f>
        <v>1910.2411</v>
      </c>
    </row>
    <row r="27" customFormat="false" ht="15" hidden="false" customHeight="false" outlineLevel="0" collapsed="false">
      <c r="A27" s="14" t="s">
        <v>71</v>
      </c>
      <c r="B27" s="15" t="n">
        <v>7</v>
      </c>
      <c r="C27" s="21" t="n">
        <v>61091.025</v>
      </c>
      <c r="D27" s="18" t="n">
        <f aca="false">IF(C27="","",C27/Parameter!$C$8)</f>
        <v>2036.3675</v>
      </c>
    </row>
    <row r="28" customFormat="false" ht="15" hidden="false" customHeight="false" outlineLevel="0" collapsed="false">
      <c r="A28" s="14" t="s">
        <v>71</v>
      </c>
      <c r="C28" s="25"/>
      <c r="D28" s="18" t="str">
        <f aca="false">IF(C28="","",C28/Parameter!$C$8)</f>
        <v/>
      </c>
    </row>
    <row r="29" customFormat="false" ht="15" hidden="false" customHeight="false" outlineLevel="0" collapsed="false">
      <c r="A29" s="14" t="s">
        <v>71</v>
      </c>
      <c r="C29" s="25"/>
      <c r="D29" s="18" t="str">
        <f aca="false">IF(C29="","",C29/Parameter!$C$8)</f>
        <v/>
      </c>
    </row>
    <row r="30" customFormat="false" ht="15" hidden="false" customHeight="false" outlineLevel="0" collapsed="false">
      <c r="A30" s="14" t="s">
        <v>71</v>
      </c>
      <c r="C30" s="25"/>
      <c r="D30" s="18" t="str">
        <f aca="false">IF(C30="","",C30/Parameter!$C$8)</f>
        <v/>
      </c>
    </row>
    <row r="31" customFormat="false" ht="15" hidden="false" customHeight="false" outlineLevel="0" collapsed="false">
      <c r="A31" s="14" t="s">
        <v>71</v>
      </c>
      <c r="C31" s="25"/>
      <c r="D31" s="18" t="str">
        <f aca="false">IF(C31="","",C31/Parameter!$C$8)</f>
        <v/>
      </c>
    </row>
    <row r="32" customFormat="false" ht="15" hidden="false" customHeight="false" outlineLevel="0" collapsed="false">
      <c r="A32" s="14" t="s">
        <v>71</v>
      </c>
      <c r="C32" s="25"/>
      <c r="D32" s="18" t="str">
        <f aca="false">IF(C32="","",C32/Parameter!$C$8)</f>
        <v/>
      </c>
    </row>
    <row r="33" customFormat="false" ht="15" hidden="false" customHeight="false" outlineLevel="0" collapsed="false">
      <c r="A33" s="14" t="s">
        <v>71</v>
      </c>
      <c r="C33" s="25"/>
      <c r="D33" s="18" t="str">
        <f aca="false">IF(C33="","",C33/Parameter!$C$8)</f>
        <v/>
      </c>
    </row>
    <row r="35" customFormat="false" ht="15" hidden="false" customHeight="false" outlineLevel="0" collapsed="false">
      <c r="A35" s="14" t="s">
        <v>73</v>
      </c>
      <c r="C35" s="25"/>
      <c r="D35" s="18" t="str">
        <f aca="false">IF(C35="","",C35/Parameter!$C$8)</f>
        <v/>
      </c>
    </row>
    <row r="36" customFormat="false" ht="15" hidden="false" customHeight="false" outlineLevel="0" collapsed="false">
      <c r="A36" s="14" t="s">
        <v>73</v>
      </c>
      <c r="C36" s="25"/>
      <c r="D36" s="18" t="str">
        <f aca="false">IF(C36="","",C36/Parameter!$C$8)</f>
        <v/>
      </c>
    </row>
    <row r="37" customFormat="false" ht="15" hidden="false" customHeight="false" outlineLevel="0" collapsed="false">
      <c r="A37" s="14" t="s">
        <v>73</v>
      </c>
      <c r="C37" s="25"/>
      <c r="D37" s="18" t="str">
        <f aca="false">IF(C37="","",C37/Parameter!$C$8)</f>
        <v/>
      </c>
    </row>
    <row r="38" customFormat="false" ht="15" hidden="false" customHeight="false" outlineLevel="0" collapsed="false">
      <c r="A38" s="14" t="s">
        <v>73</v>
      </c>
      <c r="C38" s="25"/>
      <c r="D38" s="18" t="str">
        <f aca="false">IF(C38="","",C38/Parameter!$C$8)</f>
        <v/>
      </c>
    </row>
    <row r="39" customFormat="false" ht="15" hidden="false" customHeight="false" outlineLevel="0" collapsed="false">
      <c r="A39" s="14" t="s">
        <v>73</v>
      </c>
      <c r="C39" s="25"/>
      <c r="D39" s="18" t="str">
        <f aca="false">IF(C39="","",C39/Parameter!$C$8)</f>
        <v/>
      </c>
    </row>
    <row r="40" customFormat="false" ht="15" hidden="false" customHeight="false" outlineLevel="0" collapsed="false">
      <c r="A40" s="14" t="s">
        <v>73</v>
      </c>
      <c r="C40" s="25"/>
      <c r="D40" s="18" t="str">
        <f aca="false">IF(C40="","",C40/Parameter!$C$8)</f>
        <v/>
      </c>
    </row>
    <row r="42" customFormat="false" ht="15" hidden="false" customHeight="false" outlineLevel="0" collapsed="false">
      <c r="A42" s="14" t="s">
        <v>75</v>
      </c>
      <c r="B42" s="15" t="n">
        <v>1</v>
      </c>
      <c r="C42" s="21" t="n">
        <v>53340.369</v>
      </c>
      <c r="D42" s="18" t="n">
        <f aca="false">IF(C42="","",C42/Parameter!$C$8)</f>
        <v>1778.0123</v>
      </c>
    </row>
    <row r="43" customFormat="false" ht="15" hidden="false" customHeight="false" outlineLevel="0" collapsed="false">
      <c r="A43" s="14" t="s">
        <v>75</v>
      </c>
      <c r="B43" s="15" t="n">
        <v>2</v>
      </c>
      <c r="C43" s="21" t="n">
        <v>64190.058</v>
      </c>
      <c r="D43" s="18" t="n">
        <f aca="false">IF(C43="","",C43/Parameter!$C$8)</f>
        <v>2139.6686</v>
      </c>
    </row>
    <row r="44" customFormat="false" ht="15" hidden="false" customHeight="false" outlineLevel="0" collapsed="false">
      <c r="A44" s="14" t="s">
        <v>75</v>
      </c>
      <c r="B44" s="15" t="n">
        <v>3</v>
      </c>
      <c r="C44" s="21" t="n">
        <v>66245.253</v>
      </c>
      <c r="D44" s="18" t="n">
        <f aca="false">IF(C44="","",C44/Parameter!$C$8)</f>
        <v>2208.1751</v>
      </c>
    </row>
    <row r="45" customFormat="false" ht="15" hidden="false" customHeight="false" outlineLevel="0" collapsed="false">
      <c r="A45" s="14" t="s">
        <v>75</v>
      </c>
      <c r="B45" s="15" t="n">
        <v>4</v>
      </c>
      <c r="C45" s="21" t="n">
        <v>68312.16</v>
      </c>
      <c r="D45" s="18" t="n">
        <f aca="false">IF(C45="","",C45/Parameter!$C$8)</f>
        <v>2277.072</v>
      </c>
    </row>
    <row r="46" customFormat="false" ht="15" hidden="false" customHeight="false" outlineLevel="0" collapsed="false">
      <c r="A46" s="14" t="s">
        <v>75</v>
      </c>
      <c r="B46" s="15" t="n">
        <v>5</v>
      </c>
      <c r="C46" s="21" t="n">
        <v>63315.915</v>
      </c>
      <c r="D46" s="18" t="n">
        <f aca="false">IF(C46="","",C46/Parameter!$C$8)</f>
        <v>2110.5305</v>
      </c>
    </row>
    <row r="47" customFormat="false" ht="15" hidden="false" customHeight="false" outlineLevel="0" collapsed="false">
      <c r="A47" s="14" t="s">
        <v>75</v>
      </c>
      <c r="B47" s="15" t="n">
        <v>6</v>
      </c>
      <c r="C47" s="21" t="n">
        <v>70444.52</v>
      </c>
      <c r="D47" s="18" t="n">
        <f aca="false">IF(C47="","",C47/Parameter!$C$8)</f>
        <v>2348.15066666667</v>
      </c>
    </row>
    <row r="48" customFormat="false" ht="15" hidden="false" customHeight="false" outlineLevel="0" collapsed="false">
      <c r="A48" s="14" t="s">
        <v>75</v>
      </c>
      <c r="B48" s="15" t="n">
        <v>7</v>
      </c>
      <c r="C48" s="21" t="n">
        <v>75232.84</v>
      </c>
      <c r="D48" s="18" t="n">
        <f aca="false">IF(C48="","",C48/Parameter!$C$8)</f>
        <v>2507.76133333333</v>
      </c>
    </row>
    <row r="49" customFormat="false" ht="15" hidden="false" customHeight="false" outlineLevel="0" collapsed="false">
      <c r="A49" s="14" t="s">
        <v>75</v>
      </c>
      <c r="C49" s="25"/>
      <c r="D49" s="18" t="str">
        <f aca="false">IF(C49="","",C49/Parameter!$C$8)</f>
        <v/>
      </c>
    </row>
    <row r="50" customFormat="false" ht="15" hidden="false" customHeight="false" outlineLevel="0" collapsed="false">
      <c r="A50" s="14" t="s">
        <v>75</v>
      </c>
      <c r="C50" s="25"/>
      <c r="D50" s="18" t="str">
        <f aca="false">IF(C50="","",C50/Parameter!$C$8)</f>
        <v/>
      </c>
    </row>
    <row r="51" customFormat="false" ht="15" hidden="false" customHeight="false" outlineLevel="0" collapsed="false">
      <c r="A51" s="14" t="s">
        <v>75</v>
      </c>
      <c r="C51" s="25"/>
      <c r="D51" s="18" t="str">
        <f aca="false">IF(C51="","",C51/Parameter!$C$8)</f>
        <v/>
      </c>
    </row>
    <row r="52" customFormat="false" ht="15" hidden="false" customHeight="false" outlineLevel="0" collapsed="false">
      <c r="A52" s="14" t="s">
        <v>75</v>
      </c>
      <c r="C52" s="25"/>
      <c r="D52" s="18" t="str">
        <f aca="false">IF(C52="","",C52/Parameter!$C$8)</f>
        <v/>
      </c>
    </row>
    <row r="53" customFormat="false" ht="15" hidden="false" customHeight="false" outlineLevel="0" collapsed="false">
      <c r="A53" s="14" t="s">
        <v>75</v>
      </c>
      <c r="C53" s="25"/>
      <c r="D53" s="18" t="str">
        <f aca="false">IF(C53="","",C53/Parameter!$C$8)</f>
        <v/>
      </c>
    </row>
    <row r="54" customFormat="false" ht="15" hidden="false" customHeight="false" outlineLevel="0" collapsed="false">
      <c r="A54" s="14" t="s">
        <v>75</v>
      </c>
      <c r="C54" s="25"/>
      <c r="D54" s="18" t="str">
        <f aca="false">IF(C54="","",C54/Parameter!$C$8)</f>
        <v/>
      </c>
    </row>
    <row r="56" customFormat="false" ht="15" hidden="false" customHeight="false" outlineLevel="0" collapsed="false">
      <c r="A56" s="14" t="s">
        <v>77</v>
      </c>
      <c r="B56" s="15" t="n">
        <v>1</v>
      </c>
      <c r="C56" s="21" t="n">
        <v>71311.452</v>
      </c>
      <c r="D56" s="18" t="n">
        <f aca="false">IF(C56="","",C56/Parameter!$C$8)</f>
        <v>2377.0484</v>
      </c>
    </row>
    <row r="57" customFormat="false" ht="15" hidden="false" customHeight="false" outlineLevel="0" collapsed="false">
      <c r="A57" s="14" t="s">
        <v>77</v>
      </c>
      <c r="B57" s="15" t="n">
        <v>2</v>
      </c>
      <c r="C57" s="21" t="n">
        <v>51135.444</v>
      </c>
      <c r="D57" s="18" t="n">
        <f aca="false">IF(C57="","",C57/Parameter!$C$8)</f>
        <v>1704.5148</v>
      </c>
    </row>
    <row r="58" customFormat="false" ht="15" hidden="false" customHeight="false" outlineLevel="0" collapsed="false">
      <c r="A58" s="14" t="s">
        <v>77</v>
      </c>
      <c r="B58" s="15" t="n">
        <v>3</v>
      </c>
      <c r="C58" s="21" t="n">
        <v>50384.733</v>
      </c>
      <c r="D58" s="18" t="n">
        <f aca="false">IF(C58="","",C58/Parameter!$C$8)</f>
        <v>1679.4911</v>
      </c>
    </row>
    <row r="59" customFormat="false" ht="15" hidden="false" customHeight="false" outlineLevel="0" collapsed="false">
      <c r="A59" s="14" t="s">
        <v>77</v>
      </c>
      <c r="B59" s="15" t="n">
        <v>4</v>
      </c>
      <c r="C59" s="21" t="n">
        <v>75289.499</v>
      </c>
      <c r="D59" s="18" t="n">
        <f aca="false">IF(C59="","",C59/Parameter!$C$8)</f>
        <v>2509.64996666667</v>
      </c>
    </row>
    <row r="60" customFormat="false" ht="15" hidden="false" customHeight="false" outlineLevel="0" collapsed="false">
      <c r="A60" s="14" t="s">
        <v>77</v>
      </c>
      <c r="B60" s="15" t="n">
        <v>5</v>
      </c>
      <c r="C60" s="21" t="n">
        <v>59594.918</v>
      </c>
      <c r="D60" s="18" t="n">
        <f aca="false">IF(C60="","",C60/Parameter!$C$8)</f>
        <v>1986.49726666667</v>
      </c>
    </row>
    <row r="61" customFormat="false" ht="15" hidden="false" customHeight="false" outlineLevel="0" collapsed="false">
      <c r="A61" s="14" t="s">
        <v>77</v>
      </c>
      <c r="B61" s="15" t="n">
        <v>6</v>
      </c>
      <c r="C61" s="21" t="n">
        <v>14859.894</v>
      </c>
      <c r="D61" s="18" t="n">
        <f aca="false">IF(C61="","",C61/Parameter!$C$8)</f>
        <v>495.3298</v>
      </c>
    </row>
    <row r="62" customFormat="false" ht="15" hidden="false" customHeight="false" outlineLevel="0" collapsed="false">
      <c r="A62" s="14" t="s">
        <v>77</v>
      </c>
      <c r="B62" s="15" t="n">
        <v>7</v>
      </c>
      <c r="C62" s="21" t="n">
        <v>25099.396</v>
      </c>
      <c r="D62" s="18" t="n">
        <f aca="false">IF(C62="","",C62/Parameter!$C$8)</f>
        <v>836.646533333333</v>
      </c>
    </row>
    <row r="63" customFormat="false" ht="15" hidden="false" customHeight="false" outlineLevel="0" collapsed="false">
      <c r="A63" s="14" t="s">
        <v>77</v>
      </c>
      <c r="B63" s="15" t="n">
        <v>8</v>
      </c>
      <c r="C63" s="21" t="n">
        <v>47951.612</v>
      </c>
      <c r="D63" s="18" t="n">
        <f aca="false">IF(C63="","",C63/Parameter!$C$8)</f>
        <v>1598.38706666667</v>
      </c>
    </row>
    <row r="64" customFormat="false" ht="15" hidden="false" customHeight="false" outlineLevel="0" collapsed="false">
      <c r="A64" s="14" t="s">
        <v>77</v>
      </c>
      <c r="B64" s="15" t="n">
        <v>9</v>
      </c>
      <c r="C64" s="21" t="n">
        <v>81246.188</v>
      </c>
      <c r="D64" s="18" t="n">
        <f aca="false">IF(C64="","",C64/Parameter!$C$8)</f>
        <v>2708.20626666667</v>
      </c>
    </row>
    <row r="65" customFormat="false" ht="15" hidden="false" customHeight="false" outlineLevel="0" collapsed="false">
      <c r="A65" s="14" t="s">
        <v>77</v>
      </c>
      <c r="B65" s="15" t="n">
        <v>10</v>
      </c>
      <c r="C65" s="21" t="n">
        <v>32747.102</v>
      </c>
      <c r="D65" s="18" t="n">
        <f aca="false">IF(C65="","",C65/Parameter!$C$8)</f>
        <v>1091.57006666667</v>
      </c>
    </row>
    <row r="66" customFormat="false" ht="15" hidden="false" customHeight="false" outlineLevel="0" collapsed="false">
      <c r="A66" s="14" t="s">
        <v>77</v>
      </c>
      <c r="B66" s="15" t="n">
        <v>11</v>
      </c>
      <c r="C66" s="21" t="n">
        <v>54045.6</v>
      </c>
      <c r="D66" s="18" t="n">
        <f aca="false">IF(C66="","",C66/Parameter!$C$8)</f>
        <v>1801.52</v>
      </c>
    </row>
    <row r="67" customFormat="false" ht="15" hidden="false" customHeight="false" outlineLevel="0" collapsed="false">
      <c r="A67" s="14" t="s">
        <v>77</v>
      </c>
      <c r="B67" s="15" t="n">
        <v>12</v>
      </c>
      <c r="C67" s="21" t="n">
        <v>81465.2</v>
      </c>
      <c r="D67" s="18" t="n">
        <f aca="false">IF(C67="","",C67/Parameter!$C$8)</f>
        <v>2715.50666666667</v>
      </c>
    </row>
    <row r="68" customFormat="false" ht="15" hidden="false" customHeight="false" outlineLevel="0" collapsed="false">
      <c r="A68" s="14" t="s">
        <v>77</v>
      </c>
      <c r="C68" s="25"/>
      <c r="D68" s="18" t="str">
        <f aca="false">IF(C68="","",C68/Parameter!$C$8)</f>
        <v/>
      </c>
    </row>
    <row r="69" customFormat="false" ht="15" hidden="false" customHeight="false" outlineLevel="0" collapsed="false">
      <c r="A69" s="14" t="s">
        <v>77</v>
      </c>
      <c r="C69" s="25"/>
      <c r="D69" s="18" t="str">
        <f aca="false">IF(C69="","",C69/Parameter!$C$8)</f>
        <v/>
      </c>
    </row>
    <row r="70" customFormat="false" ht="15" hidden="false" customHeight="false" outlineLevel="0" collapsed="false">
      <c r="A70" s="14" t="s">
        <v>77</v>
      </c>
      <c r="C70" s="25"/>
      <c r="D70" s="18" t="str">
        <f aca="false">IF(C70="","",C70/Parameter!$C$8)</f>
        <v/>
      </c>
    </row>
    <row r="71" customFormat="false" ht="15" hidden="false" customHeight="false" outlineLevel="0" collapsed="false">
      <c r="A71" s="14" t="s">
        <v>77</v>
      </c>
      <c r="C71" s="25"/>
      <c r="D71" s="18" t="str">
        <f aca="false">IF(C71="","",C71/Parameter!$C$8)</f>
        <v/>
      </c>
    </row>
    <row r="72" customFormat="false" ht="15" hidden="false" customHeight="false" outlineLevel="0" collapsed="false">
      <c r="A72" s="14" t="s">
        <v>77</v>
      </c>
      <c r="C72" s="25"/>
      <c r="D72" s="18" t="str">
        <f aca="false">IF(C72="","",C72/Parameter!$C$8)</f>
        <v/>
      </c>
    </row>
    <row r="73" customFormat="false" ht="15" hidden="false" customHeight="false" outlineLevel="0" collapsed="false">
      <c r="A73" s="14" t="s">
        <v>77</v>
      </c>
      <c r="C73" s="25"/>
      <c r="D73" s="18" t="str">
        <f aca="false">IF(C73="","",C73/Parameter!$C$8)</f>
        <v/>
      </c>
    </row>
    <row r="75" customFormat="false" ht="15" hidden="false" customHeight="false" outlineLevel="0" collapsed="false">
      <c r="A75" s="14" t="s">
        <v>79</v>
      </c>
      <c r="B75" s="15" t="n">
        <v>1</v>
      </c>
      <c r="C75" s="21" t="n">
        <v>8955.83</v>
      </c>
      <c r="D75" s="18" t="n">
        <f aca="false">IF(C75="","",C75/Parameter!$C$8)</f>
        <v>298.527666666667</v>
      </c>
    </row>
    <row r="76" customFormat="false" ht="15" hidden="false" customHeight="false" outlineLevel="0" collapsed="false">
      <c r="A76" s="14" t="s">
        <v>79</v>
      </c>
      <c r="B76" s="15" t="n">
        <v>2</v>
      </c>
      <c r="C76" s="21" t="n">
        <v>10860.35</v>
      </c>
      <c r="D76" s="18" t="n">
        <f aca="false">IF(C76="","",C76/Parameter!$C$8)</f>
        <v>362.011666666667</v>
      </c>
    </row>
    <row r="77" customFormat="false" ht="15" hidden="false" customHeight="false" outlineLevel="0" collapsed="false">
      <c r="A77" s="14" t="s">
        <v>79</v>
      </c>
      <c r="B77" s="15" t="n">
        <v>3</v>
      </c>
      <c r="C77" s="21" t="n">
        <v>12758.644</v>
      </c>
      <c r="D77" s="18" t="n">
        <f aca="false">IF(C77="","",C77/Parameter!$C$8)</f>
        <v>425.288133333333</v>
      </c>
    </row>
    <row r="78" customFormat="false" ht="15" hidden="false" customHeight="false" outlineLevel="0" collapsed="false">
      <c r="A78" s="14" t="s">
        <v>79</v>
      </c>
      <c r="B78" s="15" t="n">
        <v>4</v>
      </c>
      <c r="C78" s="21" t="n">
        <v>19349.956</v>
      </c>
      <c r="D78" s="18" t="n">
        <f aca="false">IF(C78="","",C78/Parameter!$C$8)</f>
        <v>644.998533333333</v>
      </c>
    </row>
    <row r="79" customFormat="false" ht="15" hidden="false" customHeight="false" outlineLevel="0" collapsed="false">
      <c r="A79" s="14" t="s">
        <v>79</v>
      </c>
      <c r="B79" s="15" t="n">
        <v>5</v>
      </c>
      <c r="C79" s="21" t="n">
        <v>11255.078</v>
      </c>
      <c r="D79" s="18" t="n">
        <f aca="false">IF(C79="","",C79/Parameter!$C$8)</f>
        <v>375.169266666667</v>
      </c>
    </row>
    <row r="80" customFormat="false" ht="15" hidden="false" customHeight="false" outlineLevel="0" collapsed="false">
      <c r="A80" s="14" t="s">
        <v>79</v>
      </c>
      <c r="B80" s="15" t="n">
        <v>6</v>
      </c>
      <c r="C80" s="21" t="n">
        <v>23674.975</v>
      </c>
      <c r="D80" s="18" t="n">
        <f aca="false">IF(C80="","",C80/Parameter!$C$8)</f>
        <v>789.165833333333</v>
      </c>
    </row>
    <row r="81" customFormat="false" ht="15" hidden="false" customHeight="false" outlineLevel="0" collapsed="false">
      <c r="A81" s="14" t="s">
        <v>79</v>
      </c>
      <c r="B81" s="15" t="n">
        <v>7</v>
      </c>
      <c r="C81" s="21" t="n">
        <v>41353.258</v>
      </c>
      <c r="D81" s="18" t="n">
        <f aca="false">IF(C81="","",C81/Parameter!$C$8)</f>
        <v>1378.44193333333</v>
      </c>
    </row>
    <row r="82" customFormat="false" ht="15" hidden="false" customHeight="false" outlineLevel="0" collapsed="false">
      <c r="A82" s="14" t="s">
        <v>79</v>
      </c>
      <c r="B82" s="15" t="n">
        <v>8</v>
      </c>
      <c r="C82" s="21" t="n">
        <v>29977.982</v>
      </c>
      <c r="D82" s="18" t="n">
        <f aca="false">IF(C82="","",C82/Parameter!$C$8)</f>
        <v>999.266066666667</v>
      </c>
    </row>
    <row r="83" customFormat="false" ht="15" hidden="false" customHeight="false" outlineLevel="0" collapsed="false">
      <c r="A83" s="14" t="s">
        <v>79</v>
      </c>
      <c r="B83" s="15" t="n">
        <v>9</v>
      </c>
      <c r="C83" s="21" t="n">
        <v>56245.534</v>
      </c>
      <c r="D83" s="18" t="n">
        <f aca="false">IF(C83="","",C83/Parameter!$C$8)</f>
        <v>1874.85113333333</v>
      </c>
    </row>
    <row r="84" customFormat="false" ht="15" hidden="false" customHeight="false" outlineLevel="0" collapsed="false">
      <c r="A84" s="14" t="s">
        <v>79</v>
      </c>
      <c r="B84" s="15" t="n">
        <v>10</v>
      </c>
      <c r="C84" s="21" t="n">
        <v>45511.275</v>
      </c>
      <c r="D84" s="18" t="n">
        <f aca="false">IF(C84="","",C84/Parameter!$C$8)</f>
        <v>1517.0425</v>
      </c>
    </row>
    <row r="85" customFormat="false" ht="15" hidden="false" customHeight="false" outlineLevel="0" collapsed="false">
      <c r="A85" s="14" t="s">
        <v>79</v>
      </c>
      <c r="C85" s="25"/>
      <c r="D85" s="18" t="str">
        <f aca="false">IF(C85="","",C85/Parameter!$C$8)</f>
        <v/>
      </c>
    </row>
    <row r="86" customFormat="false" ht="15" hidden="false" customHeight="false" outlineLevel="0" collapsed="false">
      <c r="A86" s="14" t="s">
        <v>79</v>
      </c>
      <c r="C86" s="25"/>
      <c r="D86" s="18" t="str">
        <f aca="false">IF(C86="","",C86/Parameter!$C$8)</f>
        <v/>
      </c>
    </row>
    <row r="87" customFormat="false" ht="15" hidden="false" customHeight="false" outlineLevel="0" collapsed="false">
      <c r="A87" s="14" t="s">
        <v>79</v>
      </c>
      <c r="C87" s="25"/>
      <c r="D87" s="18" t="str">
        <f aca="false">IF(C87="","",C87/Parameter!$C$8)</f>
        <v/>
      </c>
    </row>
    <row r="88" customFormat="false" ht="15" hidden="false" customHeight="false" outlineLevel="0" collapsed="false">
      <c r="A88" s="14" t="s">
        <v>79</v>
      </c>
      <c r="C88" s="25"/>
      <c r="D88" s="18" t="str">
        <f aca="false">IF(C88="","",C88/Parameter!$C$8)</f>
        <v/>
      </c>
    </row>
    <row r="89" customFormat="false" ht="15" hidden="false" customHeight="false" outlineLevel="0" collapsed="false">
      <c r="A89" s="14" t="s">
        <v>79</v>
      </c>
      <c r="C89" s="25"/>
      <c r="D89" s="18" t="str">
        <f aca="false">IF(C89="","",C89/Parameter!$C$8)</f>
        <v/>
      </c>
    </row>
    <row r="90" customFormat="false" ht="15" hidden="false" customHeight="false" outlineLevel="0" collapsed="false">
      <c r="A90" s="14" t="s">
        <v>79</v>
      </c>
      <c r="C90" s="25"/>
      <c r="D90" s="18" t="str">
        <f aca="false">IF(C90="","",C90/Parameter!$C$8)</f>
        <v/>
      </c>
    </row>
    <row r="92" customFormat="false" ht="15" hidden="false" customHeight="false" outlineLevel="0" collapsed="false">
      <c r="A92" s="14" t="s">
        <v>80</v>
      </c>
      <c r="B92" s="15" t="n">
        <v>1</v>
      </c>
      <c r="C92" s="21" t="n">
        <v>50200.158</v>
      </c>
      <c r="D92" s="18" t="n">
        <f aca="false">IF(C92="","",C92/Parameter!$C$8)</f>
        <v>1673.3386</v>
      </c>
    </row>
    <row r="93" customFormat="false" ht="15" hidden="false" customHeight="false" outlineLevel="0" collapsed="false">
      <c r="A93" s="14" t="s">
        <v>80</v>
      </c>
      <c r="B93" s="15" t="n">
        <v>2</v>
      </c>
      <c r="C93" s="21" t="n">
        <v>52616.518</v>
      </c>
      <c r="D93" s="18" t="n">
        <f aca="false">IF(C93="","",C93/Parameter!$C$8)</f>
        <v>1753.88393333333</v>
      </c>
    </row>
    <row r="94" customFormat="false" ht="15" hidden="false" customHeight="false" outlineLevel="0" collapsed="false">
      <c r="A94" s="14" t="s">
        <v>80</v>
      </c>
      <c r="B94" s="15" t="n">
        <v>3</v>
      </c>
      <c r="C94" s="21" t="n">
        <v>53692.729</v>
      </c>
      <c r="D94" s="18" t="n">
        <f aca="false">IF(C94="","",C94/Parameter!$C$8)</f>
        <v>1789.75763333333</v>
      </c>
    </row>
    <row r="95" customFormat="false" ht="15" hidden="false" customHeight="false" outlineLevel="0" collapsed="false">
      <c r="A95" s="14" t="s">
        <v>80</v>
      </c>
      <c r="B95" s="15" t="n">
        <v>4</v>
      </c>
      <c r="C95" s="21" t="n">
        <v>60862.992</v>
      </c>
      <c r="D95" s="18" t="n">
        <f aca="false">IF(C95="","",C95/Parameter!$C$8)</f>
        <v>2028.7664</v>
      </c>
    </row>
    <row r="96" customFormat="false" ht="15" hidden="false" customHeight="false" outlineLevel="0" collapsed="false">
      <c r="A96" s="14" t="s">
        <v>80</v>
      </c>
      <c r="B96" s="15" t="n">
        <v>5</v>
      </c>
      <c r="C96" s="21" t="n">
        <v>56730.735</v>
      </c>
      <c r="D96" s="18" t="n">
        <f aca="false">IF(C96="","",C96/Parameter!$C$8)</f>
        <v>1891.0245</v>
      </c>
    </row>
    <row r="97" customFormat="false" ht="15" hidden="false" customHeight="false" outlineLevel="0" collapsed="false">
      <c r="A97" s="14" t="s">
        <v>80</v>
      </c>
      <c r="B97" s="15" t="n">
        <v>6</v>
      </c>
      <c r="C97" s="21" t="n">
        <v>54759.354</v>
      </c>
      <c r="D97" s="18" t="n">
        <f aca="false">IF(C97="","",C97/Parameter!$C$8)</f>
        <v>1825.3118</v>
      </c>
    </row>
    <row r="98" customFormat="false" ht="15" hidden="false" customHeight="false" outlineLevel="0" collapsed="false">
      <c r="A98" s="14" t="s">
        <v>80</v>
      </c>
      <c r="B98" s="15" t="n">
        <v>7</v>
      </c>
      <c r="C98" s="21" t="n">
        <v>55188.753</v>
      </c>
      <c r="D98" s="18" t="n">
        <f aca="false">IF(C98="","",C98/Parameter!$C$8)</f>
        <v>1839.6251</v>
      </c>
    </row>
    <row r="99" customFormat="false" ht="15" hidden="false" customHeight="false" outlineLevel="0" collapsed="false">
      <c r="A99" s="14" t="s">
        <v>80</v>
      </c>
      <c r="B99" s="15" t="n">
        <v>8</v>
      </c>
      <c r="C99" s="21" t="n">
        <v>59855.027</v>
      </c>
      <c r="D99" s="18" t="n">
        <f aca="false">IF(C99="","",C99/Parameter!$C$8)</f>
        <v>1995.16756666667</v>
      </c>
    </row>
    <row r="100" customFormat="false" ht="15" hidden="false" customHeight="false" outlineLevel="0" collapsed="false">
      <c r="A100" s="14" t="s">
        <v>80</v>
      </c>
      <c r="B100" s="15" t="n">
        <v>9</v>
      </c>
      <c r="C100" s="21" t="n">
        <v>55262.192</v>
      </c>
      <c r="D100" s="18" t="n">
        <f aca="false">IF(C100="","",C100/Parameter!$C$8)</f>
        <v>1842.07306666667</v>
      </c>
    </row>
    <row r="101" customFormat="false" ht="15" hidden="false" customHeight="false" outlineLevel="0" collapsed="false">
      <c r="A101" s="14" t="s">
        <v>80</v>
      </c>
      <c r="B101" s="15" t="n">
        <v>10</v>
      </c>
      <c r="C101" s="21" t="n">
        <v>36753.336</v>
      </c>
      <c r="D101" s="18" t="n">
        <f aca="false">IF(C101="","",C101/Parameter!$C$8)</f>
        <v>1225.1112</v>
      </c>
    </row>
    <row r="102" customFormat="false" ht="15" hidden="false" customHeight="false" outlineLevel="0" collapsed="false">
      <c r="A102" s="14" t="s">
        <v>80</v>
      </c>
      <c r="B102" s="15" t="n">
        <v>11</v>
      </c>
      <c r="C102" s="21" t="n">
        <v>48720.546</v>
      </c>
      <c r="D102" s="18" t="n">
        <f aca="false">IF(C102="","",C102/Parameter!$C$8)</f>
        <v>1624.0182</v>
      </c>
    </row>
    <row r="103" customFormat="false" ht="15" hidden="false" customHeight="false" outlineLevel="0" collapsed="false">
      <c r="A103" s="14" t="s">
        <v>80</v>
      </c>
      <c r="B103" s="15" t="n">
        <v>12</v>
      </c>
      <c r="C103" s="21" t="n">
        <v>61723.48</v>
      </c>
      <c r="D103" s="18" t="n">
        <f aca="false">IF(C103="","",C103/Parameter!$C$8)</f>
        <v>2057.44933333333</v>
      </c>
    </row>
    <row r="104" customFormat="false" ht="15" hidden="false" customHeight="false" outlineLevel="0" collapsed="false">
      <c r="A104" s="14" t="s">
        <v>80</v>
      </c>
      <c r="C104" s="25"/>
      <c r="D104" s="18" t="str">
        <f aca="false">IF(C104="","",C104/Parameter!$C$8)</f>
        <v/>
      </c>
    </row>
    <row r="105" customFormat="false" ht="15" hidden="false" customHeight="false" outlineLevel="0" collapsed="false">
      <c r="A105" s="14" t="s">
        <v>80</v>
      </c>
      <c r="C105" s="25"/>
      <c r="D105" s="18" t="str">
        <f aca="false">IF(C105="","",C105/Parameter!$C$8)</f>
        <v/>
      </c>
    </row>
    <row r="106" customFormat="false" ht="15" hidden="false" customHeight="false" outlineLevel="0" collapsed="false">
      <c r="A106" s="14" t="s">
        <v>80</v>
      </c>
      <c r="C106" s="25"/>
      <c r="D106" s="18" t="str">
        <f aca="false">IF(C106="","",C106/Parameter!$C$8)</f>
        <v/>
      </c>
    </row>
    <row r="107" customFormat="false" ht="15" hidden="false" customHeight="false" outlineLevel="0" collapsed="false">
      <c r="A107" s="14" t="s">
        <v>80</v>
      </c>
      <c r="C107" s="25"/>
      <c r="D107" s="18" t="str">
        <f aca="false">IF(C107="","",C107/Parameter!$C$8)</f>
        <v/>
      </c>
    </row>
    <row r="108" customFormat="false" ht="15" hidden="false" customHeight="false" outlineLevel="0" collapsed="false">
      <c r="A108" s="14" t="s">
        <v>80</v>
      </c>
      <c r="C108" s="25"/>
      <c r="D108" s="18" t="str">
        <f aca="false">IF(C108="","",C108/Parameter!$C$8)</f>
        <v/>
      </c>
    </row>
    <row r="109" customFormat="false" ht="15" hidden="false" customHeight="false" outlineLevel="0" collapsed="false">
      <c r="A109" s="14" t="s">
        <v>80</v>
      </c>
      <c r="C109" s="25"/>
      <c r="D109" s="18" t="str">
        <f aca="false">IF(C109="","",C109/Parameter!$C$8)</f>
        <v/>
      </c>
    </row>
    <row r="111" customFormat="false" ht="15" hidden="false" customHeight="false" outlineLevel="0" collapsed="false">
      <c r="A111" s="14" t="s">
        <v>82</v>
      </c>
      <c r="B111" s="15" t="n">
        <v>1</v>
      </c>
      <c r="C111" s="21" t="n">
        <v>13838.288</v>
      </c>
      <c r="D111" s="18" t="n">
        <f aca="false">IF(C111="","",C111/Parameter!$C$8)</f>
        <v>461.276266666667</v>
      </c>
    </row>
    <row r="112" customFormat="false" ht="15" hidden="false" customHeight="false" outlineLevel="0" collapsed="false">
      <c r="A112" s="14" t="s">
        <v>82</v>
      </c>
      <c r="B112" s="15" t="n">
        <v>2</v>
      </c>
      <c r="C112" s="21" t="n">
        <v>11456.56</v>
      </c>
      <c r="D112" s="18" t="n">
        <f aca="false">IF(C112="","",C112/Parameter!$C$8)</f>
        <v>381.885333333333</v>
      </c>
    </row>
    <row r="113" customFormat="false" ht="15" hidden="false" customHeight="false" outlineLevel="0" collapsed="false">
      <c r="A113" s="14" t="s">
        <v>82</v>
      </c>
      <c r="B113" s="15" t="n">
        <v>3</v>
      </c>
      <c r="C113" s="21" t="n">
        <v>14732.374</v>
      </c>
      <c r="D113" s="18" t="n">
        <f aca="false">IF(C113="","",C113/Parameter!$C$8)</f>
        <v>491.079133333333</v>
      </c>
    </row>
    <row r="114" customFormat="false" ht="15" hidden="false" customHeight="false" outlineLevel="0" collapsed="false">
      <c r="A114" s="14" t="s">
        <v>82</v>
      </c>
      <c r="B114" s="15" t="n">
        <v>4</v>
      </c>
      <c r="C114" s="21" t="n">
        <v>15373.245</v>
      </c>
      <c r="D114" s="18" t="n">
        <f aca="false">IF(C114="","",C114/Parameter!$C$8)</f>
        <v>512.4415</v>
      </c>
    </row>
    <row r="115" customFormat="false" ht="15" hidden="false" customHeight="false" outlineLevel="0" collapsed="false">
      <c r="A115" s="14" t="s">
        <v>82</v>
      </c>
      <c r="B115" s="15" t="n">
        <v>5</v>
      </c>
      <c r="C115" s="21" t="n">
        <v>14928.775</v>
      </c>
      <c r="D115" s="18" t="n">
        <f aca="false">IF(C115="","",C115/Parameter!$C$8)</f>
        <v>497.625833333333</v>
      </c>
    </row>
    <row r="116" customFormat="false" ht="15" hidden="false" customHeight="false" outlineLevel="0" collapsed="false">
      <c r="A116" s="14" t="s">
        <v>82</v>
      </c>
      <c r="B116" s="15" t="n">
        <v>6</v>
      </c>
      <c r="C116" s="21" t="n">
        <v>16982.82</v>
      </c>
      <c r="D116" s="18" t="n">
        <f aca="false">IF(C116="","",C116/Parameter!$C$8)</f>
        <v>566.094</v>
      </c>
    </row>
    <row r="117" customFormat="false" ht="15" hidden="false" customHeight="false" outlineLevel="0" collapsed="false">
      <c r="A117" s="14" t="s">
        <v>82</v>
      </c>
      <c r="B117" s="15" t="n">
        <v>7</v>
      </c>
      <c r="C117" s="21" t="n">
        <v>16024.093</v>
      </c>
      <c r="D117" s="18" t="n">
        <f aca="false">IF(C117="","",C117/Parameter!$C$8)</f>
        <v>534.136433333333</v>
      </c>
    </row>
    <row r="118" customFormat="false" ht="15" hidden="false" customHeight="false" outlineLevel="0" collapsed="false">
      <c r="A118" s="14" t="s">
        <v>82</v>
      </c>
      <c r="B118" s="15" t="n">
        <v>8</v>
      </c>
      <c r="C118" s="21" t="n">
        <v>16024.093</v>
      </c>
      <c r="D118" s="18" t="n">
        <f aca="false">IF(C118="","",C118/Parameter!$C$8)</f>
        <v>534.136433333333</v>
      </c>
    </row>
    <row r="119" customFormat="false" ht="15" hidden="false" customHeight="false" outlineLevel="0" collapsed="false">
      <c r="A119" s="14" t="s">
        <v>82</v>
      </c>
      <c r="B119" s="15" t="n">
        <v>9</v>
      </c>
      <c r="C119" s="21" t="n">
        <v>14125.672</v>
      </c>
      <c r="D119" s="18" t="n">
        <f aca="false">IF(C119="","",C119/Parameter!$C$8)</f>
        <v>470.855733333333</v>
      </c>
    </row>
    <row r="120" customFormat="false" ht="15" hidden="false" customHeight="false" outlineLevel="0" collapsed="false">
      <c r="A120" s="14" t="s">
        <v>82</v>
      </c>
      <c r="C120" s="25"/>
      <c r="D120" s="18" t="str">
        <f aca="false">IF(C120="","",C120/Parameter!$C$8)</f>
        <v/>
      </c>
    </row>
    <row r="121" customFormat="false" ht="15" hidden="false" customHeight="false" outlineLevel="0" collapsed="false">
      <c r="A121" s="14" t="s">
        <v>82</v>
      </c>
      <c r="C121" s="25"/>
      <c r="D121" s="18" t="str">
        <f aca="false">IF(C121="","",C121/Parameter!$C$8)</f>
        <v/>
      </c>
    </row>
    <row r="122" customFormat="false" ht="15" hidden="false" customHeight="false" outlineLevel="0" collapsed="false">
      <c r="A122" s="14" t="s">
        <v>82</v>
      </c>
      <c r="C122" s="25"/>
      <c r="D122" s="18" t="str">
        <f aca="false">IF(C122="","",C122/Parameter!$C$8)</f>
        <v/>
      </c>
    </row>
    <row r="123" customFormat="false" ht="15" hidden="false" customHeight="false" outlineLevel="0" collapsed="false">
      <c r="A123" s="14" t="s">
        <v>82</v>
      </c>
      <c r="C123" s="25"/>
      <c r="D123" s="18" t="str">
        <f aca="false">IF(C123="","",C123/Parameter!$C$8)</f>
        <v/>
      </c>
    </row>
    <row r="124" customFormat="false" ht="15" hidden="false" customHeight="false" outlineLevel="0" collapsed="false">
      <c r="A124" s="14" t="s">
        <v>82</v>
      </c>
      <c r="C124" s="25"/>
      <c r="D124" s="18" t="str">
        <f aca="false">IF(C124="","",C124/Parameter!$C$8)</f>
        <v/>
      </c>
    </row>
    <row r="125" customFormat="false" ht="15" hidden="false" customHeight="false" outlineLevel="0" collapsed="false">
      <c r="A125" s="14" t="s">
        <v>82</v>
      </c>
      <c r="C125" s="25"/>
      <c r="D125" s="18" t="str">
        <f aca="false">IF(C125="","",C125/Parameter!$C$8)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2026-10-29T07:41:49Z</dcterms:created>
  <dc:creator>openpyxl</dc:creator>
  <dc:description/>
  <dc:language>en-US</dc:language>
  <cp:lastModifiedBy/>
  <dcterms:modified xsi:type="dcterms:W3CDTF">2026-10-29T07:41:49Z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