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Log_Kargo" sheetId="2" state="visible" r:id="rId4"/>
    <sheet name="Statistik" sheetId="3" state="visible" r:id="rId5"/>
    <sheet name="Data_CR" sheetId="4" state="visible" r:id="rId6"/>
    <sheet name="Data_Lama" sheetId="5" state="visible" r:id="rId7"/>
  </sheets>
  <definedNames>
    <definedName function="false" hidden="true" localSheetId="1" name="_xlnm._FilterDatabase" vbProcedure="false">Log_Kargo!$A$4:$AK$1004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<sst xmlns="http://schemas.openxmlformats.org/spreadsheetml/2006/main" count="2825" uniqueCount="732">
  <si>
    <t xml:space="preserve">Log Kargo &amp; Lead Time Bahan Baku — PT Petrokimia Gresik</t>
  </si>
  <si>
    <t xml:space="preserve">Format baru pengganti DATA_LEADTIME_BB (sheet PKG): satu baris = satu kapal/kargo, dengan tanggal aktual setiap tahap.</t>
  </si>
  <si>
    <t xml:space="preserve">TUJUAN</t>
  </si>
  <si>
    <t xml:space="preserve">Di DATA_LEADTIME_BB, hanya Sailing (S) yang berupa data aktual. Preparation (P) diisi tetap 39/46 hari, Loading (L) tetap per bahan, Congestion (C) kosong. Akibatnya variasi lead time dari tender, laycan, dan antrean dermaga tidak terukur, padahal itu sumber risiko terbesar. Format ini mencatat TANGGAL setiap tahap sehingga P, L, S, C dihitung otomatis dan siap dipakai untuk King's/Monte Carlo.</t>
  </si>
  <si>
    <t xml:space="preserve">RANTAI TANGGAL</t>
  </si>
  <si>
    <t xml:space="preserve">① Tender dibuka → ② Kontrak/PO → ③ Mulai muat → ④ Berangkat (ETS) → ⑤ Tiba di Gresik (ETA/NOR) → ⑥ Sandar → ⑦ Selesai bongkar</t>
  </si>
  <si>
    <t xml:space="preserve">P1 Tender = ②−①   ·   P2 Persiapan pemasok = ③−②   ·   P Preparation = ③−①</t>
  </si>
  <si>
    <t xml:space="preserve">L1 Muat = ④−③   ·   S Sailing = ⑤−④   ·   C Antrean/kongesti = ⑥−⑤   ·   L2 Bongkar = ⑦−⑥</t>
  </si>
  <si>
    <t xml:space="preserve">LT total = ⑦−①  (= P + L1 + S + C + L2)   ·   Telat laycan = ④ − laycan akhir (positif = berangkat sesudah jendela laycan)</t>
  </si>
  <si>
    <t xml:space="preserve">ISI DARI MANA</t>
  </si>
  <si>
    <t xml:space="preserve">Sheet Log_Kargo sudah terisi 213 kargo PKG 2022–2024 dari sheet "LT History" (komoditi, pemasok, kapal, pelabuhan, kuantum B/L, laycan, ETS, ETA, status). Laycan berupa teks (mis. "22-24 Juni 23") sudah diurai menjadi laycan awal &amp; akhir; teks aslinya tetap di kolom "Laycan (teks asli)" untuk dicek.</t>
  </si>
  <si>
    <t xml:space="preserve">Yang MASIH PERLU DIISI tim: ① Tender dibuka, ② Kontrak/PO, ③ Mulai muat, ⑥ Sandar, ⑦ Selesai bongkar, kuantum kontrak, penyebab terlambat. Sumber: dokumen pengadaan (PR/RFQ/kontrak), SOF (Statement of Facts) kapal, laporan bongkar pelabuhan.</t>
  </si>
  <si>
    <t xml:space="preserve">Kargo baru (2025 dst.) ditambahkan di baris kosong berikutnya; rumus sudah tersedia sampai baris 1004.</t>
  </si>
  <si>
    <t xml:space="preserve">KODE WARNA</t>
  </si>
  <si>
    <t xml:space="preserve">Kuning = sel isian.  Abu-abu = rumus (jangan diketik).  Kolom "Cek" memberi tanda bila urutan tanggal tidak wajar.</t>
  </si>
  <si>
    <t xml:space="preserve">SHEET</t>
  </si>
  <si>
    <t xml:space="preserve">Log_Kargo — data utama per kargo (inilah masukan Monte Carlo).</t>
  </si>
  <si>
    <t xml:space="preserve">Data_CR — konsumsi aktual per bulan per bahan (isi dari laporan pemakaian bahan baku).</t>
  </si>
  <si>
    <t xml:space="preserve">Statistik — n, rata-rata, maks, simpangan baku, persentil 90 tiap komponen per bahan + status kesiapan Monte Carlo.</t>
  </si>
  <si>
    <t xml:space="preserve">Data_Lama — salinan apa adanya DATA_LEADTIME_BB sheet PKG (durasi P/S/L/C &amp; konsumsi) sebagai pembanding.</t>
  </si>
  <si>
    <t xml:space="preserve">CATATAN</t>
  </si>
  <si>
    <t xml:space="preserve">Nama komoditi diseragamkan ke kolom Bahan (mis. "KCL 1 st", "Buyer Option" → KCL; "DAP 64 2nd" → DAP; "RP MG/HG" → RP). MAP dan SN (natrium nitrat, kontainer) masuk LAINNYA. Spesifikasi asli tetap di kolom Komoditi.</t>
  </si>
  <si>
    <t xml:space="preserve">ETS/ETA di LT History dianggap tanggal aktual bila status Selesai. Untuk kargo berstatus Nominasi kapal / Dalam pelayaran, tanggal tersebut masih rencana — perbarui setelah kargo selesai.</t>
  </si>
  <si>
    <t xml:space="preserve">Simpangan baku konsumsi harian di Statistik = simpangan baku bulanan ÷ √30 (bukan ÷ 30 seperti di file lama), dengan asumsi konsumsi antar hari saling bebas. Untuk perhitungan SS, lebih aman memakai satuan bulanan langsung.</t>
  </si>
  <si>
    <t xml:space="preserve">RINGKASAN OTOMATIS</t>
  </si>
  <si>
    <t xml:space="preserve">Jumlah kargo tercatat</t>
  </si>
  <si>
    <t xml:space="preserve">Kargo dengan tanggal berangkat &amp; tiba (S aktual)</t>
  </si>
  <si>
    <t xml:space="preserve">Kargo dengan tanggal tender &amp; mulai muat (P aktual)</t>
  </si>
  <si>
    <t xml:space="preserve">Kargo dengan rantai lengkap 7/7</t>
  </si>
  <si>
    <t xml:space="preserve">Baris dengan tanda di kolom Cek</t>
  </si>
  <si>
    <t xml:space="preserve">Log Kargo Bahan Baku PKG</t>
  </si>
  <si>
    <t xml:space="preserve">Satu baris = satu kargo. Kuning = isian · abu-abu = rumus · baris 5–1004.</t>
  </si>
  <si>
    <t xml:space="preserve">IDENTITAS KARGO</t>
  </si>
  <si>
    <t xml:space="preserve">TANGGAL (isi tanggal aktual)</t>
  </si>
  <si>
    <t xml:space="preserve">KETERANGAN</t>
  </si>
  <si>
    <t xml:space="preserve">DURASI (hari) — otomatis</t>
  </si>
  <si>
    <t xml:space="preserve">No</t>
  </si>
  <si>
    <t xml:space="preserve">Bahan</t>
  </si>
  <si>
    <t xml:space="preserve">Komoditi / spesifikasi</t>
  </si>
  <si>
    <t xml:space="preserve">Tahun</t>
  </si>
  <si>
    <t xml:space="preserve">Negara asal</t>
  </si>
  <si>
    <t xml:space="preserve">Pelabuhan muat</t>
  </si>
  <si>
    <t xml:space="preserve">Pelabuhan bongkar</t>
  </si>
  <si>
    <t xml:space="preserve">Pemasok</t>
  </si>
  <si>
    <t xml:space="preserve">Kapal</t>
  </si>
  <si>
    <t xml:space="preserve">Kuantum kontrak (t)</t>
  </si>
  <si>
    <t xml:space="preserve">Kuantum B/L aktual (t)</t>
  </si>
  <si>
    <t xml:space="preserve">① Tender dibuka</t>
  </si>
  <si>
    <t xml:space="preserve">② Kontrak / PO</t>
  </si>
  <si>
    <t xml:space="preserve">Laycan awal (rencana)</t>
  </si>
  <si>
    <t xml:space="preserve">Laycan akhir (rencana)</t>
  </si>
  <si>
    <t xml:space="preserve">③ Mulai muat</t>
  </si>
  <si>
    <t xml:space="preserve">④ Berangkat (ETS aktual)</t>
  </si>
  <si>
    <t xml:space="preserve">⑤ Tiba Gresik (ETA / NOR)</t>
  </si>
  <si>
    <t xml:space="preserve">⑥ Sandar</t>
  </si>
  <si>
    <t xml:space="preserve">⑦ Selesai bongkar</t>
  </si>
  <si>
    <t xml:space="preserve">Status</t>
  </si>
  <si>
    <t xml:space="preserve">Penyebab terlambat</t>
  </si>
  <si>
    <t xml:space="preserve">Catatan</t>
  </si>
  <si>
    <t xml:space="preserve">Laycan (teks asli)</t>
  </si>
  <si>
    <t xml:space="preserve">Sailing tercatat (hari)</t>
  </si>
  <si>
    <t xml:space="preserve">Sumber data</t>
  </si>
  <si>
    <t xml:space="preserve">P1 Tender (②−①)</t>
  </si>
  <si>
    <t xml:space="preserve">P2 Persiapan (③−②)</t>
  </si>
  <si>
    <t xml:space="preserve">P Preparation (③−①)</t>
  </si>
  <si>
    <t xml:space="preserve">L1 Muat (④−③)</t>
  </si>
  <si>
    <t xml:space="preserve">S Sailing (⑤−④)</t>
  </si>
  <si>
    <t xml:space="preserve">C Antrean (⑥−⑤)</t>
  </si>
  <si>
    <t xml:space="preserve">L2 Bongkar (⑦−⑥)</t>
  </si>
  <si>
    <t xml:space="preserve">LT total (⑦−①)</t>
  </si>
  <si>
    <t xml:space="preserve">Telat laycan (④−laycan akhir)</t>
  </si>
  <si>
    <t xml:space="preserve">Kelengkapan tanggal</t>
  </si>
  <si>
    <t xml:space="preserve">Cek</t>
  </si>
  <si>
    <t xml:space="preserve">KCL</t>
  </si>
  <si>
    <t xml:space="preserve">KCL 1st</t>
  </si>
  <si>
    <t xml:space="preserve">Kanada</t>
  </si>
  <si>
    <t xml:space="preserve">Vancouver,Canada</t>
  </si>
  <si>
    <t xml:space="preserve">PKG Port , Gresik</t>
  </si>
  <si>
    <t xml:space="preserve">K+S Minerals  and Agriculture GmbH</t>
  </si>
  <si>
    <t xml:space="preserve">MV Federal Illinois</t>
  </si>
  <si>
    <t xml:space="preserve">Selesai</t>
  </si>
  <si>
    <t xml:space="preserve">LT History 2022–2024</t>
  </si>
  <si>
    <t xml:space="preserve">KCL 2nd</t>
  </si>
  <si>
    <t xml:space="preserve">K+S Minerals and Agriculture GmbH</t>
  </si>
  <si>
    <t xml:space="preserve">MV Star Gaia</t>
  </si>
  <si>
    <t xml:space="preserve">Aastar/Canpotex</t>
  </si>
  <si>
    <t xml:space="preserve">MV Theresa Grace</t>
  </si>
  <si>
    <t xml:space="preserve">MV Port Vera Cruz</t>
  </si>
  <si>
    <t xml:space="preserve">KCL 3rd</t>
  </si>
  <si>
    <t xml:space="preserve">MV HSL Mexico</t>
  </si>
  <si>
    <t xml:space="preserve">Russia</t>
  </si>
  <si>
    <t xml:space="preserve">Novorossiysk, Russia</t>
  </si>
  <si>
    <t xml:space="preserve">Eurochem Trading Middle East DMCC</t>
  </si>
  <si>
    <t xml:space="preserve">MV GM Legend</t>
  </si>
  <si>
    <t xml:space="preserve">Jordan</t>
  </si>
  <si>
    <t xml:space="preserve">Aqaba, Jordan</t>
  </si>
  <si>
    <t xml:space="preserve">APC</t>
  </si>
  <si>
    <t xml:space="preserve">MV Golden Bright</t>
  </si>
  <si>
    <t xml:space="preserve">Laos</t>
  </si>
  <si>
    <t xml:space="preserve">Vung Ang,Vietnam</t>
  </si>
  <si>
    <t xml:space="preserve">Lao Kaiyuan</t>
  </si>
  <si>
    <t xml:space="preserve">MV Hong Linh 1</t>
  </si>
  <si>
    <t xml:space="preserve">MV Andean</t>
  </si>
  <si>
    <t xml:space="preserve">APC/ Clementcorp</t>
  </si>
  <si>
    <t xml:space="preserve">MV. TEAM FOCUS</t>
  </si>
  <si>
    <t xml:space="preserve">Sino Agri</t>
  </si>
  <si>
    <t xml:space="preserve">MV Lucky Star</t>
  </si>
  <si>
    <t xml:space="preserve">MV ABK Tiger</t>
  </si>
  <si>
    <t xml:space="preserve">26-Mei-2022</t>
  </si>
  <si>
    <t xml:space="preserve">MV Ludogorets</t>
  </si>
  <si>
    <t xml:space="preserve">Ust Luga, Russia</t>
  </si>
  <si>
    <t xml:space="preserve">MV Orcun C</t>
  </si>
  <si>
    <t xml:space="preserve">Vancouver, Canada</t>
  </si>
  <si>
    <t xml:space="preserve">MV PMS Seagull</t>
  </si>
  <si>
    <t xml:space="preserve">MV CL Iris</t>
  </si>
  <si>
    <t xml:space="preserve">16-Agu-2022</t>
  </si>
  <si>
    <t xml:space="preserve">KCL 1 st</t>
  </si>
  <si>
    <t xml:space="preserve">Ust-Luga, Russia</t>
  </si>
  <si>
    <t xml:space="preserve">MV Gullwing</t>
  </si>
  <si>
    <t xml:space="preserve">KCL 2 nd</t>
  </si>
  <si>
    <t xml:space="preserve">Murmansk, Russia</t>
  </si>
  <si>
    <t xml:space="preserve">MV ELISAR</t>
  </si>
  <si>
    <t xml:space="preserve">St Petersburg, Russia</t>
  </si>
  <si>
    <t xml:space="preserve">PJSC Uralkali</t>
  </si>
  <si>
    <t xml:space="preserve">MV Liberator</t>
  </si>
  <si>
    <t xml:space="preserve">8-Okt-2022</t>
  </si>
  <si>
    <t xml:space="preserve">Belarusia</t>
  </si>
  <si>
    <t xml:space="preserve">JSC BPC/Fertilife FZE</t>
  </si>
  <si>
    <t xml:space="preserve">MV Almar</t>
  </si>
  <si>
    <t xml:space="preserve">14-17-Oct-2022</t>
  </si>
  <si>
    <t xml:space="preserve">KCL 1ST</t>
  </si>
  <si>
    <t xml:space="preserve">MV V Due</t>
  </si>
  <si>
    <t xml:space="preserve">9-16 DEC 22</t>
  </si>
  <si>
    <t xml:space="preserve">KCL 2ND</t>
  </si>
  <si>
    <t xml:space="preserve">MV Mount Owen</t>
  </si>
  <si>
    <t xml:space="preserve">10-20 Feb 23</t>
  </si>
  <si>
    <t xml:space="preserve">MV Federal Island</t>
  </si>
  <si>
    <t xml:space="preserve">31-Okt-2022</t>
  </si>
  <si>
    <t xml:space="preserve">MV.Desert Dignity</t>
  </si>
  <si>
    <t xml:space="preserve">5-Des-2022</t>
  </si>
  <si>
    <t xml:space="preserve">MV.Ultra Lanigan</t>
  </si>
  <si>
    <t xml:space="preserve">20-Des-2022</t>
  </si>
  <si>
    <t xml:space="preserve">KCL 4th</t>
  </si>
  <si>
    <t xml:space="preserve">MV Ece nur bayraktar</t>
  </si>
  <si>
    <t xml:space="preserve">28-31 Jan 23</t>
  </si>
  <si>
    <t xml:space="preserve">MV Gemini</t>
  </si>
  <si>
    <t xml:space="preserve">17-21 mar 23</t>
  </si>
  <si>
    <t xml:space="preserve">MV IDC Pearl</t>
  </si>
  <si>
    <t xml:space="preserve">28 Apr - 05 Mei 23</t>
  </si>
  <si>
    <t xml:space="preserve">MV Vantage Reef</t>
  </si>
  <si>
    <t xml:space="preserve">31 Mei - 03 Juni 23</t>
  </si>
  <si>
    <t xml:space="preserve">KCL FG</t>
  </si>
  <si>
    <t xml:space="preserve">Yantai, China</t>
  </si>
  <si>
    <t xml:space="preserve">MV Galaxy Ocean</t>
  </si>
  <si>
    <t xml:space="preserve">Kavkaz, Russia</t>
  </si>
  <si>
    <t xml:space="preserve">MV DSM London</t>
  </si>
  <si>
    <t xml:space="preserve">5-8 Mei 23</t>
  </si>
  <si>
    <t xml:space="preserve">MV Navi Moon</t>
  </si>
  <si>
    <t xml:space="preserve">9-10 Apr 23</t>
  </si>
  <si>
    <t xml:space="preserve">KCL 3 rd</t>
  </si>
  <si>
    <t xml:space="preserve">MV Devbulk Sinem</t>
  </si>
  <si>
    <t xml:space="preserve">12-14 Juni 23</t>
  </si>
  <si>
    <t xml:space="preserve">KCL 4 th</t>
  </si>
  <si>
    <t xml:space="preserve">MV Valsamitis</t>
  </si>
  <si>
    <t xml:space="preserve">22-24 Juni 23</t>
  </si>
  <si>
    <t xml:space="preserve">KCL 5 th</t>
  </si>
  <si>
    <t xml:space="preserve">MV NYMPHI</t>
  </si>
  <si>
    <t xml:space="preserve">5-9 July 23</t>
  </si>
  <si>
    <t xml:space="preserve">KCL 6 th</t>
  </si>
  <si>
    <t xml:space="preserve">MV NORD VIND</t>
  </si>
  <si>
    <t xml:space="preserve">5-10 Aug 23</t>
  </si>
  <si>
    <t xml:space="preserve">KCL 7 th</t>
  </si>
  <si>
    <t xml:space="preserve">MV Lago di cancano</t>
  </si>
  <si>
    <t xml:space="preserve">KCL Beige</t>
  </si>
  <si>
    <t xml:space="preserve">20-25 Aug 23</t>
  </si>
  <si>
    <t xml:space="preserve">MV Agia Ekaterini</t>
  </si>
  <si>
    <t xml:space="preserve">12-16 Sep 23</t>
  </si>
  <si>
    <t xml:space="preserve">MV ALANYA-M</t>
  </si>
  <si>
    <t xml:space="preserve">17-20 Nov 23</t>
  </si>
  <si>
    <t xml:space="preserve">KCL Buyer Option 1st</t>
  </si>
  <si>
    <t xml:space="preserve">MV Eihwaz</t>
  </si>
  <si>
    <t xml:space="preserve">PKG Ingin di 1H Mar 24</t>
  </si>
  <si>
    <t xml:space="preserve">8-10 Jan 24</t>
  </si>
  <si>
    <t xml:space="preserve">KCL Buyer Option 2nd</t>
  </si>
  <si>
    <t xml:space="preserve">MV Jaohar UK</t>
  </si>
  <si>
    <t xml:space="preserve">Jalur rute memuteri Benua Africa</t>
  </si>
  <si>
    <t xml:space="preserve">27-29 Feb 24</t>
  </si>
  <si>
    <t xml:space="preserve">Aqaba,Jordan</t>
  </si>
  <si>
    <t xml:space="preserve">MV African Swan</t>
  </si>
  <si>
    <t xml:space="preserve">26-30 Oct 23</t>
  </si>
  <si>
    <t xml:space="preserve">KCL Buyer Option</t>
  </si>
  <si>
    <t xml:space="preserve">MV INCE EVRENYE</t>
  </si>
  <si>
    <t xml:space="preserve">Buyer Option</t>
  </si>
  <si>
    <t xml:space="preserve">26-31 Jan 24</t>
  </si>
  <si>
    <t xml:space="preserve">PJSC Uralkali/Food Security Solutions DMCC</t>
  </si>
  <si>
    <t xml:space="preserve">MV Pirrihios</t>
  </si>
  <si>
    <t xml:space="preserve">7 -10 Oct 23</t>
  </si>
  <si>
    <t xml:space="preserve">MV DSM Everton</t>
  </si>
  <si>
    <t xml:space="preserve">Buyer Option/ Keterlambatan Unloading dikarenakan Case internal FOOD SECURITY SOLUTIONS</t>
  </si>
  <si>
    <t xml:space="preserve">13-18 Mei 24</t>
  </si>
  <si>
    <t xml:space="preserve">Tuapse, Russia</t>
  </si>
  <si>
    <t xml:space="preserve">MV Elias</t>
  </si>
  <si>
    <t xml:space="preserve">1H Feb 2024</t>
  </si>
  <si>
    <t xml:space="preserve">31 Jan -02 Feb 24</t>
  </si>
  <si>
    <t xml:space="preserve">Eurochem Trading GmbH/Fertistream DMCC</t>
  </si>
  <si>
    <t xml:space="preserve">MV Turbo S</t>
  </si>
  <si>
    <t xml:space="preserve">Apr-Jun 24</t>
  </si>
  <si>
    <t xml:space="preserve">22-25 Mar 24</t>
  </si>
  <si>
    <t xml:space="preserve">KCl 2nd</t>
  </si>
  <si>
    <t xml:space="preserve">Apr-Jun 24/ Jalur rute memuteri Benua Africa</t>
  </si>
  <si>
    <t xml:space="preserve">20-25 Mei 24</t>
  </si>
  <si>
    <t xml:space="preserve">MV MXD XIAMEN</t>
  </si>
  <si>
    <t xml:space="preserve">MV Lago Di Cancano</t>
  </si>
  <si>
    <t xml:space="preserve">W1 JUL 24</t>
  </si>
  <si>
    <t xml:space="preserve">15-18 Jun 24</t>
  </si>
  <si>
    <t xml:space="preserve">KCL Fine Grade</t>
  </si>
  <si>
    <t xml:space="preserve">W1 Aug 24</t>
  </si>
  <si>
    <t xml:space="preserve">MV Sunset</t>
  </si>
  <si>
    <t xml:space="preserve">26-31 Jul 24</t>
  </si>
  <si>
    <t xml:space="preserve">MV Ayana Star</t>
  </si>
  <si>
    <t xml:space="preserve">Dalam pelayaran</t>
  </si>
  <si>
    <t xml:space="preserve">W3 Aug 24</t>
  </si>
  <si>
    <t xml:space="preserve">24-29 Sep 24</t>
  </si>
  <si>
    <t xml:space="preserve">MV SSI CONQUEST</t>
  </si>
  <si>
    <t xml:space="preserve">Nominasi kapal</t>
  </si>
  <si>
    <t xml:space="preserve">2H NOV 24</t>
  </si>
  <si>
    <t xml:space="preserve">16-20 Okt 24</t>
  </si>
  <si>
    <t xml:space="preserve">JSC BPC/Pacific Rim International Fertilizer Limited</t>
  </si>
  <si>
    <t xml:space="preserve">MV AGIA IOANNA</t>
  </si>
  <si>
    <t xml:space="preserve">W1 SEP 24</t>
  </si>
  <si>
    <t xml:space="preserve">4-6 juli</t>
  </si>
  <si>
    <t xml:space="preserve">MV Acacia</t>
  </si>
  <si>
    <t xml:space="preserve">Bongkar</t>
  </si>
  <si>
    <t xml:space="preserve">W4 OKT 24</t>
  </si>
  <si>
    <t xml:space="preserve">18-22 Aug 24</t>
  </si>
  <si>
    <t xml:space="preserve">W1 NOV 24</t>
  </si>
  <si>
    <t xml:space="preserve">1H NOV 24</t>
  </si>
  <si>
    <t xml:space="preserve">Eurochem/Fertistream DMCC</t>
  </si>
  <si>
    <t xml:space="preserve">MV EMMANUEL C</t>
  </si>
  <si>
    <t xml:space="preserve">W2 OKT 24</t>
  </si>
  <si>
    <t xml:space="preserve">12-16 Agustus 24</t>
  </si>
  <si>
    <t xml:space="preserve">MV LILA</t>
  </si>
  <si>
    <t xml:space="preserve">Within Nov 24</t>
  </si>
  <si>
    <t xml:space="preserve">11-15 Okt 24</t>
  </si>
  <si>
    <t xml:space="preserve">APC/Clementcorp Trading Pte Ltd</t>
  </si>
  <si>
    <t xml:space="preserve">MV BELUGA A</t>
  </si>
  <si>
    <t xml:space="preserve">W2 DEC 24</t>
  </si>
  <si>
    <t xml:space="preserve">23-31 Juli 24</t>
  </si>
  <si>
    <t xml:space="preserve">MV Manta Hacer</t>
  </si>
  <si>
    <t xml:space="preserve">12-16 Sep 24</t>
  </si>
  <si>
    <t xml:space="preserve">DAP</t>
  </si>
  <si>
    <t xml:space="preserve">DAP 64</t>
  </si>
  <si>
    <t xml:space="preserve">UST-Luga,Russia</t>
  </si>
  <si>
    <t xml:space="preserve">PKG Port, Gresik</t>
  </si>
  <si>
    <t xml:space="preserve">Phosagro</t>
  </si>
  <si>
    <t xml:space="preserve">MV Sidra</t>
  </si>
  <si>
    <t xml:space="preserve">DAP 61</t>
  </si>
  <si>
    <t xml:space="preserve">haipong,Vietnam</t>
  </si>
  <si>
    <t xml:space="preserve">Aries</t>
  </si>
  <si>
    <t xml:space="preserve">MV Hoang Phuong Lucky</t>
  </si>
  <si>
    <t xml:space="preserve">5-Mei-2022</t>
  </si>
  <si>
    <t xml:space="preserve">China</t>
  </si>
  <si>
    <t xml:space="preserve">Any port China</t>
  </si>
  <si>
    <t xml:space="preserve">Heartychem</t>
  </si>
  <si>
    <t xml:space="preserve">MV Phu Dat 168</t>
  </si>
  <si>
    <t xml:space="preserve">15-Mei-2022</t>
  </si>
  <si>
    <t xml:space="preserve">Swiss Singapore</t>
  </si>
  <si>
    <t xml:space="preserve">MV African Halcyon</t>
  </si>
  <si>
    <t xml:space="preserve">DAP 61 1st</t>
  </si>
  <si>
    <t xml:space="preserve">Vietnam</t>
  </si>
  <si>
    <t xml:space="preserve">MV Hai Au Sky</t>
  </si>
  <si>
    <t xml:space="preserve">DAP 64 2nd</t>
  </si>
  <si>
    <t xml:space="preserve">Nanjing, China</t>
  </si>
  <si>
    <t xml:space="preserve">MV Festival</t>
  </si>
  <si>
    <t xml:space="preserve">Nanthong, China</t>
  </si>
  <si>
    <t xml:space="preserve">Merrycorn</t>
  </si>
  <si>
    <t xml:space="preserve">MV TOMINI GHIBLI</t>
  </si>
  <si>
    <t xml:space="preserve">21-Okt-2022</t>
  </si>
  <si>
    <t xml:space="preserve">Qinhuangdao Port, China</t>
  </si>
  <si>
    <t xml:space="preserve">MV HAO QIANG 57</t>
  </si>
  <si>
    <t xml:space="preserve">1-Des-2022</t>
  </si>
  <si>
    <t xml:space="preserve">Zhanjian,China</t>
  </si>
  <si>
    <t xml:space="preserve">MV Harmony Ocean</t>
  </si>
  <si>
    <t xml:space="preserve">19-28 Mar 23</t>
  </si>
  <si>
    <t xml:space="preserve">Liven Nutrient</t>
  </si>
  <si>
    <t xml:space="preserve">MV THAI BINH 02</t>
  </si>
  <si>
    <t xml:space="preserve">25-30 May 23</t>
  </si>
  <si>
    <t xml:space="preserve">DAP 61 2nd</t>
  </si>
  <si>
    <t xml:space="preserve">20-25 June 23</t>
  </si>
  <si>
    <t xml:space="preserve">DAP 64 1st</t>
  </si>
  <si>
    <t xml:space="preserve">Fangcheng Port, China</t>
  </si>
  <si>
    <t xml:space="preserve">Fertino</t>
  </si>
  <si>
    <t xml:space="preserve">MV.HAO QIANG 57</t>
  </si>
  <si>
    <t xml:space="preserve">1-10 June 23</t>
  </si>
  <si>
    <t xml:space="preserve">Sesuai Surat dari PKG no 08537/B/LG.00.02/09/DR/2023 Kontrak dibatalkan dan pengiriman tidak dilanjutkan</t>
  </si>
  <si>
    <t xml:space="preserve">Hexagon Fertilizers Asia Pte Ltd</t>
  </si>
  <si>
    <t xml:space="preserve">MV Cresty</t>
  </si>
  <si>
    <t xml:space="preserve">25 JUNI - 01 JULI 24</t>
  </si>
  <si>
    <t xml:space="preserve">Liven Nutrients Pte Ltd</t>
  </si>
  <si>
    <t xml:space="preserve">MV PRINCE HENRY</t>
  </si>
  <si>
    <t xml:space="preserve">18-21 Mei 24</t>
  </si>
  <si>
    <t xml:space="preserve">W3 NOV 24</t>
  </si>
  <si>
    <t xml:space="preserve">Nanjing Port, China</t>
  </si>
  <si>
    <t xml:space="preserve">MV ZHONG ZHE 7</t>
  </si>
  <si>
    <t xml:space="preserve">W4 Sep 24</t>
  </si>
  <si>
    <t xml:space="preserve">18-20 Sep 24</t>
  </si>
  <si>
    <t xml:space="preserve">ZA</t>
  </si>
  <si>
    <t xml:space="preserve">Zhangjiagang port, China</t>
  </si>
  <si>
    <t xml:space="preserve">Golden Barley International</t>
  </si>
  <si>
    <t xml:space="preserve">MV ZJ Rainbow</t>
  </si>
  <si>
    <t xml:space="preserve">20-Des-2021</t>
  </si>
  <si>
    <t xml:space="preserve">Bestwin</t>
  </si>
  <si>
    <t xml:space="preserve">MV Sea Adelaide</t>
  </si>
  <si>
    <t xml:space="preserve">Anyport, China</t>
  </si>
  <si>
    <t xml:space="preserve">Agrofertrans</t>
  </si>
  <si>
    <t xml:space="preserve">MV Darya Khrisna</t>
  </si>
  <si>
    <t xml:space="preserve">Zhangjiagang Port, China</t>
  </si>
  <si>
    <t xml:space="preserve">Golden Barley</t>
  </si>
  <si>
    <t xml:space="preserve">MV MICROCHIP</t>
  </si>
  <si>
    <t xml:space="preserve">10-15 Jun 2022</t>
  </si>
  <si>
    <t xml:space="preserve">Xiuyu, China</t>
  </si>
  <si>
    <t xml:space="preserve">Joma</t>
  </si>
  <si>
    <t xml:space="preserve">MV Blue Star</t>
  </si>
  <si>
    <t xml:space="preserve">15-Agu-2022</t>
  </si>
  <si>
    <t xml:space="preserve">ZA 1st</t>
  </si>
  <si>
    <t xml:space="preserve">NANTONG, CHINA</t>
  </si>
  <si>
    <t xml:space="preserve">MV Huangyang Spirit</t>
  </si>
  <si>
    <t xml:space="preserve">20-Okt-2022</t>
  </si>
  <si>
    <t xml:space="preserve">Lucky Grace International</t>
  </si>
  <si>
    <t xml:space="preserve">MV MICROSTEP</t>
  </si>
  <si>
    <t xml:space="preserve">30-Okt-2022</t>
  </si>
  <si>
    <t xml:space="preserve">FUZHOU PORT JIANGYIN JETTY ,CHINA</t>
  </si>
  <si>
    <t xml:space="preserve">MV HARMONY OCEAN</t>
  </si>
  <si>
    <t xml:space="preserve">20-25 DEC 2022</t>
  </si>
  <si>
    <t xml:space="preserve">Engro Eximp F.Z.E</t>
  </si>
  <si>
    <t xml:space="preserve">MV Bao Yu</t>
  </si>
  <si>
    <t xml:space="preserve">30 Mar-02 Apr 23</t>
  </si>
  <si>
    <t xml:space="preserve">Best Sign Asia Chemical Pte Ltd</t>
  </si>
  <si>
    <t xml:space="preserve">MV Hua Yun 8</t>
  </si>
  <si>
    <t xml:space="preserve">ZA 2nd</t>
  </si>
  <si>
    <t xml:space="preserve">NANTONG ,CHINA .</t>
  </si>
  <si>
    <t xml:space="preserve">MV. APOLLO A</t>
  </si>
  <si>
    <t xml:space="preserve">5-10 Sep 23</t>
  </si>
  <si>
    <t xml:space="preserve">ZA 3rd</t>
  </si>
  <si>
    <t xml:space="preserve">TIANJIN PORT, CHINA</t>
  </si>
  <si>
    <t xml:space="preserve">MV ZHONG YU 28</t>
  </si>
  <si>
    <t xml:space="preserve">Kombine cargo</t>
  </si>
  <si>
    <t xml:space="preserve">25-29 Feb 24</t>
  </si>
  <si>
    <t xml:space="preserve">MV.Unicorn</t>
  </si>
  <si>
    <t xml:space="preserve">20-23 Oct 23</t>
  </si>
  <si>
    <t xml:space="preserve">27 okt-3 nov 23</t>
  </si>
  <si>
    <t xml:space="preserve">ZHANGJIAGANG PORT, CHINA</t>
  </si>
  <si>
    <t xml:space="preserve">MV Chuan Hai</t>
  </si>
  <si>
    <t xml:space="preserve">20-25 Nov 23</t>
  </si>
  <si>
    <t xml:space="preserve">XIUYU PORT, CHINA</t>
  </si>
  <si>
    <t xml:space="preserve">BestwinTrade(HK)Ltd</t>
  </si>
  <si>
    <t xml:space="preserve">MV EASTERN HAWK</t>
  </si>
  <si>
    <t xml:space="preserve">3rd W Mar 24</t>
  </si>
  <si>
    <t xml:space="preserve">15-20 Mar 24</t>
  </si>
  <si>
    <t xml:space="preserve">Agrofertrans Ltd</t>
  </si>
  <si>
    <t xml:space="preserve">Batal kirim</t>
  </si>
  <si>
    <t xml:space="preserve">Joma Trade Limited</t>
  </si>
  <si>
    <t xml:space="preserve">MV JC RUBY</t>
  </si>
  <si>
    <t xml:space="preserve">W3 Feb 24</t>
  </si>
  <si>
    <t xml:space="preserve">3-7 Feb 24</t>
  </si>
  <si>
    <t xml:space="preserve">Engro Eximp FZE</t>
  </si>
  <si>
    <t xml:space="preserve">MV Microchip</t>
  </si>
  <si>
    <t xml:space="preserve">w2 mei 24</t>
  </si>
  <si>
    <t xml:space="preserve">31 Mei 24 -04 Jun24</t>
  </si>
  <si>
    <t xml:space="preserve">MV TAN BINH 129</t>
  </si>
  <si>
    <t xml:space="preserve">27 Apr-01 Mei 24</t>
  </si>
  <si>
    <t xml:space="preserve">YIZHENG,CHINA</t>
  </si>
  <si>
    <t xml:space="preserve">MV Autai</t>
  </si>
  <si>
    <t xml:space="preserve">w1 Jun 24</t>
  </si>
  <si>
    <t xml:space="preserve">26 juni-03 Jul 24</t>
  </si>
  <si>
    <t xml:space="preserve">Yangzhou + Nanjing Port, China</t>
  </si>
  <si>
    <t xml:space="preserve">Hexagon Fertilizer Asia Pte,Ltd</t>
  </si>
  <si>
    <t xml:space="preserve">ZHONG ZHE 7</t>
  </si>
  <si>
    <t xml:space="preserve">W4 SEPTEMBER 24 (Tertunda loading dikarenakan ada badai Taifun di China)</t>
  </si>
  <si>
    <t xml:space="preserve">15-18 Sep 24</t>
  </si>
  <si>
    <t xml:space="preserve">Changzhou, China</t>
  </si>
  <si>
    <t xml:space="preserve">Ju Nong Technology Development Co Ltd</t>
  </si>
  <si>
    <t xml:space="preserve">MV DD VIGILANT</t>
  </si>
  <si>
    <t xml:space="preserve">Combine Cargo sama Joma qty 3K MT</t>
  </si>
  <si>
    <t xml:space="preserve">18-22 Juli 24</t>
  </si>
  <si>
    <t xml:space="preserve">ZA1st</t>
  </si>
  <si>
    <t xml:space="preserve">ZA2nd</t>
  </si>
  <si>
    <t xml:space="preserve">MV PIONEER FORTUNE</t>
  </si>
  <si>
    <t xml:space="preserve">W2 AGUSTUS 24</t>
  </si>
  <si>
    <t xml:space="preserve">4-9 Agustus 24</t>
  </si>
  <si>
    <t xml:space="preserve">W2 SEPTEMBER 24</t>
  </si>
  <si>
    <t xml:space="preserve">1-4 Sep 24</t>
  </si>
  <si>
    <t xml:space="preserve">Yangzhong, China</t>
  </si>
  <si>
    <t xml:space="preserve">MV DD VOGUE</t>
  </si>
  <si>
    <t xml:space="preserve">W3 SEPTEMBER 24</t>
  </si>
  <si>
    <t xml:space="preserve">6-10 Sep</t>
  </si>
  <si>
    <t xml:space="preserve">W4 OKTOBER 24; ETA asli rentang "20-25 Okt 24" → dipakai tanggal awal</t>
  </si>
  <si>
    <t xml:space="preserve">MV.WAN HONG</t>
  </si>
  <si>
    <t xml:space="preserve">W3 OKTOBER 24</t>
  </si>
  <si>
    <t xml:space="preserve">1-3 Okt 24</t>
  </si>
  <si>
    <t xml:space="preserve">YIZHENG, CHINA</t>
  </si>
  <si>
    <t xml:space="preserve">MV SOPHIA OCEAN</t>
  </si>
  <si>
    <t xml:space="preserve">W2 NOVEMBER 24</t>
  </si>
  <si>
    <t xml:space="preserve">9-12 Okt 24</t>
  </si>
  <si>
    <t xml:space="preserve">Any port, China</t>
  </si>
  <si>
    <t xml:space="preserve">Liven Nutrients</t>
  </si>
  <si>
    <t xml:space="preserve">W3 NOVEMBERVessel movement remain unchanged :
MV AUTAI, NOW ON THE WAY TO NINGDE 
ETA/D NINGDE 14TH/15TH OCT(FOR DISCHARGE)
ETA CJK 17TH OCT(IAGW/WP) 24</t>
  </si>
  <si>
    <t xml:space="preserve">17-21 Okt 24</t>
  </si>
  <si>
    <t xml:space="preserve">MV GOLDEN CENTURY</t>
  </si>
  <si>
    <t xml:space="preserve">20-25 Oct 24</t>
  </si>
  <si>
    <t xml:space="preserve">Oct-Des 24</t>
  </si>
  <si>
    <t xml:space="preserve">Hongkong JH Industrial</t>
  </si>
  <si>
    <t xml:space="preserve">MV. UNIVERSE HARMONY</t>
  </si>
  <si>
    <t xml:space="preserve">Oct-Nov 24/ SNOP : W4 Nov 24</t>
  </si>
  <si>
    <t xml:space="preserve">16-19 Okt 24</t>
  </si>
  <si>
    <t xml:space="preserve">RP</t>
  </si>
  <si>
    <t xml:space="preserve">RP MG 1st</t>
  </si>
  <si>
    <t xml:space="preserve">Jordan Phosphate Mines Co Ltd</t>
  </si>
  <si>
    <t xml:space="preserve">MV Sveti Dujam</t>
  </si>
  <si>
    <t xml:space="preserve">RP MG 2nd</t>
  </si>
  <si>
    <t xml:space="preserve">MV Captain John</t>
  </si>
  <si>
    <t xml:space="preserve">RP MG 3rd</t>
  </si>
  <si>
    <t xml:space="preserve">MV Xin Hai Tong 10</t>
  </si>
  <si>
    <t xml:space="preserve">RP MG 4th</t>
  </si>
  <si>
    <t xml:space="preserve">MV Venture grace</t>
  </si>
  <si>
    <t xml:space="preserve">RP HG 1st</t>
  </si>
  <si>
    <t xml:space="preserve">Maroco</t>
  </si>
  <si>
    <t xml:space="preserve">Marocco</t>
  </si>
  <si>
    <t xml:space="preserve">OCP</t>
  </si>
  <si>
    <t xml:space="preserve">MV Ithomi</t>
  </si>
  <si>
    <t xml:space="preserve">RP HG 2nd</t>
  </si>
  <si>
    <t xml:space="preserve">MV Velvet Rose</t>
  </si>
  <si>
    <t xml:space="preserve">RP HG 3rd</t>
  </si>
  <si>
    <t xml:space="preserve">MV Skatzoura</t>
  </si>
  <si>
    <t xml:space="preserve">RP MG</t>
  </si>
  <si>
    <t xml:space="preserve">MV Sea Dhyana</t>
  </si>
  <si>
    <t xml:space="preserve">RP Mesir</t>
  </si>
  <si>
    <t xml:space="preserve">Mesir</t>
  </si>
  <si>
    <t xml:space="preserve">Ajib, Mesir</t>
  </si>
  <si>
    <t xml:space="preserve">CT Invesment</t>
  </si>
  <si>
    <t xml:space="preserve">MV Ince Pacific</t>
  </si>
  <si>
    <t xml:space="preserve">RP HG</t>
  </si>
  <si>
    <t xml:space="preserve">MV VENTURE GOAL</t>
  </si>
  <si>
    <t xml:space="preserve">Mv Hai Phiong 86</t>
  </si>
  <si>
    <t xml:space="preserve">safaga, Mesir</t>
  </si>
  <si>
    <t xml:space="preserve">Fei Loong Trading Pte Ltd</t>
  </si>
  <si>
    <t xml:space="preserve">MV Hai Phuong 87</t>
  </si>
  <si>
    <t xml:space="preserve">25-31 Jan 23</t>
  </si>
  <si>
    <t xml:space="preserve">MV AM OCEAN SILVER</t>
  </si>
  <si>
    <t xml:space="preserve">24-28 Mar 23</t>
  </si>
  <si>
    <t xml:space="preserve">MV Genava</t>
  </si>
  <si>
    <t xml:space="preserve">03-06 Mar 23</t>
  </si>
  <si>
    <t xml:space="preserve">MV Merlin</t>
  </si>
  <si>
    <t xml:space="preserve">11-23 mei 23</t>
  </si>
  <si>
    <t xml:space="preserve">MV.Venture Pearl</t>
  </si>
  <si>
    <t xml:space="preserve">21-24 Mar 23</t>
  </si>
  <si>
    <t xml:space="preserve">MV HEILAN STAR</t>
  </si>
  <si>
    <t xml:space="preserve">MV KSL Xinyang</t>
  </si>
  <si>
    <t xml:space="preserve">24-30 July 23</t>
  </si>
  <si>
    <t xml:space="preserve">Aljazair</t>
  </si>
  <si>
    <t xml:space="preserve">Annaba Port, Algeria</t>
  </si>
  <si>
    <t xml:space="preserve">Agrifields DMCC</t>
  </si>
  <si>
    <t xml:space="preserve">MV Unity Odyssey</t>
  </si>
  <si>
    <t xml:space="preserve">25-30 Jun 23</t>
  </si>
  <si>
    <t xml:space="preserve">Hamrawein Port, Mesir</t>
  </si>
  <si>
    <t xml:space="preserve">Aditya Birla Global Trading (Singapore) Pte Ltd</t>
  </si>
  <si>
    <t xml:space="preserve">MV TS INDEX</t>
  </si>
  <si>
    <t xml:space="preserve">7-13 Sep 23</t>
  </si>
  <si>
    <t xml:space="preserve">MV Debi</t>
  </si>
  <si>
    <t xml:space="preserve">21-28 Oct 23</t>
  </si>
  <si>
    <t xml:space="preserve">MV IMKE SELMER</t>
  </si>
  <si>
    <t xml:space="preserve">W1 Nov 23</t>
  </si>
  <si>
    <t xml:space="preserve">14-21 Okt 23</t>
  </si>
  <si>
    <t xml:space="preserve">MV.Zhong Hua Men</t>
  </si>
  <si>
    <t xml:space="preserve">W3 Nov 23</t>
  </si>
  <si>
    <t xml:space="preserve">16-21 Nov 23</t>
  </si>
  <si>
    <t xml:space="preserve">MV FENGNING</t>
  </si>
  <si>
    <t xml:space="preserve">w3 Des 23</t>
  </si>
  <si>
    <t xml:space="preserve">10-14 Dec 23</t>
  </si>
  <si>
    <t xml:space="preserve">MV TENG DA</t>
  </si>
  <si>
    <t xml:space="preserve">w1 Jan 24</t>
  </si>
  <si>
    <t xml:space="preserve">26 dec 23-01 Jan24</t>
  </si>
  <si>
    <t xml:space="preserve">MV Wang Da</t>
  </si>
  <si>
    <t xml:space="preserve">w3 Jan 24</t>
  </si>
  <si>
    <t xml:space="preserve">4-10 Feb 24</t>
  </si>
  <si>
    <t xml:space="preserve">MV HV ALICE</t>
  </si>
  <si>
    <t xml:space="preserve">14-19 Mar 23</t>
  </si>
  <si>
    <t xml:space="preserve">MV DORO</t>
  </si>
  <si>
    <t xml:space="preserve">22-29 Feb 24</t>
  </si>
  <si>
    <t xml:space="preserve">MV CL HIBISCUS</t>
  </si>
  <si>
    <t xml:space="preserve">11-16 Apr 24</t>
  </si>
  <si>
    <t xml:space="preserve">MV ALEENA 1</t>
  </si>
  <si>
    <t xml:space="preserve">MASALAH PEMBONGKARAN DIKARENAKAN issueantaraShipper/CharterdenganpihakOwnerkapal</t>
  </si>
  <si>
    <t xml:space="preserve">17-20 Mei 24</t>
  </si>
  <si>
    <t xml:space="preserve">RP 1st</t>
  </si>
  <si>
    <t xml:space="preserve">MV YANGZE 35</t>
  </si>
  <si>
    <t xml:space="preserve">5-15 Mar 24</t>
  </si>
  <si>
    <t xml:space="preserve">RP 2nd</t>
  </si>
  <si>
    <t xml:space="preserve">MV SPAR TAURUS</t>
  </si>
  <si>
    <t xml:space="preserve">Muter Benua Africa</t>
  </si>
  <si>
    <t xml:space="preserve">8-12 Apr 24</t>
  </si>
  <si>
    <t xml:space="preserve">AgrifieldsFZE</t>
  </si>
  <si>
    <t xml:space="preserve">MV SETO HARMONY</t>
  </si>
  <si>
    <t xml:space="preserve">22-31 Mei 24</t>
  </si>
  <si>
    <t xml:space="preserve">MV GUO TAI PING AN</t>
  </si>
  <si>
    <t xml:space="preserve">15-20 Jun 24</t>
  </si>
  <si>
    <t xml:space="preserve">MV SEA KSANTI</t>
  </si>
  <si>
    <t xml:space="preserve">1-3 Mei 24</t>
  </si>
  <si>
    <t xml:space="preserve">6-7 Juni 24</t>
  </si>
  <si>
    <t xml:space="preserve">RP 3rd</t>
  </si>
  <si>
    <t xml:space="preserve">MV CORN</t>
  </si>
  <si>
    <t xml:space="preserve">W1 OKT 24</t>
  </si>
  <si>
    <t xml:space="preserve">21-27 Sep 24</t>
  </si>
  <si>
    <t xml:space="preserve">Agrifields FZE</t>
  </si>
  <si>
    <t xml:space="preserve">MV. Everest</t>
  </si>
  <si>
    <t xml:space="preserve">10-15 Okt 24</t>
  </si>
  <si>
    <t xml:space="preserve">Aditya birla global (Singaore) Pte Ltd</t>
  </si>
  <si>
    <t xml:space="preserve">MV XIN HAI TONG 55</t>
  </si>
  <si>
    <t xml:space="preserve">21-25 Okt 24</t>
  </si>
  <si>
    <t xml:space="preserve">MV. XIN HAI TONG 59</t>
  </si>
  <si>
    <t xml:space="preserve">1-15 Okt 24</t>
  </si>
  <si>
    <t xml:space="preserve">Senegal</t>
  </si>
  <si>
    <t xml:space="preserve">Desember 24</t>
  </si>
  <si>
    <t xml:space="preserve">SA</t>
  </si>
  <si>
    <t xml:space="preserve">Australia</t>
  </si>
  <si>
    <t xml:space="preserve">KWINANA, AUSTRALIA</t>
  </si>
  <si>
    <t xml:space="preserve">Trammo</t>
  </si>
  <si>
    <t xml:space="preserve">MT Golden Unity</t>
  </si>
  <si>
    <t xml:space="preserve">South Korea</t>
  </si>
  <si>
    <t xml:space="preserve">Ulsan Port, Korea</t>
  </si>
  <si>
    <t xml:space="preserve">MT Woojin Kelly</t>
  </si>
  <si>
    <t xml:space="preserve">Fangcheng, China</t>
  </si>
  <si>
    <t xml:space="preserve">Guangxi Huixiangyun Logistic</t>
  </si>
  <si>
    <t xml:space="preserve">MT Heung-A Pioneer</t>
  </si>
  <si>
    <t xml:space="preserve">22-30/04/2022</t>
  </si>
  <si>
    <t xml:space="preserve">ulsan, Korea</t>
  </si>
  <si>
    <t xml:space="preserve">MT Woojin Chems</t>
  </si>
  <si>
    <t xml:space="preserve">Taiwan</t>
  </si>
  <si>
    <t xml:space="preserve">Taichung Port, Taiwan</t>
  </si>
  <si>
    <t xml:space="preserve">MT You Shen 10</t>
  </si>
  <si>
    <t xml:space="preserve">Philippines</t>
  </si>
  <si>
    <t xml:space="preserve">ISABEL, PHILIPPINES</t>
  </si>
  <si>
    <t xml:space="preserve">Glencore International Ag</t>
  </si>
  <si>
    <t xml:space="preserve">MT GENNARO IEVOLI</t>
  </si>
  <si>
    <t xml:space="preserve">Onsan, Korea</t>
  </si>
  <si>
    <t xml:space="preserve">Heartychem 1st</t>
  </si>
  <si>
    <t xml:space="preserve">MT WOOJIN CHEMS</t>
  </si>
  <si>
    <t xml:space="preserve">Heartychem 2nd</t>
  </si>
  <si>
    <t xml:space="preserve">Jepang</t>
  </si>
  <si>
    <t xml:space="preserve">Hibi, Japan</t>
  </si>
  <si>
    <t xml:space="preserve">SA Services International LLC</t>
  </si>
  <si>
    <t xml:space="preserve">MT WAWASAN BLUEFIN</t>
  </si>
  <si>
    <t xml:space="preserve">28 Mar -03 Mei 23</t>
  </si>
  <si>
    <t xml:space="preserve">Putian, China</t>
  </si>
  <si>
    <t xml:space="preserve">Trammo Pte Ltd</t>
  </si>
  <si>
    <t xml:space="preserve">MT Ami Oos</t>
  </si>
  <si>
    <t xml:space="preserve">8//6/23</t>
  </si>
  <si>
    <t xml:space="preserve">Onsan, Korea Selatan</t>
  </si>
  <si>
    <t xml:space="preserve">MT Fairchem Integrity oos</t>
  </si>
  <si>
    <t xml:space="preserve">29-31 may 23</t>
  </si>
  <si>
    <t xml:space="preserve">Zhangjiagang Port/  Putian Port,China</t>
  </si>
  <si>
    <t xml:space="preserve">Bestwin Trade (HK) Ltd</t>
  </si>
  <si>
    <t xml:space="preserve">MT YONG CHANG SHUN HANG OOS</t>
  </si>
  <si>
    <t xml:space="preserve">14-16 Juni</t>
  </si>
  <si>
    <t xml:space="preserve">Glencore International Ag 1st</t>
  </si>
  <si>
    <t xml:space="preserve">MT MTM SHANGHAI</t>
  </si>
  <si>
    <t xml:space="preserve">23-30 June 23</t>
  </si>
  <si>
    <t xml:space="preserve">MT CHEM SPICA</t>
  </si>
  <si>
    <t xml:space="preserve">25 Jun - 2 Jul 23</t>
  </si>
  <si>
    <t xml:space="preserve">Glencore International Ag 2nd</t>
  </si>
  <si>
    <t xml:space="preserve">MT CNC DREAM</t>
  </si>
  <si>
    <t xml:space="preserve">10-14 Jul 23</t>
  </si>
  <si>
    <t xml:space="preserve">Naoshima, Japan</t>
  </si>
  <si>
    <t xml:space="preserve">MV SONGA WINDS</t>
  </si>
  <si>
    <t xml:space="preserve">W3 JULY 24</t>
  </si>
  <si>
    <t xml:space="preserve">2-5 Agustus 24</t>
  </si>
  <si>
    <t xml:space="preserve">Japan</t>
  </si>
  <si>
    <t xml:space="preserve">MT Saehan Marina</t>
  </si>
  <si>
    <t xml:space="preserve">W3 AGUSTUS 24</t>
  </si>
  <si>
    <t xml:space="preserve">20-25 August 2024</t>
  </si>
  <si>
    <t xml:space="preserve">Hibi / Saganoseki , Japan</t>
  </si>
  <si>
    <t xml:space="preserve">Interacid Trading SA</t>
  </si>
  <si>
    <t xml:space="preserve">MT Ocean Hope</t>
  </si>
  <si>
    <t xml:space="preserve">W4 AGUSTUS 24</t>
  </si>
  <si>
    <t xml:space="preserve">11-14 Agus24</t>
  </si>
  <si>
    <t xml:space="preserve">Laizhou port, China</t>
  </si>
  <si>
    <t xml:space="preserve">Southern Cross /Incitec Pivot​</t>
  </si>
  <si>
    <t xml:space="preserve">MT NO.2 OCEAN PIONEER/
CHEM WOLVERINE
</t>
  </si>
  <si>
    <t xml:space="preserve">11-15 Juli 24</t>
  </si>
  <si>
    <t xml:space="preserve">ZHANGJIAGANG, CHINA</t>
  </si>
  <si>
    <t xml:space="preserve">MT MTM Singapore</t>
  </si>
  <si>
    <t xml:space="preserve">W3 SEP 24</t>
  </si>
  <si>
    <t xml:space="preserve">1-5 Sep 24</t>
  </si>
  <si>
    <t xml:space="preserve">MT MTM Vancouver</t>
  </si>
  <si>
    <t xml:space="preserve">W4 SEP 24</t>
  </si>
  <si>
    <t xml:space="preserve">29-30 Sep 24</t>
  </si>
  <si>
    <t xml:space="preserve">MT MARINA AMAN</t>
  </si>
  <si>
    <t xml:space="preserve">Oktober 2024</t>
  </si>
  <si>
    <t xml:space="preserve">21-30 Oct 24</t>
  </si>
  <si>
    <t xml:space="preserve">SULFUR</t>
  </si>
  <si>
    <t xml:space="preserve">Sulfur</t>
  </si>
  <si>
    <t xml:space="preserve">Qatar</t>
  </si>
  <si>
    <t xml:space="preserve">BGN INT DMCC</t>
  </si>
  <si>
    <t xml:space="preserve">MV AFRICAN SWAN</t>
  </si>
  <si>
    <t xml:space="preserve">MV Yu Long Ling</t>
  </si>
  <si>
    <t xml:space="preserve">UEA</t>
  </si>
  <si>
    <t xml:space="preserve">UAE</t>
  </si>
  <si>
    <t xml:space="preserve">BGN INT DMCC 1st</t>
  </si>
  <si>
    <t xml:space="preserve">MV.Golden Eagle</t>
  </si>
  <si>
    <t xml:space="preserve">BGN INT DMCC 2nd</t>
  </si>
  <si>
    <t xml:space="preserve">MV YUANNING SEA</t>
  </si>
  <si>
    <t xml:space="preserve">Kuwait</t>
  </si>
  <si>
    <t xml:space="preserve">BGN INT DMCC 3 rd</t>
  </si>
  <si>
    <t xml:space="preserve">MV Yihai</t>
  </si>
  <si>
    <t xml:space="preserve">Swiss Singapore 1st</t>
  </si>
  <si>
    <t xml:space="preserve">MV.Sino Trust</t>
  </si>
  <si>
    <t xml:space="preserve">Swiss Singapore 2nd</t>
  </si>
  <si>
    <t xml:space="preserve">MV Jiu Heng</t>
  </si>
  <si>
    <t xml:space="preserve">Swiss Singapore 3rd</t>
  </si>
  <si>
    <t xml:space="preserve">MV Nord Madeira</t>
  </si>
  <si>
    <t xml:space="preserve">Swiss Singapore 4th</t>
  </si>
  <si>
    <t xml:space="preserve">MV IVS Swinley Forest</t>
  </si>
  <si>
    <t xml:space="preserve">Swiss Singapore 5th</t>
  </si>
  <si>
    <t xml:space="preserve">MV Hony world</t>
  </si>
  <si>
    <t xml:space="preserve">Swiss Singapore 6th</t>
  </si>
  <si>
    <t xml:space="preserve">MV Tan Bin 79</t>
  </si>
  <si>
    <t xml:space="preserve">Buyer Options</t>
  </si>
  <si>
    <t xml:space="preserve">Swiss Singapore 7th</t>
  </si>
  <si>
    <t xml:space="preserve">MV Xin Hai Tong 26</t>
  </si>
  <si>
    <t xml:space="preserve">Swiss Singapore 8th</t>
  </si>
  <si>
    <t xml:space="preserve">MV Bunun Orchid</t>
  </si>
  <si>
    <t xml:space="preserve">Saudi Arabia</t>
  </si>
  <si>
    <t xml:space="preserve">Jubail, Saudi Arabia</t>
  </si>
  <si>
    <t xml:space="preserve">MV Heilan Journey</t>
  </si>
  <si>
    <t xml:space="preserve">Qatar &amp; Bahrain</t>
  </si>
  <si>
    <t xml:space="preserve">MV.Serene Ocean</t>
  </si>
  <si>
    <t xml:space="preserve">Ruwais,UEA</t>
  </si>
  <si>
    <t xml:space="preserve">MV ES Integrity</t>
  </si>
  <si>
    <t xml:space="preserve">ETA Dec 23</t>
  </si>
  <si>
    <t xml:space="preserve">20-24 Nov 23</t>
  </si>
  <si>
    <t xml:space="preserve">Ras Laffan Port, Qatar</t>
  </si>
  <si>
    <t xml:space="preserve">MV Iwagi Island</t>
  </si>
  <si>
    <t xml:space="preserve">2-12 Sep 23</t>
  </si>
  <si>
    <t xml:space="preserve">Swiss Singapore/Aditya birla shipment 1st</t>
  </si>
  <si>
    <t xml:space="preserve">MV Nasco Gem</t>
  </si>
  <si>
    <t xml:space="preserve">Swiss Singapore/Aditya birla shipment 2nd</t>
  </si>
  <si>
    <t xml:space="preserve">MV MAJESTIC VERA</t>
  </si>
  <si>
    <t xml:space="preserve">23-29 sep 23</t>
  </si>
  <si>
    <t xml:space="preserve">Swiss Singapore/ Aditya birla shipment 3rd</t>
  </si>
  <si>
    <t xml:space="preserve">MV AL YASAT II</t>
  </si>
  <si>
    <t xml:space="preserve">ETA Mar 24</t>
  </si>
  <si>
    <t xml:space="preserve">20-24 Jan 24</t>
  </si>
  <si>
    <t xml:space="preserve">Swiss Singapore/ Aditya birla shipment 4th</t>
  </si>
  <si>
    <t xml:space="preserve">MV Sea Pioneer</t>
  </si>
  <si>
    <t xml:space="preserve">ETA Jun 24</t>
  </si>
  <si>
    <t xml:space="preserve">22-30 Mar 24</t>
  </si>
  <si>
    <t xml:space="preserve">Sulfur 1St</t>
  </si>
  <si>
    <t xml:space="preserve">MV AM Ocean Silver</t>
  </si>
  <si>
    <t xml:space="preserve">W2 JUL 24</t>
  </si>
  <si>
    <t xml:space="preserve">22-28 JUNI 24</t>
  </si>
  <si>
    <t xml:space="preserve">Sulfur 2nd</t>
  </si>
  <si>
    <t xml:space="preserve">MV.African Nighthawk</t>
  </si>
  <si>
    <t xml:space="preserve">Sulfur 3rd</t>
  </si>
  <si>
    <t xml:space="preserve">MV YANGTZE NOVA</t>
  </si>
  <si>
    <t xml:space="preserve">25-28 Sep 24</t>
  </si>
  <si>
    <t xml:space="preserve">LAINNYA</t>
  </si>
  <si>
    <t xml:space="preserve">MAP</t>
  </si>
  <si>
    <t xml:space="preserve">Greenland</t>
  </si>
  <si>
    <t xml:space="preserve">MV. FLOURISH OCEAN</t>
  </si>
  <si>
    <t xml:space="preserve">23-24 AUG 2022</t>
  </si>
  <si>
    <t xml:space="preserve">SN</t>
  </si>
  <si>
    <t xml:space="preserve">USA</t>
  </si>
  <si>
    <t xml:space="preserve">San Antonio ,Chile</t>
  </si>
  <si>
    <t xml:space="preserve">SQM Industrial SA</t>
  </si>
  <si>
    <t xml:space="preserve">MV Seaspan Belief</t>
  </si>
  <si>
    <t xml:space="preserve">PUERTO ANGAMOS, Chile</t>
  </si>
  <si>
    <t xml:space="preserve">Tanjung Perak,Surabaya</t>
  </si>
  <si>
    <t xml:space="preserve">MSC JEWEL FA241B</t>
  </si>
  <si>
    <t xml:space="preserve">container</t>
  </si>
  <si>
    <t xml:space="preserve">COYHAIQUE 2244W</t>
  </si>
  <si>
    <t xml:space="preserve">COPIAPO 2245W</t>
  </si>
  <si>
    <t xml:space="preserve">COCHRANE 2246W</t>
  </si>
  <si>
    <t xml:space="preserve">CISNES 2247W</t>
  </si>
  <si>
    <t xml:space="preserve">SEASPAN BRIGHTNESS 2251W</t>
  </si>
  <si>
    <t xml:space="preserve">Statistik Lead Time &amp; Konsumsi per Bahan — PKG</t>
  </si>
  <si>
    <t xml:space="preserve">Dihitung otomatis dari Log_Kargo dan Data_CR. Status kesiapan: n ≥ 20 Siap · 10–19 Terbatas · &lt; 10 Belum.</t>
  </si>
  <si>
    <t xml:space="preserve">n</t>
  </si>
  <si>
    <t xml:space="preserve">Rata-rata</t>
  </si>
  <si>
    <t xml:space="preserve">Maks</t>
  </si>
  <si>
    <t xml:space="preserve">Simp. baku</t>
  </si>
  <si>
    <t xml:space="preserve">Persentil 90</t>
  </si>
  <si>
    <t xml:space="preserve">Kesiapan</t>
  </si>
  <si>
    <t xml:space="preserve">PA</t>
  </si>
  <si>
    <t xml:space="preserve">AMONIAK</t>
  </si>
  <si>
    <t xml:space="preserve">P2 Persiapan pemasok (③−②)</t>
  </si>
  <si>
    <t xml:space="preserve">Telat laycan (④ − laycan akhir)</t>
  </si>
  <si>
    <t xml:space="preserve">Konsumsi bulanan (Data_CR)</t>
  </si>
  <si>
    <t xml:space="preserve">n bulan</t>
  </si>
  <si>
    <t xml:space="preserve">Rata-rata (t/bln)</t>
  </si>
  <si>
    <t xml:space="preserve">Maks (t/bln)</t>
  </si>
  <si>
    <t xml:space="preserve">Simp. baku (t/bln)</t>
  </si>
  <si>
    <t xml:space="preserve">Rata-rata (t/hari)</t>
  </si>
  <si>
    <t xml:space="preserve">Simp. baku harian ≈ σbln/√30</t>
  </si>
  <si>
    <t xml:space="preserve">Kesiapan Monte Carlo per bahan</t>
  </si>
  <si>
    <t xml:space="preserve">n S</t>
  </si>
  <si>
    <t xml:space="preserve">n P</t>
  </si>
  <si>
    <t xml:space="preserve">n C</t>
  </si>
  <si>
    <t xml:space="preserve">n bulan CR</t>
  </si>
  <si>
    <t xml:space="preserve">Yang masih kurang</t>
  </si>
  <si>
    <t xml:space="preserve">Pembanding: DATA_LEADTIME_BB lama (sheet Data_Lama)</t>
  </si>
  <si>
    <t xml:space="preserve">Bahan (lama)</t>
  </si>
  <si>
    <t xml:space="preserve">S rata-rata</t>
  </si>
  <si>
    <t xml:space="preserve">S maks</t>
  </si>
  <si>
    <t xml:space="preserve">P (tetap)</t>
  </si>
  <si>
    <t xml:space="preserve">LT rata-rata</t>
  </si>
  <si>
    <t xml:space="preserve">LT maks</t>
  </si>
  <si>
    <t xml:space="preserve">Simp. baku LT</t>
  </si>
  <si>
    <t xml:space="preserve">KCL POWDER</t>
  </si>
  <si>
    <t xml:space="preserve">Konsumsi Aktual Bahan Baku PKG per Bulan (ton/bulan)</t>
  </si>
  <si>
    <t xml:space="preserve">Isi dari laporan pemakaian bahan baku. Kosongkan bulan yang belum ada data (jangan diisi 0).</t>
  </si>
  <si>
    <t xml:space="preserve">Bulan</t>
  </si>
  <si>
    <t xml:space="preserve">Salinan DATA_LEADTIME_BB — sheet PKG (apa adanya)</t>
  </si>
  <si>
    <t xml:space="preserve">P = Preparation, S = Sailing, L = Loading/unloading, C = Congestion (hari). Hanya S yang bervariasi; P dan L berupa angka tetap.</t>
  </si>
  <si>
    <t xml:space="preserve">Konsumsi lama — bulan &amp; tahun tidak tercatat di file asal</t>
  </si>
  <si>
    <t xml:space="preserve">P</t>
  </si>
  <si>
    <t xml:space="preserve">S</t>
  </si>
  <si>
    <t xml:space="preserve">L</t>
  </si>
  <si>
    <t xml:space="preserve">C</t>
  </si>
  <si>
    <t xml:space="preserve">Lead time</t>
  </si>
  <si>
    <t xml:space="preserve">Origin</t>
  </si>
  <si>
    <t xml:space="preserve">Urutan</t>
  </si>
  <si>
    <t xml:space="preserve">Konsumsi (t/bulan)</t>
  </si>
</sst>
</file>

<file path=xl/styles.xml><?xml version="1.0" encoding="utf-8"?>
<styleSheet xmlns="http://schemas.openxmlformats.org/spreadsheetml/2006/main">
  <numFmts count="7">
    <numFmt numFmtId="164" formatCode="General"/>
    <numFmt numFmtId="165" formatCode="General"/>
    <numFmt numFmtId="166" formatCode="dd\-mmm\-yyyy"/>
    <numFmt numFmtId="167" formatCode="0"/>
    <numFmt numFmtId="168" formatCode="0.0"/>
    <numFmt numFmtId="169" formatCode="#,##0"/>
    <numFmt numFmtId="170" formatCode="mmm\-yyyy"/>
  </numFmts>
  <fonts count="10">
    <font>
      <sz val="11"/>
      <color theme="1"/>
      <name val="Calibri"/>
      <family val="2"/>
      <charset val="1"/>
    </font>
    <font>
      <sz val="10"/>
      <name val="Arial"/>
      <family val="0"/>
    </font>
    <font>
      <sz val="10"/>
      <name val="Arial"/>
      <family val="0"/>
    </font>
    <font>
      <sz val="10"/>
      <name val="Arial"/>
      <family val="0"/>
    </font>
    <font>
      <b val="true"/>
      <sz val="14"/>
      <color rgb="FF1F4E5A"/>
      <name val="Cambria"/>
      <family val="0"/>
      <charset val="1"/>
    </font>
    <font>
      <i val="true"/>
      <sz val="11"/>
      <color rgb="FF595959"/>
      <name val="Cambria"/>
      <family val="0"/>
      <charset val="1"/>
    </font>
    <font>
      <b val="true"/>
      <sz val="11"/>
      <color rgb="FF1F4E5A"/>
      <name val="Cambria"/>
      <family val="0"/>
      <charset val="1"/>
    </font>
    <font>
      <b val="true"/>
      <sz val="11"/>
      <color rgb="FF1F1F1F"/>
      <name val="Cambria"/>
      <family val="0"/>
      <charset val="1"/>
    </font>
    <font>
      <b val="true"/>
      <sz val="11"/>
      <color rgb="FFFFFFFF"/>
      <name val="Cambria"/>
      <family val="0"/>
      <charset val="1"/>
    </font>
    <font>
      <i val="true"/>
      <sz val="11"/>
      <color rgb="FFC00000"/>
      <name val="Cambria"/>
      <family val="0"/>
      <charset val="1"/>
    </font>
  </fonts>
  <fills count="9">
    <fill>
      <patternFill patternType="none"/>
    </fill>
    <fill>
      <patternFill patternType="gray125"/>
    </fill>
    <fill>
      <patternFill patternType="solid">
        <fgColor rgb="FFEDEDED"/>
        <bgColor rgb="FFE4EFDC"/>
      </patternFill>
    </fill>
    <fill>
      <patternFill patternType="solid">
        <fgColor rgb="FFDCE6F0"/>
        <bgColor rgb="FFE4EFDC"/>
      </patternFill>
    </fill>
    <fill>
      <patternFill patternType="solid">
        <fgColor rgb="FFFCE9C8"/>
        <bgColor rgb="FFFFF7D6"/>
      </patternFill>
    </fill>
    <fill>
      <patternFill patternType="solid">
        <fgColor rgb="FFE4EFDC"/>
        <bgColor rgb="FFEDEDED"/>
      </patternFill>
    </fill>
    <fill>
      <patternFill patternType="solid">
        <fgColor rgb="FFD9D9D9"/>
        <bgColor rgb="FFDCE6F0"/>
      </patternFill>
    </fill>
    <fill>
      <patternFill patternType="solid">
        <fgColor rgb="FF1F4E5A"/>
        <bgColor rgb="FF333399"/>
      </patternFill>
    </fill>
    <fill>
      <patternFill patternType="solid">
        <fgColor rgb="FFFFF7D6"/>
        <bgColor rgb="FFFCE9C8"/>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2" borderId="0" xfId="0" applyFont="false" applyBorder="false" applyAlignment="true" applyProtection="false">
      <alignment horizontal="left"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5" fontId="0" fillId="8" borderId="2" xfId="0" applyFont="false" applyBorder="true" applyAlignment="false" applyProtection="false">
      <alignment horizontal="general" vertical="bottom" textRotation="0" wrapText="false" indent="0" shrinkToFit="false"/>
      <protection locked="true" hidden="false"/>
    </xf>
    <xf numFmtId="164" fontId="0" fillId="8" borderId="2" xfId="0" applyFont="true" applyBorder="true" applyAlignment="false" applyProtection="false">
      <alignment horizontal="general" vertical="bottom" textRotation="0" wrapText="false" indent="0" shrinkToFit="false"/>
      <protection locked="true" hidden="false"/>
    </xf>
    <xf numFmtId="166" fontId="0" fillId="8" borderId="2" xfId="0" applyFont="false" applyBorder="true" applyAlignment="false" applyProtection="false">
      <alignment horizontal="general" vertical="bottom"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7" fontId="0" fillId="2" borderId="2" xfId="0" applyFont="false" applyBorder="true" applyAlignment="false" applyProtection="false">
      <alignment horizontal="general" vertical="bottom" textRotation="0" wrapText="false" indent="0" shrinkToFit="false"/>
      <protection locked="true" hidden="false"/>
    </xf>
    <xf numFmtId="164" fontId="0" fillId="8"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8" fontId="0" fillId="2" borderId="2" xfId="0" applyFont="false" applyBorder="true" applyAlignment="false" applyProtection="false">
      <alignment horizontal="general" vertical="bottom" textRotation="0" wrapText="false" indent="0" shrinkToFit="false"/>
      <protection locked="true" hidden="false"/>
    </xf>
    <xf numFmtId="169" fontId="0" fillId="2" borderId="2" xfId="0" applyFont="fals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0" fillId="8" borderId="2" xfId="0" applyFont="false" applyBorder="true" applyAlignment="false" applyProtection="false">
      <alignment horizontal="general" vertical="bottom" textRotation="0" wrapText="false" indent="0" shrinkToFit="false"/>
      <protection locked="true" hidden="false"/>
    </xf>
    <xf numFmtId="169" fontId="0" fillId="8" borderId="2"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5A"/>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DEDE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6"/>
      <rgbColor rgb="FFDCE6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4EFDC"/>
      <rgbColor rgb="FFFCE9C8"/>
      <rgbColor rgb="FF99CCFF"/>
      <rgbColor rgb="FFFF99CC"/>
      <rgbColor rgb="FFCC99FF"/>
      <rgbColor rgb="FFFFCC99"/>
      <rgbColor rgb="FF3366FF"/>
      <rgbColor rgb="FF33CCCC"/>
      <rgbColor rgb="FF99CC00"/>
      <rgbColor rgb="FFFFCC00"/>
      <rgbColor rgb="FFFF9900"/>
      <rgbColor rgb="FFFF6600"/>
      <rgbColor rgb="FF595959"/>
      <rgbColor rgb="FF969696"/>
      <rgbColor rgb="FF1F4E5A"/>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75" hidden="false" customHeight="true" outlineLevel="0" collapsed="false">
      <c r="C5" s="4" t="s">
        <v>3</v>
      </c>
    </row>
    <row r="6" customFormat="false" ht="15" hidden="false" customHeight="false" outlineLevel="0" collapsed="false">
      <c r="B6" s="3" t="s">
        <v>4</v>
      </c>
    </row>
    <row r="7" customFormat="false" ht="30" hidden="false" customHeight="true" outlineLevel="0" collapsed="false">
      <c r="C7" s="4" t="s">
        <v>5</v>
      </c>
    </row>
    <row r="8" customFormat="false" ht="15" hidden="false" customHeight="true" outlineLevel="0" collapsed="false">
      <c r="C8" s="4" t="s">
        <v>6</v>
      </c>
    </row>
    <row r="9" customFormat="false" ht="15" hidden="false" customHeight="true" outlineLevel="0" collapsed="false">
      <c r="C9" s="4" t="s">
        <v>7</v>
      </c>
    </row>
    <row r="10" customFormat="false" ht="30" hidden="false" customHeight="true" outlineLevel="0" collapsed="false">
      <c r="C10" s="4" t="s">
        <v>8</v>
      </c>
    </row>
    <row r="11" customFormat="false" ht="15" hidden="false" customHeight="false" outlineLevel="0" collapsed="false">
      <c r="B11" s="3" t="s">
        <v>9</v>
      </c>
    </row>
    <row r="12" customFormat="false" ht="60" hidden="false" customHeight="true" outlineLevel="0" collapsed="false">
      <c r="C12" s="4" t="s">
        <v>10</v>
      </c>
    </row>
    <row r="13" customFormat="false" ht="45" hidden="false" customHeight="true" outlineLevel="0" collapsed="false">
      <c r="C13" s="4" t="s">
        <v>11</v>
      </c>
    </row>
    <row r="14" customFormat="false" ht="30" hidden="false" customHeight="true" outlineLevel="0" collapsed="false">
      <c r="C14" s="4" t="s">
        <v>12</v>
      </c>
    </row>
    <row r="15" customFormat="false" ht="15" hidden="false" customHeight="false" outlineLevel="0" collapsed="false">
      <c r="B15" s="3" t="s">
        <v>13</v>
      </c>
    </row>
    <row r="16" customFormat="false" ht="30" hidden="false" customHeight="true" outlineLevel="0" collapsed="false">
      <c r="C16" s="4" t="s">
        <v>14</v>
      </c>
    </row>
    <row r="17" customFormat="false" ht="15" hidden="false" customHeight="false" outlineLevel="0" collapsed="false">
      <c r="B17" s="3" t="s">
        <v>15</v>
      </c>
    </row>
    <row r="18" customFormat="false" ht="15" hidden="false" customHeight="true" outlineLevel="0" collapsed="false">
      <c r="C18" s="4" t="s">
        <v>16</v>
      </c>
    </row>
    <row r="19" customFormat="false" ht="15" hidden="false" customHeight="true" outlineLevel="0" collapsed="false">
      <c r="C19" s="4" t="s">
        <v>17</v>
      </c>
    </row>
    <row r="20" customFormat="false" ht="30" hidden="false" customHeight="true" outlineLevel="0" collapsed="false">
      <c r="C20" s="4" t="s">
        <v>18</v>
      </c>
    </row>
    <row r="21" customFormat="false" ht="30" hidden="false" customHeight="true" outlineLevel="0" collapsed="false">
      <c r="C21" s="4" t="s">
        <v>19</v>
      </c>
    </row>
    <row r="22" customFormat="false" ht="15" hidden="false" customHeight="false" outlineLevel="0" collapsed="false">
      <c r="B22" s="3" t="s">
        <v>20</v>
      </c>
    </row>
    <row r="23" customFormat="false" ht="45" hidden="false" customHeight="true" outlineLevel="0" collapsed="false">
      <c r="C23" s="4" t="s">
        <v>21</v>
      </c>
    </row>
    <row r="24" customFormat="false" ht="30" hidden="false" customHeight="true" outlineLevel="0" collapsed="false">
      <c r="C24" s="4" t="s">
        <v>22</v>
      </c>
    </row>
    <row r="25" customFormat="false" ht="45" hidden="false" customHeight="true" outlineLevel="0" collapsed="false">
      <c r="C25" s="4" t="s">
        <v>23</v>
      </c>
    </row>
    <row r="26" customFormat="false" ht="15" hidden="false" customHeight="false" outlineLevel="0" collapsed="false">
      <c r="B26" s="3" t="s">
        <v>24</v>
      </c>
    </row>
    <row r="27" customFormat="false" ht="15" hidden="false" customHeight="false" outlineLevel="0" collapsed="false">
      <c r="B27" s="4" t="s">
        <v>25</v>
      </c>
      <c r="C27" s="5" t="n">
        <f aca="false">COUNTA(Log_Kargo!B5:B1004)</f>
        <v>213</v>
      </c>
    </row>
    <row r="28" customFormat="false" ht="28.35" hidden="false" customHeight="false" outlineLevel="0" collapsed="false">
      <c r="B28" s="4" t="s">
        <v>26</v>
      </c>
      <c r="C28" s="5" t="n">
        <f aca="false">SUMPRODUCT((Log_Kargo!B5:B1004&lt;&gt;"")*ISNUMBER(Log_Kargo!Q5:Q1004)*ISNUMBER(Log_Kargo!R5:R1004))</f>
        <v>168</v>
      </c>
    </row>
    <row r="29" customFormat="false" ht="28.35" hidden="false" customHeight="false" outlineLevel="0" collapsed="false">
      <c r="B29" s="4" t="s">
        <v>27</v>
      </c>
      <c r="C29" s="5" t="n">
        <f aca="false">SUMPRODUCT((Log_Kargo!B5:B1004&lt;&gt;"")*ISNUMBER(Log_Kargo!AC5:AC1004))</f>
        <v>0</v>
      </c>
    </row>
    <row r="30" customFormat="false" ht="15" hidden="false" customHeight="false" outlineLevel="0" collapsed="false">
      <c r="B30" s="4" t="s">
        <v>28</v>
      </c>
      <c r="C30" s="5" t="n">
        <f aca="false">COUNTIF(Log_Kargo!AJ5:AJ1004,"7/7")</f>
        <v>0</v>
      </c>
    </row>
    <row r="31" customFormat="false" ht="15" hidden="false" customHeight="false" outlineLevel="0" collapsed="false">
      <c r="B31" s="4" t="s">
        <v>29</v>
      </c>
      <c r="C31" s="5" t="n">
        <f aca="false">SUMPRODUCT((Log_Kargo!B5:B1004&lt;&gt;"")*(Log_Kargo!AK5:AK1004&lt;&gt;"OK"))</f>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6"/>
    <col collapsed="false" customWidth="true" hidden="false" outlineLevel="0" max="4" min="4" style="0" width="7"/>
    <col collapsed="false" customWidth="true" hidden="false" outlineLevel="0" max="5" min="5" style="0" width="11"/>
    <col collapsed="false" customWidth="true" hidden="false" outlineLevel="0" max="6" min="6" style="0" width="20"/>
    <col collapsed="false" customWidth="true" hidden="false" outlineLevel="0" max="7" min="7" style="0" width="16"/>
    <col collapsed="false" customWidth="true" hidden="false" outlineLevel="0" max="8" min="8" style="0" width="24"/>
    <col collapsed="false" customWidth="true" hidden="false" outlineLevel="0" max="9" min="9" style="0" width="20"/>
    <col collapsed="false" customWidth="true" hidden="false" outlineLevel="0" max="11" min="10" style="0" width="11"/>
    <col collapsed="false" customWidth="true" hidden="false" outlineLevel="0" max="20" min="12" style="0" width="12"/>
    <col collapsed="false" customWidth="true" hidden="false" outlineLevel="0" max="21" min="21" style="0" width="13"/>
    <col collapsed="false" customWidth="true" hidden="false" outlineLevel="0" max="22" min="22" style="0" width="18"/>
    <col collapsed="false" customWidth="true" hidden="false" outlineLevel="0" max="23" min="23" style="0" width="30"/>
    <col collapsed="false" customWidth="true" hidden="false" outlineLevel="0" max="24" min="24" style="0" width="16"/>
    <col collapsed="false" customWidth="true" hidden="false" outlineLevel="0" max="25" min="25" style="0" width="9"/>
    <col collapsed="false" customWidth="true" hidden="false" outlineLevel="0" max="26" min="26" style="0" width="16"/>
    <col collapsed="false" customWidth="true" hidden="false" outlineLevel="0" max="29" min="27" style="0" width="9"/>
    <col collapsed="false" customWidth="true" hidden="false" outlineLevel="0" max="34" min="30" style="0" width="8"/>
    <col collapsed="false" customWidth="true" hidden="false" outlineLevel="0" max="35" min="35" style="0" width="10"/>
    <col collapsed="false" customWidth="true" hidden="false" outlineLevel="0" max="36" min="36" style="0" width="9"/>
    <col collapsed="false" customWidth="true" hidden="false" outlineLevel="0" max="37" min="37" style="0" width="26"/>
  </cols>
  <sheetData>
    <row r="1" customFormat="false" ht="17.35" hidden="false" customHeight="false" outlineLevel="0" collapsed="false">
      <c r="A1" s="1" t="s">
        <v>30</v>
      </c>
    </row>
    <row r="2" customFormat="false" ht="15" hidden="false" customHeight="false" outlineLevel="0" collapsed="false">
      <c r="A2" s="2" t="s">
        <v>31</v>
      </c>
    </row>
    <row r="3" customFormat="false" ht="15" hidden="false" customHeight="true" outlineLevel="0" collapsed="false">
      <c r="A3" s="6" t="s">
        <v>32</v>
      </c>
      <c r="B3" s="6"/>
      <c r="C3" s="6"/>
      <c r="D3" s="6"/>
      <c r="E3" s="6"/>
      <c r="F3" s="6"/>
      <c r="G3" s="6"/>
      <c r="H3" s="6"/>
      <c r="I3" s="6"/>
      <c r="J3" s="6"/>
      <c r="K3" s="6"/>
      <c r="L3" s="7" t="s">
        <v>33</v>
      </c>
      <c r="M3" s="7"/>
      <c r="N3" s="7"/>
      <c r="O3" s="7"/>
      <c r="P3" s="7"/>
      <c r="Q3" s="7"/>
      <c r="R3" s="7"/>
      <c r="S3" s="7"/>
      <c r="T3" s="7"/>
      <c r="U3" s="8" t="s">
        <v>34</v>
      </c>
      <c r="V3" s="8"/>
      <c r="W3" s="8"/>
      <c r="X3" s="8"/>
      <c r="Y3" s="8"/>
      <c r="Z3" s="8"/>
      <c r="AA3" s="9" t="s">
        <v>35</v>
      </c>
      <c r="AB3" s="9"/>
      <c r="AC3" s="9"/>
      <c r="AD3" s="9"/>
      <c r="AE3" s="9"/>
      <c r="AF3" s="9"/>
      <c r="AG3" s="9"/>
      <c r="AH3" s="9"/>
      <c r="AI3" s="9"/>
      <c r="AJ3" s="9"/>
      <c r="AK3" s="9"/>
    </row>
    <row r="4" customFormat="false" ht="45" hidden="false" customHeight="true" outlineLevel="0" collapsed="false">
      <c r="A4" s="10" t="s">
        <v>36</v>
      </c>
      <c r="B4" s="10" t="s">
        <v>37</v>
      </c>
      <c r="C4" s="10" t="s">
        <v>38</v>
      </c>
      <c r="D4" s="10" t="s">
        <v>39</v>
      </c>
      <c r="E4" s="10" t="s">
        <v>40</v>
      </c>
      <c r="F4" s="10" t="s">
        <v>41</v>
      </c>
      <c r="G4" s="10" t="s">
        <v>42</v>
      </c>
      <c r="H4" s="10" t="s">
        <v>43</v>
      </c>
      <c r="I4" s="10" t="s">
        <v>44</v>
      </c>
      <c r="J4" s="10" t="s">
        <v>45</v>
      </c>
      <c r="K4" s="10" t="s">
        <v>46</v>
      </c>
      <c r="L4" s="10" t="s">
        <v>47</v>
      </c>
      <c r="M4" s="10" t="s">
        <v>48</v>
      </c>
      <c r="N4" s="10" t="s">
        <v>49</v>
      </c>
      <c r="O4" s="10" t="s">
        <v>50</v>
      </c>
      <c r="P4" s="10" t="s">
        <v>51</v>
      </c>
      <c r="Q4" s="10" t="s">
        <v>52</v>
      </c>
      <c r="R4" s="10" t="s">
        <v>53</v>
      </c>
      <c r="S4" s="10" t="s">
        <v>54</v>
      </c>
      <c r="T4" s="10" t="s">
        <v>55</v>
      </c>
      <c r="U4" s="10" t="s">
        <v>56</v>
      </c>
      <c r="V4" s="10" t="s">
        <v>57</v>
      </c>
      <c r="W4" s="10" t="s">
        <v>58</v>
      </c>
      <c r="X4" s="10" t="s">
        <v>59</v>
      </c>
      <c r="Y4" s="10" t="s">
        <v>60</v>
      </c>
      <c r="Z4" s="10" t="s">
        <v>61</v>
      </c>
      <c r="AA4" s="10" t="s">
        <v>62</v>
      </c>
      <c r="AB4" s="10" t="s">
        <v>63</v>
      </c>
      <c r="AC4" s="10" t="s">
        <v>64</v>
      </c>
      <c r="AD4" s="10" t="s">
        <v>65</v>
      </c>
      <c r="AE4" s="10" t="s">
        <v>66</v>
      </c>
      <c r="AF4" s="10" t="s">
        <v>67</v>
      </c>
      <c r="AG4" s="10" t="s">
        <v>68</v>
      </c>
      <c r="AH4" s="10" t="s">
        <v>69</v>
      </c>
      <c r="AI4" s="10" t="s">
        <v>70</v>
      </c>
      <c r="AJ4" s="10" t="s">
        <v>71</v>
      </c>
      <c r="AK4" s="10" t="s">
        <v>72</v>
      </c>
    </row>
    <row r="5" customFormat="false" ht="15" hidden="false" customHeight="false" outlineLevel="0" collapsed="false">
      <c r="A5" s="11" t="n">
        <f aca="false">IF(B5="","",ROW()-4)</f>
        <v>1</v>
      </c>
      <c r="B5" s="12" t="s">
        <v>73</v>
      </c>
      <c r="C5" s="11" t="s">
        <v>74</v>
      </c>
      <c r="D5" s="11" t="n">
        <v>2022</v>
      </c>
      <c r="E5" s="11" t="s">
        <v>75</v>
      </c>
      <c r="F5" s="11" t="s">
        <v>76</v>
      </c>
      <c r="G5" s="11" t="s">
        <v>77</v>
      </c>
      <c r="H5" s="11" t="s">
        <v>78</v>
      </c>
      <c r="I5" s="11" t="s">
        <v>79</v>
      </c>
      <c r="J5" s="11"/>
      <c r="K5" s="11" t="n">
        <v>27500</v>
      </c>
      <c r="L5" s="13"/>
      <c r="M5" s="13"/>
      <c r="N5" s="13"/>
      <c r="O5" s="13"/>
      <c r="P5" s="13"/>
      <c r="Q5" s="13"/>
      <c r="R5" s="13"/>
      <c r="S5" s="13"/>
      <c r="T5" s="13"/>
      <c r="U5" s="12" t="s">
        <v>80</v>
      </c>
      <c r="V5" s="14"/>
      <c r="W5" s="11"/>
      <c r="X5" s="11"/>
      <c r="Y5" s="11" t="n">
        <v>28</v>
      </c>
      <c r="Z5" s="11" t="s">
        <v>81</v>
      </c>
      <c r="AA5" s="15" t="str">
        <f aca="false">IF(AND(ISNUMBER(L5),ISNUMBER(M5)),M5-L5,"")</f>
        <v/>
      </c>
      <c r="AB5" s="15" t="str">
        <f aca="false">IF(AND(ISNUMBER(M5),ISNUMBER(P5)),P5-M5,"")</f>
        <v/>
      </c>
      <c r="AC5" s="15" t="str">
        <f aca="false">IF(AND(ISNUMBER(L5),ISNUMBER(P5)),P5-L5,"")</f>
        <v/>
      </c>
      <c r="AD5" s="15" t="str">
        <f aca="false">IF(AND(ISNUMBER(P5),ISNUMBER(Q5)),Q5-P5,"")</f>
        <v/>
      </c>
      <c r="AE5" s="15" t="n">
        <f aca="false">IF(AND(ISNUMBER(Q5),ISNUMBER(R5)),R5-Q5,IF(ISNUMBER(Y5),Y5,""))</f>
        <v>28</v>
      </c>
      <c r="AF5" s="15" t="str">
        <f aca="false">IF(AND(ISNUMBER(R5),ISNUMBER(S5)),S5-R5,"")</f>
        <v/>
      </c>
      <c r="AG5" s="15" t="str">
        <f aca="false">IF(AND(ISNUMBER(S5),ISNUMBER(T5)),T5-S5,"")</f>
        <v/>
      </c>
      <c r="AH5" s="15" t="str">
        <f aca="false">IF(AND(ISNUMBER(L5),ISNUMBER(T5)),T5-L5,"")</f>
        <v/>
      </c>
      <c r="AI5" s="15" t="str">
        <f aca="false">IF(AND(ISNUMBER(O5),ISNUMBER(Q5)),Q5-O5,"")</f>
        <v/>
      </c>
      <c r="AJ5" s="15" t="str">
        <f aca="false">IF(B5="","",COUNT(L5:M5,P5:T5)&amp;"/7")</f>
        <v>0/7</v>
      </c>
      <c r="AK5" s="15" t="str">
        <f aca="false">IF(B5="","",IF(OR(AND(ISNUMBER(L5),ISNUMBER(M5),M5&lt;L5),AND(ISNUMBER(M5),ISNUMBER(P5),P5&lt;M5),AND(ISNUMBER(P5),ISNUMBER(Q5),Q5&lt;P5),AND(ISNUMBER(Q5),ISNUMBER(R5),R5&lt;Q5),AND(ISNUMBER(R5),ISNUMBER(S5),S5&lt;R5),AND(ISNUMBER(S5),ISNUMBER(T5),T5&lt;S5),AND(ISNUMBER(N5),ISNUMBER(O5),O5&lt;N5)),"Urutan tanggal salah",IF(AND(ISNUMBER(Q5),ISNUMBER(R5),ISNUMBER(Y5),ABS(R5-Q5-Y5)&gt;2),"S tanggal ≠ Sailing tercatat",IF(AND(ISNUMBER(Q5),ISNUMBER(O5),ABS(Q5-O5)&gt;60),"Cek tahun laycan",IF(AND(ISNUMBER(Q5),ISNUMBER(N5),Q5&lt;N5),"Berangkat sebelum laycan",IF(NOT(ISNUMBER(AE5)),"S belum ada","OK"))))))</f>
        <v>OK</v>
      </c>
    </row>
    <row r="6" customFormat="false" ht="15" hidden="false" customHeight="false" outlineLevel="0" collapsed="false">
      <c r="A6" s="11" t="n">
        <f aca="false">IF(B6="","",ROW()-4)</f>
        <v>2</v>
      </c>
      <c r="B6" s="12" t="s">
        <v>73</v>
      </c>
      <c r="C6" s="11" t="s">
        <v>82</v>
      </c>
      <c r="D6" s="11" t="n">
        <v>2022</v>
      </c>
      <c r="E6" s="11" t="s">
        <v>75</v>
      </c>
      <c r="F6" s="11" t="s">
        <v>76</v>
      </c>
      <c r="G6" s="11" t="s">
        <v>77</v>
      </c>
      <c r="H6" s="11" t="s">
        <v>83</v>
      </c>
      <c r="I6" s="11" t="s">
        <v>84</v>
      </c>
      <c r="J6" s="11"/>
      <c r="K6" s="11" t="n">
        <v>26510</v>
      </c>
      <c r="L6" s="13"/>
      <c r="M6" s="13"/>
      <c r="N6" s="13" t="n">
        <v>44674</v>
      </c>
      <c r="O6" s="13" t="n">
        <v>44674</v>
      </c>
      <c r="P6" s="13"/>
      <c r="Q6" s="13" t="n">
        <v>44675</v>
      </c>
      <c r="R6" s="13" t="n">
        <v>44703</v>
      </c>
      <c r="S6" s="13"/>
      <c r="T6" s="13"/>
      <c r="U6" s="12" t="s">
        <v>80</v>
      </c>
      <c r="V6" s="14"/>
      <c r="W6" s="11"/>
      <c r="X6" s="11"/>
      <c r="Y6" s="11" t="n">
        <v>28</v>
      </c>
      <c r="Z6" s="11" t="s">
        <v>81</v>
      </c>
      <c r="AA6" s="15" t="str">
        <f aca="false">IF(AND(ISNUMBER(L6),ISNUMBER(M6)),M6-L6,"")</f>
        <v/>
      </c>
      <c r="AB6" s="15" t="str">
        <f aca="false">IF(AND(ISNUMBER(M6),ISNUMBER(P6)),P6-M6,"")</f>
        <v/>
      </c>
      <c r="AC6" s="15" t="str">
        <f aca="false">IF(AND(ISNUMBER(L6),ISNUMBER(P6)),P6-L6,"")</f>
        <v/>
      </c>
      <c r="AD6" s="15" t="str">
        <f aca="false">IF(AND(ISNUMBER(P6),ISNUMBER(Q6)),Q6-P6,"")</f>
        <v/>
      </c>
      <c r="AE6" s="15" t="n">
        <f aca="false">IF(AND(ISNUMBER(Q6),ISNUMBER(R6)),R6-Q6,IF(ISNUMBER(Y6),Y6,""))</f>
        <v>28</v>
      </c>
      <c r="AF6" s="15" t="str">
        <f aca="false">IF(AND(ISNUMBER(R6),ISNUMBER(S6)),S6-R6,"")</f>
        <v/>
      </c>
      <c r="AG6" s="15" t="str">
        <f aca="false">IF(AND(ISNUMBER(S6),ISNUMBER(T6)),T6-S6,"")</f>
        <v/>
      </c>
      <c r="AH6" s="15" t="str">
        <f aca="false">IF(AND(ISNUMBER(L6),ISNUMBER(T6)),T6-L6,"")</f>
        <v/>
      </c>
      <c r="AI6" s="15" t="n">
        <f aca="false">IF(AND(ISNUMBER(O6),ISNUMBER(Q6)),Q6-O6,"")</f>
        <v>1</v>
      </c>
      <c r="AJ6" s="15" t="str">
        <f aca="false">IF(B6="","",COUNT(L6:M6,P6:T6)&amp;"/7")</f>
        <v>2/7</v>
      </c>
      <c r="AK6" s="15" t="str">
        <f aca="false">IF(B6="","",IF(OR(AND(ISNUMBER(L6),ISNUMBER(M6),M6&lt;L6),AND(ISNUMBER(M6),ISNUMBER(P6),P6&lt;M6),AND(ISNUMBER(P6),ISNUMBER(Q6),Q6&lt;P6),AND(ISNUMBER(Q6),ISNUMBER(R6),R6&lt;Q6),AND(ISNUMBER(R6),ISNUMBER(S6),S6&lt;R6),AND(ISNUMBER(S6),ISNUMBER(T6),T6&lt;S6),AND(ISNUMBER(N6),ISNUMBER(O6),O6&lt;N6)),"Urutan tanggal salah",IF(AND(ISNUMBER(Q6),ISNUMBER(R6),ISNUMBER(Y6),ABS(R6-Q6-Y6)&gt;2),"S tanggal ≠ Sailing tercatat",IF(AND(ISNUMBER(Q6),ISNUMBER(O6),ABS(Q6-O6)&gt;60),"Cek tahun laycan",IF(AND(ISNUMBER(Q6),ISNUMBER(N6),Q6&lt;N6),"Berangkat sebelum laycan",IF(NOT(ISNUMBER(AE6)),"S belum ada","OK"))))))</f>
        <v>OK</v>
      </c>
    </row>
    <row r="7" customFormat="false" ht="15" hidden="false" customHeight="false" outlineLevel="0" collapsed="false">
      <c r="A7" s="11" t="n">
        <f aca="false">IF(B7="","",ROW()-4)</f>
        <v>3</v>
      </c>
      <c r="B7" s="12" t="s">
        <v>73</v>
      </c>
      <c r="C7" s="11" t="s">
        <v>74</v>
      </c>
      <c r="D7" s="11" t="n">
        <v>2022</v>
      </c>
      <c r="E7" s="11" t="s">
        <v>75</v>
      </c>
      <c r="F7" s="11" t="s">
        <v>76</v>
      </c>
      <c r="G7" s="11" t="s">
        <v>77</v>
      </c>
      <c r="H7" s="11" t="s">
        <v>85</v>
      </c>
      <c r="I7" s="11" t="s">
        <v>86</v>
      </c>
      <c r="J7" s="11"/>
      <c r="K7" s="11" t="n">
        <v>27500</v>
      </c>
      <c r="L7" s="13"/>
      <c r="M7" s="13"/>
      <c r="N7" s="13"/>
      <c r="O7" s="13"/>
      <c r="P7" s="13"/>
      <c r="Q7" s="13"/>
      <c r="R7" s="13"/>
      <c r="S7" s="13"/>
      <c r="T7" s="13"/>
      <c r="U7" s="12" t="s">
        <v>80</v>
      </c>
      <c r="V7" s="14"/>
      <c r="W7" s="11"/>
      <c r="X7" s="11"/>
      <c r="Y7" s="11" t="n">
        <v>28</v>
      </c>
      <c r="Z7" s="11" t="s">
        <v>81</v>
      </c>
      <c r="AA7" s="15" t="str">
        <f aca="false">IF(AND(ISNUMBER(L7),ISNUMBER(M7)),M7-L7,"")</f>
        <v/>
      </c>
      <c r="AB7" s="15" t="str">
        <f aca="false">IF(AND(ISNUMBER(M7),ISNUMBER(P7)),P7-M7,"")</f>
        <v/>
      </c>
      <c r="AC7" s="15" t="str">
        <f aca="false">IF(AND(ISNUMBER(L7),ISNUMBER(P7)),P7-L7,"")</f>
        <v/>
      </c>
      <c r="AD7" s="15" t="str">
        <f aca="false">IF(AND(ISNUMBER(P7),ISNUMBER(Q7)),Q7-P7,"")</f>
        <v/>
      </c>
      <c r="AE7" s="15" t="n">
        <f aca="false">IF(AND(ISNUMBER(Q7),ISNUMBER(R7)),R7-Q7,IF(ISNUMBER(Y7),Y7,""))</f>
        <v>28</v>
      </c>
      <c r="AF7" s="15" t="str">
        <f aca="false">IF(AND(ISNUMBER(R7),ISNUMBER(S7)),S7-R7,"")</f>
        <v/>
      </c>
      <c r="AG7" s="15" t="str">
        <f aca="false">IF(AND(ISNUMBER(S7),ISNUMBER(T7)),T7-S7,"")</f>
        <v/>
      </c>
      <c r="AH7" s="15" t="str">
        <f aca="false">IF(AND(ISNUMBER(L7),ISNUMBER(T7)),T7-L7,"")</f>
        <v/>
      </c>
      <c r="AI7" s="15" t="str">
        <f aca="false">IF(AND(ISNUMBER(O7),ISNUMBER(Q7)),Q7-O7,"")</f>
        <v/>
      </c>
      <c r="AJ7" s="15" t="str">
        <f aca="false">IF(B7="","",COUNT(L7:M7,P7:T7)&amp;"/7")</f>
        <v>0/7</v>
      </c>
      <c r="AK7" s="15" t="str">
        <f aca="false">IF(B7="","",IF(OR(AND(ISNUMBER(L7),ISNUMBER(M7),M7&lt;L7),AND(ISNUMBER(M7),ISNUMBER(P7),P7&lt;M7),AND(ISNUMBER(P7),ISNUMBER(Q7),Q7&lt;P7),AND(ISNUMBER(Q7),ISNUMBER(R7),R7&lt;Q7),AND(ISNUMBER(R7),ISNUMBER(S7),S7&lt;R7),AND(ISNUMBER(S7),ISNUMBER(T7),T7&lt;S7),AND(ISNUMBER(N7),ISNUMBER(O7),O7&lt;N7)),"Urutan tanggal salah",IF(AND(ISNUMBER(Q7),ISNUMBER(R7),ISNUMBER(Y7),ABS(R7-Q7-Y7)&gt;2),"S tanggal ≠ Sailing tercatat",IF(AND(ISNUMBER(Q7),ISNUMBER(O7),ABS(Q7-O7)&gt;60),"Cek tahun laycan",IF(AND(ISNUMBER(Q7),ISNUMBER(N7),Q7&lt;N7),"Berangkat sebelum laycan",IF(NOT(ISNUMBER(AE7)),"S belum ada","OK"))))))</f>
        <v>OK</v>
      </c>
    </row>
    <row r="8" customFormat="false" ht="15" hidden="false" customHeight="false" outlineLevel="0" collapsed="false">
      <c r="A8" s="11" t="n">
        <f aca="false">IF(B8="","",ROW()-4)</f>
        <v>4</v>
      </c>
      <c r="B8" s="12" t="s">
        <v>73</v>
      </c>
      <c r="C8" s="11" t="s">
        <v>82</v>
      </c>
      <c r="D8" s="11" t="n">
        <v>2022</v>
      </c>
      <c r="E8" s="11" t="s">
        <v>75</v>
      </c>
      <c r="F8" s="11" t="s">
        <v>76</v>
      </c>
      <c r="G8" s="11" t="s">
        <v>77</v>
      </c>
      <c r="H8" s="11" t="s">
        <v>85</v>
      </c>
      <c r="I8" s="11" t="s">
        <v>87</v>
      </c>
      <c r="J8" s="11"/>
      <c r="K8" s="11" t="n">
        <v>27500</v>
      </c>
      <c r="L8" s="13"/>
      <c r="M8" s="13"/>
      <c r="N8" s="13"/>
      <c r="O8" s="13"/>
      <c r="P8" s="13"/>
      <c r="Q8" s="13"/>
      <c r="R8" s="13"/>
      <c r="S8" s="13"/>
      <c r="T8" s="13"/>
      <c r="U8" s="12" t="s">
        <v>80</v>
      </c>
      <c r="V8" s="14"/>
      <c r="W8" s="11"/>
      <c r="X8" s="11"/>
      <c r="Y8" s="11" t="n">
        <v>28</v>
      </c>
      <c r="Z8" s="11" t="s">
        <v>81</v>
      </c>
      <c r="AA8" s="15" t="str">
        <f aca="false">IF(AND(ISNUMBER(L8),ISNUMBER(M8)),M8-L8,"")</f>
        <v/>
      </c>
      <c r="AB8" s="15" t="str">
        <f aca="false">IF(AND(ISNUMBER(M8),ISNUMBER(P8)),P8-M8,"")</f>
        <v/>
      </c>
      <c r="AC8" s="15" t="str">
        <f aca="false">IF(AND(ISNUMBER(L8),ISNUMBER(P8)),P8-L8,"")</f>
        <v/>
      </c>
      <c r="AD8" s="15" t="str">
        <f aca="false">IF(AND(ISNUMBER(P8),ISNUMBER(Q8)),Q8-P8,"")</f>
        <v/>
      </c>
      <c r="AE8" s="15" t="n">
        <f aca="false">IF(AND(ISNUMBER(Q8),ISNUMBER(R8)),R8-Q8,IF(ISNUMBER(Y8),Y8,""))</f>
        <v>28</v>
      </c>
      <c r="AF8" s="15" t="str">
        <f aca="false">IF(AND(ISNUMBER(R8),ISNUMBER(S8)),S8-R8,"")</f>
        <v/>
      </c>
      <c r="AG8" s="15" t="str">
        <f aca="false">IF(AND(ISNUMBER(S8),ISNUMBER(T8)),T8-S8,"")</f>
        <v/>
      </c>
      <c r="AH8" s="15" t="str">
        <f aca="false">IF(AND(ISNUMBER(L8),ISNUMBER(T8)),T8-L8,"")</f>
        <v/>
      </c>
      <c r="AI8" s="15" t="str">
        <f aca="false">IF(AND(ISNUMBER(O8),ISNUMBER(Q8)),Q8-O8,"")</f>
        <v/>
      </c>
      <c r="AJ8" s="15" t="str">
        <f aca="false">IF(B8="","",COUNT(L8:M8,P8:T8)&amp;"/7")</f>
        <v>0/7</v>
      </c>
      <c r="AK8" s="15" t="str">
        <f aca="false">IF(B8="","",IF(OR(AND(ISNUMBER(L8),ISNUMBER(M8),M8&lt;L8),AND(ISNUMBER(M8),ISNUMBER(P8),P8&lt;M8),AND(ISNUMBER(P8),ISNUMBER(Q8),Q8&lt;P8),AND(ISNUMBER(Q8),ISNUMBER(R8),R8&lt;Q8),AND(ISNUMBER(R8),ISNUMBER(S8),S8&lt;R8),AND(ISNUMBER(S8),ISNUMBER(T8),T8&lt;S8),AND(ISNUMBER(N8),ISNUMBER(O8),O8&lt;N8)),"Urutan tanggal salah",IF(AND(ISNUMBER(Q8),ISNUMBER(R8),ISNUMBER(Y8),ABS(R8-Q8-Y8)&gt;2),"S tanggal ≠ Sailing tercatat",IF(AND(ISNUMBER(Q8),ISNUMBER(O8),ABS(Q8-O8)&gt;60),"Cek tahun laycan",IF(AND(ISNUMBER(Q8),ISNUMBER(N8),Q8&lt;N8),"Berangkat sebelum laycan",IF(NOT(ISNUMBER(AE8)),"S belum ada","OK"))))))</f>
        <v>OK</v>
      </c>
    </row>
    <row r="9" customFormat="false" ht="15" hidden="false" customHeight="false" outlineLevel="0" collapsed="false">
      <c r="A9" s="11" t="n">
        <f aca="false">IF(B9="","",ROW()-4)</f>
        <v>5</v>
      </c>
      <c r="B9" s="12" t="s">
        <v>73</v>
      </c>
      <c r="C9" s="11" t="s">
        <v>88</v>
      </c>
      <c r="D9" s="11" t="n">
        <v>2022</v>
      </c>
      <c r="E9" s="11" t="s">
        <v>75</v>
      </c>
      <c r="F9" s="11" t="s">
        <v>76</v>
      </c>
      <c r="G9" s="11" t="s">
        <v>77</v>
      </c>
      <c r="H9" s="11" t="s">
        <v>85</v>
      </c>
      <c r="I9" s="11" t="s">
        <v>89</v>
      </c>
      <c r="J9" s="11"/>
      <c r="K9" s="11" t="n">
        <v>27146</v>
      </c>
      <c r="L9" s="13"/>
      <c r="M9" s="13"/>
      <c r="N9" s="13"/>
      <c r="O9" s="13"/>
      <c r="P9" s="13"/>
      <c r="Q9" s="13"/>
      <c r="R9" s="13"/>
      <c r="S9" s="13"/>
      <c r="T9" s="13"/>
      <c r="U9" s="12" t="s">
        <v>80</v>
      </c>
      <c r="V9" s="14"/>
      <c r="W9" s="11"/>
      <c r="X9" s="11"/>
      <c r="Y9" s="11" t="n">
        <v>28</v>
      </c>
      <c r="Z9" s="11" t="s">
        <v>81</v>
      </c>
      <c r="AA9" s="15" t="str">
        <f aca="false">IF(AND(ISNUMBER(L9),ISNUMBER(M9)),M9-L9,"")</f>
        <v/>
      </c>
      <c r="AB9" s="15" t="str">
        <f aca="false">IF(AND(ISNUMBER(M9),ISNUMBER(P9)),P9-M9,"")</f>
        <v/>
      </c>
      <c r="AC9" s="15" t="str">
        <f aca="false">IF(AND(ISNUMBER(L9),ISNUMBER(P9)),P9-L9,"")</f>
        <v/>
      </c>
      <c r="AD9" s="15" t="str">
        <f aca="false">IF(AND(ISNUMBER(P9),ISNUMBER(Q9)),Q9-P9,"")</f>
        <v/>
      </c>
      <c r="AE9" s="15" t="n">
        <f aca="false">IF(AND(ISNUMBER(Q9),ISNUMBER(R9)),R9-Q9,IF(ISNUMBER(Y9),Y9,""))</f>
        <v>28</v>
      </c>
      <c r="AF9" s="15" t="str">
        <f aca="false">IF(AND(ISNUMBER(R9),ISNUMBER(S9)),S9-R9,"")</f>
        <v/>
      </c>
      <c r="AG9" s="15" t="str">
        <f aca="false">IF(AND(ISNUMBER(S9),ISNUMBER(T9)),T9-S9,"")</f>
        <v/>
      </c>
      <c r="AH9" s="15" t="str">
        <f aca="false">IF(AND(ISNUMBER(L9),ISNUMBER(T9)),T9-L9,"")</f>
        <v/>
      </c>
      <c r="AI9" s="15" t="str">
        <f aca="false">IF(AND(ISNUMBER(O9),ISNUMBER(Q9)),Q9-O9,"")</f>
        <v/>
      </c>
      <c r="AJ9" s="15" t="str">
        <f aca="false">IF(B9="","",COUNT(L9:M9,P9:T9)&amp;"/7")</f>
        <v>0/7</v>
      </c>
      <c r="AK9" s="15" t="str">
        <f aca="false">IF(B9="","",IF(OR(AND(ISNUMBER(L9),ISNUMBER(M9),M9&lt;L9),AND(ISNUMBER(M9),ISNUMBER(P9),P9&lt;M9),AND(ISNUMBER(P9),ISNUMBER(Q9),Q9&lt;P9),AND(ISNUMBER(Q9),ISNUMBER(R9),R9&lt;Q9),AND(ISNUMBER(R9),ISNUMBER(S9),S9&lt;R9),AND(ISNUMBER(S9),ISNUMBER(T9),T9&lt;S9),AND(ISNUMBER(N9),ISNUMBER(O9),O9&lt;N9)),"Urutan tanggal salah",IF(AND(ISNUMBER(Q9),ISNUMBER(R9),ISNUMBER(Y9),ABS(R9-Q9-Y9)&gt;2),"S tanggal ≠ Sailing tercatat",IF(AND(ISNUMBER(Q9),ISNUMBER(O9),ABS(Q9-O9)&gt;60),"Cek tahun laycan",IF(AND(ISNUMBER(Q9),ISNUMBER(N9),Q9&lt;N9),"Berangkat sebelum laycan",IF(NOT(ISNUMBER(AE9)),"S belum ada","OK"))))))</f>
        <v>OK</v>
      </c>
    </row>
    <row r="10" customFormat="false" ht="15" hidden="false" customHeight="false" outlineLevel="0" collapsed="false">
      <c r="A10" s="11" t="n">
        <f aca="false">IF(B10="","",ROW()-4)</f>
        <v>6</v>
      </c>
      <c r="B10" s="12" t="s">
        <v>73</v>
      </c>
      <c r="C10" s="11" t="s">
        <v>73</v>
      </c>
      <c r="D10" s="11" t="n">
        <v>2022</v>
      </c>
      <c r="E10" s="11" t="s">
        <v>90</v>
      </c>
      <c r="F10" s="11" t="s">
        <v>91</v>
      </c>
      <c r="G10" s="11" t="s">
        <v>77</v>
      </c>
      <c r="H10" s="11" t="s">
        <v>92</v>
      </c>
      <c r="I10" s="11" t="s">
        <v>93</v>
      </c>
      <c r="J10" s="11"/>
      <c r="K10" s="11" t="n">
        <v>27533</v>
      </c>
      <c r="L10" s="13"/>
      <c r="M10" s="13"/>
      <c r="N10" s="13"/>
      <c r="O10" s="13"/>
      <c r="P10" s="13"/>
      <c r="Q10" s="13"/>
      <c r="R10" s="13"/>
      <c r="S10" s="13"/>
      <c r="T10" s="13"/>
      <c r="U10" s="12" t="s">
        <v>80</v>
      </c>
      <c r="V10" s="14"/>
      <c r="W10" s="11"/>
      <c r="X10" s="11"/>
      <c r="Y10" s="11" t="n">
        <v>28</v>
      </c>
      <c r="Z10" s="11" t="s">
        <v>81</v>
      </c>
      <c r="AA10" s="15" t="str">
        <f aca="false">IF(AND(ISNUMBER(L10),ISNUMBER(M10)),M10-L10,"")</f>
        <v/>
      </c>
      <c r="AB10" s="15" t="str">
        <f aca="false">IF(AND(ISNUMBER(M10),ISNUMBER(P10)),P10-M10,"")</f>
        <v/>
      </c>
      <c r="AC10" s="15" t="str">
        <f aca="false">IF(AND(ISNUMBER(L10),ISNUMBER(P10)),P10-L10,"")</f>
        <v/>
      </c>
      <c r="AD10" s="15" t="str">
        <f aca="false">IF(AND(ISNUMBER(P10),ISNUMBER(Q10)),Q10-P10,"")</f>
        <v/>
      </c>
      <c r="AE10" s="15" t="n">
        <f aca="false">IF(AND(ISNUMBER(Q10),ISNUMBER(R10)),R10-Q10,IF(ISNUMBER(Y10),Y10,""))</f>
        <v>28</v>
      </c>
      <c r="AF10" s="15" t="str">
        <f aca="false">IF(AND(ISNUMBER(R10),ISNUMBER(S10)),S10-R10,"")</f>
        <v/>
      </c>
      <c r="AG10" s="15" t="str">
        <f aca="false">IF(AND(ISNUMBER(S10),ISNUMBER(T10)),T10-S10,"")</f>
        <v/>
      </c>
      <c r="AH10" s="15" t="str">
        <f aca="false">IF(AND(ISNUMBER(L10),ISNUMBER(T10)),T10-L10,"")</f>
        <v/>
      </c>
      <c r="AI10" s="15" t="str">
        <f aca="false">IF(AND(ISNUMBER(O10),ISNUMBER(Q10)),Q10-O10,"")</f>
        <v/>
      </c>
      <c r="AJ10" s="15" t="str">
        <f aca="false">IF(B10="","",COUNT(L10:M10,P10:T10)&amp;"/7")</f>
        <v>0/7</v>
      </c>
      <c r="AK10" s="15" t="str">
        <f aca="false">IF(B10="","",IF(OR(AND(ISNUMBER(L10),ISNUMBER(M10),M10&lt;L10),AND(ISNUMBER(M10),ISNUMBER(P10),P10&lt;M10),AND(ISNUMBER(P10),ISNUMBER(Q10),Q10&lt;P10),AND(ISNUMBER(Q10),ISNUMBER(R10),R10&lt;Q10),AND(ISNUMBER(R10),ISNUMBER(S10),S10&lt;R10),AND(ISNUMBER(S10),ISNUMBER(T10),T10&lt;S10),AND(ISNUMBER(N10),ISNUMBER(O10),O10&lt;N10)),"Urutan tanggal salah",IF(AND(ISNUMBER(Q10),ISNUMBER(R10),ISNUMBER(Y10),ABS(R10-Q10-Y10)&gt;2),"S tanggal ≠ Sailing tercatat",IF(AND(ISNUMBER(Q10),ISNUMBER(O10),ABS(Q10-O10)&gt;60),"Cek tahun laycan",IF(AND(ISNUMBER(Q10),ISNUMBER(N10),Q10&lt;N10),"Berangkat sebelum laycan",IF(NOT(ISNUMBER(AE10)),"S belum ada","OK"))))))</f>
        <v>OK</v>
      </c>
    </row>
    <row r="11" customFormat="false" ht="15" hidden="false" customHeight="false" outlineLevel="0" collapsed="false">
      <c r="A11" s="11" t="n">
        <f aca="false">IF(B11="","",ROW()-4)</f>
        <v>7</v>
      </c>
      <c r="B11" s="12" t="s">
        <v>73</v>
      </c>
      <c r="C11" s="11" t="s">
        <v>74</v>
      </c>
      <c r="D11" s="11" t="n">
        <v>2022</v>
      </c>
      <c r="E11" s="11" t="s">
        <v>94</v>
      </c>
      <c r="F11" s="11" t="s">
        <v>95</v>
      </c>
      <c r="G11" s="11" t="s">
        <v>77</v>
      </c>
      <c r="H11" s="11" t="s">
        <v>96</v>
      </c>
      <c r="I11" s="11" t="s">
        <v>97</v>
      </c>
      <c r="J11" s="11"/>
      <c r="K11" s="11" t="n">
        <v>23500</v>
      </c>
      <c r="L11" s="13"/>
      <c r="M11" s="13"/>
      <c r="N11" s="13"/>
      <c r="O11" s="13"/>
      <c r="P11" s="13"/>
      <c r="Q11" s="13"/>
      <c r="R11" s="13"/>
      <c r="S11" s="13"/>
      <c r="T11" s="13"/>
      <c r="U11" s="12" t="s">
        <v>80</v>
      </c>
      <c r="V11" s="14"/>
      <c r="W11" s="11"/>
      <c r="X11" s="11"/>
      <c r="Y11" s="11" t="n">
        <v>28</v>
      </c>
      <c r="Z11" s="11" t="s">
        <v>81</v>
      </c>
      <c r="AA11" s="15" t="str">
        <f aca="false">IF(AND(ISNUMBER(L11),ISNUMBER(M11)),M11-L11,"")</f>
        <v/>
      </c>
      <c r="AB11" s="15" t="str">
        <f aca="false">IF(AND(ISNUMBER(M11),ISNUMBER(P11)),P11-M11,"")</f>
        <v/>
      </c>
      <c r="AC11" s="15" t="str">
        <f aca="false">IF(AND(ISNUMBER(L11),ISNUMBER(P11)),P11-L11,"")</f>
        <v/>
      </c>
      <c r="AD11" s="15" t="str">
        <f aca="false">IF(AND(ISNUMBER(P11),ISNUMBER(Q11)),Q11-P11,"")</f>
        <v/>
      </c>
      <c r="AE11" s="15" t="n">
        <f aca="false">IF(AND(ISNUMBER(Q11),ISNUMBER(R11)),R11-Q11,IF(ISNUMBER(Y11),Y11,""))</f>
        <v>28</v>
      </c>
      <c r="AF11" s="15" t="str">
        <f aca="false">IF(AND(ISNUMBER(R11),ISNUMBER(S11)),S11-R11,"")</f>
        <v/>
      </c>
      <c r="AG11" s="15" t="str">
        <f aca="false">IF(AND(ISNUMBER(S11),ISNUMBER(T11)),T11-S11,"")</f>
        <v/>
      </c>
      <c r="AH11" s="15" t="str">
        <f aca="false">IF(AND(ISNUMBER(L11),ISNUMBER(T11)),T11-L11,"")</f>
        <v/>
      </c>
      <c r="AI11" s="15" t="str">
        <f aca="false">IF(AND(ISNUMBER(O11),ISNUMBER(Q11)),Q11-O11,"")</f>
        <v/>
      </c>
      <c r="AJ11" s="15" t="str">
        <f aca="false">IF(B11="","",COUNT(L11:M11,P11:T11)&amp;"/7")</f>
        <v>0/7</v>
      </c>
      <c r="AK11" s="15" t="str">
        <f aca="false">IF(B11="","",IF(OR(AND(ISNUMBER(L11),ISNUMBER(M11),M11&lt;L11),AND(ISNUMBER(M11),ISNUMBER(P11),P11&lt;M11),AND(ISNUMBER(P11),ISNUMBER(Q11),Q11&lt;P11),AND(ISNUMBER(Q11),ISNUMBER(R11),R11&lt;Q11),AND(ISNUMBER(R11),ISNUMBER(S11),S11&lt;R11),AND(ISNUMBER(S11),ISNUMBER(T11),T11&lt;S11),AND(ISNUMBER(N11),ISNUMBER(O11),O11&lt;N11)),"Urutan tanggal salah",IF(AND(ISNUMBER(Q11),ISNUMBER(R11),ISNUMBER(Y11),ABS(R11-Q11-Y11)&gt;2),"S tanggal ≠ Sailing tercatat",IF(AND(ISNUMBER(Q11),ISNUMBER(O11),ABS(Q11-O11)&gt;60),"Cek tahun laycan",IF(AND(ISNUMBER(Q11),ISNUMBER(N11),Q11&lt;N11),"Berangkat sebelum laycan",IF(NOT(ISNUMBER(AE11)),"S belum ada","OK"))))))</f>
        <v>OK</v>
      </c>
    </row>
    <row r="12" customFormat="false" ht="15" hidden="false" customHeight="false" outlineLevel="0" collapsed="false">
      <c r="A12" s="11" t="n">
        <f aca="false">IF(B12="","",ROW()-4)</f>
        <v>8</v>
      </c>
      <c r="B12" s="12" t="s">
        <v>73</v>
      </c>
      <c r="C12" s="11" t="s">
        <v>73</v>
      </c>
      <c r="D12" s="11" t="n">
        <v>2022</v>
      </c>
      <c r="E12" s="11" t="s">
        <v>98</v>
      </c>
      <c r="F12" s="11" t="s">
        <v>99</v>
      </c>
      <c r="G12" s="11" t="s">
        <v>77</v>
      </c>
      <c r="H12" s="11" t="s">
        <v>100</v>
      </c>
      <c r="I12" s="11" t="s">
        <v>101</v>
      </c>
      <c r="J12" s="11"/>
      <c r="K12" s="11" t="n">
        <v>11000</v>
      </c>
      <c r="L12" s="13"/>
      <c r="M12" s="13"/>
      <c r="N12" s="13" t="n">
        <v>44723</v>
      </c>
      <c r="O12" s="13" t="n">
        <v>44723</v>
      </c>
      <c r="P12" s="13"/>
      <c r="Q12" s="13" t="n">
        <v>44724</v>
      </c>
      <c r="R12" s="13" t="n">
        <v>44731</v>
      </c>
      <c r="S12" s="13"/>
      <c r="T12" s="13"/>
      <c r="U12" s="12" t="s">
        <v>80</v>
      </c>
      <c r="V12" s="14"/>
      <c r="W12" s="11"/>
      <c r="X12" s="11"/>
      <c r="Y12" s="11" t="n">
        <v>7</v>
      </c>
      <c r="Z12" s="11" t="s">
        <v>81</v>
      </c>
      <c r="AA12" s="15" t="str">
        <f aca="false">IF(AND(ISNUMBER(L12),ISNUMBER(M12)),M12-L12,"")</f>
        <v/>
      </c>
      <c r="AB12" s="15" t="str">
        <f aca="false">IF(AND(ISNUMBER(M12),ISNUMBER(P12)),P12-M12,"")</f>
        <v/>
      </c>
      <c r="AC12" s="15" t="str">
        <f aca="false">IF(AND(ISNUMBER(L12),ISNUMBER(P12)),P12-L12,"")</f>
        <v/>
      </c>
      <c r="AD12" s="15" t="str">
        <f aca="false">IF(AND(ISNUMBER(P12),ISNUMBER(Q12)),Q12-P12,"")</f>
        <v/>
      </c>
      <c r="AE12" s="15" t="n">
        <f aca="false">IF(AND(ISNUMBER(Q12),ISNUMBER(R12)),R12-Q12,IF(ISNUMBER(Y12),Y12,""))</f>
        <v>7</v>
      </c>
      <c r="AF12" s="15" t="str">
        <f aca="false">IF(AND(ISNUMBER(R12),ISNUMBER(S12)),S12-R12,"")</f>
        <v/>
      </c>
      <c r="AG12" s="15" t="str">
        <f aca="false">IF(AND(ISNUMBER(S12),ISNUMBER(T12)),T12-S12,"")</f>
        <v/>
      </c>
      <c r="AH12" s="15" t="str">
        <f aca="false">IF(AND(ISNUMBER(L12),ISNUMBER(T12)),T12-L12,"")</f>
        <v/>
      </c>
      <c r="AI12" s="15" t="n">
        <f aca="false">IF(AND(ISNUMBER(O12),ISNUMBER(Q12)),Q12-O12,"")</f>
        <v>1</v>
      </c>
      <c r="AJ12" s="15" t="str">
        <f aca="false">IF(B12="","",COUNT(L12:M12,P12:T12)&amp;"/7")</f>
        <v>2/7</v>
      </c>
      <c r="AK12" s="15" t="str">
        <f aca="false">IF(B12="","",IF(OR(AND(ISNUMBER(L12),ISNUMBER(M12),M12&lt;L12),AND(ISNUMBER(M12),ISNUMBER(P12),P12&lt;M12),AND(ISNUMBER(P12),ISNUMBER(Q12),Q12&lt;P12),AND(ISNUMBER(Q12),ISNUMBER(R12),R12&lt;Q12),AND(ISNUMBER(R12),ISNUMBER(S12),S12&lt;R12),AND(ISNUMBER(S12),ISNUMBER(T12),T12&lt;S12),AND(ISNUMBER(N12),ISNUMBER(O12),O12&lt;N12)),"Urutan tanggal salah",IF(AND(ISNUMBER(Q12),ISNUMBER(R12),ISNUMBER(Y12),ABS(R12-Q12-Y12)&gt;2),"S tanggal ≠ Sailing tercatat",IF(AND(ISNUMBER(Q12),ISNUMBER(O12),ABS(Q12-O12)&gt;60),"Cek tahun laycan",IF(AND(ISNUMBER(Q12),ISNUMBER(N12),Q12&lt;N12),"Berangkat sebelum laycan",IF(NOT(ISNUMBER(AE12)),"S belum ada","OK"))))))</f>
        <v>OK</v>
      </c>
    </row>
    <row r="13" customFormat="false" ht="15" hidden="false" customHeight="false" outlineLevel="0" collapsed="false">
      <c r="A13" s="11" t="n">
        <f aca="false">IF(B13="","",ROW()-4)</f>
        <v>9</v>
      </c>
      <c r="B13" s="12" t="s">
        <v>73</v>
      </c>
      <c r="C13" s="11" t="s">
        <v>74</v>
      </c>
      <c r="D13" s="11" t="n">
        <v>2022</v>
      </c>
      <c r="E13" s="11" t="s">
        <v>94</v>
      </c>
      <c r="F13" s="11" t="s">
        <v>95</v>
      </c>
      <c r="G13" s="11" t="s">
        <v>77</v>
      </c>
      <c r="H13" s="11" t="s">
        <v>96</v>
      </c>
      <c r="I13" s="11" t="s">
        <v>102</v>
      </c>
      <c r="J13" s="11"/>
      <c r="K13" s="11" t="n">
        <v>25000</v>
      </c>
      <c r="L13" s="13"/>
      <c r="M13" s="13"/>
      <c r="N13" s="13" t="n">
        <v>44738</v>
      </c>
      <c r="O13" s="13" t="n">
        <v>44738</v>
      </c>
      <c r="P13" s="13"/>
      <c r="Q13" s="13" t="n">
        <v>44743</v>
      </c>
      <c r="R13" s="13" t="n">
        <v>44761</v>
      </c>
      <c r="S13" s="13"/>
      <c r="T13" s="13"/>
      <c r="U13" s="12" t="s">
        <v>80</v>
      </c>
      <c r="V13" s="14"/>
      <c r="W13" s="11"/>
      <c r="X13" s="11"/>
      <c r="Y13" s="11" t="n">
        <v>18</v>
      </c>
      <c r="Z13" s="11" t="s">
        <v>81</v>
      </c>
      <c r="AA13" s="15" t="str">
        <f aca="false">IF(AND(ISNUMBER(L13),ISNUMBER(M13)),M13-L13,"")</f>
        <v/>
      </c>
      <c r="AB13" s="15" t="str">
        <f aca="false">IF(AND(ISNUMBER(M13),ISNUMBER(P13)),P13-M13,"")</f>
        <v/>
      </c>
      <c r="AC13" s="15" t="str">
        <f aca="false">IF(AND(ISNUMBER(L13),ISNUMBER(P13)),P13-L13,"")</f>
        <v/>
      </c>
      <c r="AD13" s="15" t="str">
        <f aca="false">IF(AND(ISNUMBER(P13),ISNUMBER(Q13)),Q13-P13,"")</f>
        <v/>
      </c>
      <c r="AE13" s="15" t="n">
        <f aca="false">IF(AND(ISNUMBER(Q13),ISNUMBER(R13)),R13-Q13,IF(ISNUMBER(Y13),Y13,""))</f>
        <v>18</v>
      </c>
      <c r="AF13" s="15" t="str">
        <f aca="false">IF(AND(ISNUMBER(R13),ISNUMBER(S13)),S13-R13,"")</f>
        <v/>
      </c>
      <c r="AG13" s="15" t="str">
        <f aca="false">IF(AND(ISNUMBER(S13),ISNUMBER(T13)),T13-S13,"")</f>
        <v/>
      </c>
      <c r="AH13" s="15" t="str">
        <f aca="false">IF(AND(ISNUMBER(L13),ISNUMBER(T13)),T13-L13,"")</f>
        <v/>
      </c>
      <c r="AI13" s="15" t="n">
        <f aca="false">IF(AND(ISNUMBER(O13),ISNUMBER(Q13)),Q13-O13,"")</f>
        <v>5</v>
      </c>
      <c r="AJ13" s="15" t="str">
        <f aca="false">IF(B13="","",COUNT(L13:M13,P13:T13)&amp;"/7")</f>
        <v>2/7</v>
      </c>
      <c r="AK13" s="15" t="str">
        <f aca="false">IF(B13="","",IF(OR(AND(ISNUMBER(L13),ISNUMBER(M13),M13&lt;L13),AND(ISNUMBER(M13),ISNUMBER(P13),P13&lt;M13),AND(ISNUMBER(P13),ISNUMBER(Q13),Q13&lt;P13),AND(ISNUMBER(Q13),ISNUMBER(R13),R13&lt;Q13),AND(ISNUMBER(R13),ISNUMBER(S13),S13&lt;R13),AND(ISNUMBER(S13),ISNUMBER(T13),T13&lt;S13),AND(ISNUMBER(N13),ISNUMBER(O13),O13&lt;N13)),"Urutan tanggal salah",IF(AND(ISNUMBER(Q13),ISNUMBER(R13),ISNUMBER(Y13),ABS(R13-Q13-Y13)&gt;2),"S tanggal ≠ Sailing tercatat",IF(AND(ISNUMBER(Q13),ISNUMBER(O13),ABS(Q13-O13)&gt;60),"Cek tahun laycan",IF(AND(ISNUMBER(Q13),ISNUMBER(N13),Q13&lt;N13),"Berangkat sebelum laycan",IF(NOT(ISNUMBER(AE13)),"S belum ada","OK"))))))</f>
        <v>OK</v>
      </c>
    </row>
    <row r="14" customFormat="false" ht="15" hidden="false" customHeight="false" outlineLevel="0" collapsed="false">
      <c r="A14" s="11" t="n">
        <f aca="false">IF(B14="","",ROW()-4)</f>
        <v>10</v>
      </c>
      <c r="B14" s="12" t="s">
        <v>73</v>
      </c>
      <c r="C14" s="11" t="s">
        <v>82</v>
      </c>
      <c r="D14" s="11" t="n">
        <v>2022</v>
      </c>
      <c r="E14" s="11" t="s">
        <v>94</v>
      </c>
      <c r="F14" s="11" t="s">
        <v>95</v>
      </c>
      <c r="G14" s="11" t="s">
        <v>77</v>
      </c>
      <c r="H14" s="11" t="s">
        <v>103</v>
      </c>
      <c r="I14" s="11" t="s">
        <v>104</v>
      </c>
      <c r="J14" s="11"/>
      <c r="K14" s="11" t="n">
        <v>25000</v>
      </c>
      <c r="L14" s="13"/>
      <c r="M14" s="13"/>
      <c r="N14" s="13" t="n">
        <v>44828</v>
      </c>
      <c r="O14" s="13" t="n">
        <v>44828</v>
      </c>
      <c r="P14" s="13"/>
      <c r="Q14" s="13" t="n">
        <v>44831</v>
      </c>
      <c r="R14" s="13" t="n">
        <v>44853</v>
      </c>
      <c r="S14" s="13"/>
      <c r="T14" s="13"/>
      <c r="U14" s="12" t="s">
        <v>80</v>
      </c>
      <c r="V14" s="14"/>
      <c r="W14" s="11"/>
      <c r="X14" s="11"/>
      <c r="Y14" s="11" t="n">
        <v>22</v>
      </c>
      <c r="Z14" s="11" t="s">
        <v>81</v>
      </c>
      <c r="AA14" s="15" t="str">
        <f aca="false">IF(AND(ISNUMBER(L14),ISNUMBER(M14)),M14-L14,"")</f>
        <v/>
      </c>
      <c r="AB14" s="15" t="str">
        <f aca="false">IF(AND(ISNUMBER(M14),ISNUMBER(P14)),P14-M14,"")</f>
        <v/>
      </c>
      <c r="AC14" s="15" t="str">
        <f aca="false">IF(AND(ISNUMBER(L14),ISNUMBER(P14)),P14-L14,"")</f>
        <v/>
      </c>
      <c r="AD14" s="15" t="str">
        <f aca="false">IF(AND(ISNUMBER(P14),ISNUMBER(Q14)),Q14-P14,"")</f>
        <v/>
      </c>
      <c r="AE14" s="15" t="n">
        <f aca="false">IF(AND(ISNUMBER(Q14),ISNUMBER(R14)),R14-Q14,IF(ISNUMBER(Y14),Y14,""))</f>
        <v>22</v>
      </c>
      <c r="AF14" s="15" t="str">
        <f aca="false">IF(AND(ISNUMBER(R14),ISNUMBER(S14)),S14-R14,"")</f>
        <v/>
      </c>
      <c r="AG14" s="15" t="str">
        <f aca="false">IF(AND(ISNUMBER(S14),ISNUMBER(T14)),T14-S14,"")</f>
        <v/>
      </c>
      <c r="AH14" s="15" t="str">
        <f aca="false">IF(AND(ISNUMBER(L14),ISNUMBER(T14)),T14-L14,"")</f>
        <v/>
      </c>
      <c r="AI14" s="15" t="n">
        <f aca="false">IF(AND(ISNUMBER(O14),ISNUMBER(Q14)),Q14-O14,"")</f>
        <v>3</v>
      </c>
      <c r="AJ14" s="15" t="str">
        <f aca="false">IF(B14="","",COUNT(L14:M14,P14:T14)&amp;"/7")</f>
        <v>2/7</v>
      </c>
      <c r="AK14" s="15" t="str">
        <f aca="false">IF(B14="","",IF(OR(AND(ISNUMBER(L14),ISNUMBER(M14),M14&lt;L14),AND(ISNUMBER(M14),ISNUMBER(P14),P14&lt;M14),AND(ISNUMBER(P14),ISNUMBER(Q14),Q14&lt;P14),AND(ISNUMBER(Q14),ISNUMBER(R14),R14&lt;Q14),AND(ISNUMBER(R14),ISNUMBER(S14),S14&lt;R14),AND(ISNUMBER(S14),ISNUMBER(T14),T14&lt;S14),AND(ISNUMBER(N14),ISNUMBER(O14),O14&lt;N14)),"Urutan tanggal salah",IF(AND(ISNUMBER(Q14),ISNUMBER(R14),ISNUMBER(Y14),ABS(R14-Q14-Y14)&gt;2),"S tanggal ≠ Sailing tercatat",IF(AND(ISNUMBER(Q14),ISNUMBER(O14),ABS(Q14-O14)&gt;60),"Cek tahun laycan",IF(AND(ISNUMBER(Q14),ISNUMBER(N14),Q14&lt;N14),"Berangkat sebelum laycan",IF(NOT(ISNUMBER(AE14)),"S belum ada","OK"))))))</f>
        <v>OK</v>
      </c>
    </row>
    <row r="15" customFormat="false" ht="15" hidden="false" customHeight="false" outlineLevel="0" collapsed="false">
      <c r="A15" s="11" t="n">
        <f aca="false">IF(B15="","",ROW()-4)</f>
        <v>11</v>
      </c>
      <c r="B15" s="12" t="s">
        <v>73</v>
      </c>
      <c r="C15" s="11" t="s">
        <v>73</v>
      </c>
      <c r="D15" s="11" t="n">
        <v>2022</v>
      </c>
      <c r="E15" s="11" t="s">
        <v>98</v>
      </c>
      <c r="F15" s="11" t="s">
        <v>99</v>
      </c>
      <c r="G15" s="11" t="s">
        <v>77</v>
      </c>
      <c r="H15" s="11" t="s">
        <v>105</v>
      </c>
      <c r="I15" s="11" t="s">
        <v>106</v>
      </c>
      <c r="J15" s="11"/>
      <c r="K15" s="11" t="n">
        <v>21000</v>
      </c>
      <c r="L15" s="13"/>
      <c r="M15" s="13"/>
      <c r="N15" s="13" t="n">
        <v>44754</v>
      </c>
      <c r="O15" s="13" t="n">
        <v>44754</v>
      </c>
      <c r="P15" s="13"/>
      <c r="Q15" s="13" t="n">
        <v>44754</v>
      </c>
      <c r="R15" s="13" t="n">
        <v>44761</v>
      </c>
      <c r="S15" s="13"/>
      <c r="T15" s="13"/>
      <c r="U15" s="12" t="s">
        <v>80</v>
      </c>
      <c r="V15" s="14"/>
      <c r="W15" s="11"/>
      <c r="X15" s="11"/>
      <c r="Y15" s="11" t="n">
        <v>7</v>
      </c>
      <c r="Z15" s="11" t="s">
        <v>81</v>
      </c>
      <c r="AA15" s="15" t="str">
        <f aca="false">IF(AND(ISNUMBER(L15),ISNUMBER(M15)),M15-L15,"")</f>
        <v/>
      </c>
      <c r="AB15" s="15" t="str">
        <f aca="false">IF(AND(ISNUMBER(M15),ISNUMBER(P15)),P15-M15,"")</f>
        <v/>
      </c>
      <c r="AC15" s="15" t="str">
        <f aca="false">IF(AND(ISNUMBER(L15),ISNUMBER(P15)),P15-L15,"")</f>
        <v/>
      </c>
      <c r="AD15" s="15" t="str">
        <f aca="false">IF(AND(ISNUMBER(P15),ISNUMBER(Q15)),Q15-P15,"")</f>
        <v/>
      </c>
      <c r="AE15" s="15" t="n">
        <f aca="false">IF(AND(ISNUMBER(Q15),ISNUMBER(R15)),R15-Q15,IF(ISNUMBER(Y15),Y15,""))</f>
        <v>7</v>
      </c>
      <c r="AF15" s="15" t="str">
        <f aca="false">IF(AND(ISNUMBER(R15),ISNUMBER(S15)),S15-R15,"")</f>
        <v/>
      </c>
      <c r="AG15" s="15" t="str">
        <f aca="false">IF(AND(ISNUMBER(S15),ISNUMBER(T15)),T15-S15,"")</f>
        <v/>
      </c>
      <c r="AH15" s="15" t="str">
        <f aca="false">IF(AND(ISNUMBER(L15),ISNUMBER(T15)),T15-L15,"")</f>
        <v/>
      </c>
      <c r="AI15" s="15" t="n">
        <f aca="false">IF(AND(ISNUMBER(O15),ISNUMBER(Q15)),Q15-O15,"")</f>
        <v>0</v>
      </c>
      <c r="AJ15" s="15" t="str">
        <f aca="false">IF(B15="","",COUNT(L15:M15,P15:T15)&amp;"/7")</f>
        <v>2/7</v>
      </c>
      <c r="AK15" s="15" t="str">
        <f aca="false">IF(B15="","",IF(OR(AND(ISNUMBER(L15),ISNUMBER(M15),M15&lt;L15),AND(ISNUMBER(M15),ISNUMBER(P15),P15&lt;M15),AND(ISNUMBER(P15),ISNUMBER(Q15),Q15&lt;P15),AND(ISNUMBER(Q15),ISNUMBER(R15),R15&lt;Q15),AND(ISNUMBER(R15),ISNUMBER(S15),S15&lt;R15),AND(ISNUMBER(S15),ISNUMBER(T15),T15&lt;S15),AND(ISNUMBER(N15),ISNUMBER(O15),O15&lt;N15)),"Urutan tanggal salah",IF(AND(ISNUMBER(Q15),ISNUMBER(R15),ISNUMBER(Y15),ABS(R15-Q15-Y15)&gt;2),"S tanggal ≠ Sailing tercatat",IF(AND(ISNUMBER(Q15),ISNUMBER(O15),ABS(Q15-O15)&gt;60),"Cek tahun laycan",IF(AND(ISNUMBER(Q15),ISNUMBER(N15),Q15&lt;N15),"Berangkat sebelum laycan",IF(NOT(ISNUMBER(AE15)),"S belum ada","OK"))))))</f>
        <v>OK</v>
      </c>
    </row>
    <row r="16" customFormat="false" ht="15" hidden="false" customHeight="false" outlineLevel="0" collapsed="false">
      <c r="A16" s="11" t="n">
        <f aca="false">IF(B16="","",ROW()-4)</f>
        <v>12</v>
      </c>
      <c r="B16" s="12" t="s">
        <v>73</v>
      </c>
      <c r="C16" s="11" t="s">
        <v>74</v>
      </c>
      <c r="D16" s="11" t="n">
        <v>2022</v>
      </c>
      <c r="E16" s="11" t="s">
        <v>90</v>
      </c>
      <c r="F16" s="11" t="s">
        <v>91</v>
      </c>
      <c r="G16" s="11" t="s">
        <v>77</v>
      </c>
      <c r="H16" s="11" t="s">
        <v>92</v>
      </c>
      <c r="I16" s="11" t="s">
        <v>107</v>
      </c>
      <c r="J16" s="11"/>
      <c r="K16" s="11" t="n">
        <v>27365</v>
      </c>
      <c r="L16" s="13"/>
      <c r="M16" s="13"/>
      <c r="N16" s="13" t="n">
        <v>44707</v>
      </c>
      <c r="O16" s="13" t="n">
        <v>44707</v>
      </c>
      <c r="P16" s="13"/>
      <c r="Q16" s="13" t="n">
        <v>44713</v>
      </c>
      <c r="R16" s="13" t="n">
        <v>44744</v>
      </c>
      <c r="S16" s="13"/>
      <c r="T16" s="13"/>
      <c r="U16" s="12" t="s">
        <v>80</v>
      </c>
      <c r="V16" s="14"/>
      <c r="W16" s="11"/>
      <c r="X16" s="11" t="s">
        <v>108</v>
      </c>
      <c r="Y16" s="11" t="n">
        <v>31</v>
      </c>
      <c r="Z16" s="11" t="s">
        <v>81</v>
      </c>
      <c r="AA16" s="15" t="str">
        <f aca="false">IF(AND(ISNUMBER(L16),ISNUMBER(M16)),M16-L16,"")</f>
        <v/>
      </c>
      <c r="AB16" s="15" t="str">
        <f aca="false">IF(AND(ISNUMBER(M16),ISNUMBER(P16)),P16-M16,"")</f>
        <v/>
      </c>
      <c r="AC16" s="15" t="str">
        <f aca="false">IF(AND(ISNUMBER(L16),ISNUMBER(P16)),P16-L16,"")</f>
        <v/>
      </c>
      <c r="AD16" s="15" t="str">
        <f aca="false">IF(AND(ISNUMBER(P16),ISNUMBER(Q16)),Q16-P16,"")</f>
        <v/>
      </c>
      <c r="AE16" s="15" t="n">
        <f aca="false">IF(AND(ISNUMBER(Q16),ISNUMBER(R16)),R16-Q16,IF(ISNUMBER(Y16),Y16,""))</f>
        <v>31</v>
      </c>
      <c r="AF16" s="15" t="str">
        <f aca="false">IF(AND(ISNUMBER(R16),ISNUMBER(S16)),S16-R16,"")</f>
        <v/>
      </c>
      <c r="AG16" s="15" t="str">
        <f aca="false">IF(AND(ISNUMBER(S16),ISNUMBER(T16)),T16-S16,"")</f>
        <v/>
      </c>
      <c r="AH16" s="15" t="str">
        <f aca="false">IF(AND(ISNUMBER(L16),ISNUMBER(T16)),T16-L16,"")</f>
        <v/>
      </c>
      <c r="AI16" s="15" t="n">
        <f aca="false">IF(AND(ISNUMBER(O16),ISNUMBER(Q16)),Q16-O16,"")</f>
        <v>6</v>
      </c>
      <c r="AJ16" s="15" t="str">
        <f aca="false">IF(B16="","",COUNT(L16:M16,P16:T16)&amp;"/7")</f>
        <v>2/7</v>
      </c>
      <c r="AK16" s="15" t="str">
        <f aca="false">IF(B16="","",IF(OR(AND(ISNUMBER(L16),ISNUMBER(M16),M16&lt;L16),AND(ISNUMBER(M16),ISNUMBER(P16),P16&lt;M16),AND(ISNUMBER(P16),ISNUMBER(Q16),Q16&lt;P16),AND(ISNUMBER(Q16),ISNUMBER(R16),R16&lt;Q16),AND(ISNUMBER(R16),ISNUMBER(S16),S16&lt;R16),AND(ISNUMBER(S16),ISNUMBER(T16),T16&lt;S16),AND(ISNUMBER(N16),ISNUMBER(O16),O16&lt;N16)),"Urutan tanggal salah",IF(AND(ISNUMBER(Q16),ISNUMBER(R16),ISNUMBER(Y16),ABS(R16-Q16-Y16)&gt;2),"S tanggal ≠ Sailing tercatat",IF(AND(ISNUMBER(Q16),ISNUMBER(O16),ABS(Q16-O16)&gt;60),"Cek tahun laycan",IF(AND(ISNUMBER(Q16),ISNUMBER(N16),Q16&lt;N16),"Berangkat sebelum laycan",IF(NOT(ISNUMBER(AE16)),"S belum ada","OK"))))))</f>
        <v>OK</v>
      </c>
    </row>
    <row r="17" customFormat="false" ht="15" hidden="false" customHeight="false" outlineLevel="0" collapsed="false">
      <c r="A17" s="11" t="n">
        <f aca="false">IF(B17="","",ROW()-4)</f>
        <v>13</v>
      </c>
      <c r="B17" s="12" t="s">
        <v>73</v>
      </c>
      <c r="C17" s="11" t="s">
        <v>82</v>
      </c>
      <c r="D17" s="11" t="n">
        <v>2022</v>
      </c>
      <c r="E17" s="11" t="s">
        <v>90</v>
      </c>
      <c r="F17" s="11" t="s">
        <v>91</v>
      </c>
      <c r="G17" s="11" t="s">
        <v>77</v>
      </c>
      <c r="H17" s="11" t="s">
        <v>92</v>
      </c>
      <c r="I17" s="11" t="s">
        <v>109</v>
      </c>
      <c r="J17" s="11"/>
      <c r="K17" s="11" t="n">
        <v>13500</v>
      </c>
      <c r="L17" s="13"/>
      <c r="M17" s="13"/>
      <c r="N17" s="13" t="n">
        <v>44724</v>
      </c>
      <c r="O17" s="13" t="n">
        <v>44724</v>
      </c>
      <c r="P17" s="13"/>
      <c r="Q17" s="13" t="n">
        <v>44725</v>
      </c>
      <c r="R17" s="13" t="n">
        <v>44757</v>
      </c>
      <c r="S17" s="13"/>
      <c r="T17" s="13"/>
      <c r="U17" s="12" t="s">
        <v>80</v>
      </c>
      <c r="V17" s="14"/>
      <c r="W17" s="11"/>
      <c r="X17" s="11"/>
      <c r="Y17" s="11" t="n">
        <v>32</v>
      </c>
      <c r="Z17" s="11" t="s">
        <v>81</v>
      </c>
      <c r="AA17" s="15" t="str">
        <f aca="false">IF(AND(ISNUMBER(L17),ISNUMBER(M17)),M17-L17,"")</f>
        <v/>
      </c>
      <c r="AB17" s="15" t="str">
        <f aca="false">IF(AND(ISNUMBER(M17),ISNUMBER(P17)),P17-M17,"")</f>
        <v/>
      </c>
      <c r="AC17" s="15" t="str">
        <f aca="false">IF(AND(ISNUMBER(L17),ISNUMBER(P17)),P17-L17,"")</f>
        <v/>
      </c>
      <c r="AD17" s="15" t="str">
        <f aca="false">IF(AND(ISNUMBER(P17),ISNUMBER(Q17)),Q17-P17,"")</f>
        <v/>
      </c>
      <c r="AE17" s="15" t="n">
        <f aca="false">IF(AND(ISNUMBER(Q17),ISNUMBER(R17)),R17-Q17,IF(ISNUMBER(Y17),Y17,""))</f>
        <v>32</v>
      </c>
      <c r="AF17" s="15" t="str">
        <f aca="false">IF(AND(ISNUMBER(R17),ISNUMBER(S17)),S17-R17,"")</f>
        <v/>
      </c>
      <c r="AG17" s="15" t="str">
        <f aca="false">IF(AND(ISNUMBER(S17),ISNUMBER(T17)),T17-S17,"")</f>
        <v/>
      </c>
      <c r="AH17" s="15" t="str">
        <f aca="false">IF(AND(ISNUMBER(L17),ISNUMBER(T17)),T17-L17,"")</f>
        <v/>
      </c>
      <c r="AI17" s="15" t="n">
        <f aca="false">IF(AND(ISNUMBER(O17),ISNUMBER(Q17)),Q17-O17,"")</f>
        <v>1</v>
      </c>
      <c r="AJ17" s="15" t="str">
        <f aca="false">IF(B17="","",COUNT(L17:M17,P17:T17)&amp;"/7")</f>
        <v>2/7</v>
      </c>
      <c r="AK17" s="15" t="str">
        <f aca="false">IF(B17="","",IF(OR(AND(ISNUMBER(L17),ISNUMBER(M17),M17&lt;L17),AND(ISNUMBER(M17),ISNUMBER(P17),P17&lt;M17),AND(ISNUMBER(P17),ISNUMBER(Q17),Q17&lt;P17),AND(ISNUMBER(Q17),ISNUMBER(R17),R17&lt;Q17),AND(ISNUMBER(R17),ISNUMBER(S17),S17&lt;R17),AND(ISNUMBER(S17),ISNUMBER(T17),T17&lt;S17),AND(ISNUMBER(N17),ISNUMBER(O17),O17&lt;N17)),"Urutan tanggal salah",IF(AND(ISNUMBER(Q17),ISNUMBER(R17),ISNUMBER(Y17),ABS(R17-Q17-Y17)&gt;2),"S tanggal ≠ Sailing tercatat",IF(AND(ISNUMBER(Q17),ISNUMBER(O17),ABS(Q17-O17)&gt;60),"Cek tahun laycan",IF(AND(ISNUMBER(Q17),ISNUMBER(N17),Q17&lt;N17),"Berangkat sebelum laycan",IF(NOT(ISNUMBER(AE17)),"S belum ada","OK"))))))</f>
        <v>OK</v>
      </c>
    </row>
    <row r="18" customFormat="false" ht="15" hidden="false" customHeight="false" outlineLevel="0" collapsed="false">
      <c r="A18" s="11" t="n">
        <f aca="false">IF(B18="","",ROW()-4)</f>
        <v>14</v>
      </c>
      <c r="B18" s="12" t="s">
        <v>73</v>
      </c>
      <c r="C18" s="11" t="s">
        <v>82</v>
      </c>
      <c r="D18" s="11" t="n">
        <v>2022</v>
      </c>
      <c r="E18" s="11" t="s">
        <v>90</v>
      </c>
      <c r="F18" s="11" t="s">
        <v>110</v>
      </c>
      <c r="G18" s="11" t="s">
        <v>77</v>
      </c>
      <c r="H18" s="11" t="s">
        <v>92</v>
      </c>
      <c r="I18" s="11" t="s">
        <v>111</v>
      </c>
      <c r="J18" s="11"/>
      <c r="K18" s="11" t="n">
        <v>14000</v>
      </c>
      <c r="L18" s="13"/>
      <c r="M18" s="13"/>
      <c r="N18" s="13" t="n">
        <v>44724</v>
      </c>
      <c r="O18" s="13" t="n">
        <v>44724</v>
      </c>
      <c r="P18" s="13"/>
      <c r="Q18" s="13" t="n">
        <v>44725</v>
      </c>
      <c r="R18" s="13" t="n">
        <v>44762</v>
      </c>
      <c r="S18" s="13"/>
      <c r="T18" s="13"/>
      <c r="U18" s="12" t="s">
        <v>80</v>
      </c>
      <c r="V18" s="14"/>
      <c r="W18" s="11"/>
      <c r="X18" s="11"/>
      <c r="Y18" s="11" t="n">
        <v>37</v>
      </c>
      <c r="Z18" s="11" t="s">
        <v>81</v>
      </c>
      <c r="AA18" s="15" t="str">
        <f aca="false">IF(AND(ISNUMBER(L18),ISNUMBER(M18)),M18-L18,"")</f>
        <v/>
      </c>
      <c r="AB18" s="15" t="str">
        <f aca="false">IF(AND(ISNUMBER(M18),ISNUMBER(P18)),P18-M18,"")</f>
        <v/>
      </c>
      <c r="AC18" s="15" t="str">
        <f aca="false">IF(AND(ISNUMBER(L18),ISNUMBER(P18)),P18-L18,"")</f>
        <v/>
      </c>
      <c r="AD18" s="15" t="str">
        <f aca="false">IF(AND(ISNUMBER(P18),ISNUMBER(Q18)),Q18-P18,"")</f>
        <v/>
      </c>
      <c r="AE18" s="15" t="n">
        <f aca="false">IF(AND(ISNUMBER(Q18),ISNUMBER(R18)),R18-Q18,IF(ISNUMBER(Y18),Y18,""))</f>
        <v>37</v>
      </c>
      <c r="AF18" s="15" t="str">
        <f aca="false">IF(AND(ISNUMBER(R18),ISNUMBER(S18)),S18-R18,"")</f>
        <v/>
      </c>
      <c r="AG18" s="15" t="str">
        <f aca="false">IF(AND(ISNUMBER(S18),ISNUMBER(T18)),T18-S18,"")</f>
        <v/>
      </c>
      <c r="AH18" s="15" t="str">
        <f aca="false">IF(AND(ISNUMBER(L18),ISNUMBER(T18)),T18-L18,"")</f>
        <v/>
      </c>
      <c r="AI18" s="15" t="n">
        <f aca="false">IF(AND(ISNUMBER(O18),ISNUMBER(Q18)),Q18-O18,"")</f>
        <v>1</v>
      </c>
      <c r="AJ18" s="15" t="str">
        <f aca="false">IF(B18="","",COUNT(L18:M18,P18:T18)&amp;"/7")</f>
        <v>2/7</v>
      </c>
      <c r="AK18" s="15" t="str">
        <f aca="false">IF(B18="","",IF(OR(AND(ISNUMBER(L18),ISNUMBER(M18),M18&lt;L18),AND(ISNUMBER(M18),ISNUMBER(P18),P18&lt;M18),AND(ISNUMBER(P18),ISNUMBER(Q18),Q18&lt;P18),AND(ISNUMBER(Q18),ISNUMBER(R18),R18&lt;Q18),AND(ISNUMBER(R18),ISNUMBER(S18),S18&lt;R18),AND(ISNUMBER(S18),ISNUMBER(T18),T18&lt;S18),AND(ISNUMBER(N18),ISNUMBER(O18),O18&lt;N18)),"Urutan tanggal salah",IF(AND(ISNUMBER(Q18),ISNUMBER(R18),ISNUMBER(Y18),ABS(R18-Q18-Y18)&gt;2),"S tanggal ≠ Sailing tercatat",IF(AND(ISNUMBER(Q18),ISNUMBER(O18),ABS(Q18-O18)&gt;60),"Cek tahun laycan",IF(AND(ISNUMBER(Q18),ISNUMBER(N18),Q18&lt;N18),"Berangkat sebelum laycan",IF(NOT(ISNUMBER(AE18)),"S belum ada","OK"))))))</f>
        <v>OK</v>
      </c>
    </row>
    <row r="19" customFormat="false" ht="15" hidden="false" customHeight="false" outlineLevel="0" collapsed="false">
      <c r="A19" s="11" t="n">
        <f aca="false">IF(B19="","",ROW()-4)</f>
        <v>15</v>
      </c>
      <c r="B19" s="12" t="s">
        <v>73</v>
      </c>
      <c r="C19" s="11" t="s">
        <v>74</v>
      </c>
      <c r="D19" s="11" t="n">
        <v>2022</v>
      </c>
      <c r="E19" s="11" t="s">
        <v>75</v>
      </c>
      <c r="F19" s="11" t="s">
        <v>112</v>
      </c>
      <c r="G19" s="11" t="s">
        <v>77</v>
      </c>
      <c r="H19" s="11" t="s">
        <v>85</v>
      </c>
      <c r="I19" s="11" t="s">
        <v>113</v>
      </c>
      <c r="J19" s="11"/>
      <c r="K19" s="11" t="n">
        <v>27500</v>
      </c>
      <c r="L19" s="13"/>
      <c r="M19" s="13"/>
      <c r="N19" s="13" t="n">
        <v>44765</v>
      </c>
      <c r="O19" s="13" t="n">
        <v>44765</v>
      </c>
      <c r="P19" s="13"/>
      <c r="Q19" s="13" t="n">
        <v>44766</v>
      </c>
      <c r="R19" s="13" t="n">
        <v>44794</v>
      </c>
      <c r="S19" s="13"/>
      <c r="T19" s="13"/>
      <c r="U19" s="12" t="s">
        <v>80</v>
      </c>
      <c r="V19" s="14"/>
      <c r="W19" s="11"/>
      <c r="X19" s="11"/>
      <c r="Y19" s="11" t="n">
        <v>28</v>
      </c>
      <c r="Z19" s="11" t="s">
        <v>81</v>
      </c>
      <c r="AA19" s="15" t="str">
        <f aca="false">IF(AND(ISNUMBER(L19),ISNUMBER(M19)),M19-L19,"")</f>
        <v/>
      </c>
      <c r="AB19" s="15" t="str">
        <f aca="false">IF(AND(ISNUMBER(M19),ISNUMBER(P19)),P19-M19,"")</f>
        <v/>
      </c>
      <c r="AC19" s="15" t="str">
        <f aca="false">IF(AND(ISNUMBER(L19),ISNUMBER(P19)),P19-L19,"")</f>
        <v/>
      </c>
      <c r="AD19" s="15" t="str">
        <f aca="false">IF(AND(ISNUMBER(P19),ISNUMBER(Q19)),Q19-P19,"")</f>
        <v/>
      </c>
      <c r="AE19" s="15" t="n">
        <f aca="false">IF(AND(ISNUMBER(Q19),ISNUMBER(R19)),R19-Q19,IF(ISNUMBER(Y19),Y19,""))</f>
        <v>28</v>
      </c>
      <c r="AF19" s="15" t="str">
        <f aca="false">IF(AND(ISNUMBER(R19),ISNUMBER(S19)),S19-R19,"")</f>
        <v/>
      </c>
      <c r="AG19" s="15" t="str">
        <f aca="false">IF(AND(ISNUMBER(S19),ISNUMBER(T19)),T19-S19,"")</f>
        <v/>
      </c>
      <c r="AH19" s="15" t="str">
        <f aca="false">IF(AND(ISNUMBER(L19),ISNUMBER(T19)),T19-L19,"")</f>
        <v/>
      </c>
      <c r="AI19" s="15" t="n">
        <f aca="false">IF(AND(ISNUMBER(O19),ISNUMBER(Q19)),Q19-O19,"")</f>
        <v>1</v>
      </c>
      <c r="AJ19" s="15" t="str">
        <f aca="false">IF(B19="","",COUNT(L19:M19,P19:T19)&amp;"/7")</f>
        <v>2/7</v>
      </c>
      <c r="AK19" s="15" t="str">
        <f aca="false">IF(B19="","",IF(OR(AND(ISNUMBER(L19),ISNUMBER(M19),M19&lt;L19),AND(ISNUMBER(M19),ISNUMBER(P19),P19&lt;M19),AND(ISNUMBER(P19),ISNUMBER(Q19),Q19&lt;P19),AND(ISNUMBER(Q19),ISNUMBER(R19),R19&lt;Q19),AND(ISNUMBER(R19),ISNUMBER(S19),S19&lt;R19),AND(ISNUMBER(S19),ISNUMBER(T19),T19&lt;S19),AND(ISNUMBER(N19),ISNUMBER(O19),O19&lt;N19)),"Urutan tanggal salah",IF(AND(ISNUMBER(Q19),ISNUMBER(R19),ISNUMBER(Y19),ABS(R19-Q19-Y19)&gt;2),"S tanggal ≠ Sailing tercatat",IF(AND(ISNUMBER(Q19),ISNUMBER(O19),ABS(Q19-O19)&gt;60),"Cek tahun laycan",IF(AND(ISNUMBER(Q19),ISNUMBER(N19),Q19&lt;N19),"Berangkat sebelum laycan",IF(NOT(ISNUMBER(AE19)),"S belum ada","OK"))))))</f>
        <v>OK</v>
      </c>
    </row>
    <row r="20" customFormat="false" ht="15" hidden="false" customHeight="false" outlineLevel="0" collapsed="false">
      <c r="A20" s="11" t="n">
        <f aca="false">IF(B20="","",ROW()-4)</f>
        <v>16</v>
      </c>
      <c r="B20" s="12" t="s">
        <v>73</v>
      </c>
      <c r="C20" s="11" t="s">
        <v>82</v>
      </c>
      <c r="D20" s="11" t="n">
        <v>2022</v>
      </c>
      <c r="E20" s="11" t="s">
        <v>75</v>
      </c>
      <c r="F20" s="11" t="s">
        <v>112</v>
      </c>
      <c r="G20" s="11" t="s">
        <v>77</v>
      </c>
      <c r="H20" s="11" t="s">
        <v>85</v>
      </c>
      <c r="I20" s="11" t="s">
        <v>114</v>
      </c>
      <c r="J20" s="11"/>
      <c r="K20" s="11" t="n">
        <v>27500</v>
      </c>
      <c r="L20" s="13"/>
      <c r="M20" s="13"/>
      <c r="N20" s="13" t="n">
        <v>44789</v>
      </c>
      <c r="O20" s="13" t="n">
        <v>44789</v>
      </c>
      <c r="P20" s="13"/>
      <c r="Q20" s="13" t="n">
        <v>44790</v>
      </c>
      <c r="R20" s="13" t="n">
        <v>44818</v>
      </c>
      <c r="S20" s="13"/>
      <c r="T20" s="13"/>
      <c r="U20" s="12" t="s">
        <v>80</v>
      </c>
      <c r="V20" s="14"/>
      <c r="W20" s="11"/>
      <c r="X20" s="11" t="s">
        <v>115</v>
      </c>
      <c r="Y20" s="11" t="n">
        <v>28</v>
      </c>
      <c r="Z20" s="11" t="s">
        <v>81</v>
      </c>
      <c r="AA20" s="15" t="str">
        <f aca="false">IF(AND(ISNUMBER(L20),ISNUMBER(M20)),M20-L20,"")</f>
        <v/>
      </c>
      <c r="AB20" s="15" t="str">
        <f aca="false">IF(AND(ISNUMBER(M20),ISNUMBER(P20)),P20-M20,"")</f>
        <v/>
      </c>
      <c r="AC20" s="15" t="str">
        <f aca="false">IF(AND(ISNUMBER(L20),ISNUMBER(P20)),P20-L20,"")</f>
        <v/>
      </c>
      <c r="AD20" s="15" t="str">
        <f aca="false">IF(AND(ISNUMBER(P20),ISNUMBER(Q20)),Q20-P20,"")</f>
        <v/>
      </c>
      <c r="AE20" s="15" t="n">
        <f aca="false">IF(AND(ISNUMBER(Q20),ISNUMBER(R20)),R20-Q20,IF(ISNUMBER(Y20),Y20,""))</f>
        <v>28</v>
      </c>
      <c r="AF20" s="15" t="str">
        <f aca="false">IF(AND(ISNUMBER(R20),ISNUMBER(S20)),S20-R20,"")</f>
        <v/>
      </c>
      <c r="AG20" s="15" t="str">
        <f aca="false">IF(AND(ISNUMBER(S20),ISNUMBER(T20)),T20-S20,"")</f>
        <v/>
      </c>
      <c r="AH20" s="15" t="str">
        <f aca="false">IF(AND(ISNUMBER(L20),ISNUMBER(T20)),T20-L20,"")</f>
        <v/>
      </c>
      <c r="AI20" s="15" t="n">
        <f aca="false">IF(AND(ISNUMBER(O20),ISNUMBER(Q20)),Q20-O20,"")</f>
        <v>1</v>
      </c>
      <c r="AJ20" s="15" t="str">
        <f aca="false">IF(B20="","",COUNT(L20:M20,P20:T20)&amp;"/7")</f>
        <v>2/7</v>
      </c>
      <c r="AK20" s="15" t="str">
        <f aca="false">IF(B20="","",IF(OR(AND(ISNUMBER(L20),ISNUMBER(M20),M20&lt;L20),AND(ISNUMBER(M20),ISNUMBER(P20),P20&lt;M20),AND(ISNUMBER(P20),ISNUMBER(Q20),Q20&lt;P20),AND(ISNUMBER(Q20),ISNUMBER(R20),R20&lt;Q20),AND(ISNUMBER(R20),ISNUMBER(S20),S20&lt;R20),AND(ISNUMBER(S20),ISNUMBER(T20),T20&lt;S20),AND(ISNUMBER(N20),ISNUMBER(O20),O20&lt;N20)),"Urutan tanggal salah",IF(AND(ISNUMBER(Q20),ISNUMBER(R20),ISNUMBER(Y20),ABS(R20-Q20-Y20)&gt;2),"S tanggal ≠ Sailing tercatat",IF(AND(ISNUMBER(Q20),ISNUMBER(O20),ABS(Q20-O20)&gt;60),"Cek tahun laycan",IF(AND(ISNUMBER(Q20),ISNUMBER(N20),Q20&lt;N20),"Berangkat sebelum laycan",IF(NOT(ISNUMBER(AE20)),"S belum ada","OK"))))))</f>
        <v>OK</v>
      </c>
    </row>
    <row r="21" customFormat="false" ht="15" hidden="false" customHeight="false" outlineLevel="0" collapsed="false">
      <c r="A21" s="11" t="n">
        <f aca="false">IF(B21="","",ROW()-4)</f>
        <v>17</v>
      </c>
      <c r="B21" s="12" t="s">
        <v>73</v>
      </c>
      <c r="C21" s="11" t="s">
        <v>116</v>
      </c>
      <c r="D21" s="11" t="n">
        <v>2022</v>
      </c>
      <c r="E21" s="11" t="s">
        <v>90</v>
      </c>
      <c r="F21" s="11" t="s">
        <v>117</v>
      </c>
      <c r="G21" s="11" t="s">
        <v>77</v>
      </c>
      <c r="H21" s="11" t="s">
        <v>92</v>
      </c>
      <c r="I21" s="11" t="s">
        <v>118</v>
      </c>
      <c r="J21" s="11"/>
      <c r="K21" s="11" t="n">
        <v>21537</v>
      </c>
      <c r="L21" s="13"/>
      <c r="M21" s="13"/>
      <c r="N21" s="13" t="n">
        <v>44754</v>
      </c>
      <c r="O21" s="13" t="n">
        <v>44754</v>
      </c>
      <c r="P21" s="13"/>
      <c r="Q21" s="13" t="n">
        <v>44755</v>
      </c>
      <c r="R21" s="13" t="n">
        <v>44804</v>
      </c>
      <c r="S21" s="13"/>
      <c r="T21" s="13"/>
      <c r="U21" s="12" t="s">
        <v>80</v>
      </c>
      <c r="V21" s="14"/>
      <c r="W21" s="11"/>
      <c r="X21" s="11"/>
      <c r="Y21" s="11" t="n">
        <v>49</v>
      </c>
      <c r="Z21" s="11" t="s">
        <v>81</v>
      </c>
      <c r="AA21" s="15" t="str">
        <f aca="false">IF(AND(ISNUMBER(L21),ISNUMBER(M21)),M21-L21,"")</f>
        <v/>
      </c>
      <c r="AB21" s="15" t="str">
        <f aca="false">IF(AND(ISNUMBER(M21),ISNUMBER(P21)),P21-M21,"")</f>
        <v/>
      </c>
      <c r="AC21" s="15" t="str">
        <f aca="false">IF(AND(ISNUMBER(L21),ISNUMBER(P21)),P21-L21,"")</f>
        <v/>
      </c>
      <c r="AD21" s="15" t="str">
        <f aca="false">IF(AND(ISNUMBER(P21),ISNUMBER(Q21)),Q21-P21,"")</f>
        <v/>
      </c>
      <c r="AE21" s="15" t="n">
        <f aca="false">IF(AND(ISNUMBER(Q21),ISNUMBER(R21)),R21-Q21,IF(ISNUMBER(Y21),Y21,""))</f>
        <v>49</v>
      </c>
      <c r="AF21" s="15" t="str">
        <f aca="false">IF(AND(ISNUMBER(R21),ISNUMBER(S21)),S21-R21,"")</f>
        <v/>
      </c>
      <c r="AG21" s="15" t="str">
        <f aca="false">IF(AND(ISNUMBER(S21),ISNUMBER(T21)),T21-S21,"")</f>
        <v/>
      </c>
      <c r="AH21" s="15" t="str">
        <f aca="false">IF(AND(ISNUMBER(L21),ISNUMBER(T21)),T21-L21,"")</f>
        <v/>
      </c>
      <c r="AI21" s="15" t="n">
        <f aca="false">IF(AND(ISNUMBER(O21),ISNUMBER(Q21)),Q21-O21,"")</f>
        <v>1</v>
      </c>
      <c r="AJ21" s="15" t="str">
        <f aca="false">IF(B21="","",COUNT(L21:M21,P21:T21)&amp;"/7")</f>
        <v>2/7</v>
      </c>
      <c r="AK21" s="15" t="str">
        <f aca="false">IF(B21="","",IF(OR(AND(ISNUMBER(L21),ISNUMBER(M21),M21&lt;L21),AND(ISNUMBER(M21),ISNUMBER(P21),P21&lt;M21),AND(ISNUMBER(P21),ISNUMBER(Q21),Q21&lt;P21),AND(ISNUMBER(Q21),ISNUMBER(R21),R21&lt;Q21),AND(ISNUMBER(R21),ISNUMBER(S21),S21&lt;R21),AND(ISNUMBER(S21),ISNUMBER(T21),T21&lt;S21),AND(ISNUMBER(N21),ISNUMBER(O21),O21&lt;N21)),"Urutan tanggal salah",IF(AND(ISNUMBER(Q21),ISNUMBER(R21),ISNUMBER(Y21),ABS(R21-Q21-Y21)&gt;2),"S tanggal ≠ Sailing tercatat",IF(AND(ISNUMBER(Q21),ISNUMBER(O21),ABS(Q21-O21)&gt;60),"Cek tahun laycan",IF(AND(ISNUMBER(Q21),ISNUMBER(N21),Q21&lt;N21),"Berangkat sebelum laycan",IF(NOT(ISNUMBER(AE21)),"S belum ada","OK"))))))</f>
        <v>OK</v>
      </c>
    </row>
    <row r="22" customFormat="false" ht="15" hidden="false" customHeight="false" outlineLevel="0" collapsed="false">
      <c r="A22" s="11" t="n">
        <f aca="false">IF(B22="","",ROW()-4)</f>
        <v>18</v>
      </c>
      <c r="B22" s="12" t="s">
        <v>73</v>
      </c>
      <c r="C22" s="11" t="s">
        <v>119</v>
      </c>
      <c r="D22" s="11" t="n">
        <v>2022</v>
      </c>
      <c r="E22" s="11" t="s">
        <v>90</v>
      </c>
      <c r="F22" s="11" t="s">
        <v>120</v>
      </c>
      <c r="G22" s="11" t="s">
        <v>77</v>
      </c>
      <c r="H22" s="11" t="s">
        <v>92</v>
      </c>
      <c r="I22" s="11" t="s">
        <v>121</v>
      </c>
      <c r="J22" s="11"/>
      <c r="K22" s="11" t="n">
        <v>33463</v>
      </c>
      <c r="L22" s="13"/>
      <c r="M22" s="13"/>
      <c r="N22" s="13" t="n">
        <v>44807</v>
      </c>
      <c r="O22" s="13" t="n">
        <v>44807</v>
      </c>
      <c r="P22" s="13"/>
      <c r="Q22" s="13" t="n">
        <v>44811</v>
      </c>
      <c r="R22" s="13" t="n">
        <v>44851</v>
      </c>
      <c r="S22" s="13"/>
      <c r="T22" s="13"/>
      <c r="U22" s="12" t="s">
        <v>80</v>
      </c>
      <c r="V22" s="14"/>
      <c r="W22" s="11"/>
      <c r="X22" s="11"/>
      <c r="Y22" s="11" t="n">
        <v>40</v>
      </c>
      <c r="Z22" s="11" t="s">
        <v>81</v>
      </c>
      <c r="AA22" s="15" t="str">
        <f aca="false">IF(AND(ISNUMBER(L22),ISNUMBER(M22)),M22-L22,"")</f>
        <v/>
      </c>
      <c r="AB22" s="15" t="str">
        <f aca="false">IF(AND(ISNUMBER(M22),ISNUMBER(P22)),P22-M22,"")</f>
        <v/>
      </c>
      <c r="AC22" s="15" t="str">
        <f aca="false">IF(AND(ISNUMBER(L22),ISNUMBER(P22)),P22-L22,"")</f>
        <v/>
      </c>
      <c r="AD22" s="15" t="str">
        <f aca="false">IF(AND(ISNUMBER(P22),ISNUMBER(Q22)),Q22-P22,"")</f>
        <v/>
      </c>
      <c r="AE22" s="15" t="n">
        <f aca="false">IF(AND(ISNUMBER(Q22),ISNUMBER(R22)),R22-Q22,IF(ISNUMBER(Y22),Y22,""))</f>
        <v>40</v>
      </c>
      <c r="AF22" s="15" t="str">
        <f aca="false">IF(AND(ISNUMBER(R22),ISNUMBER(S22)),S22-R22,"")</f>
        <v/>
      </c>
      <c r="AG22" s="15" t="str">
        <f aca="false">IF(AND(ISNUMBER(S22),ISNUMBER(T22)),T22-S22,"")</f>
        <v/>
      </c>
      <c r="AH22" s="15" t="str">
        <f aca="false">IF(AND(ISNUMBER(L22),ISNUMBER(T22)),T22-L22,"")</f>
        <v/>
      </c>
      <c r="AI22" s="15" t="n">
        <f aca="false">IF(AND(ISNUMBER(O22),ISNUMBER(Q22)),Q22-O22,"")</f>
        <v>4</v>
      </c>
      <c r="AJ22" s="15" t="str">
        <f aca="false">IF(B22="","",COUNT(L22:M22,P22:T22)&amp;"/7")</f>
        <v>2/7</v>
      </c>
      <c r="AK22" s="15" t="str">
        <f aca="false">IF(B22="","",IF(OR(AND(ISNUMBER(L22),ISNUMBER(M22),M22&lt;L22),AND(ISNUMBER(M22),ISNUMBER(P22),P22&lt;M22),AND(ISNUMBER(P22),ISNUMBER(Q22),Q22&lt;P22),AND(ISNUMBER(Q22),ISNUMBER(R22),R22&lt;Q22),AND(ISNUMBER(R22),ISNUMBER(S22),S22&lt;R22),AND(ISNUMBER(S22),ISNUMBER(T22),T22&lt;S22),AND(ISNUMBER(N22),ISNUMBER(O22),O22&lt;N22)),"Urutan tanggal salah",IF(AND(ISNUMBER(Q22),ISNUMBER(R22),ISNUMBER(Y22),ABS(R22-Q22-Y22)&gt;2),"S tanggal ≠ Sailing tercatat",IF(AND(ISNUMBER(Q22),ISNUMBER(O22),ABS(Q22-O22)&gt;60),"Cek tahun laycan",IF(AND(ISNUMBER(Q22),ISNUMBER(N22),Q22&lt;N22),"Berangkat sebelum laycan",IF(NOT(ISNUMBER(AE22)),"S belum ada","OK"))))))</f>
        <v>OK</v>
      </c>
    </row>
    <row r="23" customFormat="false" ht="15" hidden="false" customHeight="false" outlineLevel="0" collapsed="false">
      <c r="A23" s="11" t="n">
        <f aca="false">IF(B23="","",ROW()-4)</f>
        <v>19</v>
      </c>
      <c r="B23" s="12" t="s">
        <v>73</v>
      </c>
      <c r="C23" s="11" t="s">
        <v>73</v>
      </c>
      <c r="D23" s="11" t="n">
        <v>2022</v>
      </c>
      <c r="E23" s="11" t="s">
        <v>90</v>
      </c>
      <c r="F23" s="11" t="s">
        <v>122</v>
      </c>
      <c r="G23" s="11" t="s">
        <v>77</v>
      </c>
      <c r="H23" s="11" t="s">
        <v>123</v>
      </c>
      <c r="I23" s="11" t="s">
        <v>124</v>
      </c>
      <c r="J23" s="11"/>
      <c r="K23" s="11" t="n">
        <v>25670</v>
      </c>
      <c r="L23" s="13"/>
      <c r="M23" s="13"/>
      <c r="N23" s="13" t="n">
        <v>44842</v>
      </c>
      <c r="O23" s="13" t="n">
        <v>44842</v>
      </c>
      <c r="P23" s="13"/>
      <c r="Q23" s="13" t="n">
        <v>44843</v>
      </c>
      <c r="R23" s="13" t="n">
        <v>44884</v>
      </c>
      <c r="S23" s="13"/>
      <c r="T23" s="13"/>
      <c r="U23" s="12" t="s">
        <v>80</v>
      </c>
      <c r="V23" s="14"/>
      <c r="W23" s="11"/>
      <c r="X23" s="11" t="s">
        <v>125</v>
      </c>
      <c r="Y23" s="11" t="n">
        <v>41</v>
      </c>
      <c r="Z23" s="11" t="s">
        <v>81</v>
      </c>
      <c r="AA23" s="15" t="str">
        <f aca="false">IF(AND(ISNUMBER(L23),ISNUMBER(M23)),M23-L23,"")</f>
        <v/>
      </c>
      <c r="AB23" s="15" t="str">
        <f aca="false">IF(AND(ISNUMBER(M23),ISNUMBER(P23)),P23-M23,"")</f>
        <v/>
      </c>
      <c r="AC23" s="15" t="str">
        <f aca="false">IF(AND(ISNUMBER(L23),ISNUMBER(P23)),P23-L23,"")</f>
        <v/>
      </c>
      <c r="AD23" s="15" t="str">
        <f aca="false">IF(AND(ISNUMBER(P23),ISNUMBER(Q23)),Q23-P23,"")</f>
        <v/>
      </c>
      <c r="AE23" s="15" t="n">
        <f aca="false">IF(AND(ISNUMBER(Q23),ISNUMBER(R23)),R23-Q23,IF(ISNUMBER(Y23),Y23,""))</f>
        <v>41</v>
      </c>
      <c r="AF23" s="15" t="str">
        <f aca="false">IF(AND(ISNUMBER(R23),ISNUMBER(S23)),S23-R23,"")</f>
        <v/>
      </c>
      <c r="AG23" s="15" t="str">
        <f aca="false">IF(AND(ISNUMBER(S23),ISNUMBER(T23)),T23-S23,"")</f>
        <v/>
      </c>
      <c r="AH23" s="15" t="str">
        <f aca="false">IF(AND(ISNUMBER(L23),ISNUMBER(T23)),T23-L23,"")</f>
        <v/>
      </c>
      <c r="AI23" s="15" t="n">
        <f aca="false">IF(AND(ISNUMBER(O23),ISNUMBER(Q23)),Q23-O23,"")</f>
        <v>1</v>
      </c>
      <c r="AJ23" s="15" t="str">
        <f aca="false">IF(B23="","",COUNT(L23:M23,P23:T23)&amp;"/7")</f>
        <v>2/7</v>
      </c>
      <c r="AK23" s="15" t="str">
        <f aca="false">IF(B23="","",IF(OR(AND(ISNUMBER(L23),ISNUMBER(M23),M23&lt;L23),AND(ISNUMBER(M23),ISNUMBER(P23),P23&lt;M23),AND(ISNUMBER(P23),ISNUMBER(Q23),Q23&lt;P23),AND(ISNUMBER(Q23),ISNUMBER(R23),R23&lt;Q23),AND(ISNUMBER(R23),ISNUMBER(S23),S23&lt;R23),AND(ISNUMBER(S23),ISNUMBER(T23),T23&lt;S23),AND(ISNUMBER(N23),ISNUMBER(O23),O23&lt;N23)),"Urutan tanggal salah",IF(AND(ISNUMBER(Q23),ISNUMBER(R23),ISNUMBER(Y23),ABS(R23-Q23-Y23)&gt;2),"S tanggal ≠ Sailing tercatat",IF(AND(ISNUMBER(Q23),ISNUMBER(O23),ABS(Q23-O23)&gt;60),"Cek tahun laycan",IF(AND(ISNUMBER(Q23),ISNUMBER(N23),Q23&lt;N23),"Berangkat sebelum laycan",IF(NOT(ISNUMBER(AE23)),"S belum ada","OK"))))))</f>
        <v>OK</v>
      </c>
    </row>
    <row r="24" customFormat="false" ht="15" hidden="false" customHeight="false" outlineLevel="0" collapsed="false">
      <c r="A24" s="11" t="n">
        <f aca="false">IF(B24="","",ROW()-4)</f>
        <v>20</v>
      </c>
      <c r="B24" s="12" t="s">
        <v>73</v>
      </c>
      <c r="C24" s="11" t="s">
        <v>73</v>
      </c>
      <c r="D24" s="11" t="n">
        <v>2022</v>
      </c>
      <c r="E24" s="11" t="s">
        <v>126</v>
      </c>
      <c r="F24" s="11" t="s">
        <v>122</v>
      </c>
      <c r="G24" s="11" t="s">
        <v>77</v>
      </c>
      <c r="H24" s="11" t="s">
        <v>127</v>
      </c>
      <c r="I24" s="11" t="s">
        <v>128</v>
      </c>
      <c r="J24" s="11"/>
      <c r="K24" s="11" t="n">
        <v>25000</v>
      </c>
      <c r="L24" s="13"/>
      <c r="M24" s="13"/>
      <c r="N24" s="13" t="n">
        <v>44848</v>
      </c>
      <c r="O24" s="13" t="n">
        <v>44851</v>
      </c>
      <c r="P24" s="13"/>
      <c r="Q24" s="13" t="n">
        <v>44856</v>
      </c>
      <c r="R24" s="13" t="n">
        <v>44898</v>
      </c>
      <c r="S24" s="13"/>
      <c r="T24" s="13"/>
      <c r="U24" s="12" t="s">
        <v>80</v>
      </c>
      <c r="V24" s="14"/>
      <c r="W24" s="11"/>
      <c r="X24" s="11" t="s">
        <v>129</v>
      </c>
      <c r="Y24" s="11" t="n">
        <v>42</v>
      </c>
      <c r="Z24" s="11" t="s">
        <v>81</v>
      </c>
      <c r="AA24" s="15" t="str">
        <f aca="false">IF(AND(ISNUMBER(L24),ISNUMBER(M24)),M24-L24,"")</f>
        <v/>
      </c>
      <c r="AB24" s="15" t="str">
        <f aca="false">IF(AND(ISNUMBER(M24),ISNUMBER(P24)),P24-M24,"")</f>
        <v/>
      </c>
      <c r="AC24" s="15" t="str">
        <f aca="false">IF(AND(ISNUMBER(L24),ISNUMBER(P24)),P24-L24,"")</f>
        <v/>
      </c>
      <c r="AD24" s="15" t="str">
        <f aca="false">IF(AND(ISNUMBER(P24),ISNUMBER(Q24)),Q24-P24,"")</f>
        <v/>
      </c>
      <c r="AE24" s="15" t="n">
        <f aca="false">IF(AND(ISNUMBER(Q24),ISNUMBER(R24)),R24-Q24,IF(ISNUMBER(Y24),Y24,""))</f>
        <v>42</v>
      </c>
      <c r="AF24" s="15" t="str">
        <f aca="false">IF(AND(ISNUMBER(R24),ISNUMBER(S24)),S24-R24,"")</f>
        <v/>
      </c>
      <c r="AG24" s="15" t="str">
        <f aca="false">IF(AND(ISNUMBER(S24),ISNUMBER(T24)),T24-S24,"")</f>
        <v/>
      </c>
      <c r="AH24" s="15" t="str">
        <f aca="false">IF(AND(ISNUMBER(L24),ISNUMBER(T24)),T24-L24,"")</f>
        <v/>
      </c>
      <c r="AI24" s="15" t="n">
        <f aca="false">IF(AND(ISNUMBER(O24),ISNUMBER(Q24)),Q24-O24,"")</f>
        <v>5</v>
      </c>
      <c r="AJ24" s="15" t="str">
        <f aca="false">IF(B24="","",COUNT(L24:M24,P24:T24)&amp;"/7")</f>
        <v>2/7</v>
      </c>
      <c r="AK24" s="15" t="str">
        <f aca="false">IF(B24="","",IF(OR(AND(ISNUMBER(L24),ISNUMBER(M24),M24&lt;L24),AND(ISNUMBER(M24),ISNUMBER(P24),P24&lt;M24),AND(ISNUMBER(P24),ISNUMBER(Q24),Q24&lt;P24),AND(ISNUMBER(Q24),ISNUMBER(R24),R24&lt;Q24),AND(ISNUMBER(R24),ISNUMBER(S24),S24&lt;R24),AND(ISNUMBER(S24),ISNUMBER(T24),T24&lt;S24),AND(ISNUMBER(N24),ISNUMBER(O24),O24&lt;N24)),"Urutan tanggal salah",IF(AND(ISNUMBER(Q24),ISNUMBER(R24),ISNUMBER(Y24),ABS(R24-Q24-Y24)&gt;2),"S tanggal ≠ Sailing tercatat",IF(AND(ISNUMBER(Q24),ISNUMBER(O24),ABS(Q24-O24)&gt;60),"Cek tahun laycan",IF(AND(ISNUMBER(Q24),ISNUMBER(N24),Q24&lt;N24),"Berangkat sebelum laycan",IF(NOT(ISNUMBER(AE24)),"S belum ada","OK"))))))</f>
        <v>OK</v>
      </c>
    </row>
    <row r="25" customFormat="false" ht="15" hidden="false" customHeight="false" outlineLevel="0" collapsed="false">
      <c r="A25" s="11" t="n">
        <f aca="false">IF(B25="","",ROW()-4)</f>
        <v>21</v>
      </c>
      <c r="B25" s="12" t="s">
        <v>73</v>
      </c>
      <c r="C25" s="11" t="s">
        <v>130</v>
      </c>
      <c r="D25" s="11" t="n">
        <v>2023</v>
      </c>
      <c r="E25" s="11" t="s">
        <v>94</v>
      </c>
      <c r="F25" s="11" t="s">
        <v>95</v>
      </c>
      <c r="G25" s="11" t="s">
        <v>77</v>
      </c>
      <c r="H25" s="11" t="s">
        <v>103</v>
      </c>
      <c r="I25" s="11" t="s">
        <v>131</v>
      </c>
      <c r="J25" s="11"/>
      <c r="K25" s="11" t="n">
        <v>27500</v>
      </c>
      <c r="L25" s="13"/>
      <c r="M25" s="13"/>
      <c r="N25" s="13" t="n">
        <v>44904</v>
      </c>
      <c r="O25" s="13" t="n">
        <v>44911</v>
      </c>
      <c r="P25" s="13"/>
      <c r="Q25" s="13" t="n">
        <v>44912</v>
      </c>
      <c r="R25" s="13" t="n">
        <v>44939</v>
      </c>
      <c r="S25" s="13"/>
      <c r="T25" s="13"/>
      <c r="U25" s="12" t="s">
        <v>80</v>
      </c>
      <c r="V25" s="14"/>
      <c r="W25" s="11"/>
      <c r="X25" s="11" t="s">
        <v>132</v>
      </c>
      <c r="Y25" s="11" t="n">
        <v>27</v>
      </c>
      <c r="Z25" s="11" t="s">
        <v>81</v>
      </c>
      <c r="AA25" s="15" t="str">
        <f aca="false">IF(AND(ISNUMBER(L25),ISNUMBER(M25)),M25-L25,"")</f>
        <v/>
      </c>
      <c r="AB25" s="15" t="str">
        <f aca="false">IF(AND(ISNUMBER(M25),ISNUMBER(P25)),P25-M25,"")</f>
        <v/>
      </c>
      <c r="AC25" s="15" t="str">
        <f aca="false">IF(AND(ISNUMBER(L25),ISNUMBER(P25)),P25-L25,"")</f>
        <v/>
      </c>
      <c r="AD25" s="15" t="str">
        <f aca="false">IF(AND(ISNUMBER(P25),ISNUMBER(Q25)),Q25-P25,"")</f>
        <v/>
      </c>
      <c r="AE25" s="15" t="n">
        <f aca="false">IF(AND(ISNUMBER(Q25),ISNUMBER(R25)),R25-Q25,IF(ISNUMBER(Y25),Y25,""))</f>
        <v>27</v>
      </c>
      <c r="AF25" s="15" t="str">
        <f aca="false">IF(AND(ISNUMBER(R25),ISNUMBER(S25)),S25-R25,"")</f>
        <v/>
      </c>
      <c r="AG25" s="15" t="str">
        <f aca="false">IF(AND(ISNUMBER(S25),ISNUMBER(T25)),T25-S25,"")</f>
        <v/>
      </c>
      <c r="AH25" s="15" t="str">
        <f aca="false">IF(AND(ISNUMBER(L25),ISNUMBER(T25)),T25-L25,"")</f>
        <v/>
      </c>
      <c r="AI25" s="15" t="n">
        <f aca="false">IF(AND(ISNUMBER(O25),ISNUMBER(Q25)),Q25-O25,"")</f>
        <v>1</v>
      </c>
      <c r="AJ25" s="15" t="str">
        <f aca="false">IF(B25="","",COUNT(L25:M25,P25:T25)&amp;"/7")</f>
        <v>2/7</v>
      </c>
      <c r="AK25" s="15" t="str">
        <f aca="false">IF(B25="","",IF(OR(AND(ISNUMBER(L25),ISNUMBER(M25),M25&lt;L25),AND(ISNUMBER(M25),ISNUMBER(P25),P25&lt;M25),AND(ISNUMBER(P25),ISNUMBER(Q25),Q25&lt;P25),AND(ISNUMBER(Q25),ISNUMBER(R25),R25&lt;Q25),AND(ISNUMBER(R25),ISNUMBER(S25),S25&lt;R25),AND(ISNUMBER(S25),ISNUMBER(T25),T25&lt;S25),AND(ISNUMBER(N25),ISNUMBER(O25),O25&lt;N25)),"Urutan tanggal salah",IF(AND(ISNUMBER(Q25),ISNUMBER(R25),ISNUMBER(Y25),ABS(R25-Q25-Y25)&gt;2),"S tanggal ≠ Sailing tercatat",IF(AND(ISNUMBER(Q25),ISNUMBER(O25),ABS(Q25-O25)&gt;60),"Cek tahun laycan",IF(AND(ISNUMBER(Q25),ISNUMBER(N25),Q25&lt;N25),"Berangkat sebelum laycan",IF(NOT(ISNUMBER(AE25)),"S belum ada","OK"))))))</f>
        <v>OK</v>
      </c>
    </row>
    <row r="26" customFormat="false" ht="15" hidden="false" customHeight="false" outlineLevel="0" collapsed="false">
      <c r="A26" s="11" t="n">
        <f aca="false">IF(B26="","",ROW()-4)</f>
        <v>22</v>
      </c>
      <c r="B26" s="12" t="s">
        <v>73</v>
      </c>
      <c r="C26" s="11" t="s">
        <v>133</v>
      </c>
      <c r="D26" s="11" t="n">
        <v>2023</v>
      </c>
      <c r="E26" s="11" t="s">
        <v>94</v>
      </c>
      <c r="F26" s="11" t="s">
        <v>95</v>
      </c>
      <c r="G26" s="11" t="s">
        <v>77</v>
      </c>
      <c r="H26" s="11" t="s">
        <v>103</v>
      </c>
      <c r="I26" s="11" t="s">
        <v>134</v>
      </c>
      <c r="J26" s="11"/>
      <c r="K26" s="11" t="n">
        <v>27500</v>
      </c>
      <c r="L26" s="13"/>
      <c r="M26" s="13"/>
      <c r="N26" s="13" t="n">
        <v>44967</v>
      </c>
      <c r="O26" s="13" t="n">
        <v>44977</v>
      </c>
      <c r="P26" s="13"/>
      <c r="Q26" s="13" t="n">
        <v>44978</v>
      </c>
      <c r="R26" s="13" t="n">
        <v>45006</v>
      </c>
      <c r="S26" s="13"/>
      <c r="T26" s="13"/>
      <c r="U26" s="12" t="s">
        <v>80</v>
      </c>
      <c r="V26" s="14"/>
      <c r="W26" s="11"/>
      <c r="X26" s="11" t="s">
        <v>135</v>
      </c>
      <c r="Y26" s="11" t="n">
        <v>28</v>
      </c>
      <c r="Z26" s="11" t="s">
        <v>81</v>
      </c>
      <c r="AA26" s="15" t="str">
        <f aca="false">IF(AND(ISNUMBER(L26),ISNUMBER(M26)),M26-L26,"")</f>
        <v/>
      </c>
      <c r="AB26" s="15" t="str">
        <f aca="false">IF(AND(ISNUMBER(M26),ISNUMBER(P26)),P26-M26,"")</f>
        <v/>
      </c>
      <c r="AC26" s="15" t="str">
        <f aca="false">IF(AND(ISNUMBER(L26),ISNUMBER(P26)),P26-L26,"")</f>
        <v/>
      </c>
      <c r="AD26" s="15" t="str">
        <f aca="false">IF(AND(ISNUMBER(P26),ISNUMBER(Q26)),Q26-P26,"")</f>
        <v/>
      </c>
      <c r="AE26" s="15" t="n">
        <f aca="false">IF(AND(ISNUMBER(Q26),ISNUMBER(R26)),R26-Q26,IF(ISNUMBER(Y26),Y26,""))</f>
        <v>28</v>
      </c>
      <c r="AF26" s="15" t="str">
        <f aca="false">IF(AND(ISNUMBER(R26),ISNUMBER(S26)),S26-R26,"")</f>
        <v/>
      </c>
      <c r="AG26" s="15" t="str">
        <f aca="false">IF(AND(ISNUMBER(S26),ISNUMBER(T26)),T26-S26,"")</f>
        <v/>
      </c>
      <c r="AH26" s="15" t="str">
        <f aca="false">IF(AND(ISNUMBER(L26),ISNUMBER(T26)),T26-L26,"")</f>
        <v/>
      </c>
      <c r="AI26" s="15" t="n">
        <f aca="false">IF(AND(ISNUMBER(O26),ISNUMBER(Q26)),Q26-O26,"")</f>
        <v>1</v>
      </c>
      <c r="AJ26" s="15" t="str">
        <f aca="false">IF(B26="","",COUNT(L26:M26,P26:T26)&amp;"/7")</f>
        <v>2/7</v>
      </c>
      <c r="AK26" s="15" t="str">
        <f aca="false">IF(B26="","",IF(OR(AND(ISNUMBER(L26),ISNUMBER(M26),M26&lt;L26),AND(ISNUMBER(M26),ISNUMBER(P26),P26&lt;M26),AND(ISNUMBER(P26),ISNUMBER(Q26),Q26&lt;P26),AND(ISNUMBER(Q26),ISNUMBER(R26),R26&lt;Q26),AND(ISNUMBER(R26),ISNUMBER(S26),S26&lt;R26),AND(ISNUMBER(S26),ISNUMBER(T26),T26&lt;S26),AND(ISNUMBER(N26),ISNUMBER(O26),O26&lt;N26)),"Urutan tanggal salah",IF(AND(ISNUMBER(Q26),ISNUMBER(R26),ISNUMBER(Y26),ABS(R26-Q26-Y26)&gt;2),"S tanggal ≠ Sailing tercatat",IF(AND(ISNUMBER(Q26),ISNUMBER(O26),ABS(Q26-O26)&gt;60),"Cek tahun laycan",IF(AND(ISNUMBER(Q26),ISNUMBER(N26),Q26&lt;N26),"Berangkat sebelum laycan",IF(NOT(ISNUMBER(AE26)),"S belum ada","OK"))))))</f>
        <v>OK</v>
      </c>
    </row>
    <row r="27" customFormat="false" ht="15" hidden="false" customHeight="false" outlineLevel="0" collapsed="false">
      <c r="A27" s="11" t="n">
        <f aca="false">IF(B27="","",ROW()-4)</f>
        <v>23</v>
      </c>
      <c r="B27" s="12" t="s">
        <v>73</v>
      </c>
      <c r="C27" s="11" t="s">
        <v>74</v>
      </c>
      <c r="D27" s="11" t="n">
        <v>2022</v>
      </c>
      <c r="E27" s="11" t="s">
        <v>75</v>
      </c>
      <c r="F27" s="11" t="s">
        <v>76</v>
      </c>
      <c r="G27" s="11" t="s">
        <v>77</v>
      </c>
      <c r="H27" s="11" t="s">
        <v>85</v>
      </c>
      <c r="I27" s="11" t="s">
        <v>136</v>
      </c>
      <c r="J27" s="11"/>
      <c r="K27" s="11" t="n">
        <v>27500</v>
      </c>
      <c r="L27" s="13"/>
      <c r="M27" s="13"/>
      <c r="N27" s="13" t="n">
        <v>44865</v>
      </c>
      <c r="O27" s="13" t="n">
        <v>44865</v>
      </c>
      <c r="P27" s="13"/>
      <c r="Q27" s="13" t="n">
        <v>44867</v>
      </c>
      <c r="R27" s="13" t="n">
        <v>44895</v>
      </c>
      <c r="S27" s="13"/>
      <c r="T27" s="13"/>
      <c r="U27" s="12" t="s">
        <v>80</v>
      </c>
      <c r="V27" s="14"/>
      <c r="W27" s="11"/>
      <c r="X27" s="11" t="s">
        <v>137</v>
      </c>
      <c r="Y27" s="11" t="n">
        <v>28</v>
      </c>
      <c r="Z27" s="11" t="s">
        <v>81</v>
      </c>
      <c r="AA27" s="15" t="str">
        <f aca="false">IF(AND(ISNUMBER(L27),ISNUMBER(M27)),M27-L27,"")</f>
        <v/>
      </c>
      <c r="AB27" s="15" t="str">
        <f aca="false">IF(AND(ISNUMBER(M27),ISNUMBER(P27)),P27-M27,"")</f>
        <v/>
      </c>
      <c r="AC27" s="15" t="str">
        <f aca="false">IF(AND(ISNUMBER(L27),ISNUMBER(P27)),P27-L27,"")</f>
        <v/>
      </c>
      <c r="AD27" s="15" t="str">
        <f aca="false">IF(AND(ISNUMBER(P27),ISNUMBER(Q27)),Q27-P27,"")</f>
        <v/>
      </c>
      <c r="AE27" s="15" t="n">
        <f aca="false">IF(AND(ISNUMBER(Q27),ISNUMBER(R27)),R27-Q27,IF(ISNUMBER(Y27),Y27,""))</f>
        <v>28</v>
      </c>
      <c r="AF27" s="15" t="str">
        <f aca="false">IF(AND(ISNUMBER(R27),ISNUMBER(S27)),S27-R27,"")</f>
        <v/>
      </c>
      <c r="AG27" s="15" t="str">
        <f aca="false">IF(AND(ISNUMBER(S27),ISNUMBER(T27)),T27-S27,"")</f>
        <v/>
      </c>
      <c r="AH27" s="15" t="str">
        <f aca="false">IF(AND(ISNUMBER(L27),ISNUMBER(T27)),T27-L27,"")</f>
        <v/>
      </c>
      <c r="AI27" s="15" t="n">
        <f aca="false">IF(AND(ISNUMBER(O27),ISNUMBER(Q27)),Q27-O27,"")</f>
        <v>2</v>
      </c>
      <c r="AJ27" s="15" t="str">
        <f aca="false">IF(B27="","",COUNT(L27:M27,P27:T27)&amp;"/7")</f>
        <v>2/7</v>
      </c>
      <c r="AK27" s="15" t="str">
        <f aca="false">IF(B27="","",IF(OR(AND(ISNUMBER(L27),ISNUMBER(M27),M27&lt;L27),AND(ISNUMBER(M27),ISNUMBER(P27),P27&lt;M27),AND(ISNUMBER(P27),ISNUMBER(Q27),Q27&lt;P27),AND(ISNUMBER(Q27),ISNUMBER(R27),R27&lt;Q27),AND(ISNUMBER(R27),ISNUMBER(S27),S27&lt;R27),AND(ISNUMBER(S27),ISNUMBER(T27),T27&lt;S27),AND(ISNUMBER(N27),ISNUMBER(O27),O27&lt;N27)),"Urutan tanggal salah",IF(AND(ISNUMBER(Q27),ISNUMBER(R27),ISNUMBER(Y27),ABS(R27-Q27-Y27)&gt;2),"S tanggal ≠ Sailing tercatat",IF(AND(ISNUMBER(Q27),ISNUMBER(O27),ABS(Q27-O27)&gt;60),"Cek tahun laycan",IF(AND(ISNUMBER(Q27),ISNUMBER(N27),Q27&lt;N27),"Berangkat sebelum laycan",IF(NOT(ISNUMBER(AE27)),"S belum ada","OK"))))))</f>
        <v>OK</v>
      </c>
    </row>
    <row r="28" customFormat="false" ht="15" hidden="false" customHeight="false" outlineLevel="0" collapsed="false">
      <c r="A28" s="11" t="n">
        <f aca="false">IF(B28="","",ROW()-4)</f>
        <v>24</v>
      </c>
      <c r="B28" s="12" t="s">
        <v>73</v>
      </c>
      <c r="C28" s="11" t="s">
        <v>82</v>
      </c>
      <c r="D28" s="11" t="n">
        <v>2023</v>
      </c>
      <c r="E28" s="11" t="s">
        <v>75</v>
      </c>
      <c r="F28" s="11" t="s">
        <v>76</v>
      </c>
      <c r="G28" s="11" t="s">
        <v>77</v>
      </c>
      <c r="H28" s="11" t="s">
        <v>85</v>
      </c>
      <c r="I28" s="11" t="s">
        <v>138</v>
      </c>
      <c r="J28" s="11"/>
      <c r="K28" s="11" t="n">
        <v>27500</v>
      </c>
      <c r="L28" s="13"/>
      <c r="M28" s="13"/>
      <c r="N28" s="13" t="n">
        <v>44900</v>
      </c>
      <c r="O28" s="13" t="n">
        <v>44900</v>
      </c>
      <c r="P28" s="13"/>
      <c r="Q28" s="13" t="n">
        <v>44902</v>
      </c>
      <c r="R28" s="13" t="n">
        <v>44931</v>
      </c>
      <c r="S28" s="13"/>
      <c r="T28" s="13"/>
      <c r="U28" s="12" t="s">
        <v>80</v>
      </c>
      <c r="V28" s="14"/>
      <c r="W28" s="11"/>
      <c r="X28" s="11" t="s">
        <v>139</v>
      </c>
      <c r="Y28" s="11" t="n">
        <v>29</v>
      </c>
      <c r="Z28" s="11" t="s">
        <v>81</v>
      </c>
      <c r="AA28" s="15" t="str">
        <f aca="false">IF(AND(ISNUMBER(L28),ISNUMBER(M28)),M28-L28,"")</f>
        <v/>
      </c>
      <c r="AB28" s="15" t="str">
        <f aca="false">IF(AND(ISNUMBER(M28),ISNUMBER(P28)),P28-M28,"")</f>
        <v/>
      </c>
      <c r="AC28" s="15" t="str">
        <f aca="false">IF(AND(ISNUMBER(L28),ISNUMBER(P28)),P28-L28,"")</f>
        <v/>
      </c>
      <c r="AD28" s="15" t="str">
        <f aca="false">IF(AND(ISNUMBER(P28),ISNUMBER(Q28)),Q28-P28,"")</f>
        <v/>
      </c>
      <c r="AE28" s="15" t="n">
        <f aca="false">IF(AND(ISNUMBER(Q28),ISNUMBER(R28)),R28-Q28,IF(ISNUMBER(Y28),Y28,""))</f>
        <v>29</v>
      </c>
      <c r="AF28" s="15" t="str">
        <f aca="false">IF(AND(ISNUMBER(R28),ISNUMBER(S28)),S28-R28,"")</f>
        <v/>
      </c>
      <c r="AG28" s="15" t="str">
        <f aca="false">IF(AND(ISNUMBER(S28),ISNUMBER(T28)),T28-S28,"")</f>
        <v/>
      </c>
      <c r="AH28" s="15" t="str">
        <f aca="false">IF(AND(ISNUMBER(L28),ISNUMBER(T28)),T28-L28,"")</f>
        <v/>
      </c>
      <c r="AI28" s="15" t="n">
        <f aca="false">IF(AND(ISNUMBER(O28),ISNUMBER(Q28)),Q28-O28,"")</f>
        <v>2</v>
      </c>
      <c r="AJ28" s="15" t="str">
        <f aca="false">IF(B28="","",COUNT(L28:M28,P28:T28)&amp;"/7")</f>
        <v>2/7</v>
      </c>
      <c r="AK28" s="15" t="str">
        <f aca="false">IF(B28="","",IF(OR(AND(ISNUMBER(L28),ISNUMBER(M28),M28&lt;L28),AND(ISNUMBER(M28),ISNUMBER(P28),P28&lt;M28),AND(ISNUMBER(P28),ISNUMBER(Q28),Q28&lt;P28),AND(ISNUMBER(Q28),ISNUMBER(R28),R28&lt;Q28),AND(ISNUMBER(R28),ISNUMBER(S28),S28&lt;R28),AND(ISNUMBER(S28),ISNUMBER(T28),T28&lt;S28),AND(ISNUMBER(N28),ISNUMBER(O28),O28&lt;N28)),"Urutan tanggal salah",IF(AND(ISNUMBER(Q28),ISNUMBER(R28),ISNUMBER(Y28),ABS(R28-Q28-Y28)&gt;2),"S tanggal ≠ Sailing tercatat",IF(AND(ISNUMBER(Q28),ISNUMBER(O28),ABS(Q28-O28)&gt;60),"Cek tahun laycan",IF(AND(ISNUMBER(Q28),ISNUMBER(N28),Q28&lt;N28),"Berangkat sebelum laycan",IF(NOT(ISNUMBER(AE28)),"S belum ada","OK"))))))</f>
        <v>OK</v>
      </c>
    </row>
    <row r="29" customFormat="false" ht="15" hidden="false" customHeight="false" outlineLevel="0" collapsed="false">
      <c r="A29" s="11" t="n">
        <f aca="false">IF(B29="","",ROW()-4)</f>
        <v>25</v>
      </c>
      <c r="B29" s="12" t="s">
        <v>73</v>
      </c>
      <c r="C29" s="11" t="s">
        <v>88</v>
      </c>
      <c r="D29" s="11" t="n">
        <v>2023</v>
      </c>
      <c r="E29" s="11" t="s">
        <v>75</v>
      </c>
      <c r="F29" s="11" t="s">
        <v>76</v>
      </c>
      <c r="G29" s="11" t="s">
        <v>77</v>
      </c>
      <c r="H29" s="11" t="s">
        <v>85</v>
      </c>
      <c r="I29" s="11" t="s">
        <v>140</v>
      </c>
      <c r="J29" s="11"/>
      <c r="K29" s="11" t="n">
        <v>27500</v>
      </c>
      <c r="L29" s="13"/>
      <c r="M29" s="13"/>
      <c r="N29" s="13" t="n">
        <v>44915</v>
      </c>
      <c r="O29" s="13" t="n">
        <v>44915</v>
      </c>
      <c r="P29" s="13"/>
      <c r="Q29" s="13" t="n">
        <v>44918</v>
      </c>
      <c r="R29" s="13" t="n">
        <v>44946</v>
      </c>
      <c r="S29" s="13"/>
      <c r="T29" s="13"/>
      <c r="U29" s="12" t="s">
        <v>80</v>
      </c>
      <c r="V29" s="14"/>
      <c r="W29" s="11"/>
      <c r="X29" s="11" t="s">
        <v>141</v>
      </c>
      <c r="Y29" s="11" t="n">
        <v>28</v>
      </c>
      <c r="Z29" s="11" t="s">
        <v>81</v>
      </c>
      <c r="AA29" s="15" t="str">
        <f aca="false">IF(AND(ISNUMBER(L29),ISNUMBER(M29)),M29-L29,"")</f>
        <v/>
      </c>
      <c r="AB29" s="15" t="str">
        <f aca="false">IF(AND(ISNUMBER(M29),ISNUMBER(P29)),P29-M29,"")</f>
        <v/>
      </c>
      <c r="AC29" s="15" t="str">
        <f aca="false">IF(AND(ISNUMBER(L29),ISNUMBER(P29)),P29-L29,"")</f>
        <v/>
      </c>
      <c r="AD29" s="15" t="str">
        <f aca="false">IF(AND(ISNUMBER(P29),ISNUMBER(Q29)),Q29-P29,"")</f>
        <v/>
      </c>
      <c r="AE29" s="15" t="n">
        <f aca="false">IF(AND(ISNUMBER(Q29),ISNUMBER(R29)),R29-Q29,IF(ISNUMBER(Y29),Y29,""))</f>
        <v>28</v>
      </c>
      <c r="AF29" s="15" t="str">
        <f aca="false">IF(AND(ISNUMBER(R29),ISNUMBER(S29)),S29-R29,"")</f>
        <v/>
      </c>
      <c r="AG29" s="15" t="str">
        <f aca="false">IF(AND(ISNUMBER(S29),ISNUMBER(T29)),T29-S29,"")</f>
        <v/>
      </c>
      <c r="AH29" s="15" t="str">
        <f aca="false">IF(AND(ISNUMBER(L29),ISNUMBER(T29)),T29-L29,"")</f>
        <v/>
      </c>
      <c r="AI29" s="15" t="n">
        <f aca="false">IF(AND(ISNUMBER(O29),ISNUMBER(Q29)),Q29-O29,"")</f>
        <v>3</v>
      </c>
      <c r="AJ29" s="15" t="str">
        <f aca="false">IF(B29="","",COUNT(L29:M29,P29:T29)&amp;"/7")</f>
        <v>2/7</v>
      </c>
      <c r="AK29" s="15" t="str">
        <f aca="false">IF(B29="","",IF(OR(AND(ISNUMBER(L29),ISNUMBER(M29),M29&lt;L29),AND(ISNUMBER(M29),ISNUMBER(P29),P29&lt;M29),AND(ISNUMBER(P29),ISNUMBER(Q29),Q29&lt;P29),AND(ISNUMBER(Q29),ISNUMBER(R29),R29&lt;Q29),AND(ISNUMBER(R29),ISNUMBER(S29),S29&lt;R29),AND(ISNUMBER(S29),ISNUMBER(T29),T29&lt;S29),AND(ISNUMBER(N29),ISNUMBER(O29),O29&lt;N29)),"Urutan tanggal salah",IF(AND(ISNUMBER(Q29),ISNUMBER(R29),ISNUMBER(Y29),ABS(R29-Q29-Y29)&gt;2),"S tanggal ≠ Sailing tercatat",IF(AND(ISNUMBER(Q29),ISNUMBER(O29),ABS(Q29-O29)&gt;60),"Cek tahun laycan",IF(AND(ISNUMBER(Q29),ISNUMBER(N29),Q29&lt;N29),"Berangkat sebelum laycan",IF(NOT(ISNUMBER(AE29)),"S belum ada","OK"))))))</f>
        <v>OK</v>
      </c>
    </row>
    <row r="30" customFormat="false" ht="15" hidden="false" customHeight="false" outlineLevel="0" collapsed="false">
      <c r="A30" s="11" t="n">
        <f aca="false">IF(B30="","",ROW()-4)</f>
        <v>26</v>
      </c>
      <c r="B30" s="12" t="s">
        <v>73</v>
      </c>
      <c r="C30" s="11" t="s">
        <v>142</v>
      </c>
      <c r="D30" s="11" t="n">
        <v>2023</v>
      </c>
      <c r="E30" s="11" t="s">
        <v>75</v>
      </c>
      <c r="F30" s="11" t="s">
        <v>76</v>
      </c>
      <c r="G30" s="11" t="s">
        <v>77</v>
      </c>
      <c r="H30" s="11" t="s">
        <v>85</v>
      </c>
      <c r="I30" s="11" t="s">
        <v>79</v>
      </c>
      <c r="J30" s="11"/>
      <c r="K30" s="11" t="n">
        <v>27460</v>
      </c>
      <c r="L30" s="13"/>
      <c r="M30" s="13"/>
      <c r="N30" s="13" t="n">
        <v>44942</v>
      </c>
      <c r="O30" s="13" t="n">
        <v>44942</v>
      </c>
      <c r="P30" s="13"/>
      <c r="Q30" s="13" t="n">
        <v>44943</v>
      </c>
      <c r="R30" s="13" t="n">
        <v>44971</v>
      </c>
      <c r="S30" s="13"/>
      <c r="T30" s="13"/>
      <c r="U30" s="12" t="s">
        <v>80</v>
      </c>
      <c r="V30" s="14"/>
      <c r="W30" s="11"/>
      <c r="X30" s="11"/>
      <c r="Y30" s="11" t="n">
        <v>28</v>
      </c>
      <c r="Z30" s="11" t="s">
        <v>81</v>
      </c>
      <c r="AA30" s="15" t="str">
        <f aca="false">IF(AND(ISNUMBER(L30),ISNUMBER(M30)),M30-L30,"")</f>
        <v/>
      </c>
      <c r="AB30" s="15" t="str">
        <f aca="false">IF(AND(ISNUMBER(M30),ISNUMBER(P30)),P30-M30,"")</f>
        <v/>
      </c>
      <c r="AC30" s="15" t="str">
        <f aca="false">IF(AND(ISNUMBER(L30),ISNUMBER(P30)),P30-L30,"")</f>
        <v/>
      </c>
      <c r="AD30" s="15" t="str">
        <f aca="false">IF(AND(ISNUMBER(P30),ISNUMBER(Q30)),Q30-P30,"")</f>
        <v/>
      </c>
      <c r="AE30" s="15" t="n">
        <f aca="false">IF(AND(ISNUMBER(Q30),ISNUMBER(R30)),R30-Q30,IF(ISNUMBER(Y30),Y30,""))</f>
        <v>28</v>
      </c>
      <c r="AF30" s="15" t="str">
        <f aca="false">IF(AND(ISNUMBER(R30),ISNUMBER(S30)),S30-R30,"")</f>
        <v/>
      </c>
      <c r="AG30" s="15" t="str">
        <f aca="false">IF(AND(ISNUMBER(S30),ISNUMBER(T30)),T30-S30,"")</f>
        <v/>
      </c>
      <c r="AH30" s="15" t="str">
        <f aca="false">IF(AND(ISNUMBER(L30),ISNUMBER(T30)),T30-L30,"")</f>
        <v/>
      </c>
      <c r="AI30" s="15" t="n">
        <f aca="false">IF(AND(ISNUMBER(O30),ISNUMBER(Q30)),Q30-O30,"")</f>
        <v>1</v>
      </c>
      <c r="AJ30" s="15" t="str">
        <f aca="false">IF(B30="","",COUNT(L30:M30,P30:T30)&amp;"/7")</f>
        <v>2/7</v>
      </c>
      <c r="AK30" s="15" t="str">
        <f aca="false">IF(B30="","",IF(OR(AND(ISNUMBER(L30),ISNUMBER(M30),M30&lt;L30),AND(ISNUMBER(M30),ISNUMBER(P30),P30&lt;M30),AND(ISNUMBER(P30),ISNUMBER(Q30),Q30&lt;P30),AND(ISNUMBER(Q30),ISNUMBER(R30),R30&lt;Q30),AND(ISNUMBER(R30),ISNUMBER(S30),S30&lt;R30),AND(ISNUMBER(S30),ISNUMBER(T30),T30&lt;S30),AND(ISNUMBER(N30),ISNUMBER(O30),O30&lt;N30)),"Urutan tanggal salah",IF(AND(ISNUMBER(Q30),ISNUMBER(R30),ISNUMBER(Y30),ABS(R30-Q30-Y30)&gt;2),"S tanggal ≠ Sailing tercatat",IF(AND(ISNUMBER(Q30),ISNUMBER(O30),ABS(Q30-O30)&gt;60),"Cek tahun laycan",IF(AND(ISNUMBER(Q30),ISNUMBER(N30),Q30&lt;N30),"Berangkat sebelum laycan",IF(NOT(ISNUMBER(AE30)),"S belum ada","OK"))))))</f>
        <v>OK</v>
      </c>
    </row>
    <row r="31" customFormat="false" ht="15" hidden="false" customHeight="false" outlineLevel="0" collapsed="false">
      <c r="A31" s="11" t="n">
        <f aca="false">IF(B31="","",ROW()-4)</f>
        <v>27</v>
      </c>
      <c r="B31" s="12" t="s">
        <v>73</v>
      </c>
      <c r="C31" s="11" t="s">
        <v>74</v>
      </c>
      <c r="D31" s="11" t="n">
        <v>2023</v>
      </c>
      <c r="E31" s="11" t="s">
        <v>126</v>
      </c>
      <c r="F31" s="11" t="s">
        <v>122</v>
      </c>
      <c r="G31" s="11" t="s">
        <v>77</v>
      </c>
      <c r="H31" s="11" t="s">
        <v>127</v>
      </c>
      <c r="I31" s="11" t="s">
        <v>143</v>
      </c>
      <c r="J31" s="11"/>
      <c r="K31" s="11" t="n">
        <v>27500</v>
      </c>
      <c r="L31" s="13"/>
      <c r="M31" s="13"/>
      <c r="N31" s="13" t="n">
        <v>44954</v>
      </c>
      <c r="O31" s="13" t="n">
        <v>44957</v>
      </c>
      <c r="P31" s="13"/>
      <c r="Q31" s="13" t="n">
        <v>44958</v>
      </c>
      <c r="R31" s="13" t="n">
        <v>45000</v>
      </c>
      <c r="S31" s="13"/>
      <c r="T31" s="13"/>
      <c r="U31" s="12" t="s">
        <v>80</v>
      </c>
      <c r="V31" s="14"/>
      <c r="W31" s="11"/>
      <c r="X31" s="11" t="s">
        <v>144</v>
      </c>
      <c r="Y31" s="11" t="n">
        <v>42</v>
      </c>
      <c r="Z31" s="11" t="s">
        <v>81</v>
      </c>
      <c r="AA31" s="15" t="str">
        <f aca="false">IF(AND(ISNUMBER(L31),ISNUMBER(M31)),M31-L31,"")</f>
        <v/>
      </c>
      <c r="AB31" s="15" t="str">
        <f aca="false">IF(AND(ISNUMBER(M31),ISNUMBER(P31)),P31-M31,"")</f>
        <v/>
      </c>
      <c r="AC31" s="15" t="str">
        <f aca="false">IF(AND(ISNUMBER(L31),ISNUMBER(P31)),P31-L31,"")</f>
        <v/>
      </c>
      <c r="AD31" s="15" t="str">
        <f aca="false">IF(AND(ISNUMBER(P31),ISNUMBER(Q31)),Q31-P31,"")</f>
        <v/>
      </c>
      <c r="AE31" s="15" t="n">
        <f aca="false">IF(AND(ISNUMBER(Q31),ISNUMBER(R31)),R31-Q31,IF(ISNUMBER(Y31),Y31,""))</f>
        <v>42</v>
      </c>
      <c r="AF31" s="15" t="str">
        <f aca="false">IF(AND(ISNUMBER(R31),ISNUMBER(S31)),S31-R31,"")</f>
        <v/>
      </c>
      <c r="AG31" s="15" t="str">
        <f aca="false">IF(AND(ISNUMBER(S31),ISNUMBER(T31)),T31-S31,"")</f>
        <v/>
      </c>
      <c r="AH31" s="15" t="str">
        <f aca="false">IF(AND(ISNUMBER(L31),ISNUMBER(T31)),T31-L31,"")</f>
        <v/>
      </c>
      <c r="AI31" s="15" t="n">
        <f aca="false">IF(AND(ISNUMBER(O31),ISNUMBER(Q31)),Q31-O31,"")</f>
        <v>1</v>
      </c>
      <c r="AJ31" s="15" t="str">
        <f aca="false">IF(B31="","",COUNT(L31:M31,P31:T31)&amp;"/7")</f>
        <v>2/7</v>
      </c>
      <c r="AK31" s="15" t="str">
        <f aca="false">IF(B31="","",IF(OR(AND(ISNUMBER(L31),ISNUMBER(M31),M31&lt;L31),AND(ISNUMBER(M31),ISNUMBER(P31),P31&lt;M31),AND(ISNUMBER(P31),ISNUMBER(Q31),Q31&lt;P31),AND(ISNUMBER(Q31),ISNUMBER(R31),R31&lt;Q31),AND(ISNUMBER(R31),ISNUMBER(S31),S31&lt;R31),AND(ISNUMBER(S31),ISNUMBER(T31),T31&lt;S31),AND(ISNUMBER(N31),ISNUMBER(O31),O31&lt;N31)),"Urutan tanggal salah",IF(AND(ISNUMBER(Q31),ISNUMBER(R31),ISNUMBER(Y31),ABS(R31-Q31-Y31)&gt;2),"S tanggal ≠ Sailing tercatat",IF(AND(ISNUMBER(Q31),ISNUMBER(O31),ABS(Q31-O31)&gt;60),"Cek tahun laycan",IF(AND(ISNUMBER(Q31),ISNUMBER(N31),Q31&lt;N31),"Berangkat sebelum laycan",IF(NOT(ISNUMBER(AE31)),"S belum ada","OK"))))))</f>
        <v>OK</v>
      </c>
    </row>
    <row r="32" customFormat="false" ht="15" hidden="false" customHeight="false" outlineLevel="0" collapsed="false">
      <c r="A32" s="11" t="n">
        <f aca="false">IF(B32="","",ROW()-4)</f>
        <v>28</v>
      </c>
      <c r="B32" s="12" t="s">
        <v>73</v>
      </c>
      <c r="C32" s="11" t="s">
        <v>82</v>
      </c>
      <c r="D32" s="11" t="n">
        <v>2023</v>
      </c>
      <c r="E32" s="11" t="s">
        <v>126</v>
      </c>
      <c r="F32" s="11" t="s">
        <v>122</v>
      </c>
      <c r="G32" s="11" t="s">
        <v>77</v>
      </c>
      <c r="H32" s="11" t="s">
        <v>127</v>
      </c>
      <c r="I32" s="11" t="s">
        <v>145</v>
      </c>
      <c r="J32" s="11"/>
      <c r="K32" s="11" t="n">
        <v>26424</v>
      </c>
      <c r="L32" s="13"/>
      <c r="M32" s="13"/>
      <c r="N32" s="13" t="n">
        <v>45002</v>
      </c>
      <c r="O32" s="13" t="n">
        <v>45006</v>
      </c>
      <c r="P32" s="13"/>
      <c r="Q32" s="13" t="n">
        <v>45007</v>
      </c>
      <c r="R32" s="13" t="n">
        <v>45057</v>
      </c>
      <c r="S32" s="13"/>
      <c r="T32" s="13"/>
      <c r="U32" s="12" t="s">
        <v>80</v>
      </c>
      <c r="V32" s="14"/>
      <c r="W32" s="11"/>
      <c r="X32" s="11" t="s">
        <v>146</v>
      </c>
      <c r="Y32" s="11" t="n">
        <v>50</v>
      </c>
      <c r="Z32" s="11" t="s">
        <v>81</v>
      </c>
      <c r="AA32" s="15" t="str">
        <f aca="false">IF(AND(ISNUMBER(L32),ISNUMBER(M32)),M32-L32,"")</f>
        <v/>
      </c>
      <c r="AB32" s="15" t="str">
        <f aca="false">IF(AND(ISNUMBER(M32),ISNUMBER(P32)),P32-M32,"")</f>
        <v/>
      </c>
      <c r="AC32" s="15" t="str">
        <f aca="false">IF(AND(ISNUMBER(L32),ISNUMBER(P32)),P32-L32,"")</f>
        <v/>
      </c>
      <c r="AD32" s="15" t="str">
        <f aca="false">IF(AND(ISNUMBER(P32),ISNUMBER(Q32)),Q32-P32,"")</f>
        <v/>
      </c>
      <c r="AE32" s="15" t="n">
        <f aca="false">IF(AND(ISNUMBER(Q32),ISNUMBER(R32)),R32-Q32,IF(ISNUMBER(Y32),Y32,""))</f>
        <v>50</v>
      </c>
      <c r="AF32" s="15" t="str">
        <f aca="false">IF(AND(ISNUMBER(R32),ISNUMBER(S32)),S32-R32,"")</f>
        <v/>
      </c>
      <c r="AG32" s="15" t="str">
        <f aca="false">IF(AND(ISNUMBER(S32),ISNUMBER(T32)),T32-S32,"")</f>
        <v/>
      </c>
      <c r="AH32" s="15" t="str">
        <f aca="false">IF(AND(ISNUMBER(L32),ISNUMBER(T32)),T32-L32,"")</f>
        <v/>
      </c>
      <c r="AI32" s="15" t="n">
        <f aca="false">IF(AND(ISNUMBER(O32),ISNUMBER(Q32)),Q32-O32,"")</f>
        <v>1</v>
      </c>
      <c r="AJ32" s="15" t="str">
        <f aca="false">IF(B32="","",COUNT(L32:M32,P32:T32)&amp;"/7")</f>
        <v>2/7</v>
      </c>
      <c r="AK32" s="15" t="str">
        <f aca="false">IF(B32="","",IF(OR(AND(ISNUMBER(L32),ISNUMBER(M32),M32&lt;L32),AND(ISNUMBER(M32),ISNUMBER(P32),P32&lt;M32),AND(ISNUMBER(P32),ISNUMBER(Q32),Q32&lt;P32),AND(ISNUMBER(Q32),ISNUMBER(R32),R32&lt;Q32),AND(ISNUMBER(R32),ISNUMBER(S32),S32&lt;R32),AND(ISNUMBER(S32),ISNUMBER(T32),T32&lt;S32),AND(ISNUMBER(N32),ISNUMBER(O32),O32&lt;N32)),"Urutan tanggal salah",IF(AND(ISNUMBER(Q32),ISNUMBER(R32),ISNUMBER(Y32),ABS(R32-Q32-Y32)&gt;2),"S tanggal ≠ Sailing tercatat",IF(AND(ISNUMBER(Q32),ISNUMBER(O32),ABS(Q32-O32)&gt;60),"Cek tahun laycan",IF(AND(ISNUMBER(Q32),ISNUMBER(N32),Q32&lt;N32),"Berangkat sebelum laycan",IF(NOT(ISNUMBER(AE32)),"S belum ada","OK"))))))</f>
        <v>OK</v>
      </c>
    </row>
    <row r="33" customFormat="false" ht="15" hidden="false" customHeight="false" outlineLevel="0" collapsed="false">
      <c r="A33" s="11" t="n">
        <f aca="false">IF(B33="","",ROW()-4)</f>
        <v>29</v>
      </c>
      <c r="B33" s="12" t="s">
        <v>73</v>
      </c>
      <c r="C33" s="11" t="s">
        <v>88</v>
      </c>
      <c r="D33" s="11" t="n">
        <v>2023</v>
      </c>
      <c r="E33" s="11" t="s">
        <v>126</v>
      </c>
      <c r="F33" s="11" t="s">
        <v>122</v>
      </c>
      <c r="G33" s="11" t="s">
        <v>77</v>
      </c>
      <c r="H33" s="11" t="s">
        <v>127</v>
      </c>
      <c r="I33" s="11" t="s">
        <v>147</v>
      </c>
      <c r="J33" s="11"/>
      <c r="K33" s="11" t="n">
        <v>27500</v>
      </c>
      <c r="L33" s="13"/>
      <c r="M33" s="13"/>
      <c r="N33" s="13" t="n">
        <v>45044</v>
      </c>
      <c r="O33" s="13" t="n">
        <v>45051</v>
      </c>
      <c r="P33" s="13"/>
      <c r="Q33" s="13" t="n">
        <v>45052</v>
      </c>
      <c r="R33" s="13" t="n">
        <v>45096</v>
      </c>
      <c r="S33" s="13"/>
      <c r="T33" s="13"/>
      <c r="U33" s="12" t="s">
        <v>80</v>
      </c>
      <c r="V33" s="14"/>
      <c r="W33" s="11"/>
      <c r="X33" s="11" t="s">
        <v>148</v>
      </c>
      <c r="Y33" s="11" t="n">
        <v>44</v>
      </c>
      <c r="Z33" s="11" t="s">
        <v>81</v>
      </c>
      <c r="AA33" s="15" t="str">
        <f aca="false">IF(AND(ISNUMBER(L33),ISNUMBER(M33)),M33-L33,"")</f>
        <v/>
      </c>
      <c r="AB33" s="15" t="str">
        <f aca="false">IF(AND(ISNUMBER(M33),ISNUMBER(P33)),P33-M33,"")</f>
        <v/>
      </c>
      <c r="AC33" s="15" t="str">
        <f aca="false">IF(AND(ISNUMBER(L33),ISNUMBER(P33)),P33-L33,"")</f>
        <v/>
      </c>
      <c r="AD33" s="15" t="str">
        <f aca="false">IF(AND(ISNUMBER(P33),ISNUMBER(Q33)),Q33-P33,"")</f>
        <v/>
      </c>
      <c r="AE33" s="15" t="n">
        <f aca="false">IF(AND(ISNUMBER(Q33),ISNUMBER(R33)),R33-Q33,IF(ISNUMBER(Y33),Y33,""))</f>
        <v>44</v>
      </c>
      <c r="AF33" s="15" t="str">
        <f aca="false">IF(AND(ISNUMBER(R33),ISNUMBER(S33)),S33-R33,"")</f>
        <v/>
      </c>
      <c r="AG33" s="15" t="str">
        <f aca="false">IF(AND(ISNUMBER(S33),ISNUMBER(T33)),T33-S33,"")</f>
        <v/>
      </c>
      <c r="AH33" s="15" t="str">
        <f aca="false">IF(AND(ISNUMBER(L33),ISNUMBER(T33)),T33-L33,"")</f>
        <v/>
      </c>
      <c r="AI33" s="15" t="n">
        <f aca="false">IF(AND(ISNUMBER(O33),ISNUMBER(Q33)),Q33-O33,"")</f>
        <v>1</v>
      </c>
      <c r="AJ33" s="15" t="str">
        <f aca="false">IF(B33="","",COUNT(L33:M33,P33:T33)&amp;"/7")</f>
        <v>2/7</v>
      </c>
      <c r="AK33" s="15" t="str">
        <f aca="false">IF(B33="","",IF(OR(AND(ISNUMBER(L33),ISNUMBER(M33),M33&lt;L33),AND(ISNUMBER(M33),ISNUMBER(P33),P33&lt;M33),AND(ISNUMBER(P33),ISNUMBER(Q33),Q33&lt;P33),AND(ISNUMBER(Q33),ISNUMBER(R33),R33&lt;Q33),AND(ISNUMBER(R33),ISNUMBER(S33),S33&lt;R33),AND(ISNUMBER(S33),ISNUMBER(T33),T33&lt;S33),AND(ISNUMBER(N33),ISNUMBER(O33),O33&lt;N33)),"Urutan tanggal salah",IF(AND(ISNUMBER(Q33),ISNUMBER(R33),ISNUMBER(Y33),ABS(R33-Q33-Y33)&gt;2),"S tanggal ≠ Sailing tercatat",IF(AND(ISNUMBER(Q33),ISNUMBER(O33),ABS(Q33-O33)&gt;60),"Cek tahun laycan",IF(AND(ISNUMBER(Q33),ISNUMBER(N33),Q33&lt;N33),"Berangkat sebelum laycan",IF(NOT(ISNUMBER(AE33)),"S belum ada","OK"))))))</f>
        <v>OK</v>
      </c>
    </row>
    <row r="34" customFormat="false" ht="15" hidden="false" customHeight="false" outlineLevel="0" collapsed="false">
      <c r="A34" s="11" t="n">
        <f aca="false">IF(B34="","",ROW()-4)</f>
        <v>30</v>
      </c>
      <c r="B34" s="12" t="s">
        <v>73</v>
      </c>
      <c r="C34" s="11" t="s">
        <v>142</v>
      </c>
      <c r="D34" s="11" t="n">
        <v>2023</v>
      </c>
      <c r="E34" s="11" t="s">
        <v>126</v>
      </c>
      <c r="F34" s="11" t="s">
        <v>122</v>
      </c>
      <c r="G34" s="11" t="s">
        <v>77</v>
      </c>
      <c r="H34" s="11" t="s">
        <v>127</v>
      </c>
      <c r="I34" s="11" t="s">
        <v>149</v>
      </c>
      <c r="J34" s="11"/>
      <c r="K34" s="11" t="n">
        <v>27500</v>
      </c>
      <c r="L34" s="13"/>
      <c r="M34" s="13"/>
      <c r="N34" s="13" t="n">
        <v>45077</v>
      </c>
      <c r="O34" s="13" t="n">
        <v>45080</v>
      </c>
      <c r="P34" s="13"/>
      <c r="Q34" s="13" t="n">
        <v>45081</v>
      </c>
      <c r="R34" s="13" t="n">
        <v>45124</v>
      </c>
      <c r="S34" s="13"/>
      <c r="T34" s="13"/>
      <c r="U34" s="12" t="s">
        <v>80</v>
      </c>
      <c r="V34" s="14"/>
      <c r="W34" s="11"/>
      <c r="X34" s="11" t="s">
        <v>150</v>
      </c>
      <c r="Y34" s="11" t="n">
        <v>43</v>
      </c>
      <c r="Z34" s="11" t="s">
        <v>81</v>
      </c>
      <c r="AA34" s="15" t="str">
        <f aca="false">IF(AND(ISNUMBER(L34),ISNUMBER(M34)),M34-L34,"")</f>
        <v/>
      </c>
      <c r="AB34" s="15" t="str">
        <f aca="false">IF(AND(ISNUMBER(M34),ISNUMBER(P34)),P34-M34,"")</f>
        <v/>
      </c>
      <c r="AC34" s="15" t="str">
        <f aca="false">IF(AND(ISNUMBER(L34),ISNUMBER(P34)),P34-L34,"")</f>
        <v/>
      </c>
      <c r="AD34" s="15" t="str">
        <f aca="false">IF(AND(ISNUMBER(P34),ISNUMBER(Q34)),Q34-P34,"")</f>
        <v/>
      </c>
      <c r="AE34" s="15" t="n">
        <f aca="false">IF(AND(ISNUMBER(Q34),ISNUMBER(R34)),R34-Q34,IF(ISNUMBER(Y34),Y34,""))</f>
        <v>43</v>
      </c>
      <c r="AF34" s="15" t="str">
        <f aca="false">IF(AND(ISNUMBER(R34),ISNUMBER(S34)),S34-R34,"")</f>
        <v/>
      </c>
      <c r="AG34" s="15" t="str">
        <f aca="false">IF(AND(ISNUMBER(S34),ISNUMBER(T34)),T34-S34,"")</f>
        <v/>
      </c>
      <c r="AH34" s="15" t="str">
        <f aca="false">IF(AND(ISNUMBER(L34),ISNUMBER(T34)),T34-L34,"")</f>
        <v/>
      </c>
      <c r="AI34" s="15" t="n">
        <f aca="false">IF(AND(ISNUMBER(O34),ISNUMBER(Q34)),Q34-O34,"")</f>
        <v>1</v>
      </c>
      <c r="AJ34" s="15" t="str">
        <f aca="false">IF(B34="","",COUNT(L34:M34,P34:T34)&amp;"/7")</f>
        <v>2/7</v>
      </c>
      <c r="AK34" s="15" t="str">
        <f aca="false">IF(B34="","",IF(OR(AND(ISNUMBER(L34),ISNUMBER(M34),M34&lt;L34),AND(ISNUMBER(M34),ISNUMBER(P34),P34&lt;M34),AND(ISNUMBER(P34),ISNUMBER(Q34),Q34&lt;P34),AND(ISNUMBER(Q34),ISNUMBER(R34),R34&lt;Q34),AND(ISNUMBER(R34),ISNUMBER(S34),S34&lt;R34),AND(ISNUMBER(S34),ISNUMBER(T34),T34&lt;S34),AND(ISNUMBER(N34),ISNUMBER(O34),O34&lt;N34)),"Urutan tanggal salah",IF(AND(ISNUMBER(Q34),ISNUMBER(R34),ISNUMBER(Y34),ABS(R34-Q34-Y34)&gt;2),"S tanggal ≠ Sailing tercatat",IF(AND(ISNUMBER(Q34),ISNUMBER(O34),ABS(Q34-O34)&gt;60),"Cek tahun laycan",IF(AND(ISNUMBER(Q34),ISNUMBER(N34),Q34&lt;N34),"Berangkat sebelum laycan",IF(NOT(ISNUMBER(AE34)),"S belum ada","OK"))))))</f>
        <v>OK</v>
      </c>
    </row>
    <row r="35" customFormat="false" ht="15" hidden="false" customHeight="false" outlineLevel="0" collapsed="false">
      <c r="A35" s="11" t="n">
        <f aca="false">IF(B35="","",ROW()-4)</f>
        <v>31</v>
      </c>
      <c r="B35" s="12" t="s">
        <v>73</v>
      </c>
      <c r="C35" s="11" t="s">
        <v>151</v>
      </c>
      <c r="D35" s="11" t="n">
        <v>2023</v>
      </c>
      <c r="E35" s="11" t="s">
        <v>126</v>
      </c>
      <c r="F35" s="11" t="s">
        <v>152</v>
      </c>
      <c r="G35" s="11" t="s">
        <v>77</v>
      </c>
      <c r="H35" s="11" t="s">
        <v>127</v>
      </c>
      <c r="I35" s="11" t="s">
        <v>153</v>
      </c>
      <c r="J35" s="11"/>
      <c r="K35" s="11" t="n">
        <v>5500</v>
      </c>
      <c r="L35" s="13"/>
      <c r="M35" s="13"/>
      <c r="N35" s="13" t="n">
        <v>45087</v>
      </c>
      <c r="O35" s="13" t="n">
        <v>45087</v>
      </c>
      <c r="P35" s="13"/>
      <c r="Q35" s="13" t="n">
        <v>45088</v>
      </c>
      <c r="R35" s="13" t="n">
        <v>45100</v>
      </c>
      <c r="S35" s="13"/>
      <c r="T35" s="13"/>
      <c r="U35" s="12" t="s">
        <v>80</v>
      </c>
      <c r="V35" s="14"/>
      <c r="W35" s="11"/>
      <c r="X35" s="11"/>
      <c r="Y35" s="11" t="n">
        <v>12</v>
      </c>
      <c r="Z35" s="11" t="s">
        <v>81</v>
      </c>
      <c r="AA35" s="15" t="str">
        <f aca="false">IF(AND(ISNUMBER(L35),ISNUMBER(M35)),M35-L35,"")</f>
        <v/>
      </c>
      <c r="AB35" s="15" t="str">
        <f aca="false">IF(AND(ISNUMBER(M35),ISNUMBER(P35)),P35-M35,"")</f>
        <v/>
      </c>
      <c r="AC35" s="15" t="str">
        <f aca="false">IF(AND(ISNUMBER(L35),ISNUMBER(P35)),P35-L35,"")</f>
        <v/>
      </c>
      <c r="AD35" s="15" t="str">
        <f aca="false">IF(AND(ISNUMBER(P35),ISNUMBER(Q35)),Q35-P35,"")</f>
        <v/>
      </c>
      <c r="AE35" s="15" t="n">
        <f aca="false">IF(AND(ISNUMBER(Q35),ISNUMBER(R35)),R35-Q35,IF(ISNUMBER(Y35),Y35,""))</f>
        <v>12</v>
      </c>
      <c r="AF35" s="15" t="str">
        <f aca="false">IF(AND(ISNUMBER(R35),ISNUMBER(S35)),S35-R35,"")</f>
        <v/>
      </c>
      <c r="AG35" s="15" t="str">
        <f aca="false">IF(AND(ISNUMBER(S35),ISNUMBER(T35)),T35-S35,"")</f>
        <v/>
      </c>
      <c r="AH35" s="15" t="str">
        <f aca="false">IF(AND(ISNUMBER(L35),ISNUMBER(T35)),T35-L35,"")</f>
        <v/>
      </c>
      <c r="AI35" s="15" t="n">
        <f aca="false">IF(AND(ISNUMBER(O35),ISNUMBER(Q35)),Q35-O35,"")</f>
        <v>1</v>
      </c>
      <c r="AJ35" s="15" t="str">
        <f aca="false">IF(B35="","",COUNT(L35:M35,P35:T35)&amp;"/7")</f>
        <v>2/7</v>
      </c>
      <c r="AK35" s="15" t="str">
        <f aca="false">IF(B35="","",IF(OR(AND(ISNUMBER(L35),ISNUMBER(M35),M35&lt;L35),AND(ISNUMBER(M35),ISNUMBER(P35),P35&lt;M35),AND(ISNUMBER(P35),ISNUMBER(Q35),Q35&lt;P35),AND(ISNUMBER(Q35),ISNUMBER(R35),R35&lt;Q35),AND(ISNUMBER(R35),ISNUMBER(S35),S35&lt;R35),AND(ISNUMBER(S35),ISNUMBER(T35),T35&lt;S35),AND(ISNUMBER(N35),ISNUMBER(O35),O35&lt;N35)),"Urutan tanggal salah",IF(AND(ISNUMBER(Q35),ISNUMBER(R35),ISNUMBER(Y35),ABS(R35-Q35-Y35)&gt;2),"S tanggal ≠ Sailing tercatat",IF(AND(ISNUMBER(Q35),ISNUMBER(O35),ABS(Q35-O35)&gt;60),"Cek tahun laycan",IF(AND(ISNUMBER(Q35),ISNUMBER(N35),Q35&lt;N35),"Berangkat sebelum laycan",IF(NOT(ISNUMBER(AE35)),"S belum ada","OK"))))))</f>
        <v>OK</v>
      </c>
    </row>
    <row r="36" customFormat="false" ht="15" hidden="false" customHeight="false" outlineLevel="0" collapsed="false">
      <c r="A36" s="11" t="n">
        <f aca="false">IF(B36="","",ROW()-4)</f>
        <v>32</v>
      </c>
      <c r="B36" s="12" t="s">
        <v>73</v>
      </c>
      <c r="C36" s="11" t="s">
        <v>116</v>
      </c>
      <c r="D36" s="11" t="n">
        <v>2023</v>
      </c>
      <c r="E36" s="11" t="s">
        <v>90</v>
      </c>
      <c r="F36" s="11" t="s">
        <v>154</v>
      </c>
      <c r="G36" s="11" t="s">
        <v>77</v>
      </c>
      <c r="H36" s="11" t="s">
        <v>92</v>
      </c>
      <c r="I36" s="11" t="s">
        <v>155</v>
      </c>
      <c r="J36" s="11"/>
      <c r="K36" s="11" t="n">
        <v>27500</v>
      </c>
      <c r="L36" s="13"/>
      <c r="M36" s="13"/>
      <c r="N36" s="13" t="n">
        <v>45051</v>
      </c>
      <c r="O36" s="13" t="n">
        <v>45054</v>
      </c>
      <c r="P36" s="13"/>
      <c r="Q36" s="13" t="n">
        <v>45056</v>
      </c>
      <c r="R36" s="13" t="n">
        <v>45095</v>
      </c>
      <c r="S36" s="13"/>
      <c r="T36" s="13"/>
      <c r="U36" s="12" t="s">
        <v>80</v>
      </c>
      <c r="V36" s="14"/>
      <c r="W36" s="11"/>
      <c r="X36" s="11" t="s">
        <v>156</v>
      </c>
      <c r="Y36" s="11" t="n">
        <v>39</v>
      </c>
      <c r="Z36" s="11" t="s">
        <v>81</v>
      </c>
      <c r="AA36" s="15" t="str">
        <f aca="false">IF(AND(ISNUMBER(L36),ISNUMBER(M36)),M36-L36,"")</f>
        <v/>
      </c>
      <c r="AB36" s="15" t="str">
        <f aca="false">IF(AND(ISNUMBER(M36),ISNUMBER(P36)),P36-M36,"")</f>
        <v/>
      </c>
      <c r="AC36" s="15" t="str">
        <f aca="false">IF(AND(ISNUMBER(L36),ISNUMBER(P36)),P36-L36,"")</f>
        <v/>
      </c>
      <c r="AD36" s="15" t="str">
        <f aca="false">IF(AND(ISNUMBER(P36),ISNUMBER(Q36)),Q36-P36,"")</f>
        <v/>
      </c>
      <c r="AE36" s="15" t="n">
        <f aca="false">IF(AND(ISNUMBER(Q36),ISNUMBER(R36)),R36-Q36,IF(ISNUMBER(Y36),Y36,""))</f>
        <v>39</v>
      </c>
      <c r="AF36" s="15" t="str">
        <f aca="false">IF(AND(ISNUMBER(R36),ISNUMBER(S36)),S36-R36,"")</f>
        <v/>
      </c>
      <c r="AG36" s="15" t="str">
        <f aca="false">IF(AND(ISNUMBER(S36),ISNUMBER(T36)),T36-S36,"")</f>
        <v/>
      </c>
      <c r="AH36" s="15" t="str">
        <f aca="false">IF(AND(ISNUMBER(L36),ISNUMBER(T36)),T36-L36,"")</f>
        <v/>
      </c>
      <c r="AI36" s="15" t="n">
        <f aca="false">IF(AND(ISNUMBER(O36),ISNUMBER(Q36)),Q36-O36,"")</f>
        <v>2</v>
      </c>
      <c r="AJ36" s="15" t="str">
        <f aca="false">IF(B36="","",COUNT(L36:M36,P36:T36)&amp;"/7")</f>
        <v>2/7</v>
      </c>
      <c r="AK36" s="15" t="str">
        <f aca="false">IF(B36="","",IF(OR(AND(ISNUMBER(L36),ISNUMBER(M36),M36&lt;L36),AND(ISNUMBER(M36),ISNUMBER(P36),P36&lt;M36),AND(ISNUMBER(P36),ISNUMBER(Q36),Q36&lt;P36),AND(ISNUMBER(Q36),ISNUMBER(R36),R36&lt;Q36),AND(ISNUMBER(R36),ISNUMBER(S36),S36&lt;R36),AND(ISNUMBER(S36),ISNUMBER(T36),T36&lt;S36),AND(ISNUMBER(N36),ISNUMBER(O36),O36&lt;N36)),"Urutan tanggal salah",IF(AND(ISNUMBER(Q36),ISNUMBER(R36),ISNUMBER(Y36),ABS(R36-Q36-Y36)&gt;2),"S tanggal ≠ Sailing tercatat",IF(AND(ISNUMBER(Q36),ISNUMBER(O36),ABS(Q36-O36)&gt;60),"Cek tahun laycan",IF(AND(ISNUMBER(Q36),ISNUMBER(N36),Q36&lt;N36),"Berangkat sebelum laycan",IF(NOT(ISNUMBER(AE36)),"S belum ada","OK"))))))</f>
        <v>OK</v>
      </c>
    </row>
    <row r="37" customFormat="false" ht="15" hidden="false" customHeight="false" outlineLevel="0" collapsed="false">
      <c r="A37" s="11" t="n">
        <f aca="false">IF(B37="","",ROW()-4)</f>
        <v>33</v>
      </c>
      <c r="B37" s="12" t="s">
        <v>73</v>
      </c>
      <c r="C37" s="11" t="s">
        <v>119</v>
      </c>
      <c r="D37" s="11" t="n">
        <v>2023</v>
      </c>
      <c r="E37" s="11" t="s">
        <v>90</v>
      </c>
      <c r="F37" s="11" t="s">
        <v>117</v>
      </c>
      <c r="G37" s="11" t="s">
        <v>77</v>
      </c>
      <c r="H37" s="11" t="s">
        <v>92</v>
      </c>
      <c r="I37" s="11" t="s">
        <v>157</v>
      </c>
      <c r="J37" s="11"/>
      <c r="K37" s="11" t="n">
        <v>10200</v>
      </c>
      <c r="L37" s="13"/>
      <c r="M37" s="13"/>
      <c r="N37" s="13" t="n">
        <v>45025</v>
      </c>
      <c r="O37" s="13" t="n">
        <v>45026</v>
      </c>
      <c r="P37" s="13"/>
      <c r="Q37" s="13" t="n">
        <v>45026</v>
      </c>
      <c r="R37" s="13" t="n">
        <v>45069</v>
      </c>
      <c r="S37" s="13"/>
      <c r="T37" s="13"/>
      <c r="U37" s="12" t="s">
        <v>80</v>
      </c>
      <c r="V37" s="14"/>
      <c r="W37" s="11"/>
      <c r="X37" s="11" t="s">
        <v>158</v>
      </c>
      <c r="Y37" s="11" t="n">
        <v>43</v>
      </c>
      <c r="Z37" s="11" t="s">
        <v>81</v>
      </c>
      <c r="AA37" s="15" t="str">
        <f aca="false">IF(AND(ISNUMBER(L37),ISNUMBER(M37)),M37-L37,"")</f>
        <v/>
      </c>
      <c r="AB37" s="15" t="str">
        <f aca="false">IF(AND(ISNUMBER(M37),ISNUMBER(P37)),P37-M37,"")</f>
        <v/>
      </c>
      <c r="AC37" s="15" t="str">
        <f aca="false">IF(AND(ISNUMBER(L37),ISNUMBER(P37)),P37-L37,"")</f>
        <v/>
      </c>
      <c r="AD37" s="15" t="str">
        <f aca="false">IF(AND(ISNUMBER(P37),ISNUMBER(Q37)),Q37-P37,"")</f>
        <v/>
      </c>
      <c r="AE37" s="15" t="n">
        <f aca="false">IF(AND(ISNUMBER(Q37),ISNUMBER(R37)),R37-Q37,IF(ISNUMBER(Y37),Y37,""))</f>
        <v>43</v>
      </c>
      <c r="AF37" s="15" t="str">
        <f aca="false">IF(AND(ISNUMBER(R37),ISNUMBER(S37)),S37-R37,"")</f>
        <v/>
      </c>
      <c r="AG37" s="15" t="str">
        <f aca="false">IF(AND(ISNUMBER(S37),ISNUMBER(T37)),T37-S37,"")</f>
        <v/>
      </c>
      <c r="AH37" s="15" t="str">
        <f aca="false">IF(AND(ISNUMBER(L37),ISNUMBER(T37)),T37-L37,"")</f>
        <v/>
      </c>
      <c r="AI37" s="15" t="n">
        <f aca="false">IF(AND(ISNUMBER(O37),ISNUMBER(Q37)),Q37-O37,"")</f>
        <v>0</v>
      </c>
      <c r="AJ37" s="15" t="str">
        <f aca="false">IF(B37="","",COUNT(L37:M37,P37:T37)&amp;"/7")</f>
        <v>2/7</v>
      </c>
      <c r="AK37" s="15" t="str">
        <f aca="false">IF(B37="","",IF(OR(AND(ISNUMBER(L37),ISNUMBER(M37),M37&lt;L37),AND(ISNUMBER(M37),ISNUMBER(P37),P37&lt;M37),AND(ISNUMBER(P37),ISNUMBER(Q37),Q37&lt;P37),AND(ISNUMBER(Q37),ISNUMBER(R37),R37&lt;Q37),AND(ISNUMBER(R37),ISNUMBER(S37),S37&lt;R37),AND(ISNUMBER(S37),ISNUMBER(T37),T37&lt;S37),AND(ISNUMBER(N37),ISNUMBER(O37),O37&lt;N37)),"Urutan tanggal salah",IF(AND(ISNUMBER(Q37),ISNUMBER(R37),ISNUMBER(Y37),ABS(R37-Q37-Y37)&gt;2),"S tanggal ≠ Sailing tercatat",IF(AND(ISNUMBER(Q37),ISNUMBER(O37),ABS(Q37-O37)&gt;60),"Cek tahun laycan",IF(AND(ISNUMBER(Q37),ISNUMBER(N37),Q37&lt;N37),"Berangkat sebelum laycan",IF(NOT(ISNUMBER(AE37)),"S belum ada","OK"))))))</f>
        <v>OK</v>
      </c>
    </row>
    <row r="38" customFormat="false" ht="15" hidden="false" customHeight="false" outlineLevel="0" collapsed="false">
      <c r="A38" s="11" t="n">
        <f aca="false">IF(B38="","",ROW()-4)</f>
        <v>34</v>
      </c>
      <c r="B38" s="12" t="s">
        <v>73</v>
      </c>
      <c r="C38" s="11" t="s">
        <v>159</v>
      </c>
      <c r="D38" s="11" t="n">
        <v>2023</v>
      </c>
      <c r="E38" s="11" t="s">
        <v>90</v>
      </c>
      <c r="F38" s="11" t="s">
        <v>110</v>
      </c>
      <c r="G38" s="11" t="s">
        <v>77</v>
      </c>
      <c r="H38" s="11" t="s">
        <v>92</v>
      </c>
      <c r="I38" s="11" t="s">
        <v>160</v>
      </c>
      <c r="J38" s="11"/>
      <c r="K38" s="11" t="n">
        <v>27500</v>
      </c>
      <c r="L38" s="13"/>
      <c r="M38" s="13"/>
      <c r="N38" s="13" t="n">
        <v>45089</v>
      </c>
      <c r="O38" s="13" t="n">
        <v>45091</v>
      </c>
      <c r="P38" s="13"/>
      <c r="Q38" s="13" t="n">
        <v>45092</v>
      </c>
      <c r="R38" s="13" t="n">
        <v>45135</v>
      </c>
      <c r="S38" s="13"/>
      <c r="T38" s="13"/>
      <c r="U38" s="12" t="s">
        <v>80</v>
      </c>
      <c r="V38" s="14"/>
      <c r="W38" s="11"/>
      <c r="X38" s="11" t="s">
        <v>161</v>
      </c>
      <c r="Y38" s="11" t="n">
        <v>43</v>
      </c>
      <c r="Z38" s="11" t="s">
        <v>81</v>
      </c>
      <c r="AA38" s="15" t="str">
        <f aca="false">IF(AND(ISNUMBER(L38),ISNUMBER(M38)),M38-L38,"")</f>
        <v/>
      </c>
      <c r="AB38" s="15" t="str">
        <f aca="false">IF(AND(ISNUMBER(M38),ISNUMBER(P38)),P38-M38,"")</f>
        <v/>
      </c>
      <c r="AC38" s="15" t="str">
        <f aca="false">IF(AND(ISNUMBER(L38),ISNUMBER(P38)),P38-L38,"")</f>
        <v/>
      </c>
      <c r="AD38" s="15" t="str">
        <f aca="false">IF(AND(ISNUMBER(P38),ISNUMBER(Q38)),Q38-P38,"")</f>
        <v/>
      </c>
      <c r="AE38" s="15" t="n">
        <f aca="false">IF(AND(ISNUMBER(Q38),ISNUMBER(R38)),R38-Q38,IF(ISNUMBER(Y38),Y38,""))</f>
        <v>43</v>
      </c>
      <c r="AF38" s="15" t="str">
        <f aca="false">IF(AND(ISNUMBER(R38),ISNUMBER(S38)),S38-R38,"")</f>
        <v/>
      </c>
      <c r="AG38" s="15" t="str">
        <f aca="false">IF(AND(ISNUMBER(S38),ISNUMBER(T38)),T38-S38,"")</f>
        <v/>
      </c>
      <c r="AH38" s="15" t="str">
        <f aca="false">IF(AND(ISNUMBER(L38),ISNUMBER(T38)),T38-L38,"")</f>
        <v/>
      </c>
      <c r="AI38" s="15" t="n">
        <f aca="false">IF(AND(ISNUMBER(O38),ISNUMBER(Q38)),Q38-O38,"")</f>
        <v>1</v>
      </c>
      <c r="AJ38" s="15" t="str">
        <f aca="false">IF(B38="","",COUNT(L38:M38,P38:T38)&amp;"/7")</f>
        <v>2/7</v>
      </c>
      <c r="AK38" s="15" t="str">
        <f aca="false">IF(B38="","",IF(OR(AND(ISNUMBER(L38),ISNUMBER(M38),M38&lt;L38),AND(ISNUMBER(M38),ISNUMBER(P38),P38&lt;M38),AND(ISNUMBER(P38),ISNUMBER(Q38),Q38&lt;P38),AND(ISNUMBER(Q38),ISNUMBER(R38),R38&lt;Q38),AND(ISNUMBER(R38),ISNUMBER(S38),S38&lt;R38),AND(ISNUMBER(S38),ISNUMBER(T38),T38&lt;S38),AND(ISNUMBER(N38),ISNUMBER(O38),O38&lt;N38)),"Urutan tanggal salah",IF(AND(ISNUMBER(Q38),ISNUMBER(R38),ISNUMBER(Y38),ABS(R38-Q38-Y38)&gt;2),"S tanggal ≠ Sailing tercatat",IF(AND(ISNUMBER(Q38),ISNUMBER(O38),ABS(Q38-O38)&gt;60),"Cek tahun laycan",IF(AND(ISNUMBER(Q38),ISNUMBER(N38),Q38&lt;N38),"Berangkat sebelum laycan",IF(NOT(ISNUMBER(AE38)),"S belum ada","OK"))))))</f>
        <v>OK</v>
      </c>
    </row>
    <row r="39" customFormat="false" ht="15" hidden="false" customHeight="false" outlineLevel="0" collapsed="false">
      <c r="A39" s="11" t="n">
        <f aca="false">IF(B39="","",ROW()-4)</f>
        <v>35</v>
      </c>
      <c r="B39" s="12" t="s">
        <v>73</v>
      </c>
      <c r="C39" s="11" t="s">
        <v>162</v>
      </c>
      <c r="D39" s="11" t="n">
        <v>2023</v>
      </c>
      <c r="E39" s="11" t="s">
        <v>90</v>
      </c>
      <c r="F39" s="11" t="s">
        <v>110</v>
      </c>
      <c r="G39" s="11" t="s">
        <v>77</v>
      </c>
      <c r="H39" s="11" t="s">
        <v>92</v>
      </c>
      <c r="I39" s="11" t="s">
        <v>163</v>
      </c>
      <c r="J39" s="11"/>
      <c r="K39" s="11" t="n">
        <v>27500</v>
      </c>
      <c r="L39" s="13"/>
      <c r="M39" s="13"/>
      <c r="N39" s="13" t="n">
        <v>45099</v>
      </c>
      <c r="O39" s="13" t="n">
        <v>45101</v>
      </c>
      <c r="P39" s="13"/>
      <c r="Q39" s="13" t="n">
        <v>45103</v>
      </c>
      <c r="R39" s="13" t="n">
        <v>45145</v>
      </c>
      <c r="S39" s="13"/>
      <c r="T39" s="13"/>
      <c r="U39" s="12" t="s">
        <v>80</v>
      </c>
      <c r="V39" s="14"/>
      <c r="W39" s="11"/>
      <c r="X39" s="11" t="s">
        <v>164</v>
      </c>
      <c r="Y39" s="11" t="n">
        <v>42</v>
      </c>
      <c r="Z39" s="11" t="s">
        <v>81</v>
      </c>
      <c r="AA39" s="15" t="str">
        <f aca="false">IF(AND(ISNUMBER(L39),ISNUMBER(M39)),M39-L39,"")</f>
        <v/>
      </c>
      <c r="AB39" s="15" t="str">
        <f aca="false">IF(AND(ISNUMBER(M39),ISNUMBER(P39)),P39-M39,"")</f>
        <v/>
      </c>
      <c r="AC39" s="15" t="str">
        <f aca="false">IF(AND(ISNUMBER(L39),ISNUMBER(P39)),P39-L39,"")</f>
        <v/>
      </c>
      <c r="AD39" s="15" t="str">
        <f aca="false">IF(AND(ISNUMBER(P39),ISNUMBER(Q39)),Q39-P39,"")</f>
        <v/>
      </c>
      <c r="AE39" s="15" t="n">
        <f aca="false">IF(AND(ISNUMBER(Q39),ISNUMBER(R39)),R39-Q39,IF(ISNUMBER(Y39),Y39,""))</f>
        <v>42</v>
      </c>
      <c r="AF39" s="15" t="str">
        <f aca="false">IF(AND(ISNUMBER(R39),ISNUMBER(S39)),S39-R39,"")</f>
        <v/>
      </c>
      <c r="AG39" s="15" t="str">
        <f aca="false">IF(AND(ISNUMBER(S39),ISNUMBER(T39)),T39-S39,"")</f>
        <v/>
      </c>
      <c r="AH39" s="15" t="str">
        <f aca="false">IF(AND(ISNUMBER(L39),ISNUMBER(T39)),T39-L39,"")</f>
        <v/>
      </c>
      <c r="AI39" s="15" t="n">
        <f aca="false">IF(AND(ISNUMBER(O39),ISNUMBER(Q39)),Q39-O39,"")</f>
        <v>2</v>
      </c>
      <c r="AJ39" s="15" t="str">
        <f aca="false">IF(B39="","",COUNT(L39:M39,P39:T39)&amp;"/7")</f>
        <v>2/7</v>
      </c>
      <c r="AK39" s="15" t="str">
        <f aca="false">IF(B39="","",IF(OR(AND(ISNUMBER(L39),ISNUMBER(M39),M39&lt;L39),AND(ISNUMBER(M39),ISNUMBER(P39),P39&lt;M39),AND(ISNUMBER(P39),ISNUMBER(Q39),Q39&lt;P39),AND(ISNUMBER(Q39),ISNUMBER(R39),R39&lt;Q39),AND(ISNUMBER(R39),ISNUMBER(S39),S39&lt;R39),AND(ISNUMBER(S39),ISNUMBER(T39),T39&lt;S39),AND(ISNUMBER(N39),ISNUMBER(O39),O39&lt;N39)),"Urutan tanggal salah",IF(AND(ISNUMBER(Q39),ISNUMBER(R39),ISNUMBER(Y39),ABS(R39-Q39-Y39)&gt;2),"S tanggal ≠ Sailing tercatat",IF(AND(ISNUMBER(Q39),ISNUMBER(O39),ABS(Q39-O39)&gt;60),"Cek tahun laycan",IF(AND(ISNUMBER(Q39),ISNUMBER(N39),Q39&lt;N39),"Berangkat sebelum laycan",IF(NOT(ISNUMBER(AE39)),"S belum ada","OK"))))))</f>
        <v>OK</v>
      </c>
    </row>
    <row r="40" customFormat="false" ht="15" hidden="false" customHeight="false" outlineLevel="0" collapsed="false">
      <c r="A40" s="11" t="n">
        <f aca="false">IF(B40="","",ROW()-4)</f>
        <v>36</v>
      </c>
      <c r="B40" s="12" t="s">
        <v>73</v>
      </c>
      <c r="C40" s="11" t="s">
        <v>165</v>
      </c>
      <c r="D40" s="11" t="n">
        <v>2023</v>
      </c>
      <c r="E40" s="11" t="s">
        <v>90</v>
      </c>
      <c r="F40" s="11" t="s">
        <v>110</v>
      </c>
      <c r="G40" s="11" t="s">
        <v>77</v>
      </c>
      <c r="H40" s="11" t="s">
        <v>92</v>
      </c>
      <c r="I40" s="11" t="s">
        <v>166</v>
      </c>
      <c r="J40" s="11"/>
      <c r="K40" s="11" t="n">
        <v>27500</v>
      </c>
      <c r="L40" s="13"/>
      <c r="M40" s="13"/>
      <c r="N40" s="13" t="n">
        <v>45112</v>
      </c>
      <c r="O40" s="13" t="n">
        <v>45116</v>
      </c>
      <c r="P40" s="13"/>
      <c r="Q40" s="13" t="n">
        <v>45117</v>
      </c>
      <c r="R40" s="13" t="n">
        <v>45161</v>
      </c>
      <c r="S40" s="13"/>
      <c r="T40" s="13"/>
      <c r="U40" s="12" t="s">
        <v>80</v>
      </c>
      <c r="V40" s="14"/>
      <c r="W40" s="11"/>
      <c r="X40" s="11" t="s">
        <v>167</v>
      </c>
      <c r="Y40" s="11" t="n">
        <v>44</v>
      </c>
      <c r="Z40" s="11" t="s">
        <v>81</v>
      </c>
      <c r="AA40" s="15" t="str">
        <f aca="false">IF(AND(ISNUMBER(L40),ISNUMBER(M40)),M40-L40,"")</f>
        <v/>
      </c>
      <c r="AB40" s="15" t="str">
        <f aca="false">IF(AND(ISNUMBER(M40),ISNUMBER(P40)),P40-M40,"")</f>
        <v/>
      </c>
      <c r="AC40" s="15" t="str">
        <f aca="false">IF(AND(ISNUMBER(L40),ISNUMBER(P40)),P40-L40,"")</f>
        <v/>
      </c>
      <c r="AD40" s="15" t="str">
        <f aca="false">IF(AND(ISNUMBER(P40),ISNUMBER(Q40)),Q40-P40,"")</f>
        <v/>
      </c>
      <c r="AE40" s="15" t="n">
        <f aca="false">IF(AND(ISNUMBER(Q40),ISNUMBER(R40)),R40-Q40,IF(ISNUMBER(Y40),Y40,""))</f>
        <v>44</v>
      </c>
      <c r="AF40" s="15" t="str">
        <f aca="false">IF(AND(ISNUMBER(R40),ISNUMBER(S40)),S40-R40,"")</f>
        <v/>
      </c>
      <c r="AG40" s="15" t="str">
        <f aca="false">IF(AND(ISNUMBER(S40),ISNUMBER(T40)),T40-S40,"")</f>
        <v/>
      </c>
      <c r="AH40" s="15" t="str">
        <f aca="false">IF(AND(ISNUMBER(L40),ISNUMBER(T40)),T40-L40,"")</f>
        <v/>
      </c>
      <c r="AI40" s="15" t="n">
        <f aca="false">IF(AND(ISNUMBER(O40),ISNUMBER(Q40)),Q40-O40,"")</f>
        <v>1</v>
      </c>
      <c r="AJ40" s="15" t="str">
        <f aca="false">IF(B40="","",COUNT(L40:M40,P40:T40)&amp;"/7")</f>
        <v>2/7</v>
      </c>
      <c r="AK40" s="15" t="str">
        <f aca="false">IF(B40="","",IF(OR(AND(ISNUMBER(L40),ISNUMBER(M40),M40&lt;L40),AND(ISNUMBER(M40),ISNUMBER(P40),P40&lt;M40),AND(ISNUMBER(P40),ISNUMBER(Q40),Q40&lt;P40),AND(ISNUMBER(Q40),ISNUMBER(R40),R40&lt;Q40),AND(ISNUMBER(R40),ISNUMBER(S40),S40&lt;R40),AND(ISNUMBER(S40),ISNUMBER(T40),T40&lt;S40),AND(ISNUMBER(N40),ISNUMBER(O40),O40&lt;N40)),"Urutan tanggal salah",IF(AND(ISNUMBER(Q40),ISNUMBER(R40),ISNUMBER(Y40),ABS(R40-Q40-Y40)&gt;2),"S tanggal ≠ Sailing tercatat",IF(AND(ISNUMBER(Q40),ISNUMBER(O40),ABS(Q40-O40)&gt;60),"Cek tahun laycan",IF(AND(ISNUMBER(Q40),ISNUMBER(N40),Q40&lt;N40),"Berangkat sebelum laycan",IF(NOT(ISNUMBER(AE40)),"S belum ada","OK"))))))</f>
        <v>OK</v>
      </c>
    </row>
    <row r="41" customFormat="false" ht="15" hidden="false" customHeight="false" outlineLevel="0" collapsed="false">
      <c r="A41" s="11" t="n">
        <f aca="false">IF(B41="","",ROW()-4)</f>
        <v>37</v>
      </c>
      <c r="B41" s="12" t="s">
        <v>73</v>
      </c>
      <c r="C41" s="11" t="s">
        <v>168</v>
      </c>
      <c r="D41" s="11" t="n">
        <v>2023</v>
      </c>
      <c r="E41" s="11" t="s">
        <v>90</v>
      </c>
      <c r="F41" s="11" t="s">
        <v>110</v>
      </c>
      <c r="G41" s="11" t="s">
        <v>77</v>
      </c>
      <c r="H41" s="11" t="s">
        <v>92</v>
      </c>
      <c r="I41" s="11" t="s">
        <v>169</v>
      </c>
      <c r="J41" s="11"/>
      <c r="K41" s="11" t="n">
        <v>27500</v>
      </c>
      <c r="L41" s="13"/>
      <c r="M41" s="13"/>
      <c r="N41" s="13" t="n">
        <v>45143</v>
      </c>
      <c r="O41" s="13" t="n">
        <v>45148</v>
      </c>
      <c r="P41" s="13"/>
      <c r="Q41" s="13" t="n">
        <v>45149</v>
      </c>
      <c r="R41" s="13" t="n">
        <v>45195</v>
      </c>
      <c r="S41" s="13"/>
      <c r="T41" s="13"/>
      <c r="U41" s="12" t="s">
        <v>80</v>
      </c>
      <c r="V41" s="14"/>
      <c r="W41" s="11"/>
      <c r="X41" s="11" t="s">
        <v>170</v>
      </c>
      <c r="Y41" s="11" t="n">
        <v>46</v>
      </c>
      <c r="Z41" s="11" t="s">
        <v>81</v>
      </c>
      <c r="AA41" s="15" t="str">
        <f aca="false">IF(AND(ISNUMBER(L41),ISNUMBER(M41)),M41-L41,"")</f>
        <v/>
      </c>
      <c r="AB41" s="15" t="str">
        <f aca="false">IF(AND(ISNUMBER(M41),ISNUMBER(P41)),P41-M41,"")</f>
        <v/>
      </c>
      <c r="AC41" s="15" t="str">
        <f aca="false">IF(AND(ISNUMBER(L41),ISNUMBER(P41)),P41-L41,"")</f>
        <v/>
      </c>
      <c r="AD41" s="15" t="str">
        <f aca="false">IF(AND(ISNUMBER(P41),ISNUMBER(Q41)),Q41-P41,"")</f>
        <v/>
      </c>
      <c r="AE41" s="15" t="n">
        <f aca="false">IF(AND(ISNUMBER(Q41),ISNUMBER(R41)),R41-Q41,IF(ISNUMBER(Y41),Y41,""))</f>
        <v>46</v>
      </c>
      <c r="AF41" s="15" t="str">
        <f aca="false">IF(AND(ISNUMBER(R41),ISNUMBER(S41)),S41-R41,"")</f>
        <v/>
      </c>
      <c r="AG41" s="15" t="str">
        <f aca="false">IF(AND(ISNUMBER(S41),ISNUMBER(T41)),T41-S41,"")</f>
        <v/>
      </c>
      <c r="AH41" s="15" t="str">
        <f aca="false">IF(AND(ISNUMBER(L41),ISNUMBER(T41)),T41-L41,"")</f>
        <v/>
      </c>
      <c r="AI41" s="15" t="n">
        <f aca="false">IF(AND(ISNUMBER(O41),ISNUMBER(Q41)),Q41-O41,"")</f>
        <v>1</v>
      </c>
      <c r="AJ41" s="15" t="str">
        <f aca="false">IF(B41="","",COUNT(L41:M41,P41:T41)&amp;"/7")</f>
        <v>2/7</v>
      </c>
      <c r="AK41" s="15" t="str">
        <f aca="false">IF(B41="","",IF(OR(AND(ISNUMBER(L41),ISNUMBER(M41),M41&lt;L41),AND(ISNUMBER(M41),ISNUMBER(P41),P41&lt;M41),AND(ISNUMBER(P41),ISNUMBER(Q41),Q41&lt;P41),AND(ISNUMBER(Q41),ISNUMBER(R41),R41&lt;Q41),AND(ISNUMBER(R41),ISNUMBER(S41),S41&lt;R41),AND(ISNUMBER(S41),ISNUMBER(T41),T41&lt;S41),AND(ISNUMBER(N41),ISNUMBER(O41),O41&lt;N41)),"Urutan tanggal salah",IF(AND(ISNUMBER(Q41),ISNUMBER(R41),ISNUMBER(Y41),ABS(R41-Q41-Y41)&gt;2),"S tanggal ≠ Sailing tercatat",IF(AND(ISNUMBER(Q41),ISNUMBER(O41),ABS(Q41-O41)&gt;60),"Cek tahun laycan",IF(AND(ISNUMBER(Q41),ISNUMBER(N41),Q41&lt;N41),"Berangkat sebelum laycan",IF(NOT(ISNUMBER(AE41)),"S belum ada","OK"))))))</f>
        <v>OK</v>
      </c>
    </row>
    <row r="42" customFormat="false" ht="15" hidden="false" customHeight="false" outlineLevel="0" collapsed="false">
      <c r="A42" s="11" t="n">
        <f aca="false">IF(B42="","",ROW()-4)</f>
        <v>38</v>
      </c>
      <c r="B42" s="12" t="s">
        <v>73</v>
      </c>
      <c r="C42" s="11" t="s">
        <v>171</v>
      </c>
      <c r="D42" s="11" t="n">
        <v>2023</v>
      </c>
      <c r="E42" s="11" t="s">
        <v>90</v>
      </c>
      <c r="F42" s="11" t="s">
        <v>154</v>
      </c>
      <c r="G42" s="11" t="s">
        <v>77</v>
      </c>
      <c r="H42" s="11" t="s">
        <v>92</v>
      </c>
      <c r="I42" s="11" t="s">
        <v>172</v>
      </c>
      <c r="J42" s="11"/>
      <c r="K42" s="11" t="n">
        <v>14800</v>
      </c>
      <c r="L42" s="13"/>
      <c r="M42" s="13"/>
      <c r="N42" s="13" t="n">
        <v>45158</v>
      </c>
      <c r="O42" s="13" t="n">
        <v>45163</v>
      </c>
      <c r="P42" s="13"/>
      <c r="Q42" s="13" t="n">
        <v>45166</v>
      </c>
      <c r="R42" s="13" t="n">
        <v>45201</v>
      </c>
      <c r="S42" s="13"/>
      <c r="T42" s="13"/>
      <c r="U42" s="12" t="s">
        <v>80</v>
      </c>
      <c r="V42" s="14"/>
      <c r="W42" s="11" t="s">
        <v>173</v>
      </c>
      <c r="X42" s="11" t="s">
        <v>174</v>
      </c>
      <c r="Y42" s="11" t="n">
        <v>35</v>
      </c>
      <c r="Z42" s="11" t="s">
        <v>81</v>
      </c>
      <c r="AA42" s="15" t="str">
        <f aca="false">IF(AND(ISNUMBER(L42),ISNUMBER(M42)),M42-L42,"")</f>
        <v/>
      </c>
      <c r="AB42" s="15" t="str">
        <f aca="false">IF(AND(ISNUMBER(M42),ISNUMBER(P42)),P42-M42,"")</f>
        <v/>
      </c>
      <c r="AC42" s="15" t="str">
        <f aca="false">IF(AND(ISNUMBER(L42),ISNUMBER(P42)),P42-L42,"")</f>
        <v/>
      </c>
      <c r="AD42" s="15" t="str">
        <f aca="false">IF(AND(ISNUMBER(P42),ISNUMBER(Q42)),Q42-P42,"")</f>
        <v/>
      </c>
      <c r="AE42" s="15" t="n">
        <f aca="false">IF(AND(ISNUMBER(Q42),ISNUMBER(R42)),R42-Q42,IF(ISNUMBER(Y42),Y42,""))</f>
        <v>35</v>
      </c>
      <c r="AF42" s="15" t="str">
        <f aca="false">IF(AND(ISNUMBER(R42),ISNUMBER(S42)),S42-R42,"")</f>
        <v/>
      </c>
      <c r="AG42" s="15" t="str">
        <f aca="false">IF(AND(ISNUMBER(S42),ISNUMBER(T42)),T42-S42,"")</f>
        <v/>
      </c>
      <c r="AH42" s="15" t="str">
        <f aca="false">IF(AND(ISNUMBER(L42),ISNUMBER(T42)),T42-L42,"")</f>
        <v/>
      </c>
      <c r="AI42" s="15" t="n">
        <f aca="false">IF(AND(ISNUMBER(O42),ISNUMBER(Q42)),Q42-O42,"")</f>
        <v>3</v>
      </c>
      <c r="AJ42" s="15" t="str">
        <f aca="false">IF(B42="","",COUNT(L42:M42,P42:T42)&amp;"/7")</f>
        <v>2/7</v>
      </c>
      <c r="AK42" s="15" t="str">
        <f aca="false">IF(B42="","",IF(OR(AND(ISNUMBER(L42),ISNUMBER(M42),M42&lt;L42),AND(ISNUMBER(M42),ISNUMBER(P42),P42&lt;M42),AND(ISNUMBER(P42),ISNUMBER(Q42),Q42&lt;P42),AND(ISNUMBER(Q42),ISNUMBER(R42),R42&lt;Q42),AND(ISNUMBER(R42),ISNUMBER(S42),S42&lt;R42),AND(ISNUMBER(S42),ISNUMBER(T42),T42&lt;S42),AND(ISNUMBER(N42),ISNUMBER(O42),O42&lt;N42)),"Urutan tanggal salah",IF(AND(ISNUMBER(Q42),ISNUMBER(R42),ISNUMBER(Y42),ABS(R42-Q42-Y42)&gt;2),"S tanggal ≠ Sailing tercatat",IF(AND(ISNUMBER(Q42),ISNUMBER(O42),ABS(Q42-O42)&gt;60),"Cek tahun laycan",IF(AND(ISNUMBER(Q42),ISNUMBER(N42),Q42&lt;N42),"Berangkat sebelum laycan",IF(NOT(ISNUMBER(AE42)),"S belum ada","OK"))))))</f>
        <v>OK</v>
      </c>
    </row>
    <row r="43" customFormat="false" ht="15" hidden="false" customHeight="false" outlineLevel="0" collapsed="false">
      <c r="A43" s="11" t="n">
        <f aca="false">IF(B43="","",ROW()-4)</f>
        <v>39</v>
      </c>
      <c r="B43" s="12" t="s">
        <v>73</v>
      </c>
      <c r="C43" s="11" t="s">
        <v>116</v>
      </c>
      <c r="D43" s="11" t="n">
        <v>2023</v>
      </c>
      <c r="E43" s="11" t="s">
        <v>126</v>
      </c>
      <c r="F43" s="11" t="s">
        <v>122</v>
      </c>
      <c r="G43" s="11" t="s">
        <v>77</v>
      </c>
      <c r="H43" s="11" t="s">
        <v>127</v>
      </c>
      <c r="I43" s="11" t="s">
        <v>175</v>
      </c>
      <c r="J43" s="11"/>
      <c r="K43" s="11" t="n">
        <v>27403</v>
      </c>
      <c r="L43" s="13"/>
      <c r="M43" s="13"/>
      <c r="N43" s="13" t="n">
        <v>45181</v>
      </c>
      <c r="O43" s="13" t="n">
        <v>45185</v>
      </c>
      <c r="P43" s="13"/>
      <c r="Q43" s="13" t="n">
        <v>45186</v>
      </c>
      <c r="R43" s="13" t="n">
        <v>45228</v>
      </c>
      <c r="S43" s="13"/>
      <c r="T43" s="13"/>
      <c r="U43" s="12" t="s">
        <v>80</v>
      </c>
      <c r="V43" s="14"/>
      <c r="W43" s="11"/>
      <c r="X43" s="11" t="s">
        <v>176</v>
      </c>
      <c r="Y43" s="11" t="n">
        <v>42</v>
      </c>
      <c r="Z43" s="11" t="s">
        <v>81</v>
      </c>
      <c r="AA43" s="15" t="str">
        <f aca="false">IF(AND(ISNUMBER(L43),ISNUMBER(M43)),M43-L43,"")</f>
        <v/>
      </c>
      <c r="AB43" s="15" t="str">
        <f aca="false">IF(AND(ISNUMBER(M43),ISNUMBER(P43)),P43-M43,"")</f>
        <v/>
      </c>
      <c r="AC43" s="15" t="str">
        <f aca="false">IF(AND(ISNUMBER(L43),ISNUMBER(P43)),P43-L43,"")</f>
        <v/>
      </c>
      <c r="AD43" s="15" t="str">
        <f aca="false">IF(AND(ISNUMBER(P43),ISNUMBER(Q43)),Q43-P43,"")</f>
        <v/>
      </c>
      <c r="AE43" s="15" t="n">
        <f aca="false">IF(AND(ISNUMBER(Q43),ISNUMBER(R43)),R43-Q43,IF(ISNUMBER(Y43),Y43,""))</f>
        <v>42</v>
      </c>
      <c r="AF43" s="15" t="str">
        <f aca="false">IF(AND(ISNUMBER(R43),ISNUMBER(S43)),S43-R43,"")</f>
        <v/>
      </c>
      <c r="AG43" s="15" t="str">
        <f aca="false">IF(AND(ISNUMBER(S43),ISNUMBER(T43)),T43-S43,"")</f>
        <v/>
      </c>
      <c r="AH43" s="15" t="str">
        <f aca="false">IF(AND(ISNUMBER(L43),ISNUMBER(T43)),T43-L43,"")</f>
        <v/>
      </c>
      <c r="AI43" s="15" t="n">
        <f aca="false">IF(AND(ISNUMBER(O43),ISNUMBER(Q43)),Q43-O43,"")</f>
        <v>1</v>
      </c>
      <c r="AJ43" s="15" t="str">
        <f aca="false">IF(B43="","",COUNT(L43:M43,P43:T43)&amp;"/7")</f>
        <v>2/7</v>
      </c>
      <c r="AK43" s="15" t="str">
        <f aca="false">IF(B43="","",IF(OR(AND(ISNUMBER(L43),ISNUMBER(M43),M43&lt;L43),AND(ISNUMBER(M43),ISNUMBER(P43),P43&lt;M43),AND(ISNUMBER(P43),ISNUMBER(Q43),Q43&lt;P43),AND(ISNUMBER(Q43),ISNUMBER(R43),R43&lt;Q43),AND(ISNUMBER(R43),ISNUMBER(S43),S43&lt;R43),AND(ISNUMBER(S43),ISNUMBER(T43),T43&lt;S43),AND(ISNUMBER(N43),ISNUMBER(O43),O43&lt;N43)),"Urutan tanggal salah",IF(AND(ISNUMBER(Q43),ISNUMBER(R43),ISNUMBER(Y43),ABS(R43-Q43-Y43)&gt;2),"S tanggal ≠ Sailing tercatat",IF(AND(ISNUMBER(Q43),ISNUMBER(O43),ABS(Q43-O43)&gt;60),"Cek tahun laycan",IF(AND(ISNUMBER(Q43),ISNUMBER(N43),Q43&lt;N43),"Berangkat sebelum laycan",IF(NOT(ISNUMBER(AE43)),"S belum ada","OK"))))))</f>
        <v>OK</v>
      </c>
    </row>
    <row r="44" customFormat="false" ht="15" hidden="false" customHeight="false" outlineLevel="0" collapsed="false">
      <c r="A44" s="11" t="n">
        <f aca="false">IF(B44="","",ROW()-4)</f>
        <v>40</v>
      </c>
      <c r="B44" s="12" t="s">
        <v>73</v>
      </c>
      <c r="C44" s="11" t="s">
        <v>82</v>
      </c>
      <c r="D44" s="11" t="n">
        <v>2024</v>
      </c>
      <c r="E44" s="11" t="s">
        <v>126</v>
      </c>
      <c r="F44" s="11" t="s">
        <v>122</v>
      </c>
      <c r="G44" s="11" t="s">
        <v>77</v>
      </c>
      <c r="H44" s="11" t="s">
        <v>127</v>
      </c>
      <c r="I44" s="11" t="s">
        <v>177</v>
      </c>
      <c r="J44" s="11"/>
      <c r="K44" s="11" t="n">
        <v>26000</v>
      </c>
      <c r="L44" s="13"/>
      <c r="M44" s="13"/>
      <c r="N44" s="13" t="n">
        <v>45247</v>
      </c>
      <c r="O44" s="13" t="n">
        <v>45250</v>
      </c>
      <c r="P44" s="13"/>
      <c r="Q44" s="13" t="n">
        <v>45263</v>
      </c>
      <c r="R44" s="13" t="n">
        <v>45314</v>
      </c>
      <c r="S44" s="13"/>
      <c r="T44" s="13"/>
      <c r="U44" s="12" t="s">
        <v>80</v>
      </c>
      <c r="V44" s="14"/>
      <c r="W44" s="11"/>
      <c r="X44" s="11" t="s">
        <v>178</v>
      </c>
      <c r="Y44" s="11" t="n">
        <v>51</v>
      </c>
      <c r="Z44" s="11" t="s">
        <v>81</v>
      </c>
      <c r="AA44" s="15" t="str">
        <f aca="false">IF(AND(ISNUMBER(L44),ISNUMBER(M44)),M44-L44,"")</f>
        <v/>
      </c>
      <c r="AB44" s="15" t="str">
        <f aca="false">IF(AND(ISNUMBER(M44),ISNUMBER(P44)),P44-M44,"")</f>
        <v/>
      </c>
      <c r="AC44" s="15" t="str">
        <f aca="false">IF(AND(ISNUMBER(L44),ISNUMBER(P44)),P44-L44,"")</f>
        <v/>
      </c>
      <c r="AD44" s="15" t="str">
        <f aca="false">IF(AND(ISNUMBER(P44),ISNUMBER(Q44)),Q44-P44,"")</f>
        <v/>
      </c>
      <c r="AE44" s="15" t="n">
        <f aca="false">IF(AND(ISNUMBER(Q44),ISNUMBER(R44)),R44-Q44,IF(ISNUMBER(Y44),Y44,""))</f>
        <v>51</v>
      </c>
      <c r="AF44" s="15" t="str">
        <f aca="false">IF(AND(ISNUMBER(R44),ISNUMBER(S44)),S44-R44,"")</f>
        <v/>
      </c>
      <c r="AG44" s="15" t="str">
        <f aca="false">IF(AND(ISNUMBER(S44),ISNUMBER(T44)),T44-S44,"")</f>
        <v/>
      </c>
      <c r="AH44" s="15" t="str">
        <f aca="false">IF(AND(ISNUMBER(L44),ISNUMBER(T44)),T44-L44,"")</f>
        <v/>
      </c>
      <c r="AI44" s="15" t="n">
        <f aca="false">IF(AND(ISNUMBER(O44),ISNUMBER(Q44)),Q44-O44,"")</f>
        <v>13</v>
      </c>
      <c r="AJ44" s="15" t="str">
        <f aca="false">IF(B44="","",COUNT(L44:M44,P44:T44)&amp;"/7")</f>
        <v>2/7</v>
      </c>
      <c r="AK44" s="15" t="str">
        <f aca="false">IF(B44="","",IF(OR(AND(ISNUMBER(L44),ISNUMBER(M44),M44&lt;L44),AND(ISNUMBER(M44),ISNUMBER(P44),P44&lt;M44),AND(ISNUMBER(P44),ISNUMBER(Q44),Q44&lt;P44),AND(ISNUMBER(Q44),ISNUMBER(R44),R44&lt;Q44),AND(ISNUMBER(R44),ISNUMBER(S44),S44&lt;R44),AND(ISNUMBER(S44),ISNUMBER(T44),T44&lt;S44),AND(ISNUMBER(N44),ISNUMBER(O44),O44&lt;N44)),"Urutan tanggal salah",IF(AND(ISNUMBER(Q44),ISNUMBER(R44),ISNUMBER(Y44),ABS(R44-Q44-Y44)&gt;2),"S tanggal ≠ Sailing tercatat",IF(AND(ISNUMBER(Q44),ISNUMBER(O44),ABS(Q44-O44)&gt;60),"Cek tahun laycan",IF(AND(ISNUMBER(Q44),ISNUMBER(N44),Q44&lt;N44),"Berangkat sebelum laycan",IF(NOT(ISNUMBER(AE44)),"S belum ada","OK"))))))</f>
        <v>OK</v>
      </c>
    </row>
    <row r="45" customFormat="false" ht="15" hidden="false" customHeight="false" outlineLevel="0" collapsed="false">
      <c r="A45" s="11" t="n">
        <f aca="false">IF(B45="","",ROW()-4)</f>
        <v>41</v>
      </c>
      <c r="B45" s="12" t="s">
        <v>73</v>
      </c>
      <c r="C45" s="11" t="s">
        <v>179</v>
      </c>
      <c r="D45" s="11" t="n">
        <v>2024</v>
      </c>
      <c r="E45" s="11" t="s">
        <v>126</v>
      </c>
      <c r="F45" s="11" t="s">
        <v>122</v>
      </c>
      <c r="G45" s="11" t="s">
        <v>77</v>
      </c>
      <c r="H45" s="11" t="s">
        <v>127</v>
      </c>
      <c r="I45" s="11" t="s">
        <v>180</v>
      </c>
      <c r="J45" s="11"/>
      <c r="K45" s="11" t="n">
        <v>26000</v>
      </c>
      <c r="L45" s="13"/>
      <c r="M45" s="13"/>
      <c r="N45" s="13" t="n">
        <v>45299</v>
      </c>
      <c r="O45" s="13" t="n">
        <v>45301</v>
      </c>
      <c r="P45" s="13"/>
      <c r="Q45" s="13" t="n">
        <v>45302</v>
      </c>
      <c r="R45" s="13" t="n">
        <v>45360</v>
      </c>
      <c r="S45" s="13"/>
      <c r="T45" s="13"/>
      <c r="U45" s="12" t="s">
        <v>80</v>
      </c>
      <c r="V45" s="14"/>
      <c r="W45" s="11" t="s">
        <v>181</v>
      </c>
      <c r="X45" s="11" t="s">
        <v>182</v>
      </c>
      <c r="Y45" s="11" t="n">
        <v>58</v>
      </c>
      <c r="Z45" s="11" t="s">
        <v>81</v>
      </c>
      <c r="AA45" s="15" t="str">
        <f aca="false">IF(AND(ISNUMBER(L45),ISNUMBER(M45)),M45-L45,"")</f>
        <v/>
      </c>
      <c r="AB45" s="15" t="str">
        <f aca="false">IF(AND(ISNUMBER(M45),ISNUMBER(P45)),P45-M45,"")</f>
        <v/>
      </c>
      <c r="AC45" s="15" t="str">
        <f aca="false">IF(AND(ISNUMBER(L45),ISNUMBER(P45)),P45-L45,"")</f>
        <v/>
      </c>
      <c r="AD45" s="15" t="str">
        <f aca="false">IF(AND(ISNUMBER(P45),ISNUMBER(Q45)),Q45-P45,"")</f>
        <v/>
      </c>
      <c r="AE45" s="15" t="n">
        <f aca="false">IF(AND(ISNUMBER(Q45),ISNUMBER(R45)),R45-Q45,IF(ISNUMBER(Y45),Y45,""))</f>
        <v>58</v>
      </c>
      <c r="AF45" s="15" t="str">
        <f aca="false">IF(AND(ISNUMBER(R45),ISNUMBER(S45)),S45-R45,"")</f>
        <v/>
      </c>
      <c r="AG45" s="15" t="str">
        <f aca="false">IF(AND(ISNUMBER(S45),ISNUMBER(T45)),T45-S45,"")</f>
        <v/>
      </c>
      <c r="AH45" s="15" t="str">
        <f aca="false">IF(AND(ISNUMBER(L45),ISNUMBER(T45)),T45-L45,"")</f>
        <v/>
      </c>
      <c r="AI45" s="15" t="n">
        <f aca="false">IF(AND(ISNUMBER(O45),ISNUMBER(Q45)),Q45-O45,"")</f>
        <v>1</v>
      </c>
      <c r="AJ45" s="15" t="str">
        <f aca="false">IF(B45="","",COUNT(L45:M45,P45:T45)&amp;"/7")</f>
        <v>2/7</v>
      </c>
      <c r="AK45" s="15" t="str">
        <f aca="false">IF(B45="","",IF(OR(AND(ISNUMBER(L45),ISNUMBER(M45),M45&lt;L45),AND(ISNUMBER(M45),ISNUMBER(P45),P45&lt;M45),AND(ISNUMBER(P45),ISNUMBER(Q45),Q45&lt;P45),AND(ISNUMBER(Q45),ISNUMBER(R45),R45&lt;Q45),AND(ISNUMBER(R45),ISNUMBER(S45),S45&lt;R45),AND(ISNUMBER(S45),ISNUMBER(T45),T45&lt;S45),AND(ISNUMBER(N45),ISNUMBER(O45),O45&lt;N45)),"Urutan tanggal salah",IF(AND(ISNUMBER(Q45),ISNUMBER(R45),ISNUMBER(Y45),ABS(R45-Q45-Y45)&gt;2),"S tanggal ≠ Sailing tercatat",IF(AND(ISNUMBER(Q45),ISNUMBER(O45),ABS(Q45-O45)&gt;60),"Cek tahun laycan",IF(AND(ISNUMBER(Q45),ISNUMBER(N45),Q45&lt;N45),"Berangkat sebelum laycan",IF(NOT(ISNUMBER(AE45)),"S belum ada","OK"))))))</f>
        <v>OK</v>
      </c>
    </row>
    <row r="46" customFormat="false" ht="15" hidden="false" customHeight="false" outlineLevel="0" collapsed="false">
      <c r="A46" s="11" t="n">
        <f aca="false">IF(B46="","",ROW()-4)</f>
        <v>42</v>
      </c>
      <c r="B46" s="12" t="s">
        <v>73</v>
      </c>
      <c r="C46" s="11" t="s">
        <v>183</v>
      </c>
      <c r="D46" s="11" t="n">
        <v>2024</v>
      </c>
      <c r="E46" s="11" t="s">
        <v>126</v>
      </c>
      <c r="F46" s="11" t="s">
        <v>122</v>
      </c>
      <c r="G46" s="11" t="s">
        <v>77</v>
      </c>
      <c r="H46" s="11" t="s">
        <v>127</v>
      </c>
      <c r="I46" s="11" t="s">
        <v>184</v>
      </c>
      <c r="J46" s="11"/>
      <c r="K46" s="11" t="n">
        <v>26500</v>
      </c>
      <c r="L46" s="13"/>
      <c r="M46" s="13"/>
      <c r="N46" s="13" t="n">
        <v>45349</v>
      </c>
      <c r="O46" s="13" t="n">
        <v>45351</v>
      </c>
      <c r="P46" s="13"/>
      <c r="Q46" s="13" t="n">
        <v>45352</v>
      </c>
      <c r="R46" s="13" t="n">
        <v>45418</v>
      </c>
      <c r="S46" s="13"/>
      <c r="T46" s="13"/>
      <c r="U46" s="12" t="s">
        <v>80</v>
      </c>
      <c r="V46" s="14"/>
      <c r="W46" s="11" t="s">
        <v>185</v>
      </c>
      <c r="X46" s="11" t="s">
        <v>186</v>
      </c>
      <c r="Y46" s="11" t="n">
        <v>66</v>
      </c>
      <c r="Z46" s="11" t="s">
        <v>81</v>
      </c>
      <c r="AA46" s="15" t="str">
        <f aca="false">IF(AND(ISNUMBER(L46),ISNUMBER(M46)),M46-L46,"")</f>
        <v/>
      </c>
      <c r="AB46" s="15" t="str">
        <f aca="false">IF(AND(ISNUMBER(M46),ISNUMBER(P46)),P46-M46,"")</f>
        <v/>
      </c>
      <c r="AC46" s="15" t="str">
        <f aca="false">IF(AND(ISNUMBER(L46),ISNUMBER(P46)),P46-L46,"")</f>
        <v/>
      </c>
      <c r="AD46" s="15" t="str">
        <f aca="false">IF(AND(ISNUMBER(P46),ISNUMBER(Q46)),Q46-P46,"")</f>
        <v/>
      </c>
      <c r="AE46" s="15" t="n">
        <f aca="false">IF(AND(ISNUMBER(Q46),ISNUMBER(R46)),R46-Q46,IF(ISNUMBER(Y46),Y46,""))</f>
        <v>66</v>
      </c>
      <c r="AF46" s="15" t="str">
        <f aca="false">IF(AND(ISNUMBER(R46),ISNUMBER(S46)),S46-R46,"")</f>
        <v/>
      </c>
      <c r="AG46" s="15" t="str">
        <f aca="false">IF(AND(ISNUMBER(S46),ISNUMBER(T46)),T46-S46,"")</f>
        <v/>
      </c>
      <c r="AH46" s="15" t="str">
        <f aca="false">IF(AND(ISNUMBER(L46),ISNUMBER(T46)),T46-L46,"")</f>
        <v/>
      </c>
      <c r="AI46" s="15" t="n">
        <f aca="false">IF(AND(ISNUMBER(O46),ISNUMBER(Q46)),Q46-O46,"")</f>
        <v>1</v>
      </c>
      <c r="AJ46" s="15" t="str">
        <f aca="false">IF(B46="","",COUNT(L46:M46,P46:T46)&amp;"/7")</f>
        <v>2/7</v>
      </c>
      <c r="AK46" s="15" t="str">
        <f aca="false">IF(B46="","",IF(OR(AND(ISNUMBER(L46),ISNUMBER(M46),M46&lt;L46),AND(ISNUMBER(M46),ISNUMBER(P46),P46&lt;M46),AND(ISNUMBER(P46),ISNUMBER(Q46),Q46&lt;P46),AND(ISNUMBER(Q46),ISNUMBER(R46),R46&lt;Q46),AND(ISNUMBER(R46),ISNUMBER(S46),S46&lt;R46),AND(ISNUMBER(S46),ISNUMBER(T46),T46&lt;S46),AND(ISNUMBER(N46),ISNUMBER(O46),O46&lt;N46)),"Urutan tanggal salah",IF(AND(ISNUMBER(Q46),ISNUMBER(R46),ISNUMBER(Y46),ABS(R46-Q46-Y46)&gt;2),"S tanggal ≠ Sailing tercatat",IF(AND(ISNUMBER(Q46),ISNUMBER(O46),ABS(Q46-O46)&gt;60),"Cek tahun laycan",IF(AND(ISNUMBER(Q46),ISNUMBER(N46),Q46&lt;N46),"Berangkat sebelum laycan",IF(NOT(ISNUMBER(AE46)),"S belum ada","OK"))))))</f>
        <v>OK</v>
      </c>
    </row>
    <row r="47" customFormat="false" ht="15" hidden="false" customHeight="false" outlineLevel="0" collapsed="false">
      <c r="A47" s="11" t="n">
        <f aca="false">IF(B47="","",ROW()-4)</f>
        <v>43</v>
      </c>
      <c r="B47" s="12" t="s">
        <v>73</v>
      </c>
      <c r="C47" s="11" t="s">
        <v>73</v>
      </c>
      <c r="D47" s="11" t="n">
        <v>2023</v>
      </c>
      <c r="E47" s="11" t="s">
        <v>94</v>
      </c>
      <c r="F47" s="11" t="s">
        <v>187</v>
      </c>
      <c r="G47" s="11" t="s">
        <v>77</v>
      </c>
      <c r="H47" s="11" t="s">
        <v>103</v>
      </c>
      <c r="I47" s="11" t="s">
        <v>188</v>
      </c>
      <c r="J47" s="11"/>
      <c r="K47" s="11" t="n">
        <v>27500</v>
      </c>
      <c r="L47" s="13"/>
      <c r="M47" s="13"/>
      <c r="N47" s="13" t="n">
        <v>45225</v>
      </c>
      <c r="O47" s="13" t="n">
        <v>45229</v>
      </c>
      <c r="P47" s="13"/>
      <c r="Q47" s="13" t="n">
        <v>45230</v>
      </c>
      <c r="R47" s="13" t="n">
        <v>45252</v>
      </c>
      <c r="S47" s="13"/>
      <c r="T47" s="13"/>
      <c r="U47" s="12" t="s">
        <v>80</v>
      </c>
      <c r="V47" s="14"/>
      <c r="W47" s="11"/>
      <c r="X47" s="11" t="s">
        <v>189</v>
      </c>
      <c r="Y47" s="11" t="n">
        <v>22</v>
      </c>
      <c r="Z47" s="11" t="s">
        <v>81</v>
      </c>
      <c r="AA47" s="15" t="str">
        <f aca="false">IF(AND(ISNUMBER(L47),ISNUMBER(M47)),M47-L47,"")</f>
        <v/>
      </c>
      <c r="AB47" s="15" t="str">
        <f aca="false">IF(AND(ISNUMBER(M47),ISNUMBER(P47)),P47-M47,"")</f>
        <v/>
      </c>
      <c r="AC47" s="15" t="str">
        <f aca="false">IF(AND(ISNUMBER(L47),ISNUMBER(P47)),P47-L47,"")</f>
        <v/>
      </c>
      <c r="AD47" s="15" t="str">
        <f aca="false">IF(AND(ISNUMBER(P47),ISNUMBER(Q47)),Q47-P47,"")</f>
        <v/>
      </c>
      <c r="AE47" s="15" t="n">
        <f aca="false">IF(AND(ISNUMBER(Q47),ISNUMBER(R47)),R47-Q47,IF(ISNUMBER(Y47),Y47,""))</f>
        <v>22</v>
      </c>
      <c r="AF47" s="15" t="str">
        <f aca="false">IF(AND(ISNUMBER(R47),ISNUMBER(S47)),S47-R47,"")</f>
        <v/>
      </c>
      <c r="AG47" s="15" t="str">
        <f aca="false">IF(AND(ISNUMBER(S47),ISNUMBER(T47)),T47-S47,"")</f>
        <v/>
      </c>
      <c r="AH47" s="15" t="str">
        <f aca="false">IF(AND(ISNUMBER(L47),ISNUMBER(T47)),T47-L47,"")</f>
        <v/>
      </c>
      <c r="AI47" s="15" t="n">
        <f aca="false">IF(AND(ISNUMBER(O47),ISNUMBER(Q47)),Q47-O47,"")</f>
        <v>1</v>
      </c>
      <c r="AJ47" s="15" t="str">
        <f aca="false">IF(B47="","",COUNT(L47:M47,P47:T47)&amp;"/7")</f>
        <v>2/7</v>
      </c>
      <c r="AK47" s="15" t="str">
        <f aca="false">IF(B47="","",IF(OR(AND(ISNUMBER(L47),ISNUMBER(M47),M47&lt;L47),AND(ISNUMBER(M47),ISNUMBER(P47),P47&lt;M47),AND(ISNUMBER(P47),ISNUMBER(Q47),Q47&lt;P47),AND(ISNUMBER(Q47),ISNUMBER(R47),R47&lt;Q47),AND(ISNUMBER(R47),ISNUMBER(S47),S47&lt;R47),AND(ISNUMBER(S47),ISNUMBER(T47),T47&lt;S47),AND(ISNUMBER(N47),ISNUMBER(O47),O47&lt;N47)),"Urutan tanggal salah",IF(AND(ISNUMBER(Q47),ISNUMBER(R47),ISNUMBER(Y47),ABS(R47-Q47-Y47)&gt;2),"S tanggal ≠ Sailing tercatat",IF(AND(ISNUMBER(Q47),ISNUMBER(O47),ABS(Q47-O47)&gt;60),"Cek tahun laycan",IF(AND(ISNUMBER(Q47),ISNUMBER(N47),Q47&lt;N47),"Berangkat sebelum laycan",IF(NOT(ISNUMBER(AE47)),"S belum ada","OK"))))))</f>
        <v>OK</v>
      </c>
    </row>
    <row r="48" customFormat="false" ht="15" hidden="false" customHeight="false" outlineLevel="0" collapsed="false">
      <c r="A48" s="11" t="n">
        <f aca="false">IF(B48="","",ROW()-4)</f>
        <v>44</v>
      </c>
      <c r="B48" s="12" t="s">
        <v>73</v>
      </c>
      <c r="C48" s="11" t="s">
        <v>190</v>
      </c>
      <c r="D48" s="11" t="n">
        <v>2024</v>
      </c>
      <c r="E48" s="11" t="s">
        <v>94</v>
      </c>
      <c r="F48" s="11" t="s">
        <v>187</v>
      </c>
      <c r="G48" s="11" t="s">
        <v>77</v>
      </c>
      <c r="H48" s="11" t="s">
        <v>103</v>
      </c>
      <c r="I48" s="11" t="s">
        <v>191</v>
      </c>
      <c r="J48" s="11"/>
      <c r="K48" s="11" t="n">
        <v>27500</v>
      </c>
      <c r="L48" s="13"/>
      <c r="M48" s="13"/>
      <c r="N48" s="13" t="n">
        <v>45317</v>
      </c>
      <c r="O48" s="13" t="n">
        <v>45322</v>
      </c>
      <c r="P48" s="13"/>
      <c r="Q48" s="13" t="n">
        <v>45323</v>
      </c>
      <c r="R48" s="13" t="n">
        <v>45346</v>
      </c>
      <c r="S48" s="13"/>
      <c r="T48" s="13"/>
      <c r="U48" s="12" t="s">
        <v>80</v>
      </c>
      <c r="V48" s="14"/>
      <c r="W48" s="11" t="s">
        <v>192</v>
      </c>
      <c r="X48" s="11" t="s">
        <v>193</v>
      </c>
      <c r="Y48" s="11" t="n">
        <v>23</v>
      </c>
      <c r="Z48" s="11" t="s">
        <v>81</v>
      </c>
      <c r="AA48" s="15" t="str">
        <f aca="false">IF(AND(ISNUMBER(L48),ISNUMBER(M48)),M48-L48,"")</f>
        <v/>
      </c>
      <c r="AB48" s="15" t="str">
        <f aca="false">IF(AND(ISNUMBER(M48),ISNUMBER(P48)),P48-M48,"")</f>
        <v/>
      </c>
      <c r="AC48" s="15" t="str">
        <f aca="false">IF(AND(ISNUMBER(L48),ISNUMBER(P48)),P48-L48,"")</f>
        <v/>
      </c>
      <c r="AD48" s="15" t="str">
        <f aca="false">IF(AND(ISNUMBER(P48),ISNUMBER(Q48)),Q48-P48,"")</f>
        <v/>
      </c>
      <c r="AE48" s="15" t="n">
        <f aca="false">IF(AND(ISNUMBER(Q48),ISNUMBER(R48)),R48-Q48,IF(ISNUMBER(Y48),Y48,""))</f>
        <v>23</v>
      </c>
      <c r="AF48" s="15" t="str">
        <f aca="false">IF(AND(ISNUMBER(R48),ISNUMBER(S48)),S48-R48,"")</f>
        <v/>
      </c>
      <c r="AG48" s="15" t="str">
        <f aca="false">IF(AND(ISNUMBER(S48),ISNUMBER(T48)),T48-S48,"")</f>
        <v/>
      </c>
      <c r="AH48" s="15" t="str">
        <f aca="false">IF(AND(ISNUMBER(L48),ISNUMBER(T48)),T48-L48,"")</f>
        <v/>
      </c>
      <c r="AI48" s="15" t="n">
        <f aca="false">IF(AND(ISNUMBER(O48),ISNUMBER(Q48)),Q48-O48,"")</f>
        <v>1</v>
      </c>
      <c r="AJ48" s="15" t="str">
        <f aca="false">IF(B48="","",COUNT(L48:M48,P48:T48)&amp;"/7")</f>
        <v>2/7</v>
      </c>
      <c r="AK48" s="15" t="str">
        <f aca="false">IF(B48="","",IF(OR(AND(ISNUMBER(L48),ISNUMBER(M48),M48&lt;L48),AND(ISNUMBER(M48),ISNUMBER(P48),P48&lt;M48),AND(ISNUMBER(P48),ISNUMBER(Q48),Q48&lt;P48),AND(ISNUMBER(Q48),ISNUMBER(R48),R48&lt;Q48),AND(ISNUMBER(R48),ISNUMBER(S48),S48&lt;R48),AND(ISNUMBER(S48),ISNUMBER(T48),T48&lt;S48),AND(ISNUMBER(N48),ISNUMBER(O48),O48&lt;N48)),"Urutan tanggal salah",IF(AND(ISNUMBER(Q48),ISNUMBER(R48),ISNUMBER(Y48),ABS(R48-Q48-Y48)&gt;2),"S tanggal ≠ Sailing tercatat",IF(AND(ISNUMBER(Q48),ISNUMBER(O48),ABS(Q48-O48)&gt;60),"Cek tahun laycan",IF(AND(ISNUMBER(Q48),ISNUMBER(N48),Q48&lt;N48),"Berangkat sebelum laycan",IF(NOT(ISNUMBER(AE48)),"S belum ada","OK"))))))</f>
        <v>OK</v>
      </c>
    </row>
    <row r="49" customFormat="false" ht="15" hidden="false" customHeight="false" outlineLevel="0" collapsed="false">
      <c r="A49" s="11" t="n">
        <f aca="false">IF(B49="","",ROW()-4)</f>
        <v>45</v>
      </c>
      <c r="B49" s="12" t="s">
        <v>73</v>
      </c>
      <c r="C49" s="11" t="s">
        <v>73</v>
      </c>
      <c r="D49" s="11" t="n">
        <v>2023</v>
      </c>
      <c r="E49" s="11" t="s">
        <v>90</v>
      </c>
      <c r="F49" s="11" t="s">
        <v>122</v>
      </c>
      <c r="G49" s="11" t="s">
        <v>77</v>
      </c>
      <c r="H49" s="11" t="s">
        <v>194</v>
      </c>
      <c r="I49" s="11" t="s">
        <v>195</v>
      </c>
      <c r="J49" s="11"/>
      <c r="K49" s="11" t="n">
        <v>26900</v>
      </c>
      <c r="L49" s="13"/>
      <c r="M49" s="13"/>
      <c r="N49" s="13" t="n">
        <v>45206</v>
      </c>
      <c r="O49" s="13" t="n">
        <v>45209</v>
      </c>
      <c r="P49" s="13"/>
      <c r="Q49" s="13" t="n">
        <v>45210</v>
      </c>
      <c r="R49" s="13" t="n">
        <v>45255</v>
      </c>
      <c r="S49" s="13"/>
      <c r="T49" s="13"/>
      <c r="U49" s="12" t="s">
        <v>80</v>
      </c>
      <c r="V49" s="14"/>
      <c r="W49" s="11"/>
      <c r="X49" s="11" t="s">
        <v>196</v>
      </c>
      <c r="Y49" s="11" t="n">
        <v>45</v>
      </c>
      <c r="Z49" s="11" t="s">
        <v>81</v>
      </c>
      <c r="AA49" s="15" t="str">
        <f aca="false">IF(AND(ISNUMBER(L49),ISNUMBER(M49)),M49-L49,"")</f>
        <v/>
      </c>
      <c r="AB49" s="15" t="str">
        <f aca="false">IF(AND(ISNUMBER(M49),ISNUMBER(P49)),P49-M49,"")</f>
        <v/>
      </c>
      <c r="AC49" s="15" t="str">
        <f aca="false">IF(AND(ISNUMBER(L49),ISNUMBER(P49)),P49-L49,"")</f>
        <v/>
      </c>
      <c r="AD49" s="15" t="str">
        <f aca="false">IF(AND(ISNUMBER(P49),ISNUMBER(Q49)),Q49-P49,"")</f>
        <v/>
      </c>
      <c r="AE49" s="15" t="n">
        <f aca="false">IF(AND(ISNUMBER(Q49),ISNUMBER(R49)),R49-Q49,IF(ISNUMBER(Y49),Y49,""))</f>
        <v>45</v>
      </c>
      <c r="AF49" s="15" t="str">
        <f aca="false">IF(AND(ISNUMBER(R49),ISNUMBER(S49)),S49-R49,"")</f>
        <v/>
      </c>
      <c r="AG49" s="15" t="str">
        <f aca="false">IF(AND(ISNUMBER(S49),ISNUMBER(T49)),T49-S49,"")</f>
        <v/>
      </c>
      <c r="AH49" s="15" t="str">
        <f aca="false">IF(AND(ISNUMBER(L49),ISNUMBER(T49)),T49-L49,"")</f>
        <v/>
      </c>
      <c r="AI49" s="15" t="n">
        <f aca="false">IF(AND(ISNUMBER(O49),ISNUMBER(Q49)),Q49-O49,"")</f>
        <v>1</v>
      </c>
      <c r="AJ49" s="15" t="str">
        <f aca="false">IF(B49="","",COUNT(L49:M49,P49:T49)&amp;"/7")</f>
        <v>2/7</v>
      </c>
      <c r="AK49" s="15" t="str">
        <f aca="false">IF(B49="","",IF(OR(AND(ISNUMBER(L49),ISNUMBER(M49),M49&lt;L49),AND(ISNUMBER(M49),ISNUMBER(P49),P49&lt;M49),AND(ISNUMBER(P49),ISNUMBER(Q49),Q49&lt;P49),AND(ISNUMBER(Q49),ISNUMBER(R49),R49&lt;Q49),AND(ISNUMBER(R49),ISNUMBER(S49),S49&lt;R49),AND(ISNUMBER(S49),ISNUMBER(T49),T49&lt;S49),AND(ISNUMBER(N49),ISNUMBER(O49),O49&lt;N49)),"Urutan tanggal salah",IF(AND(ISNUMBER(Q49),ISNUMBER(R49),ISNUMBER(Y49),ABS(R49-Q49-Y49)&gt;2),"S tanggal ≠ Sailing tercatat",IF(AND(ISNUMBER(Q49),ISNUMBER(O49),ABS(Q49-O49)&gt;60),"Cek tahun laycan",IF(AND(ISNUMBER(Q49),ISNUMBER(N49),Q49&lt;N49),"Berangkat sebelum laycan",IF(NOT(ISNUMBER(AE49)),"S belum ada","OK"))))))</f>
        <v>OK</v>
      </c>
    </row>
    <row r="50" customFormat="false" ht="15" hidden="false" customHeight="false" outlineLevel="0" collapsed="false">
      <c r="A50" s="11" t="n">
        <f aca="false">IF(B50="","",ROW()-4)</f>
        <v>46</v>
      </c>
      <c r="B50" s="12" t="s">
        <v>73</v>
      </c>
      <c r="C50" s="11" t="s">
        <v>190</v>
      </c>
      <c r="D50" s="11" t="n">
        <v>2024</v>
      </c>
      <c r="E50" s="11" t="s">
        <v>90</v>
      </c>
      <c r="F50" s="11" t="s">
        <v>122</v>
      </c>
      <c r="G50" s="11" t="s">
        <v>77</v>
      </c>
      <c r="H50" s="11" t="s">
        <v>194</v>
      </c>
      <c r="I50" s="11" t="s">
        <v>197</v>
      </c>
      <c r="J50" s="11"/>
      <c r="K50" s="11" t="n">
        <v>27500</v>
      </c>
      <c r="L50" s="13"/>
      <c r="M50" s="13"/>
      <c r="N50" s="13" t="n">
        <v>45425</v>
      </c>
      <c r="O50" s="13" t="n">
        <v>45430</v>
      </c>
      <c r="P50" s="13"/>
      <c r="Q50" s="13" t="n">
        <v>45431</v>
      </c>
      <c r="R50" s="13" t="n">
        <v>45494</v>
      </c>
      <c r="S50" s="13"/>
      <c r="T50" s="13"/>
      <c r="U50" s="12" t="s">
        <v>80</v>
      </c>
      <c r="V50" s="14"/>
      <c r="W50" s="11" t="s">
        <v>198</v>
      </c>
      <c r="X50" s="11" t="s">
        <v>199</v>
      </c>
      <c r="Y50" s="11" t="n">
        <v>63</v>
      </c>
      <c r="Z50" s="11" t="s">
        <v>81</v>
      </c>
      <c r="AA50" s="15" t="str">
        <f aca="false">IF(AND(ISNUMBER(L50),ISNUMBER(M50)),M50-L50,"")</f>
        <v/>
      </c>
      <c r="AB50" s="15" t="str">
        <f aca="false">IF(AND(ISNUMBER(M50),ISNUMBER(P50)),P50-M50,"")</f>
        <v/>
      </c>
      <c r="AC50" s="15" t="str">
        <f aca="false">IF(AND(ISNUMBER(L50),ISNUMBER(P50)),P50-L50,"")</f>
        <v/>
      </c>
      <c r="AD50" s="15" t="str">
        <f aca="false">IF(AND(ISNUMBER(P50),ISNUMBER(Q50)),Q50-P50,"")</f>
        <v/>
      </c>
      <c r="AE50" s="15" t="n">
        <f aca="false">IF(AND(ISNUMBER(Q50),ISNUMBER(R50)),R50-Q50,IF(ISNUMBER(Y50),Y50,""))</f>
        <v>63</v>
      </c>
      <c r="AF50" s="15" t="str">
        <f aca="false">IF(AND(ISNUMBER(R50),ISNUMBER(S50)),S50-R50,"")</f>
        <v/>
      </c>
      <c r="AG50" s="15" t="str">
        <f aca="false">IF(AND(ISNUMBER(S50),ISNUMBER(T50)),T50-S50,"")</f>
        <v/>
      </c>
      <c r="AH50" s="15" t="str">
        <f aca="false">IF(AND(ISNUMBER(L50),ISNUMBER(T50)),T50-L50,"")</f>
        <v/>
      </c>
      <c r="AI50" s="15" t="n">
        <f aca="false">IF(AND(ISNUMBER(O50),ISNUMBER(Q50)),Q50-O50,"")</f>
        <v>1</v>
      </c>
      <c r="AJ50" s="15" t="str">
        <f aca="false">IF(B50="","",COUNT(L50:M50,P50:T50)&amp;"/7")</f>
        <v>2/7</v>
      </c>
      <c r="AK50" s="15" t="str">
        <f aca="false">IF(B50="","",IF(OR(AND(ISNUMBER(L50),ISNUMBER(M50),M50&lt;L50),AND(ISNUMBER(M50),ISNUMBER(P50),P50&lt;M50),AND(ISNUMBER(P50),ISNUMBER(Q50),Q50&lt;P50),AND(ISNUMBER(Q50),ISNUMBER(R50),R50&lt;Q50),AND(ISNUMBER(R50),ISNUMBER(S50),S50&lt;R50),AND(ISNUMBER(S50),ISNUMBER(T50),T50&lt;S50),AND(ISNUMBER(N50),ISNUMBER(O50),O50&lt;N50)),"Urutan tanggal salah",IF(AND(ISNUMBER(Q50),ISNUMBER(R50),ISNUMBER(Y50),ABS(R50-Q50-Y50)&gt;2),"S tanggal ≠ Sailing tercatat",IF(AND(ISNUMBER(Q50),ISNUMBER(O50),ABS(Q50-O50)&gt;60),"Cek tahun laycan",IF(AND(ISNUMBER(Q50),ISNUMBER(N50),Q50&lt;N50),"Berangkat sebelum laycan",IF(NOT(ISNUMBER(AE50)),"S belum ada","OK"))))))</f>
        <v>OK</v>
      </c>
    </row>
    <row r="51" customFormat="false" ht="15" hidden="false" customHeight="false" outlineLevel="0" collapsed="false">
      <c r="A51" s="11" t="n">
        <f aca="false">IF(B51="","",ROW()-4)</f>
        <v>47</v>
      </c>
      <c r="B51" s="12" t="s">
        <v>73</v>
      </c>
      <c r="C51" s="11" t="s">
        <v>73</v>
      </c>
      <c r="D51" s="11" t="n">
        <v>2024</v>
      </c>
      <c r="E51" s="11" t="s">
        <v>90</v>
      </c>
      <c r="F51" s="11" t="s">
        <v>200</v>
      </c>
      <c r="G51" s="11" t="s">
        <v>77</v>
      </c>
      <c r="H51" s="11" t="s">
        <v>92</v>
      </c>
      <c r="I51" s="11" t="s">
        <v>201</v>
      </c>
      <c r="J51" s="11"/>
      <c r="K51" s="11" t="n">
        <v>27092</v>
      </c>
      <c r="L51" s="13"/>
      <c r="M51" s="13"/>
      <c r="N51" s="13" t="n">
        <v>45322</v>
      </c>
      <c r="O51" s="13" t="n">
        <v>45324</v>
      </c>
      <c r="P51" s="13"/>
      <c r="Q51" s="13" t="n">
        <v>45325</v>
      </c>
      <c r="R51" s="13" t="n">
        <v>45353</v>
      </c>
      <c r="S51" s="13"/>
      <c r="T51" s="13"/>
      <c r="U51" s="12" t="s">
        <v>80</v>
      </c>
      <c r="V51" s="14"/>
      <c r="W51" s="11" t="s">
        <v>202</v>
      </c>
      <c r="X51" s="11" t="s">
        <v>203</v>
      </c>
      <c r="Y51" s="11" t="n">
        <v>28</v>
      </c>
      <c r="Z51" s="11" t="s">
        <v>81</v>
      </c>
      <c r="AA51" s="15" t="str">
        <f aca="false">IF(AND(ISNUMBER(L51),ISNUMBER(M51)),M51-L51,"")</f>
        <v/>
      </c>
      <c r="AB51" s="15" t="str">
        <f aca="false">IF(AND(ISNUMBER(M51),ISNUMBER(P51)),P51-M51,"")</f>
        <v/>
      </c>
      <c r="AC51" s="15" t="str">
        <f aca="false">IF(AND(ISNUMBER(L51),ISNUMBER(P51)),P51-L51,"")</f>
        <v/>
      </c>
      <c r="AD51" s="15" t="str">
        <f aca="false">IF(AND(ISNUMBER(P51),ISNUMBER(Q51)),Q51-P51,"")</f>
        <v/>
      </c>
      <c r="AE51" s="15" t="n">
        <f aca="false">IF(AND(ISNUMBER(Q51),ISNUMBER(R51)),R51-Q51,IF(ISNUMBER(Y51),Y51,""))</f>
        <v>28</v>
      </c>
      <c r="AF51" s="15" t="str">
        <f aca="false">IF(AND(ISNUMBER(R51),ISNUMBER(S51)),S51-R51,"")</f>
        <v/>
      </c>
      <c r="AG51" s="15" t="str">
        <f aca="false">IF(AND(ISNUMBER(S51),ISNUMBER(T51)),T51-S51,"")</f>
        <v/>
      </c>
      <c r="AH51" s="15" t="str">
        <f aca="false">IF(AND(ISNUMBER(L51),ISNUMBER(T51)),T51-L51,"")</f>
        <v/>
      </c>
      <c r="AI51" s="15" t="n">
        <f aca="false">IF(AND(ISNUMBER(O51),ISNUMBER(Q51)),Q51-O51,"")</f>
        <v>1</v>
      </c>
      <c r="AJ51" s="15" t="str">
        <f aca="false">IF(B51="","",COUNT(L51:M51,P51:T51)&amp;"/7")</f>
        <v>2/7</v>
      </c>
      <c r="AK51" s="15" t="str">
        <f aca="false">IF(B51="","",IF(OR(AND(ISNUMBER(L51),ISNUMBER(M51),M51&lt;L51),AND(ISNUMBER(M51),ISNUMBER(P51),P51&lt;M51),AND(ISNUMBER(P51),ISNUMBER(Q51),Q51&lt;P51),AND(ISNUMBER(Q51),ISNUMBER(R51),R51&lt;Q51),AND(ISNUMBER(R51),ISNUMBER(S51),S51&lt;R51),AND(ISNUMBER(S51),ISNUMBER(T51),T51&lt;S51),AND(ISNUMBER(N51),ISNUMBER(O51),O51&lt;N51)),"Urutan tanggal salah",IF(AND(ISNUMBER(Q51),ISNUMBER(R51),ISNUMBER(Y51),ABS(R51-Q51-Y51)&gt;2),"S tanggal ≠ Sailing tercatat",IF(AND(ISNUMBER(Q51),ISNUMBER(O51),ABS(Q51-O51)&gt;60),"Cek tahun laycan",IF(AND(ISNUMBER(Q51),ISNUMBER(N51),Q51&lt;N51),"Berangkat sebelum laycan",IF(NOT(ISNUMBER(AE51)),"S belum ada","OK"))))))</f>
        <v>OK</v>
      </c>
    </row>
    <row r="52" customFormat="false" ht="15" hidden="false" customHeight="false" outlineLevel="0" collapsed="false">
      <c r="A52" s="11" t="n">
        <f aca="false">IF(B52="","",ROW()-4)</f>
        <v>48</v>
      </c>
      <c r="B52" s="12" t="s">
        <v>73</v>
      </c>
      <c r="C52" s="11" t="s">
        <v>116</v>
      </c>
      <c r="D52" s="11" t="n">
        <v>2024</v>
      </c>
      <c r="E52" s="11" t="s">
        <v>90</v>
      </c>
      <c r="F52" s="11" t="s">
        <v>110</v>
      </c>
      <c r="G52" s="11" t="s">
        <v>77</v>
      </c>
      <c r="H52" s="11" t="s">
        <v>204</v>
      </c>
      <c r="I52" s="11" t="s">
        <v>205</v>
      </c>
      <c r="J52" s="11"/>
      <c r="K52" s="11" t="n">
        <v>27500</v>
      </c>
      <c r="L52" s="13"/>
      <c r="M52" s="13"/>
      <c r="N52" s="13" t="n">
        <v>45373</v>
      </c>
      <c r="O52" s="13" t="n">
        <v>45376</v>
      </c>
      <c r="P52" s="13"/>
      <c r="Q52" s="13" t="n">
        <v>45377</v>
      </c>
      <c r="R52" s="13" t="n">
        <v>45422</v>
      </c>
      <c r="S52" s="13"/>
      <c r="T52" s="13"/>
      <c r="U52" s="12" t="s">
        <v>80</v>
      </c>
      <c r="V52" s="14"/>
      <c r="W52" s="11" t="s">
        <v>206</v>
      </c>
      <c r="X52" s="11" t="s">
        <v>207</v>
      </c>
      <c r="Y52" s="11" t="n">
        <v>45</v>
      </c>
      <c r="Z52" s="11" t="s">
        <v>81</v>
      </c>
      <c r="AA52" s="15" t="str">
        <f aca="false">IF(AND(ISNUMBER(L52),ISNUMBER(M52)),M52-L52,"")</f>
        <v/>
      </c>
      <c r="AB52" s="15" t="str">
        <f aca="false">IF(AND(ISNUMBER(M52),ISNUMBER(P52)),P52-M52,"")</f>
        <v/>
      </c>
      <c r="AC52" s="15" t="str">
        <f aca="false">IF(AND(ISNUMBER(L52),ISNUMBER(P52)),P52-L52,"")</f>
        <v/>
      </c>
      <c r="AD52" s="15" t="str">
        <f aca="false">IF(AND(ISNUMBER(P52),ISNUMBER(Q52)),Q52-P52,"")</f>
        <v/>
      </c>
      <c r="AE52" s="15" t="n">
        <f aca="false">IF(AND(ISNUMBER(Q52),ISNUMBER(R52)),R52-Q52,IF(ISNUMBER(Y52),Y52,""))</f>
        <v>45</v>
      </c>
      <c r="AF52" s="15" t="str">
        <f aca="false">IF(AND(ISNUMBER(R52),ISNUMBER(S52)),S52-R52,"")</f>
        <v/>
      </c>
      <c r="AG52" s="15" t="str">
        <f aca="false">IF(AND(ISNUMBER(S52),ISNUMBER(T52)),T52-S52,"")</f>
        <v/>
      </c>
      <c r="AH52" s="15" t="str">
        <f aca="false">IF(AND(ISNUMBER(L52),ISNUMBER(T52)),T52-L52,"")</f>
        <v/>
      </c>
      <c r="AI52" s="15" t="n">
        <f aca="false">IF(AND(ISNUMBER(O52),ISNUMBER(Q52)),Q52-O52,"")</f>
        <v>1</v>
      </c>
      <c r="AJ52" s="15" t="str">
        <f aca="false">IF(B52="","",COUNT(L52:M52,P52:T52)&amp;"/7")</f>
        <v>2/7</v>
      </c>
      <c r="AK52" s="15" t="str">
        <f aca="false">IF(B52="","",IF(OR(AND(ISNUMBER(L52),ISNUMBER(M52),M52&lt;L52),AND(ISNUMBER(M52),ISNUMBER(P52),P52&lt;M52),AND(ISNUMBER(P52),ISNUMBER(Q52),Q52&lt;P52),AND(ISNUMBER(Q52),ISNUMBER(R52),R52&lt;Q52),AND(ISNUMBER(R52),ISNUMBER(S52),S52&lt;R52),AND(ISNUMBER(S52),ISNUMBER(T52),T52&lt;S52),AND(ISNUMBER(N52),ISNUMBER(O52),O52&lt;N52)),"Urutan tanggal salah",IF(AND(ISNUMBER(Q52),ISNUMBER(R52),ISNUMBER(Y52),ABS(R52-Q52-Y52)&gt;2),"S tanggal ≠ Sailing tercatat",IF(AND(ISNUMBER(Q52),ISNUMBER(O52),ABS(Q52-O52)&gt;60),"Cek tahun laycan",IF(AND(ISNUMBER(Q52),ISNUMBER(N52),Q52&lt;N52),"Berangkat sebelum laycan",IF(NOT(ISNUMBER(AE52)),"S belum ada","OK"))))))</f>
        <v>OK</v>
      </c>
    </row>
    <row r="53" customFormat="false" ht="15" hidden="false" customHeight="false" outlineLevel="0" collapsed="false">
      <c r="A53" s="11" t="n">
        <f aca="false">IF(B53="","",ROW()-4)</f>
        <v>49</v>
      </c>
      <c r="B53" s="12" t="s">
        <v>73</v>
      </c>
      <c r="C53" s="11" t="s">
        <v>208</v>
      </c>
      <c r="D53" s="11" t="n">
        <v>2024</v>
      </c>
      <c r="E53" s="11" t="s">
        <v>90</v>
      </c>
      <c r="F53" s="11" t="s">
        <v>110</v>
      </c>
      <c r="G53" s="11" t="s">
        <v>77</v>
      </c>
      <c r="H53" s="11" t="s">
        <v>204</v>
      </c>
      <c r="I53" s="11" t="s">
        <v>155</v>
      </c>
      <c r="J53" s="11"/>
      <c r="K53" s="11" t="n">
        <v>25500</v>
      </c>
      <c r="L53" s="13"/>
      <c r="M53" s="13"/>
      <c r="N53" s="13" t="n">
        <v>45432</v>
      </c>
      <c r="O53" s="13" t="n">
        <v>45437</v>
      </c>
      <c r="P53" s="13"/>
      <c r="Q53" s="13" t="n">
        <v>45438</v>
      </c>
      <c r="R53" s="13" t="n">
        <v>45480</v>
      </c>
      <c r="S53" s="13"/>
      <c r="T53" s="13"/>
      <c r="U53" s="12" t="s">
        <v>80</v>
      </c>
      <c r="V53" s="14"/>
      <c r="W53" s="11" t="s">
        <v>209</v>
      </c>
      <c r="X53" s="11" t="s">
        <v>210</v>
      </c>
      <c r="Y53" s="11" t="n">
        <v>42</v>
      </c>
      <c r="Z53" s="11" t="s">
        <v>81</v>
      </c>
      <c r="AA53" s="15" t="str">
        <f aca="false">IF(AND(ISNUMBER(L53),ISNUMBER(M53)),M53-L53,"")</f>
        <v/>
      </c>
      <c r="AB53" s="15" t="str">
        <f aca="false">IF(AND(ISNUMBER(M53),ISNUMBER(P53)),P53-M53,"")</f>
        <v/>
      </c>
      <c r="AC53" s="15" t="str">
        <f aca="false">IF(AND(ISNUMBER(L53),ISNUMBER(P53)),P53-L53,"")</f>
        <v/>
      </c>
      <c r="AD53" s="15" t="str">
        <f aca="false">IF(AND(ISNUMBER(P53),ISNUMBER(Q53)),Q53-P53,"")</f>
        <v/>
      </c>
      <c r="AE53" s="15" t="n">
        <f aca="false">IF(AND(ISNUMBER(Q53),ISNUMBER(R53)),R53-Q53,IF(ISNUMBER(Y53),Y53,""))</f>
        <v>42</v>
      </c>
      <c r="AF53" s="15" t="str">
        <f aca="false">IF(AND(ISNUMBER(R53),ISNUMBER(S53)),S53-R53,"")</f>
        <v/>
      </c>
      <c r="AG53" s="15" t="str">
        <f aca="false">IF(AND(ISNUMBER(S53),ISNUMBER(T53)),T53-S53,"")</f>
        <v/>
      </c>
      <c r="AH53" s="15" t="str">
        <f aca="false">IF(AND(ISNUMBER(L53),ISNUMBER(T53)),T53-L53,"")</f>
        <v/>
      </c>
      <c r="AI53" s="15" t="n">
        <f aca="false">IF(AND(ISNUMBER(O53),ISNUMBER(Q53)),Q53-O53,"")</f>
        <v>1</v>
      </c>
      <c r="AJ53" s="15" t="str">
        <f aca="false">IF(B53="","",COUNT(L53:M53,P53:T53)&amp;"/7")</f>
        <v>2/7</v>
      </c>
      <c r="AK53" s="15" t="str">
        <f aca="false">IF(B53="","",IF(OR(AND(ISNUMBER(L53),ISNUMBER(M53),M53&lt;L53),AND(ISNUMBER(M53),ISNUMBER(P53),P53&lt;M53),AND(ISNUMBER(P53),ISNUMBER(Q53),Q53&lt;P53),AND(ISNUMBER(Q53),ISNUMBER(R53),R53&lt;Q53),AND(ISNUMBER(R53),ISNUMBER(S53),S53&lt;R53),AND(ISNUMBER(S53),ISNUMBER(T53),T53&lt;S53),AND(ISNUMBER(N53),ISNUMBER(O53),O53&lt;N53)),"Urutan tanggal salah",IF(AND(ISNUMBER(Q53),ISNUMBER(R53),ISNUMBER(Y53),ABS(R53-Q53-Y53)&gt;2),"S tanggal ≠ Sailing tercatat",IF(AND(ISNUMBER(Q53),ISNUMBER(O53),ABS(Q53-O53)&gt;60),"Cek tahun laycan",IF(AND(ISNUMBER(Q53),ISNUMBER(N53),Q53&lt;N53),"Berangkat sebelum laycan",IF(NOT(ISNUMBER(AE53)),"S belum ada","OK"))))))</f>
        <v>OK</v>
      </c>
    </row>
    <row r="54" customFormat="false" ht="15" hidden="false" customHeight="false" outlineLevel="0" collapsed="false">
      <c r="A54" s="11" t="n">
        <f aca="false">IF(B54="","",ROW()-4)</f>
        <v>50</v>
      </c>
      <c r="B54" s="12" t="s">
        <v>73</v>
      </c>
      <c r="C54" s="11" t="s">
        <v>73</v>
      </c>
      <c r="D54" s="11" t="n">
        <v>2024</v>
      </c>
      <c r="E54" s="11" t="s">
        <v>126</v>
      </c>
      <c r="F54" s="11" t="s">
        <v>122</v>
      </c>
      <c r="G54" s="11" t="s">
        <v>77</v>
      </c>
      <c r="H54" s="11" t="s">
        <v>127</v>
      </c>
      <c r="I54" s="11" t="s">
        <v>211</v>
      </c>
      <c r="J54" s="11"/>
      <c r="K54" s="11" t="n">
        <v>27500</v>
      </c>
      <c r="L54" s="13"/>
      <c r="M54" s="13"/>
      <c r="N54" s="13" t="n">
        <v>45406</v>
      </c>
      <c r="O54" s="13" t="n">
        <v>45406</v>
      </c>
      <c r="P54" s="13"/>
      <c r="Q54" s="13" t="n">
        <v>45407</v>
      </c>
      <c r="R54" s="13" t="n">
        <v>45448</v>
      </c>
      <c r="S54" s="13"/>
      <c r="T54" s="13"/>
      <c r="U54" s="12" t="s">
        <v>80</v>
      </c>
      <c r="V54" s="14"/>
      <c r="W54" s="11" t="s">
        <v>206</v>
      </c>
      <c r="X54" s="11"/>
      <c r="Y54" s="11" t="n">
        <v>41</v>
      </c>
      <c r="Z54" s="11" t="s">
        <v>81</v>
      </c>
      <c r="AA54" s="15" t="str">
        <f aca="false">IF(AND(ISNUMBER(L54),ISNUMBER(M54)),M54-L54,"")</f>
        <v/>
      </c>
      <c r="AB54" s="15" t="str">
        <f aca="false">IF(AND(ISNUMBER(M54),ISNUMBER(P54)),P54-M54,"")</f>
        <v/>
      </c>
      <c r="AC54" s="15" t="str">
        <f aca="false">IF(AND(ISNUMBER(L54),ISNUMBER(P54)),P54-L54,"")</f>
        <v/>
      </c>
      <c r="AD54" s="15" t="str">
        <f aca="false">IF(AND(ISNUMBER(P54),ISNUMBER(Q54)),Q54-P54,"")</f>
        <v/>
      </c>
      <c r="AE54" s="15" t="n">
        <f aca="false">IF(AND(ISNUMBER(Q54),ISNUMBER(R54)),R54-Q54,IF(ISNUMBER(Y54),Y54,""))</f>
        <v>41</v>
      </c>
      <c r="AF54" s="15" t="str">
        <f aca="false">IF(AND(ISNUMBER(R54),ISNUMBER(S54)),S54-R54,"")</f>
        <v/>
      </c>
      <c r="AG54" s="15" t="str">
        <f aca="false">IF(AND(ISNUMBER(S54),ISNUMBER(T54)),T54-S54,"")</f>
        <v/>
      </c>
      <c r="AH54" s="15" t="str">
        <f aca="false">IF(AND(ISNUMBER(L54),ISNUMBER(T54)),T54-L54,"")</f>
        <v/>
      </c>
      <c r="AI54" s="15" t="n">
        <f aca="false">IF(AND(ISNUMBER(O54),ISNUMBER(Q54)),Q54-O54,"")</f>
        <v>1</v>
      </c>
      <c r="AJ54" s="15" t="str">
        <f aca="false">IF(B54="","",COUNT(L54:M54,P54:T54)&amp;"/7")</f>
        <v>2/7</v>
      </c>
      <c r="AK54" s="15" t="str">
        <f aca="false">IF(B54="","",IF(OR(AND(ISNUMBER(L54),ISNUMBER(M54),M54&lt;L54),AND(ISNUMBER(M54),ISNUMBER(P54),P54&lt;M54),AND(ISNUMBER(P54),ISNUMBER(Q54),Q54&lt;P54),AND(ISNUMBER(Q54),ISNUMBER(R54),R54&lt;Q54),AND(ISNUMBER(R54),ISNUMBER(S54),S54&lt;R54),AND(ISNUMBER(S54),ISNUMBER(T54),T54&lt;S54),AND(ISNUMBER(N54),ISNUMBER(O54),O54&lt;N54)),"Urutan tanggal salah",IF(AND(ISNUMBER(Q54),ISNUMBER(R54),ISNUMBER(Y54),ABS(R54-Q54-Y54)&gt;2),"S tanggal ≠ Sailing tercatat",IF(AND(ISNUMBER(Q54),ISNUMBER(O54),ABS(Q54-O54)&gt;60),"Cek tahun laycan",IF(AND(ISNUMBER(Q54),ISNUMBER(N54),Q54&lt;N54),"Berangkat sebelum laycan",IF(NOT(ISNUMBER(AE54)),"S belum ada","OK"))))))</f>
        <v>OK</v>
      </c>
    </row>
    <row r="55" customFormat="false" ht="15" hidden="false" customHeight="false" outlineLevel="0" collapsed="false">
      <c r="A55" s="11" t="n">
        <f aca="false">IF(B55="","",ROW()-4)</f>
        <v>51</v>
      </c>
      <c r="B55" s="12" t="s">
        <v>73</v>
      </c>
      <c r="C55" s="11" t="s">
        <v>116</v>
      </c>
      <c r="D55" s="11" t="n">
        <v>2024</v>
      </c>
      <c r="E55" s="11" t="s">
        <v>90</v>
      </c>
      <c r="F55" s="11" t="s">
        <v>122</v>
      </c>
      <c r="G55" s="11" t="s">
        <v>77</v>
      </c>
      <c r="H55" s="11" t="s">
        <v>194</v>
      </c>
      <c r="I55" s="11" t="s">
        <v>212</v>
      </c>
      <c r="J55" s="11"/>
      <c r="K55" s="11" t="n">
        <v>27500</v>
      </c>
      <c r="L55" s="13"/>
      <c r="M55" s="13"/>
      <c r="N55" s="13" t="n">
        <v>45458</v>
      </c>
      <c r="O55" s="13" t="n">
        <v>45461</v>
      </c>
      <c r="P55" s="13"/>
      <c r="Q55" s="13" t="n">
        <v>45462</v>
      </c>
      <c r="R55" s="13" t="n">
        <v>45506</v>
      </c>
      <c r="S55" s="13"/>
      <c r="T55" s="13"/>
      <c r="U55" s="12" t="s">
        <v>80</v>
      </c>
      <c r="V55" s="14"/>
      <c r="W55" s="11" t="s">
        <v>213</v>
      </c>
      <c r="X55" s="11" t="s">
        <v>214</v>
      </c>
      <c r="Y55" s="11" t="n">
        <v>44</v>
      </c>
      <c r="Z55" s="11" t="s">
        <v>81</v>
      </c>
      <c r="AA55" s="15" t="str">
        <f aca="false">IF(AND(ISNUMBER(L55),ISNUMBER(M55)),M55-L55,"")</f>
        <v/>
      </c>
      <c r="AB55" s="15" t="str">
        <f aca="false">IF(AND(ISNUMBER(M55),ISNUMBER(P55)),P55-M55,"")</f>
        <v/>
      </c>
      <c r="AC55" s="15" t="str">
        <f aca="false">IF(AND(ISNUMBER(L55),ISNUMBER(P55)),P55-L55,"")</f>
        <v/>
      </c>
      <c r="AD55" s="15" t="str">
        <f aca="false">IF(AND(ISNUMBER(P55),ISNUMBER(Q55)),Q55-P55,"")</f>
        <v/>
      </c>
      <c r="AE55" s="15" t="n">
        <f aca="false">IF(AND(ISNUMBER(Q55),ISNUMBER(R55)),R55-Q55,IF(ISNUMBER(Y55),Y55,""))</f>
        <v>44</v>
      </c>
      <c r="AF55" s="15" t="str">
        <f aca="false">IF(AND(ISNUMBER(R55),ISNUMBER(S55)),S55-R55,"")</f>
        <v/>
      </c>
      <c r="AG55" s="15" t="str">
        <f aca="false">IF(AND(ISNUMBER(S55),ISNUMBER(T55)),T55-S55,"")</f>
        <v/>
      </c>
      <c r="AH55" s="15" t="str">
        <f aca="false">IF(AND(ISNUMBER(L55),ISNUMBER(T55)),T55-L55,"")</f>
        <v/>
      </c>
      <c r="AI55" s="15" t="n">
        <f aca="false">IF(AND(ISNUMBER(O55),ISNUMBER(Q55)),Q55-O55,"")</f>
        <v>1</v>
      </c>
      <c r="AJ55" s="15" t="str">
        <f aca="false">IF(B55="","",COUNT(L55:M55,P55:T55)&amp;"/7")</f>
        <v>2/7</v>
      </c>
      <c r="AK55" s="15" t="str">
        <f aca="false">IF(B55="","",IF(OR(AND(ISNUMBER(L55),ISNUMBER(M55),M55&lt;L55),AND(ISNUMBER(M55),ISNUMBER(P55),P55&lt;M55),AND(ISNUMBER(P55),ISNUMBER(Q55),Q55&lt;P55),AND(ISNUMBER(Q55),ISNUMBER(R55),R55&lt;Q55),AND(ISNUMBER(R55),ISNUMBER(S55),S55&lt;R55),AND(ISNUMBER(S55),ISNUMBER(T55),T55&lt;S55),AND(ISNUMBER(N55),ISNUMBER(O55),O55&lt;N55)),"Urutan tanggal salah",IF(AND(ISNUMBER(Q55),ISNUMBER(R55),ISNUMBER(Y55),ABS(R55-Q55-Y55)&gt;2),"S tanggal ≠ Sailing tercatat",IF(AND(ISNUMBER(Q55),ISNUMBER(O55),ABS(Q55-O55)&gt;60),"Cek tahun laycan",IF(AND(ISNUMBER(Q55),ISNUMBER(N55),Q55&lt;N55),"Berangkat sebelum laycan",IF(NOT(ISNUMBER(AE55)),"S belum ada","OK"))))))</f>
        <v>OK</v>
      </c>
    </row>
    <row r="56" customFormat="false" ht="15" hidden="false" customHeight="false" outlineLevel="0" collapsed="false">
      <c r="A56" s="11" t="n">
        <f aca="false">IF(B56="","",ROW()-4)</f>
        <v>52</v>
      </c>
      <c r="B56" s="12" t="s">
        <v>73</v>
      </c>
      <c r="C56" s="11" t="s">
        <v>215</v>
      </c>
      <c r="D56" s="11" t="n">
        <v>2024</v>
      </c>
      <c r="E56" s="11" t="s">
        <v>90</v>
      </c>
      <c r="F56" s="11" t="s">
        <v>122</v>
      </c>
      <c r="G56" s="11" t="s">
        <v>77</v>
      </c>
      <c r="H56" s="11" t="s">
        <v>194</v>
      </c>
      <c r="I56" s="11" t="s">
        <v>212</v>
      </c>
      <c r="J56" s="11"/>
      <c r="K56" s="11" t="n">
        <v>5500</v>
      </c>
      <c r="L56" s="13"/>
      <c r="M56" s="13"/>
      <c r="N56" s="13" t="n">
        <v>45458</v>
      </c>
      <c r="O56" s="13" t="n">
        <v>45461</v>
      </c>
      <c r="P56" s="13"/>
      <c r="Q56" s="13" t="n">
        <v>45462</v>
      </c>
      <c r="R56" s="13" t="n">
        <v>45506</v>
      </c>
      <c r="S56" s="13"/>
      <c r="T56" s="13"/>
      <c r="U56" s="12" t="s">
        <v>80</v>
      </c>
      <c r="V56" s="14"/>
      <c r="W56" s="11" t="s">
        <v>216</v>
      </c>
      <c r="X56" s="11" t="s">
        <v>214</v>
      </c>
      <c r="Y56" s="11" t="n">
        <v>44</v>
      </c>
      <c r="Z56" s="11" t="s">
        <v>81</v>
      </c>
      <c r="AA56" s="15" t="str">
        <f aca="false">IF(AND(ISNUMBER(L56),ISNUMBER(M56)),M56-L56,"")</f>
        <v/>
      </c>
      <c r="AB56" s="15" t="str">
        <f aca="false">IF(AND(ISNUMBER(M56),ISNUMBER(P56)),P56-M56,"")</f>
        <v/>
      </c>
      <c r="AC56" s="15" t="str">
        <f aca="false">IF(AND(ISNUMBER(L56),ISNUMBER(P56)),P56-L56,"")</f>
        <v/>
      </c>
      <c r="AD56" s="15" t="str">
        <f aca="false">IF(AND(ISNUMBER(P56),ISNUMBER(Q56)),Q56-P56,"")</f>
        <v/>
      </c>
      <c r="AE56" s="15" t="n">
        <f aca="false">IF(AND(ISNUMBER(Q56),ISNUMBER(R56)),R56-Q56,IF(ISNUMBER(Y56),Y56,""))</f>
        <v>44</v>
      </c>
      <c r="AF56" s="15" t="str">
        <f aca="false">IF(AND(ISNUMBER(R56),ISNUMBER(S56)),S56-R56,"")</f>
        <v/>
      </c>
      <c r="AG56" s="15" t="str">
        <f aca="false">IF(AND(ISNUMBER(S56),ISNUMBER(T56)),T56-S56,"")</f>
        <v/>
      </c>
      <c r="AH56" s="15" t="str">
        <f aca="false">IF(AND(ISNUMBER(L56),ISNUMBER(T56)),T56-L56,"")</f>
        <v/>
      </c>
      <c r="AI56" s="15" t="n">
        <f aca="false">IF(AND(ISNUMBER(O56),ISNUMBER(Q56)),Q56-O56,"")</f>
        <v>1</v>
      </c>
      <c r="AJ56" s="15" t="str">
        <f aca="false">IF(B56="","",COUNT(L56:M56,P56:T56)&amp;"/7")</f>
        <v>2/7</v>
      </c>
      <c r="AK56" s="15" t="str">
        <f aca="false">IF(B56="","",IF(OR(AND(ISNUMBER(L56),ISNUMBER(M56),M56&lt;L56),AND(ISNUMBER(M56),ISNUMBER(P56),P56&lt;M56),AND(ISNUMBER(P56),ISNUMBER(Q56),Q56&lt;P56),AND(ISNUMBER(Q56),ISNUMBER(R56),R56&lt;Q56),AND(ISNUMBER(R56),ISNUMBER(S56),S56&lt;R56),AND(ISNUMBER(S56),ISNUMBER(T56),T56&lt;S56),AND(ISNUMBER(N56),ISNUMBER(O56),O56&lt;N56)),"Urutan tanggal salah",IF(AND(ISNUMBER(Q56),ISNUMBER(R56),ISNUMBER(Y56),ABS(R56-Q56-Y56)&gt;2),"S tanggal ≠ Sailing tercatat",IF(AND(ISNUMBER(Q56),ISNUMBER(O56),ABS(Q56-O56)&gt;60),"Cek tahun laycan",IF(AND(ISNUMBER(Q56),ISNUMBER(N56),Q56&lt;N56),"Berangkat sebelum laycan",IF(NOT(ISNUMBER(AE56)),"S belum ada","OK"))))))</f>
        <v>OK</v>
      </c>
    </row>
    <row r="57" customFormat="false" ht="15" hidden="false" customHeight="false" outlineLevel="0" collapsed="false">
      <c r="A57" s="11" t="n">
        <f aca="false">IF(B57="","",ROW()-4)</f>
        <v>53</v>
      </c>
      <c r="B57" s="12" t="s">
        <v>73</v>
      </c>
      <c r="C57" s="11" t="s">
        <v>119</v>
      </c>
      <c r="D57" s="11" t="n">
        <v>2024</v>
      </c>
      <c r="E57" s="11" t="s">
        <v>90</v>
      </c>
      <c r="F57" s="11" t="s">
        <v>110</v>
      </c>
      <c r="G57" s="11" t="s">
        <v>77</v>
      </c>
      <c r="H57" s="11" t="s">
        <v>194</v>
      </c>
      <c r="I57" s="11" t="s">
        <v>217</v>
      </c>
      <c r="J57" s="11"/>
      <c r="K57" s="11" t="n">
        <v>26000</v>
      </c>
      <c r="L57" s="13"/>
      <c r="M57" s="13"/>
      <c r="N57" s="13" t="n">
        <v>45499</v>
      </c>
      <c r="O57" s="13" t="n">
        <v>45504</v>
      </c>
      <c r="P57" s="13"/>
      <c r="Q57" s="13" t="n">
        <v>45505</v>
      </c>
      <c r="R57" s="13" t="n">
        <v>45554</v>
      </c>
      <c r="S57" s="13"/>
      <c r="T57" s="13"/>
      <c r="U57" s="12" t="s">
        <v>80</v>
      </c>
      <c r="V57" s="14"/>
      <c r="W57" s="11" t="s">
        <v>216</v>
      </c>
      <c r="X57" s="11" t="s">
        <v>218</v>
      </c>
      <c r="Y57" s="11" t="n">
        <v>49</v>
      </c>
      <c r="Z57" s="11" t="s">
        <v>81</v>
      </c>
      <c r="AA57" s="15" t="str">
        <f aca="false">IF(AND(ISNUMBER(L57),ISNUMBER(M57)),M57-L57,"")</f>
        <v/>
      </c>
      <c r="AB57" s="15" t="str">
        <f aca="false">IF(AND(ISNUMBER(M57),ISNUMBER(P57)),P57-M57,"")</f>
        <v/>
      </c>
      <c r="AC57" s="15" t="str">
        <f aca="false">IF(AND(ISNUMBER(L57),ISNUMBER(P57)),P57-L57,"")</f>
        <v/>
      </c>
      <c r="AD57" s="15" t="str">
        <f aca="false">IF(AND(ISNUMBER(P57),ISNUMBER(Q57)),Q57-P57,"")</f>
        <v/>
      </c>
      <c r="AE57" s="15" t="n">
        <f aca="false">IF(AND(ISNUMBER(Q57),ISNUMBER(R57)),R57-Q57,IF(ISNUMBER(Y57),Y57,""))</f>
        <v>49</v>
      </c>
      <c r="AF57" s="15" t="str">
        <f aca="false">IF(AND(ISNUMBER(R57),ISNUMBER(S57)),S57-R57,"")</f>
        <v/>
      </c>
      <c r="AG57" s="15" t="str">
        <f aca="false">IF(AND(ISNUMBER(S57),ISNUMBER(T57)),T57-S57,"")</f>
        <v/>
      </c>
      <c r="AH57" s="15" t="str">
        <f aca="false">IF(AND(ISNUMBER(L57),ISNUMBER(T57)),T57-L57,"")</f>
        <v/>
      </c>
      <c r="AI57" s="15" t="n">
        <f aca="false">IF(AND(ISNUMBER(O57),ISNUMBER(Q57)),Q57-O57,"")</f>
        <v>1</v>
      </c>
      <c r="AJ57" s="15" t="str">
        <f aca="false">IF(B57="","",COUNT(L57:M57,P57:T57)&amp;"/7")</f>
        <v>2/7</v>
      </c>
      <c r="AK57" s="15" t="str">
        <f aca="false">IF(B57="","",IF(OR(AND(ISNUMBER(L57),ISNUMBER(M57),M57&lt;L57),AND(ISNUMBER(M57),ISNUMBER(P57),P57&lt;M57),AND(ISNUMBER(P57),ISNUMBER(Q57),Q57&lt;P57),AND(ISNUMBER(Q57),ISNUMBER(R57),R57&lt;Q57),AND(ISNUMBER(R57),ISNUMBER(S57),S57&lt;R57),AND(ISNUMBER(S57),ISNUMBER(T57),T57&lt;S57),AND(ISNUMBER(N57),ISNUMBER(O57),O57&lt;N57)),"Urutan tanggal salah",IF(AND(ISNUMBER(Q57),ISNUMBER(R57),ISNUMBER(Y57),ABS(R57-Q57-Y57)&gt;2),"S tanggal ≠ Sailing tercatat",IF(AND(ISNUMBER(Q57),ISNUMBER(O57),ABS(Q57-O57)&gt;60),"Cek tahun laycan",IF(AND(ISNUMBER(Q57),ISNUMBER(N57),Q57&lt;N57),"Berangkat sebelum laycan",IF(NOT(ISNUMBER(AE57)),"S belum ada","OK"))))))</f>
        <v>OK</v>
      </c>
    </row>
    <row r="58" customFormat="false" ht="15" hidden="false" customHeight="false" outlineLevel="0" collapsed="false">
      <c r="A58" s="11" t="n">
        <f aca="false">IF(B58="","",ROW()-4)</f>
        <v>54</v>
      </c>
      <c r="B58" s="12" t="s">
        <v>73</v>
      </c>
      <c r="C58" s="11" t="s">
        <v>159</v>
      </c>
      <c r="D58" s="11" t="n">
        <v>2024</v>
      </c>
      <c r="E58" s="11" t="s">
        <v>90</v>
      </c>
      <c r="F58" s="11" t="s">
        <v>110</v>
      </c>
      <c r="G58" s="11" t="s">
        <v>77</v>
      </c>
      <c r="H58" s="11" t="s">
        <v>194</v>
      </c>
      <c r="I58" s="11" t="s">
        <v>219</v>
      </c>
      <c r="J58" s="11"/>
      <c r="K58" s="11" t="n">
        <v>27200</v>
      </c>
      <c r="L58" s="13"/>
      <c r="M58" s="13"/>
      <c r="N58" s="13" t="n">
        <v>45559</v>
      </c>
      <c r="O58" s="13" t="n">
        <v>45564</v>
      </c>
      <c r="P58" s="13"/>
      <c r="Q58" s="13" t="n">
        <v>45565</v>
      </c>
      <c r="R58" s="13" t="n">
        <v>45607</v>
      </c>
      <c r="S58" s="13"/>
      <c r="T58" s="13"/>
      <c r="U58" s="12" t="s">
        <v>220</v>
      </c>
      <c r="V58" s="14"/>
      <c r="W58" s="11" t="s">
        <v>221</v>
      </c>
      <c r="X58" s="11" t="s">
        <v>222</v>
      </c>
      <c r="Y58" s="11" t="n">
        <v>42</v>
      </c>
      <c r="Z58" s="11" t="s">
        <v>81</v>
      </c>
      <c r="AA58" s="15" t="str">
        <f aca="false">IF(AND(ISNUMBER(L58),ISNUMBER(M58)),M58-L58,"")</f>
        <v/>
      </c>
      <c r="AB58" s="15" t="str">
        <f aca="false">IF(AND(ISNUMBER(M58),ISNUMBER(P58)),P58-M58,"")</f>
        <v/>
      </c>
      <c r="AC58" s="15" t="str">
        <f aca="false">IF(AND(ISNUMBER(L58),ISNUMBER(P58)),P58-L58,"")</f>
        <v/>
      </c>
      <c r="AD58" s="15" t="str">
        <f aca="false">IF(AND(ISNUMBER(P58),ISNUMBER(Q58)),Q58-P58,"")</f>
        <v/>
      </c>
      <c r="AE58" s="15" t="n">
        <f aca="false">IF(AND(ISNUMBER(Q58),ISNUMBER(R58)),R58-Q58,IF(ISNUMBER(Y58),Y58,""))</f>
        <v>42</v>
      </c>
      <c r="AF58" s="15" t="str">
        <f aca="false">IF(AND(ISNUMBER(R58),ISNUMBER(S58)),S58-R58,"")</f>
        <v/>
      </c>
      <c r="AG58" s="15" t="str">
        <f aca="false">IF(AND(ISNUMBER(S58),ISNUMBER(T58)),T58-S58,"")</f>
        <v/>
      </c>
      <c r="AH58" s="15" t="str">
        <f aca="false">IF(AND(ISNUMBER(L58),ISNUMBER(T58)),T58-L58,"")</f>
        <v/>
      </c>
      <c r="AI58" s="15" t="n">
        <f aca="false">IF(AND(ISNUMBER(O58),ISNUMBER(Q58)),Q58-O58,"")</f>
        <v>1</v>
      </c>
      <c r="AJ58" s="15" t="str">
        <f aca="false">IF(B58="","",COUNT(L58:M58,P58:T58)&amp;"/7")</f>
        <v>2/7</v>
      </c>
      <c r="AK58" s="15" t="str">
        <f aca="false">IF(B58="","",IF(OR(AND(ISNUMBER(L58),ISNUMBER(M58),M58&lt;L58),AND(ISNUMBER(M58),ISNUMBER(P58),P58&lt;M58),AND(ISNUMBER(P58),ISNUMBER(Q58),Q58&lt;P58),AND(ISNUMBER(Q58),ISNUMBER(R58),R58&lt;Q58),AND(ISNUMBER(R58),ISNUMBER(S58),S58&lt;R58),AND(ISNUMBER(S58),ISNUMBER(T58),T58&lt;S58),AND(ISNUMBER(N58),ISNUMBER(O58),O58&lt;N58)),"Urutan tanggal salah",IF(AND(ISNUMBER(Q58),ISNUMBER(R58),ISNUMBER(Y58),ABS(R58-Q58-Y58)&gt;2),"S tanggal ≠ Sailing tercatat",IF(AND(ISNUMBER(Q58),ISNUMBER(O58),ABS(Q58-O58)&gt;60),"Cek tahun laycan",IF(AND(ISNUMBER(Q58),ISNUMBER(N58),Q58&lt;N58),"Berangkat sebelum laycan",IF(NOT(ISNUMBER(AE58)),"S belum ada","OK"))))))</f>
        <v>OK</v>
      </c>
    </row>
    <row r="59" customFormat="false" ht="15" hidden="false" customHeight="false" outlineLevel="0" collapsed="false">
      <c r="A59" s="11" t="n">
        <f aca="false">IF(B59="","",ROW()-4)</f>
        <v>55</v>
      </c>
      <c r="B59" s="12" t="s">
        <v>73</v>
      </c>
      <c r="C59" s="11" t="s">
        <v>192</v>
      </c>
      <c r="D59" s="11" t="n">
        <v>2024</v>
      </c>
      <c r="E59" s="11" t="s">
        <v>90</v>
      </c>
      <c r="F59" s="11" t="s">
        <v>122</v>
      </c>
      <c r="G59" s="11" t="s">
        <v>77</v>
      </c>
      <c r="H59" s="11" t="s">
        <v>194</v>
      </c>
      <c r="I59" s="11" t="s">
        <v>223</v>
      </c>
      <c r="J59" s="11"/>
      <c r="K59" s="11" t="n">
        <v>25000</v>
      </c>
      <c r="L59" s="13"/>
      <c r="M59" s="13"/>
      <c r="N59" s="13" t="n">
        <v>45581</v>
      </c>
      <c r="O59" s="13" t="n">
        <v>45585</v>
      </c>
      <c r="P59" s="13"/>
      <c r="Q59" s="13" t="n">
        <v>45586</v>
      </c>
      <c r="R59" s="13" t="n">
        <v>45626</v>
      </c>
      <c r="S59" s="13"/>
      <c r="T59" s="13"/>
      <c r="U59" s="12" t="s">
        <v>224</v>
      </c>
      <c r="V59" s="14"/>
      <c r="W59" s="11" t="s">
        <v>225</v>
      </c>
      <c r="X59" s="11" t="s">
        <v>226</v>
      </c>
      <c r="Y59" s="11" t="n">
        <v>40</v>
      </c>
      <c r="Z59" s="11" t="s">
        <v>81</v>
      </c>
      <c r="AA59" s="15" t="str">
        <f aca="false">IF(AND(ISNUMBER(L59),ISNUMBER(M59)),M59-L59,"")</f>
        <v/>
      </c>
      <c r="AB59" s="15" t="str">
        <f aca="false">IF(AND(ISNUMBER(M59),ISNUMBER(P59)),P59-M59,"")</f>
        <v/>
      </c>
      <c r="AC59" s="15" t="str">
        <f aca="false">IF(AND(ISNUMBER(L59),ISNUMBER(P59)),P59-L59,"")</f>
        <v/>
      </c>
      <c r="AD59" s="15" t="str">
        <f aca="false">IF(AND(ISNUMBER(P59),ISNUMBER(Q59)),Q59-P59,"")</f>
        <v/>
      </c>
      <c r="AE59" s="15" t="n">
        <f aca="false">IF(AND(ISNUMBER(Q59),ISNUMBER(R59)),R59-Q59,IF(ISNUMBER(Y59),Y59,""))</f>
        <v>40</v>
      </c>
      <c r="AF59" s="15" t="str">
        <f aca="false">IF(AND(ISNUMBER(R59),ISNUMBER(S59)),S59-R59,"")</f>
        <v/>
      </c>
      <c r="AG59" s="15" t="str">
        <f aca="false">IF(AND(ISNUMBER(S59),ISNUMBER(T59)),T59-S59,"")</f>
        <v/>
      </c>
      <c r="AH59" s="15" t="str">
        <f aca="false">IF(AND(ISNUMBER(L59),ISNUMBER(T59)),T59-L59,"")</f>
        <v/>
      </c>
      <c r="AI59" s="15" t="n">
        <f aca="false">IF(AND(ISNUMBER(O59),ISNUMBER(Q59)),Q59-O59,"")</f>
        <v>1</v>
      </c>
      <c r="AJ59" s="15" t="str">
        <f aca="false">IF(B59="","",COUNT(L59:M59,P59:T59)&amp;"/7")</f>
        <v>2/7</v>
      </c>
      <c r="AK59" s="15" t="str">
        <f aca="false">IF(B59="","",IF(OR(AND(ISNUMBER(L59),ISNUMBER(M59),M59&lt;L59),AND(ISNUMBER(M59),ISNUMBER(P59),P59&lt;M59),AND(ISNUMBER(P59),ISNUMBER(Q59),Q59&lt;P59),AND(ISNUMBER(Q59),ISNUMBER(R59),R59&lt;Q59),AND(ISNUMBER(R59),ISNUMBER(S59),S59&lt;R59),AND(ISNUMBER(S59),ISNUMBER(T59),T59&lt;S59),AND(ISNUMBER(N59),ISNUMBER(O59),O59&lt;N59)),"Urutan tanggal salah",IF(AND(ISNUMBER(Q59),ISNUMBER(R59),ISNUMBER(Y59),ABS(R59-Q59-Y59)&gt;2),"S tanggal ≠ Sailing tercatat",IF(AND(ISNUMBER(Q59),ISNUMBER(O59),ABS(Q59-O59)&gt;60),"Cek tahun laycan",IF(AND(ISNUMBER(Q59),ISNUMBER(N59),Q59&lt;N59),"Berangkat sebelum laycan",IF(NOT(ISNUMBER(AE59)),"S belum ada","OK"))))))</f>
        <v>OK</v>
      </c>
    </row>
    <row r="60" customFormat="false" ht="15" hidden="false" customHeight="false" outlineLevel="0" collapsed="false">
      <c r="A60" s="11" t="n">
        <f aca="false">IF(B60="","",ROW()-4)</f>
        <v>56</v>
      </c>
      <c r="B60" s="12" t="s">
        <v>73</v>
      </c>
      <c r="C60" s="11" t="s">
        <v>116</v>
      </c>
      <c r="D60" s="11" t="n">
        <v>2024</v>
      </c>
      <c r="E60" s="11" t="s">
        <v>126</v>
      </c>
      <c r="F60" s="11" t="s">
        <v>122</v>
      </c>
      <c r="G60" s="11" t="s">
        <v>77</v>
      </c>
      <c r="H60" s="11" t="s">
        <v>227</v>
      </c>
      <c r="I60" s="11" t="s">
        <v>228</v>
      </c>
      <c r="J60" s="11"/>
      <c r="K60" s="11" t="n">
        <v>27500</v>
      </c>
      <c r="L60" s="13"/>
      <c r="M60" s="13"/>
      <c r="N60" s="13" t="n">
        <v>45477</v>
      </c>
      <c r="O60" s="13" t="n">
        <v>45479</v>
      </c>
      <c r="P60" s="13"/>
      <c r="Q60" s="13" t="n">
        <v>45480</v>
      </c>
      <c r="R60" s="13" t="n">
        <v>45542</v>
      </c>
      <c r="S60" s="13"/>
      <c r="T60" s="13"/>
      <c r="U60" s="12" t="s">
        <v>80</v>
      </c>
      <c r="V60" s="14"/>
      <c r="W60" s="11" t="s">
        <v>229</v>
      </c>
      <c r="X60" s="11" t="s">
        <v>230</v>
      </c>
      <c r="Y60" s="11" t="n">
        <v>62</v>
      </c>
      <c r="Z60" s="11" t="s">
        <v>81</v>
      </c>
      <c r="AA60" s="15" t="str">
        <f aca="false">IF(AND(ISNUMBER(L60),ISNUMBER(M60)),M60-L60,"")</f>
        <v/>
      </c>
      <c r="AB60" s="15" t="str">
        <f aca="false">IF(AND(ISNUMBER(M60),ISNUMBER(P60)),P60-M60,"")</f>
        <v/>
      </c>
      <c r="AC60" s="15" t="str">
        <f aca="false">IF(AND(ISNUMBER(L60),ISNUMBER(P60)),P60-L60,"")</f>
        <v/>
      </c>
      <c r="AD60" s="15" t="str">
        <f aca="false">IF(AND(ISNUMBER(P60),ISNUMBER(Q60)),Q60-P60,"")</f>
        <v/>
      </c>
      <c r="AE60" s="15" t="n">
        <f aca="false">IF(AND(ISNUMBER(Q60),ISNUMBER(R60)),R60-Q60,IF(ISNUMBER(Y60),Y60,""))</f>
        <v>62</v>
      </c>
      <c r="AF60" s="15" t="str">
        <f aca="false">IF(AND(ISNUMBER(R60),ISNUMBER(S60)),S60-R60,"")</f>
        <v/>
      </c>
      <c r="AG60" s="15" t="str">
        <f aca="false">IF(AND(ISNUMBER(S60),ISNUMBER(T60)),T60-S60,"")</f>
        <v/>
      </c>
      <c r="AH60" s="15" t="str">
        <f aca="false">IF(AND(ISNUMBER(L60),ISNUMBER(T60)),T60-L60,"")</f>
        <v/>
      </c>
      <c r="AI60" s="15" t="n">
        <f aca="false">IF(AND(ISNUMBER(O60),ISNUMBER(Q60)),Q60-O60,"")</f>
        <v>1</v>
      </c>
      <c r="AJ60" s="15" t="str">
        <f aca="false">IF(B60="","",COUNT(L60:M60,P60:T60)&amp;"/7")</f>
        <v>2/7</v>
      </c>
      <c r="AK60" s="15" t="str">
        <f aca="false">IF(B60="","",IF(OR(AND(ISNUMBER(L60),ISNUMBER(M60),M60&lt;L60),AND(ISNUMBER(M60),ISNUMBER(P60),P60&lt;M60),AND(ISNUMBER(P60),ISNUMBER(Q60),Q60&lt;P60),AND(ISNUMBER(Q60),ISNUMBER(R60),R60&lt;Q60),AND(ISNUMBER(R60),ISNUMBER(S60),S60&lt;R60),AND(ISNUMBER(S60),ISNUMBER(T60),T60&lt;S60),AND(ISNUMBER(N60),ISNUMBER(O60),O60&lt;N60)),"Urutan tanggal salah",IF(AND(ISNUMBER(Q60),ISNUMBER(R60),ISNUMBER(Y60),ABS(R60-Q60-Y60)&gt;2),"S tanggal ≠ Sailing tercatat",IF(AND(ISNUMBER(Q60),ISNUMBER(O60),ABS(Q60-O60)&gt;60),"Cek tahun laycan",IF(AND(ISNUMBER(Q60),ISNUMBER(N60),Q60&lt;N60),"Berangkat sebelum laycan",IF(NOT(ISNUMBER(AE60)),"S belum ada","OK"))))))</f>
        <v>OK</v>
      </c>
    </row>
    <row r="61" customFormat="false" ht="15" hidden="false" customHeight="false" outlineLevel="0" collapsed="false">
      <c r="A61" s="11" t="n">
        <f aca="false">IF(B61="","",ROW()-4)</f>
        <v>57</v>
      </c>
      <c r="B61" s="12" t="s">
        <v>73</v>
      </c>
      <c r="C61" s="11" t="s">
        <v>119</v>
      </c>
      <c r="D61" s="11" t="n">
        <v>2024</v>
      </c>
      <c r="E61" s="11" t="s">
        <v>126</v>
      </c>
      <c r="F61" s="11" t="s">
        <v>122</v>
      </c>
      <c r="G61" s="11" t="s">
        <v>77</v>
      </c>
      <c r="H61" s="11" t="s">
        <v>227</v>
      </c>
      <c r="I61" s="11" t="s">
        <v>231</v>
      </c>
      <c r="J61" s="11"/>
      <c r="K61" s="11" t="n">
        <v>25000</v>
      </c>
      <c r="L61" s="13"/>
      <c r="M61" s="13"/>
      <c r="N61" s="13" t="n">
        <v>45522</v>
      </c>
      <c r="O61" s="13" t="n">
        <v>45526</v>
      </c>
      <c r="P61" s="13"/>
      <c r="Q61" s="13" t="n">
        <v>45527</v>
      </c>
      <c r="R61" s="13" t="n">
        <v>45578</v>
      </c>
      <c r="S61" s="13"/>
      <c r="T61" s="13"/>
      <c r="U61" s="12" t="s">
        <v>232</v>
      </c>
      <c r="V61" s="14"/>
      <c r="W61" s="11" t="s">
        <v>233</v>
      </c>
      <c r="X61" s="11" t="s">
        <v>234</v>
      </c>
      <c r="Y61" s="11" t="n">
        <v>51</v>
      </c>
      <c r="Z61" s="11" t="s">
        <v>81</v>
      </c>
      <c r="AA61" s="15" t="str">
        <f aca="false">IF(AND(ISNUMBER(L61),ISNUMBER(M61)),M61-L61,"")</f>
        <v/>
      </c>
      <c r="AB61" s="15" t="str">
        <f aca="false">IF(AND(ISNUMBER(M61),ISNUMBER(P61)),P61-M61,"")</f>
        <v/>
      </c>
      <c r="AC61" s="15" t="str">
        <f aca="false">IF(AND(ISNUMBER(L61),ISNUMBER(P61)),P61-L61,"")</f>
        <v/>
      </c>
      <c r="AD61" s="15" t="str">
        <f aca="false">IF(AND(ISNUMBER(P61),ISNUMBER(Q61)),Q61-P61,"")</f>
        <v/>
      </c>
      <c r="AE61" s="15" t="n">
        <f aca="false">IF(AND(ISNUMBER(Q61),ISNUMBER(R61)),R61-Q61,IF(ISNUMBER(Y61),Y61,""))</f>
        <v>51</v>
      </c>
      <c r="AF61" s="15" t="str">
        <f aca="false">IF(AND(ISNUMBER(R61),ISNUMBER(S61)),S61-R61,"")</f>
        <v/>
      </c>
      <c r="AG61" s="15" t="str">
        <f aca="false">IF(AND(ISNUMBER(S61),ISNUMBER(T61)),T61-S61,"")</f>
        <v/>
      </c>
      <c r="AH61" s="15" t="str">
        <f aca="false">IF(AND(ISNUMBER(L61),ISNUMBER(T61)),T61-L61,"")</f>
        <v/>
      </c>
      <c r="AI61" s="15" t="n">
        <f aca="false">IF(AND(ISNUMBER(O61),ISNUMBER(Q61)),Q61-O61,"")</f>
        <v>1</v>
      </c>
      <c r="AJ61" s="15" t="str">
        <f aca="false">IF(B61="","",COUNT(L61:M61,P61:T61)&amp;"/7")</f>
        <v>2/7</v>
      </c>
      <c r="AK61" s="15" t="str">
        <f aca="false">IF(B61="","",IF(OR(AND(ISNUMBER(L61),ISNUMBER(M61),M61&lt;L61),AND(ISNUMBER(M61),ISNUMBER(P61),P61&lt;M61),AND(ISNUMBER(P61),ISNUMBER(Q61),Q61&lt;P61),AND(ISNUMBER(Q61),ISNUMBER(R61),R61&lt;Q61),AND(ISNUMBER(R61),ISNUMBER(S61),S61&lt;R61),AND(ISNUMBER(S61),ISNUMBER(T61),T61&lt;S61),AND(ISNUMBER(N61),ISNUMBER(O61),O61&lt;N61)),"Urutan tanggal salah",IF(AND(ISNUMBER(Q61),ISNUMBER(R61),ISNUMBER(Y61),ABS(R61-Q61-Y61)&gt;2),"S tanggal ≠ Sailing tercatat",IF(AND(ISNUMBER(Q61),ISNUMBER(O61),ABS(Q61-O61)&gt;60),"Cek tahun laycan",IF(AND(ISNUMBER(Q61),ISNUMBER(N61),Q61&lt;N61),"Berangkat sebelum laycan",IF(NOT(ISNUMBER(AE61)),"S belum ada","OK"))))))</f>
        <v>OK</v>
      </c>
    </row>
    <row r="62" customFormat="false" ht="15" hidden="false" customHeight="false" outlineLevel="0" collapsed="false">
      <c r="A62" s="11" t="n">
        <f aca="false">IF(B62="","",ROW()-4)</f>
        <v>58</v>
      </c>
      <c r="B62" s="12" t="s">
        <v>73</v>
      </c>
      <c r="C62" s="11" t="s">
        <v>119</v>
      </c>
      <c r="D62" s="11" t="n">
        <v>2024</v>
      </c>
      <c r="E62" s="11" t="s">
        <v>126</v>
      </c>
      <c r="F62" s="11"/>
      <c r="G62" s="11" t="s">
        <v>77</v>
      </c>
      <c r="H62" s="11" t="s">
        <v>227</v>
      </c>
      <c r="I62" s="11"/>
      <c r="J62" s="11"/>
      <c r="K62" s="11" t="n">
        <v>25000</v>
      </c>
      <c r="L62" s="13"/>
      <c r="M62" s="13"/>
      <c r="N62" s="13"/>
      <c r="O62" s="13"/>
      <c r="P62" s="13"/>
      <c r="Q62" s="13"/>
      <c r="R62" s="13"/>
      <c r="S62" s="13"/>
      <c r="T62" s="13"/>
      <c r="U62" s="12"/>
      <c r="V62" s="14"/>
      <c r="W62" s="11" t="s">
        <v>235</v>
      </c>
      <c r="X62" s="11"/>
      <c r="Y62" s="11"/>
      <c r="Z62" s="11" t="s">
        <v>81</v>
      </c>
      <c r="AA62" s="15" t="str">
        <f aca="false">IF(AND(ISNUMBER(L62),ISNUMBER(M62)),M62-L62,"")</f>
        <v/>
      </c>
      <c r="AB62" s="15" t="str">
        <f aca="false">IF(AND(ISNUMBER(M62),ISNUMBER(P62)),P62-M62,"")</f>
        <v/>
      </c>
      <c r="AC62" s="15" t="str">
        <f aca="false">IF(AND(ISNUMBER(L62),ISNUMBER(P62)),P62-L62,"")</f>
        <v/>
      </c>
      <c r="AD62" s="15" t="str">
        <f aca="false">IF(AND(ISNUMBER(P62),ISNUMBER(Q62)),Q62-P62,"")</f>
        <v/>
      </c>
      <c r="AE62" s="15" t="str">
        <f aca="false">IF(AND(ISNUMBER(Q62),ISNUMBER(R62)),R62-Q62,IF(ISNUMBER(Y62),Y62,""))</f>
        <v/>
      </c>
      <c r="AF62" s="15" t="str">
        <f aca="false">IF(AND(ISNUMBER(R62),ISNUMBER(S62)),S62-R62,"")</f>
        <v/>
      </c>
      <c r="AG62" s="15" t="str">
        <f aca="false">IF(AND(ISNUMBER(S62),ISNUMBER(T62)),T62-S62,"")</f>
        <v/>
      </c>
      <c r="AH62" s="15" t="str">
        <f aca="false">IF(AND(ISNUMBER(L62),ISNUMBER(T62)),T62-L62,"")</f>
        <v/>
      </c>
      <c r="AI62" s="15" t="str">
        <f aca="false">IF(AND(ISNUMBER(O62),ISNUMBER(Q62)),Q62-O62,"")</f>
        <v/>
      </c>
      <c r="AJ62" s="15" t="str">
        <f aca="false">IF(B62="","",COUNT(L62:M62,P62:T62)&amp;"/7")</f>
        <v>0/7</v>
      </c>
      <c r="AK62" s="15" t="str">
        <f aca="false">IF(B62="","",IF(OR(AND(ISNUMBER(L62),ISNUMBER(M62),M62&lt;L62),AND(ISNUMBER(M62),ISNUMBER(P62),P62&lt;M62),AND(ISNUMBER(P62),ISNUMBER(Q62),Q62&lt;P62),AND(ISNUMBER(Q62),ISNUMBER(R62),R62&lt;Q62),AND(ISNUMBER(R62),ISNUMBER(S62),S62&lt;R62),AND(ISNUMBER(S62),ISNUMBER(T62),T62&lt;S62),AND(ISNUMBER(N62),ISNUMBER(O62),O62&lt;N62)),"Urutan tanggal salah",IF(AND(ISNUMBER(Q62),ISNUMBER(R62),ISNUMBER(Y62),ABS(R62-Q62-Y62)&gt;2),"S tanggal ≠ Sailing tercatat",IF(AND(ISNUMBER(Q62),ISNUMBER(O62),ABS(Q62-O62)&gt;60),"Cek tahun laycan",IF(AND(ISNUMBER(Q62),ISNUMBER(N62),Q62&lt;N62),"Berangkat sebelum laycan",IF(NOT(ISNUMBER(AE62)),"S belum ada","OK"))))))</f>
        <v>S belum ada</v>
      </c>
    </row>
    <row r="63" customFormat="false" ht="15" hidden="false" customHeight="false" outlineLevel="0" collapsed="false">
      <c r="A63" s="11" t="n">
        <f aca="false">IF(B63="","",ROW()-4)</f>
        <v>59</v>
      </c>
      <c r="B63" s="12" t="s">
        <v>73</v>
      </c>
      <c r="C63" s="11" t="s">
        <v>192</v>
      </c>
      <c r="D63" s="11" t="n">
        <v>2024</v>
      </c>
      <c r="E63" s="11" t="s">
        <v>126</v>
      </c>
      <c r="F63" s="11"/>
      <c r="G63" s="11"/>
      <c r="H63" s="11" t="s">
        <v>227</v>
      </c>
      <c r="I63" s="11"/>
      <c r="J63" s="11"/>
      <c r="K63" s="11" t="n">
        <v>25000</v>
      </c>
      <c r="L63" s="13"/>
      <c r="M63" s="13"/>
      <c r="N63" s="13"/>
      <c r="O63" s="13"/>
      <c r="P63" s="13"/>
      <c r="Q63" s="13"/>
      <c r="R63" s="13"/>
      <c r="S63" s="13"/>
      <c r="T63" s="13"/>
      <c r="U63" s="12"/>
      <c r="V63" s="14"/>
      <c r="W63" s="11" t="s">
        <v>236</v>
      </c>
      <c r="X63" s="11"/>
      <c r="Y63" s="11"/>
      <c r="Z63" s="11" t="s">
        <v>81</v>
      </c>
      <c r="AA63" s="15" t="str">
        <f aca="false">IF(AND(ISNUMBER(L63),ISNUMBER(M63)),M63-L63,"")</f>
        <v/>
      </c>
      <c r="AB63" s="15" t="str">
        <f aca="false">IF(AND(ISNUMBER(M63),ISNUMBER(P63)),P63-M63,"")</f>
        <v/>
      </c>
      <c r="AC63" s="15" t="str">
        <f aca="false">IF(AND(ISNUMBER(L63),ISNUMBER(P63)),P63-L63,"")</f>
        <v/>
      </c>
      <c r="AD63" s="15" t="str">
        <f aca="false">IF(AND(ISNUMBER(P63),ISNUMBER(Q63)),Q63-P63,"")</f>
        <v/>
      </c>
      <c r="AE63" s="15" t="str">
        <f aca="false">IF(AND(ISNUMBER(Q63),ISNUMBER(R63)),R63-Q63,IF(ISNUMBER(Y63),Y63,""))</f>
        <v/>
      </c>
      <c r="AF63" s="15" t="str">
        <f aca="false">IF(AND(ISNUMBER(R63),ISNUMBER(S63)),S63-R63,"")</f>
        <v/>
      </c>
      <c r="AG63" s="15" t="str">
        <f aca="false">IF(AND(ISNUMBER(S63),ISNUMBER(T63)),T63-S63,"")</f>
        <v/>
      </c>
      <c r="AH63" s="15" t="str">
        <f aca="false">IF(AND(ISNUMBER(L63),ISNUMBER(T63)),T63-L63,"")</f>
        <v/>
      </c>
      <c r="AI63" s="15" t="str">
        <f aca="false">IF(AND(ISNUMBER(O63),ISNUMBER(Q63)),Q63-O63,"")</f>
        <v/>
      </c>
      <c r="AJ63" s="15" t="str">
        <f aca="false">IF(B63="","",COUNT(L63:M63,P63:T63)&amp;"/7")</f>
        <v>0/7</v>
      </c>
      <c r="AK63" s="15" t="str">
        <f aca="false">IF(B63="","",IF(OR(AND(ISNUMBER(L63),ISNUMBER(M63),M63&lt;L63),AND(ISNUMBER(M63),ISNUMBER(P63),P63&lt;M63),AND(ISNUMBER(P63),ISNUMBER(Q63),Q63&lt;P63),AND(ISNUMBER(Q63),ISNUMBER(R63),R63&lt;Q63),AND(ISNUMBER(R63),ISNUMBER(S63),S63&lt;R63),AND(ISNUMBER(S63),ISNUMBER(T63),T63&lt;S63),AND(ISNUMBER(N63),ISNUMBER(O63),O63&lt;N63)),"Urutan tanggal salah",IF(AND(ISNUMBER(Q63),ISNUMBER(R63),ISNUMBER(Y63),ABS(R63-Q63-Y63)&gt;2),"S tanggal ≠ Sailing tercatat",IF(AND(ISNUMBER(Q63),ISNUMBER(O63),ABS(Q63-O63)&gt;60),"Cek tahun laycan",IF(AND(ISNUMBER(Q63),ISNUMBER(N63),Q63&lt;N63),"Berangkat sebelum laycan",IF(NOT(ISNUMBER(AE63)),"S belum ada","OK"))))))</f>
        <v>S belum ada</v>
      </c>
    </row>
    <row r="64" customFormat="false" ht="15" hidden="false" customHeight="false" outlineLevel="0" collapsed="false">
      <c r="A64" s="11" t="n">
        <f aca="false">IF(B64="","",ROW()-4)</f>
        <v>60</v>
      </c>
      <c r="B64" s="12" t="s">
        <v>73</v>
      </c>
      <c r="C64" s="11" t="s">
        <v>116</v>
      </c>
      <c r="D64" s="11" t="n">
        <v>2024</v>
      </c>
      <c r="E64" s="11" t="s">
        <v>90</v>
      </c>
      <c r="F64" s="11" t="s">
        <v>110</v>
      </c>
      <c r="G64" s="11" t="s">
        <v>77</v>
      </c>
      <c r="H64" s="11" t="s">
        <v>237</v>
      </c>
      <c r="I64" s="11" t="s">
        <v>238</v>
      </c>
      <c r="J64" s="11"/>
      <c r="K64" s="11" t="n">
        <v>27500</v>
      </c>
      <c r="L64" s="13"/>
      <c r="M64" s="13"/>
      <c r="N64" s="13" t="n">
        <v>45516</v>
      </c>
      <c r="O64" s="13" t="n">
        <v>45520</v>
      </c>
      <c r="P64" s="13"/>
      <c r="Q64" s="13" t="n">
        <v>45521</v>
      </c>
      <c r="R64" s="13" t="n">
        <v>45576</v>
      </c>
      <c r="S64" s="13"/>
      <c r="T64" s="13"/>
      <c r="U64" s="12" t="s">
        <v>232</v>
      </c>
      <c r="V64" s="14"/>
      <c r="W64" s="11" t="s">
        <v>239</v>
      </c>
      <c r="X64" s="11" t="s">
        <v>240</v>
      </c>
      <c r="Y64" s="11" t="n">
        <v>55</v>
      </c>
      <c r="Z64" s="11" t="s">
        <v>81</v>
      </c>
      <c r="AA64" s="15" t="str">
        <f aca="false">IF(AND(ISNUMBER(L64),ISNUMBER(M64)),M64-L64,"")</f>
        <v/>
      </c>
      <c r="AB64" s="15" t="str">
        <f aca="false">IF(AND(ISNUMBER(M64),ISNUMBER(P64)),P64-M64,"")</f>
        <v/>
      </c>
      <c r="AC64" s="15" t="str">
        <f aca="false">IF(AND(ISNUMBER(L64),ISNUMBER(P64)),P64-L64,"")</f>
        <v/>
      </c>
      <c r="AD64" s="15" t="str">
        <f aca="false">IF(AND(ISNUMBER(P64),ISNUMBER(Q64)),Q64-P64,"")</f>
        <v/>
      </c>
      <c r="AE64" s="15" t="n">
        <f aca="false">IF(AND(ISNUMBER(Q64),ISNUMBER(R64)),R64-Q64,IF(ISNUMBER(Y64),Y64,""))</f>
        <v>55</v>
      </c>
      <c r="AF64" s="15" t="str">
        <f aca="false">IF(AND(ISNUMBER(R64),ISNUMBER(S64)),S64-R64,"")</f>
        <v/>
      </c>
      <c r="AG64" s="15" t="str">
        <f aca="false">IF(AND(ISNUMBER(S64),ISNUMBER(T64)),T64-S64,"")</f>
        <v/>
      </c>
      <c r="AH64" s="15" t="str">
        <f aca="false">IF(AND(ISNUMBER(L64),ISNUMBER(T64)),T64-L64,"")</f>
        <v/>
      </c>
      <c r="AI64" s="15" t="n">
        <f aca="false">IF(AND(ISNUMBER(O64),ISNUMBER(Q64)),Q64-O64,"")</f>
        <v>1</v>
      </c>
      <c r="AJ64" s="15" t="str">
        <f aca="false">IF(B64="","",COUNT(L64:M64,P64:T64)&amp;"/7")</f>
        <v>2/7</v>
      </c>
      <c r="AK64" s="15" t="str">
        <f aca="false">IF(B64="","",IF(OR(AND(ISNUMBER(L64),ISNUMBER(M64),M64&lt;L64),AND(ISNUMBER(M64),ISNUMBER(P64),P64&lt;M64),AND(ISNUMBER(P64),ISNUMBER(Q64),Q64&lt;P64),AND(ISNUMBER(Q64),ISNUMBER(R64),R64&lt;Q64),AND(ISNUMBER(R64),ISNUMBER(S64),S64&lt;R64),AND(ISNUMBER(S64),ISNUMBER(T64),T64&lt;S64),AND(ISNUMBER(N64),ISNUMBER(O64),O64&lt;N64)),"Urutan tanggal salah",IF(AND(ISNUMBER(Q64),ISNUMBER(R64),ISNUMBER(Y64),ABS(R64-Q64-Y64)&gt;2),"S tanggal ≠ Sailing tercatat",IF(AND(ISNUMBER(Q64),ISNUMBER(O64),ABS(Q64-O64)&gt;60),"Cek tahun laycan",IF(AND(ISNUMBER(Q64),ISNUMBER(N64),Q64&lt;N64),"Berangkat sebelum laycan",IF(NOT(ISNUMBER(AE64)),"S belum ada","OK"))))))</f>
        <v>OK</v>
      </c>
    </row>
    <row r="65" customFormat="false" ht="15" hidden="false" customHeight="false" outlineLevel="0" collapsed="false">
      <c r="A65" s="11" t="n">
        <f aca="false">IF(B65="","",ROW()-4)</f>
        <v>61</v>
      </c>
      <c r="B65" s="12" t="s">
        <v>73</v>
      </c>
      <c r="C65" s="11" t="s">
        <v>192</v>
      </c>
      <c r="D65" s="11" t="n">
        <v>2024</v>
      </c>
      <c r="E65" s="11" t="s">
        <v>90</v>
      </c>
      <c r="F65" s="11" t="s">
        <v>110</v>
      </c>
      <c r="G65" s="11" t="s">
        <v>77</v>
      </c>
      <c r="H65" s="11" t="s">
        <v>237</v>
      </c>
      <c r="I65" s="11" t="s">
        <v>241</v>
      </c>
      <c r="J65" s="11"/>
      <c r="K65" s="11" t="n">
        <v>27500</v>
      </c>
      <c r="L65" s="13"/>
      <c r="M65" s="13"/>
      <c r="N65" s="13" t="n">
        <v>45576</v>
      </c>
      <c r="O65" s="13" t="n">
        <v>45580</v>
      </c>
      <c r="P65" s="13"/>
      <c r="Q65" s="13" t="n">
        <v>45581</v>
      </c>
      <c r="R65" s="13" t="n">
        <v>45629</v>
      </c>
      <c r="S65" s="13"/>
      <c r="T65" s="13"/>
      <c r="U65" s="12" t="s">
        <v>224</v>
      </c>
      <c r="V65" s="14"/>
      <c r="W65" s="11" t="s">
        <v>242</v>
      </c>
      <c r="X65" s="11" t="s">
        <v>243</v>
      </c>
      <c r="Y65" s="11" t="n">
        <v>48</v>
      </c>
      <c r="Z65" s="11" t="s">
        <v>81</v>
      </c>
      <c r="AA65" s="15" t="str">
        <f aca="false">IF(AND(ISNUMBER(L65),ISNUMBER(M65)),M65-L65,"")</f>
        <v/>
      </c>
      <c r="AB65" s="15" t="str">
        <f aca="false">IF(AND(ISNUMBER(M65),ISNUMBER(P65)),P65-M65,"")</f>
        <v/>
      </c>
      <c r="AC65" s="15" t="str">
        <f aca="false">IF(AND(ISNUMBER(L65),ISNUMBER(P65)),P65-L65,"")</f>
        <v/>
      </c>
      <c r="AD65" s="15" t="str">
        <f aca="false">IF(AND(ISNUMBER(P65),ISNUMBER(Q65)),Q65-P65,"")</f>
        <v/>
      </c>
      <c r="AE65" s="15" t="n">
        <f aca="false">IF(AND(ISNUMBER(Q65),ISNUMBER(R65)),R65-Q65,IF(ISNUMBER(Y65),Y65,""))</f>
        <v>48</v>
      </c>
      <c r="AF65" s="15" t="str">
        <f aca="false">IF(AND(ISNUMBER(R65),ISNUMBER(S65)),S65-R65,"")</f>
        <v/>
      </c>
      <c r="AG65" s="15" t="str">
        <f aca="false">IF(AND(ISNUMBER(S65),ISNUMBER(T65)),T65-S65,"")</f>
        <v/>
      </c>
      <c r="AH65" s="15" t="str">
        <f aca="false">IF(AND(ISNUMBER(L65),ISNUMBER(T65)),T65-L65,"")</f>
        <v/>
      </c>
      <c r="AI65" s="15" t="n">
        <f aca="false">IF(AND(ISNUMBER(O65),ISNUMBER(Q65)),Q65-O65,"")</f>
        <v>1</v>
      </c>
      <c r="AJ65" s="15" t="str">
        <f aca="false">IF(B65="","",COUNT(L65:M65,P65:T65)&amp;"/7")</f>
        <v>2/7</v>
      </c>
      <c r="AK65" s="15" t="str">
        <f aca="false">IF(B65="","",IF(OR(AND(ISNUMBER(L65),ISNUMBER(M65),M65&lt;L65),AND(ISNUMBER(M65),ISNUMBER(P65),P65&lt;M65),AND(ISNUMBER(P65),ISNUMBER(Q65),Q65&lt;P65),AND(ISNUMBER(Q65),ISNUMBER(R65),R65&lt;Q65),AND(ISNUMBER(R65),ISNUMBER(S65),S65&lt;R65),AND(ISNUMBER(S65),ISNUMBER(T65),T65&lt;S65),AND(ISNUMBER(N65),ISNUMBER(O65),O65&lt;N65)),"Urutan tanggal salah",IF(AND(ISNUMBER(Q65),ISNUMBER(R65),ISNUMBER(Y65),ABS(R65-Q65-Y65)&gt;2),"S tanggal ≠ Sailing tercatat",IF(AND(ISNUMBER(Q65),ISNUMBER(O65),ABS(Q65-O65)&gt;60),"Cek tahun laycan",IF(AND(ISNUMBER(Q65),ISNUMBER(N65),Q65&lt;N65),"Berangkat sebelum laycan",IF(NOT(ISNUMBER(AE65)),"S belum ada","OK"))))))</f>
        <v>OK</v>
      </c>
    </row>
    <row r="66" customFormat="false" ht="15" hidden="false" customHeight="false" outlineLevel="0" collapsed="false">
      <c r="A66" s="11" t="n">
        <f aca="false">IF(B66="","",ROW()-4)</f>
        <v>62</v>
      </c>
      <c r="B66" s="12" t="s">
        <v>73</v>
      </c>
      <c r="C66" s="11" t="s">
        <v>116</v>
      </c>
      <c r="D66" s="11" t="n">
        <v>2024</v>
      </c>
      <c r="E66" s="11" t="s">
        <v>94</v>
      </c>
      <c r="F66" s="11" t="s">
        <v>187</v>
      </c>
      <c r="G66" s="11" t="s">
        <v>77</v>
      </c>
      <c r="H66" s="11" t="s">
        <v>244</v>
      </c>
      <c r="I66" s="11" t="s">
        <v>245</v>
      </c>
      <c r="J66" s="11"/>
      <c r="K66" s="11" t="n">
        <v>27500</v>
      </c>
      <c r="L66" s="13"/>
      <c r="M66" s="13"/>
      <c r="N66" s="13" t="n">
        <v>45496</v>
      </c>
      <c r="O66" s="13" t="n">
        <v>45504</v>
      </c>
      <c r="P66" s="13"/>
      <c r="Q66" s="13" t="n">
        <v>45505</v>
      </c>
      <c r="R66" s="13" t="n">
        <v>45531</v>
      </c>
      <c r="S66" s="13"/>
      <c r="T66" s="13"/>
      <c r="U66" s="12" t="s">
        <v>80</v>
      </c>
      <c r="V66" s="14"/>
      <c r="W66" s="11" t="s">
        <v>246</v>
      </c>
      <c r="X66" s="11" t="s">
        <v>247</v>
      </c>
      <c r="Y66" s="11" t="n">
        <v>26</v>
      </c>
      <c r="Z66" s="11" t="s">
        <v>81</v>
      </c>
      <c r="AA66" s="15" t="str">
        <f aca="false">IF(AND(ISNUMBER(L66),ISNUMBER(M66)),M66-L66,"")</f>
        <v/>
      </c>
      <c r="AB66" s="15" t="str">
        <f aca="false">IF(AND(ISNUMBER(M66),ISNUMBER(P66)),P66-M66,"")</f>
        <v/>
      </c>
      <c r="AC66" s="15" t="str">
        <f aca="false">IF(AND(ISNUMBER(L66),ISNUMBER(P66)),P66-L66,"")</f>
        <v/>
      </c>
      <c r="AD66" s="15" t="str">
        <f aca="false">IF(AND(ISNUMBER(P66),ISNUMBER(Q66)),Q66-P66,"")</f>
        <v/>
      </c>
      <c r="AE66" s="15" t="n">
        <f aca="false">IF(AND(ISNUMBER(Q66),ISNUMBER(R66)),R66-Q66,IF(ISNUMBER(Y66),Y66,""))</f>
        <v>26</v>
      </c>
      <c r="AF66" s="15" t="str">
        <f aca="false">IF(AND(ISNUMBER(R66),ISNUMBER(S66)),S66-R66,"")</f>
        <v/>
      </c>
      <c r="AG66" s="15" t="str">
        <f aca="false">IF(AND(ISNUMBER(S66),ISNUMBER(T66)),T66-S66,"")</f>
        <v/>
      </c>
      <c r="AH66" s="15" t="str">
        <f aca="false">IF(AND(ISNUMBER(L66),ISNUMBER(T66)),T66-L66,"")</f>
        <v/>
      </c>
      <c r="AI66" s="15" t="n">
        <f aca="false">IF(AND(ISNUMBER(O66),ISNUMBER(Q66)),Q66-O66,"")</f>
        <v>1</v>
      </c>
      <c r="AJ66" s="15" t="str">
        <f aca="false">IF(B66="","",COUNT(L66:M66,P66:T66)&amp;"/7")</f>
        <v>2/7</v>
      </c>
      <c r="AK66" s="15" t="str">
        <f aca="false">IF(B66="","",IF(OR(AND(ISNUMBER(L66),ISNUMBER(M66),M66&lt;L66),AND(ISNUMBER(M66),ISNUMBER(P66),P66&lt;M66),AND(ISNUMBER(P66),ISNUMBER(Q66),Q66&lt;P66),AND(ISNUMBER(Q66),ISNUMBER(R66),R66&lt;Q66),AND(ISNUMBER(R66),ISNUMBER(S66),S66&lt;R66),AND(ISNUMBER(S66),ISNUMBER(T66),T66&lt;S66),AND(ISNUMBER(N66),ISNUMBER(O66),O66&lt;N66)),"Urutan tanggal salah",IF(AND(ISNUMBER(Q66),ISNUMBER(R66),ISNUMBER(Y66),ABS(R66-Q66-Y66)&gt;2),"S tanggal ≠ Sailing tercatat",IF(AND(ISNUMBER(Q66),ISNUMBER(O66),ABS(Q66-O66)&gt;60),"Cek tahun laycan",IF(AND(ISNUMBER(Q66),ISNUMBER(N66),Q66&lt;N66),"Berangkat sebelum laycan",IF(NOT(ISNUMBER(AE66)),"S belum ada","OK"))))))</f>
        <v>OK</v>
      </c>
    </row>
    <row r="67" customFormat="false" ht="15" hidden="false" customHeight="false" outlineLevel="0" collapsed="false">
      <c r="A67" s="11" t="n">
        <f aca="false">IF(B67="","",ROW()-4)</f>
        <v>63</v>
      </c>
      <c r="B67" s="12" t="s">
        <v>73</v>
      </c>
      <c r="C67" s="11" t="s">
        <v>192</v>
      </c>
      <c r="D67" s="11" t="n">
        <v>2024</v>
      </c>
      <c r="E67" s="11" t="s">
        <v>94</v>
      </c>
      <c r="F67" s="11" t="s">
        <v>187</v>
      </c>
      <c r="G67" s="11" t="s">
        <v>77</v>
      </c>
      <c r="H67" s="11" t="s">
        <v>244</v>
      </c>
      <c r="I67" s="11" t="s">
        <v>248</v>
      </c>
      <c r="J67" s="11"/>
      <c r="K67" s="11" t="n">
        <v>27500</v>
      </c>
      <c r="L67" s="13"/>
      <c r="M67" s="13"/>
      <c r="N67" s="13" t="n">
        <v>45547</v>
      </c>
      <c r="O67" s="13" t="n">
        <v>45551</v>
      </c>
      <c r="P67" s="13"/>
      <c r="Q67" s="13" t="n">
        <v>45552</v>
      </c>
      <c r="R67" s="13" t="n">
        <v>45577</v>
      </c>
      <c r="S67" s="13"/>
      <c r="T67" s="13"/>
      <c r="U67" s="12" t="s">
        <v>232</v>
      </c>
      <c r="V67" s="14"/>
      <c r="W67" s="11"/>
      <c r="X67" s="11" t="s">
        <v>249</v>
      </c>
      <c r="Y67" s="11" t="n">
        <v>25</v>
      </c>
      <c r="Z67" s="11" t="s">
        <v>81</v>
      </c>
      <c r="AA67" s="15" t="str">
        <f aca="false">IF(AND(ISNUMBER(L67),ISNUMBER(M67)),M67-L67,"")</f>
        <v/>
      </c>
      <c r="AB67" s="15" t="str">
        <f aca="false">IF(AND(ISNUMBER(M67),ISNUMBER(P67)),P67-M67,"")</f>
        <v/>
      </c>
      <c r="AC67" s="15" t="str">
        <f aca="false">IF(AND(ISNUMBER(L67),ISNUMBER(P67)),P67-L67,"")</f>
        <v/>
      </c>
      <c r="AD67" s="15" t="str">
        <f aca="false">IF(AND(ISNUMBER(P67),ISNUMBER(Q67)),Q67-P67,"")</f>
        <v/>
      </c>
      <c r="AE67" s="15" t="n">
        <f aca="false">IF(AND(ISNUMBER(Q67),ISNUMBER(R67)),R67-Q67,IF(ISNUMBER(Y67),Y67,""))</f>
        <v>25</v>
      </c>
      <c r="AF67" s="15" t="str">
        <f aca="false">IF(AND(ISNUMBER(R67),ISNUMBER(S67)),S67-R67,"")</f>
        <v/>
      </c>
      <c r="AG67" s="15" t="str">
        <f aca="false">IF(AND(ISNUMBER(S67),ISNUMBER(T67)),T67-S67,"")</f>
        <v/>
      </c>
      <c r="AH67" s="15" t="str">
        <f aca="false">IF(AND(ISNUMBER(L67),ISNUMBER(T67)),T67-L67,"")</f>
        <v/>
      </c>
      <c r="AI67" s="15" t="n">
        <f aca="false">IF(AND(ISNUMBER(O67),ISNUMBER(Q67)),Q67-O67,"")</f>
        <v>1</v>
      </c>
      <c r="AJ67" s="15" t="str">
        <f aca="false">IF(B67="","",COUNT(L67:M67,P67:T67)&amp;"/7")</f>
        <v>2/7</v>
      </c>
      <c r="AK67" s="15" t="str">
        <f aca="false">IF(B67="","",IF(OR(AND(ISNUMBER(L67),ISNUMBER(M67),M67&lt;L67),AND(ISNUMBER(M67),ISNUMBER(P67),P67&lt;M67),AND(ISNUMBER(P67),ISNUMBER(Q67),Q67&lt;P67),AND(ISNUMBER(Q67),ISNUMBER(R67),R67&lt;Q67),AND(ISNUMBER(R67),ISNUMBER(S67),S67&lt;R67),AND(ISNUMBER(S67),ISNUMBER(T67),T67&lt;S67),AND(ISNUMBER(N67),ISNUMBER(O67),O67&lt;N67)),"Urutan tanggal salah",IF(AND(ISNUMBER(Q67),ISNUMBER(R67),ISNUMBER(Y67),ABS(R67-Q67-Y67)&gt;2),"S tanggal ≠ Sailing tercatat",IF(AND(ISNUMBER(Q67),ISNUMBER(O67),ABS(Q67-O67)&gt;60),"Cek tahun laycan",IF(AND(ISNUMBER(Q67),ISNUMBER(N67),Q67&lt;N67),"Berangkat sebelum laycan",IF(NOT(ISNUMBER(AE67)),"S belum ada","OK"))))))</f>
        <v>OK</v>
      </c>
    </row>
    <row r="68" customFormat="false" ht="15" hidden="false" customHeight="false" outlineLevel="0" collapsed="false">
      <c r="A68" s="11" t="n">
        <f aca="false">IF(B68="","",ROW()-4)</f>
        <v>64</v>
      </c>
      <c r="B68" s="12" t="s">
        <v>250</v>
      </c>
      <c r="C68" s="11" t="s">
        <v>251</v>
      </c>
      <c r="D68" s="11" t="n">
        <v>2022</v>
      </c>
      <c r="E68" s="11" t="s">
        <v>90</v>
      </c>
      <c r="F68" s="11" t="s">
        <v>252</v>
      </c>
      <c r="G68" s="11" t="s">
        <v>253</v>
      </c>
      <c r="H68" s="11" t="s">
        <v>254</v>
      </c>
      <c r="I68" s="11" t="s">
        <v>255</v>
      </c>
      <c r="J68" s="11"/>
      <c r="K68" s="11" t="n">
        <v>19941</v>
      </c>
      <c r="L68" s="13"/>
      <c r="M68" s="13"/>
      <c r="N68" s="13" t="n">
        <v>44579</v>
      </c>
      <c r="O68" s="13" t="n">
        <v>44579</v>
      </c>
      <c r="P68" s="13"/>
      <c r="Q68" s="13" t="n">
        <v>44587</v>
      </c>
      <c r="R68" s="13" t="n">
        <v>44620</v>
      </c>
      <c r="S68" s="13"/>
      <c r="T68" s="13"/>
      <c r="U68" s="12" t="s">
        <v>80</v>
      </c>
      <c r="V68" s="14"/>
      <c r="W68" s="11"/>
      <c r="X68" s="11"/>
      <c r="Y68" s="11" t="n">
        <v>41</v>
      </c>
      <c r="Z68" s="11" t="s">
        <v>81</v>
      </c>
      <c r="AA68" s="15" t="str">
        <f aca="false">IF(AND(ISNUMBER(L68),ISNUMBER(M68)),M68-L68,"")</f>
        <v/>
      </c>
      <c r="AB68" s="15" t="str">
        <f aca="false">IF(AND(ISNUMBER(M68),ISNUMBER(P68)),P68-M68,"")</f>
        <v/>
      </c>
      <c r="AC68" s="15" t="str">
        <f aca="false">IF(AND(ISNUMBER(L68),ISNUMBER(P68)),P68-L68,"")</f>
        <v/>
      </c>
      <c r="AD68" s="15" t="str">
        <f aca="false">IF(AND(ISNUMBER(P68),ISNUMBER(Q68)),Q68-P68,"")</f>
        <v/>
      </c>
      <c r="AE68" s="15" t="n">
        <f aca="false">IF(AND(ISNUMBER(Q68),ISNUMBER(R68)),R68-Q68,IF(ISNUMBER(Y68),Y68,""))</f>
        <v>33</v>
      </c>
      <c r="AF68" s="15" t="str">
        <f aca="false">IF(AND(ISNUMBER(R68),ISNUMBER(S68)),S68-R68,"")</f>
        <v/>
      </c>
      <c r="AG68" s="15" t="str">
        <f aca="false">IF(AND(ISNUMBER(S68),ISNUMBER(T68)),T68-S68,"")</f>
        <v/>
      </c>
      <c r="AH68" s="15" t="str">
        <f aca="false">IF(AND(ISNUMBER(L68),ISNUMBER(T68)),T68-L68,"")</f>
        <v/>
      </c>
      <c r="AI68" s="15" t="n">
        <f aca="false">IF(AND(ISNUMBER(O68),ISNUMBER(Q68)),Q68-O68,"")</f>
        <v>8</v>
      </c>
      <c r="AJ68" s="15" t="str">
        <f aca="false">IF(B68="","",COUNT(L68:M68,P68:T68)&amp;"/7")</f>
        <v>2/7</v>
      </c>
      <c r="AK68" s="15" t="str">
        <f aca="false">IF(B68="","",IF(OR(AND(ISNUMBER(L68),ISNUMBER(M68),M68&lt;L68),AND(ISNUMBER(M68),ISNUMBER(P68),P68&lt;M68),AND(ISNUMBER(P68),ISNUMBER(Q68),Q68&lt;P68),AND(ISNUMBER(Q68),ISNUMBER(R68),R68&lt;Q68),AND(ISNUMBER(R68),ISNUMBER(S68),S68&lt;R68),AND(ISNUMBER(S68),ISNUMBER(T68),T68&lt;S68),AND(ISNUMBER(N68),ISNUMBER(O68),O68&lt;N68)),"Urutan tanggal salah",IF(AND(ISNUMBER(Q68),ISNUMBER(R68),ISNUMBER(Y68),ABS(R68-Q68-Y68)&gt;2),"S tanggal ≠ Sailing tercatat",IF(AND(ISNUMBER(Q68),ISNUMBER(O68),ABS(Q68-O68)&gt;60),"Cek tahun laycan",IF(AND(ISNUMBER(Q68),ISNUMBER(N68),Q68&lt;N68),"Berangkat sebelum laycan",IF(NOT(ISNUMBER(AE68)),"S belum ada","OK"))))))</f>
        <v>S tanggal ≠ Sailing tercatat</v>
      </c>
    </row>
    <row r="69" customFormat="false" ht="15" hidden="false" customHeight="false" outlineLevel="0" collapsed="false">
      <c r="A69" s="11" t="n">
        <f aca="false">IF(B69="","",ROW()-4)</f>
        <v>65</v>
      </c>
      <c r="B69" s="12" t="s">
        <v>250</v>
      </c>
      <c r="C69" s="11" t="s">
        <v>256</v>
      </c>
      <c r="D69" s="11" t="n">
        <v>2022</v>
      </c>
      <c r="E69" s="11" t="s">
        <v>98</v>
      </c>
      <c r="F69" s="11" t="s">
        <v>257</v>
      </c>
      <c r="G69" s="11" t="s">
        <v>253</v>
      </c>
      <c r="H69" s="11" t="s">
        <v>258</v>
      </c>
      <c r="I69" s="11" t="s">
        <v>259</v>
      </c>
      <c r="J69" s="11"/>
      <c r="K69" s="11" t="n">
        <v>6300.85</v>
      </c>
      <c r="L69" s="13"/>
      <c r="M69" s="13"/>
      <c r="N69" s="13" t="n">
        <v>44686</v>
      </c>
      <c r="O69" s="13" t="n">
        <v>44686</v>
      </c>
      <c r="P69" s="13"/>
      <c r="Q69" s="13" t="n">
        <v>44687</v>
      </c>
      <c r="R69" s="13" t="n">
        <v>44693</v>
      </c>
      <c r="S69" s="13"/>
      <c r="T69" s="13"/>
      <c r="U69" s="12" t="s">
        <v>80</v>
      </c>
      <c r="V69" s="14"/>
      <c r="W69" s="11"/>
      <c r="X69" s="11" t="s">
        <v>260</v>
      </c>
      <c r="Y69" s="11" t="n">
        <v>7</v>
      </c>
      <c r="Z69" s="11" t="s">
        <v>81</v>
      </c>
      <c r="AA69" s="15" t="str">
        <f aca="false">IF(AND(ISNUMBER(L69),ISNUMBER(M69)),M69-L69,"")</f>
        <v/>
      </c>
      <c r="AB69" s="15" t="str">
        <f aca="false">IF(AND(ISNUMBER(M69),ISNUMBER(P69)),P69-M69,"")</f>
        <v/>
      </c>
      <c r="AC69" s="15" t="str">
        <f aca="false">IF(AND(ISNUMBER(L69),ISNUMBER(P69)),P69-L69,"")</f>
        <v/>
      </c>
      <c r="AD69" s="15" t="str">
        <f aca="false">IF(AND(ISNUMBER(P69),ISNUMBER(Q69)),Q69-P69,"")</f>
        <v/>
      </c>
      <c r="AE69" s="15" t="n">
        <f aca="false">IF(AND(ISNUMBER(Q69),ISNUMBER(R69)),R69-Q69,IF(ISNUMBER(Y69),Y69,""))</f>
        <v>6</v>
      </c>
      <c r="AF69" s="15" t="str">
        <f aca="false">IF(AND(ISNUMBER(R69),ISNUMBER(S69)),S69-R69,"")</f>
        <v/>
      </c>
      <c r="AG69" s="15" t="str">
        <f aca="false">IF(AND(ISNUMBER(S69),ISNUMBER(T69)),T69-S69,"")</f>
        <v/>
      </c>
      <c r="AH69" s="15" t="str">
        <f aca="false">IF(AND(ISNUMBER(L69),ISNUMBER(T69)),T69-L69,"")</f>
        <v/>
      </c>
      <c r="AI69" s="15" t="n">
        <f aca="false">IF(AND(ISNUMBER(O69),ISNUMBER(Q69)),Q69-O69,"")</f>
        <v>1</v>
      </c>
      <c r="AJ69" s="15" t="str">
        <f aca="false">IF(B69="","",COUNT(L69:M69,P69:T69)&amp;"/7")</f>
        <v>2/7</v>
      </c>
      <c r="AK69" s="15" t="str">
        <f aca="false">IF(B69="","",IF(OR(AND(ISNUMBER(L69),ISNUMBER(M69),M69&lt;L69),AND(ISNUMBER(M69),ISNUMBER(P69),P69&lt;M69),AND(ISNUMBER(P69),ISNUMBER(Q69),Q69&lt;P69),AND(ISNUMBER(Q69),ISNUMBER(R69),R69&lt;Q69),AND(ISNUMBER(R69),ISNUMBER(S69),S69&lt;R69),AND(ISNUMBER(S69),ISNUMBER(T69),T69&lt;S69),AND(ISNUMBER(N69),ISNUMBER(O69),O69&lt;N69)),"Urutan tanggal salah",IF(AND(ISNUMBER(Q69),ISNUMBER(R69),ISNUMBER(Y69),ABS(R69-Q69-Y69)&gt;2),"S tanggal ≠ Sailing tercatat",IF(AND(ISNUMBER(Q69),ISNUMBER(O69),ABS(Q69-O69)&gt;60),"Cek tahun laycan",IF(AND(ISNUMBER(Q69),ISNUMBER(N69),Q69&lt;N69),"Berangkat sebelum laycan",IF(NOT(ISNUMBER(AE69)),"S belum ada","OK"))))))</f>
        <v>OK</v>
      </c>
    </row>
    <row r="70" customFormat="false" ht="15" hidden="false" customHeight="false" outlineLevel="0" collapsed="false">
      <c r="A70" s="11" t="n">
        <f aca="false">IF(B70="","",ROW()-4)</f>
        <v>66</v>
      </c>
      <c r="B70" s="12" t="s">
        <v>250</v>
      </c>
      <c r="C70" s="11" t="s">
        <v>251</v>
      </c>
      <c r="D70" s="11" t="n">
        <v>2022</v>
      </c>
      <c r="E70" s="11" t="s">
        <v>261</v>
      </c>
      <c r="F70" s="11" t="s">
        <v>262</v>
      </c>
      <c r="G70" s="11" t="s">
        <v>253</v>
      </c>
      <c r="H70" s="11" t="s">
        <v>263</v>
      </c>
      <c r="I70" s="11" t="s">
        <v>264</v>
      </c>
      <c r="J70" s="11"/>
      <c r="K70" s="11" t="n">
        <v>3674.66</v>
      </c>
      <c r="L70" s="13"/>
      <c r="M70" s="13"/>
      <c r="N70" s="13" t="n">
        <v>44696</v>
      </c>
      <c r="O70" s="13" t="n">
        <v>44696</v>
      </c>
      <c r="P70" s="13"/>
      <c r="Q70" s="13" t="n">
        <v>44697</v>
      </c>
      <c r="R70" s="13" t="n">
        <v>44708</v>
      </c>
      <c r="S70" s="13"/>
      <c r="T70" s="13"/>
      <c r="U70" s="12" t="s">
        <v>80</v>
      </c>
      <c r="V70" s="14"/>
      <c r="W70" s="11"/>
      <c r="X70" s="11" t="s">
        <v>265</v>
      </c>
      <c r="Y70" s="11" t="n">
        <v>12</v>
      </c>
      <c r="Z70" s="11" t="s">
        <v>81</v>
      </c>
      <c r="AA70" s="15" t="str">
        <f aca="false">IF(AND(ISNUMBER(L70),ISNUMBER(M70)),M70-L70,"")</f>
        <v/>
      </c>
      <c r="AB70" s="15" t="str">
        <f aca="false">IF(AND(ISNUMBER(M70),ISNUMBER(P70)),P70-M70,"")</f>
        <v/>
      </c>
      <c r="AC70" s="15" t="str">
        <f aca="false">IF(AND(ISNUMBER(L70),ISNUMBER(P70)),P70-L70,"")</f>
        <v/>
      </c>
      <c r="AD70" s="15" t="str">
        <f aca="false">IF(AND(ISNUMBER(P70),ISNUMBER(Q70)),Q70-P70,"")</f>
        <v/>
      </c>
      <c r="AE70" s="15" t="n">
        <f aca="false">IF(AND(ISNUMBER(Q70),ISNUMBER(R70)),R70-Q70,IF(ISNUMBER(Y70),Y70,""))</f>
        <v>11</v>
      </c>
      <c r="AF70" s="15" t="str">
        <f aca="false">IF(AND(ISNUMBER(R70),ISNUMBER(S70)),S70-R70,"")</f>
        <v/>
      </c>
      <c r="AG70" s="15" t="str">
        <f aca="false">IF(AND(ISNUMBER(S70),ISNUMBER(T70)),T70-S70,"")</f>
        <v/>
      </c>
      <c r="AH70" s="15" t="str">
        <f aca="false">IF(AND(ISNUMBER(L70),ISNUMBER(T70)),T70-L70,"")</f>
        <v/>
      </c>
      <c r="AI70" s="15" t="n">
        <f aca="false">IF(AND(ISNUMBER(O70),ISNUMBER(Q70)),Q70-O70,"")</f>
        <v>1</v>
      </c>
      <c r="AJ70" s="15" t="str">
        <f aca="false">IF(B70="","",COUNT(L70:M70,P70:T70)&amp;"/7")</f>
        <v>2/7</v>
      </c>
      <c r="AK70" s="15" t="str">
        <f aca="false">IF(B70="","",IF(OR(AND(ISNUMBER(L70),ISNUMBER(M70),M70&lt;L70),AND(ISNUMBER(M70),ISNUMBER(P70),P70&lt;M70),AND(ISNUMBER(P70),ISNUMBER(Q70),Q70&lt;P70),AND(ISNUMBER(Q70),ISNUMBER(R70),R70&lt;Q70),AND(ISNUMBER(R70),ISNUMBER(S70),S70&lt;R70),AND(ISNUMBER(S70),ISNUMBER(T70),T70&lt;S70),AND(ISNUMBER(N70),ISNUMBER(O70),O70&lt;N70)),"Urutan tanggal salah",IF(AND(ISNUMBER(Q70),ISNUMBER(R70),ISNUMBER(Y70),ABS(R70-Q70-Y70)&gt;2),"S tanggal ≠ Sailing tercatat",IF(AND(ISNUMBER(Q70),ISNUMBER(O70),ABS(Q70-O70)&gt;60),"Cek tahun laycan",IF(AND(ISNUMBER(Q70),ISNUMBER(N70),Q70&lt;N70),"Berangkat sebelum laycan",IF(NOT(ISNUMBER(AE70)),"S belum ada","OK"))))))</f>
        <v>OK</v>
      </c>
    </row>
    <row r="71" customFormat="false" ht="15" hidden="false" customHeight="false" outlineLevel="0" collapsed="false">
      <c r="A71" s="11" t="n">
        <f aca="false">IF(B71="","",ROW()-4)</f>
        <v>67</v>
      </c>
      <c r="B71" s="12" t="s">
        <v>250</v>
      </c>
      <c r="C71" s="11" t="s">
        <v>251</v>
      </c>
      <c r="D71" s="11" t="n">
        <v>2022</v>
      </c>
      <c r="E71" s="11" t="s">
        <v>94</v>
      </c>
      <c r="F71" s="11" t="s">
        <v>187</v>
      </c>
      <c r="G71" s="11" t="s">
        <v>253</v>
      </c>
      <c r="H71" s="11" t="s">
        <v>266</v>
      </c>
      <c r="I71" s="11" t="s">
        <v>267</v>
      </c>
      <c r="J71" s="11"/>
      <c r="K71" s="11" t="n">
        <v>31450.66</v>
      </c>
      <c r="L71" s="13"/>
      <c r="M71" s="13"/>
      <c r="N71" s="13" t="n">
        <v>44667</v>
      </c>
      <c r="O71" s="13" t="n">
        <v>44667</v>
      </c>
      <c r="P71" s="13"/>
      <c r="Q71" s="13" t="n">
        <v>44668</v>
      </c>
      <c r="R71" s="13" t="n">
        <v>44697</v>
      </c>
      <c r="S71" s="13"/>
      <c r="T71" s="13"/>
      <c r="U71" s="12" t="s">
        <v>80</v>
      </c>
      <c r="V71" s="14"/>
      <c r="W71" s="11"/>
      <c r="X71" s="11"/>
      <c r="Y71" s="11" t="n">
        <v>30</v>
      </c>
      <c r="Z71" s="11" t="s">
        <v>81</v>
      </c>
      <c r="AA71" s="15" t="str">
        <f aca="false">IF(AND(ISNUMBER(L71),ISNUMBER(M71)),M71-L71,"")</f>
        <v/>
      </c>
      <c r="AB71" s="15" t="str">
        <f aca="false">IF(AND(ISNUMBER(M71),ISNUMBER(P71)),P71-M71,"")</f>
        <v/>
      </c>
      <c r="AC71" s="15" t="str">
        <f aca="false">IF(AND(ISNUMBER(L71),ISNUMBER(P71)),P71-L71,"")</f>
        <v/>
      </c>
      <c r="AD71" s="15" t="str">
        <f aca="false">IF(AND(ISNUMBER(P71),ISNUMBER(Q71)),Q71-P71,"")</f>
        <v/>
      </c>
      <c r="AE71" s="15" t="n">
        <f aca="false">IF(AND(ISNUMBER(Q71),ISNUMBER(R71)),R71-Q71,IF(ISNUMBER(Y71),Y71,""))</f>
        <v>29</v>
      </c>
      <c r="AF71" s="15" t="str">
        <f aca="false">IF(AND(ISNUMBER(R71),ISNUMBER(S71)),S71-R71,"")</f>
        <v/>
      </c>
      <c r="AG71" s="15" t="str">
        <f aca="false">IF(AND(ISNUMBER(S71),ISNUMBER(T71)),T71-S71,"")</f>
        <v/>
      </c>
      <c r="AH71" s="15" t="str">
        <f aca="false">IF(AND(ISNUMBER(L71),ISNUMBER(T71)),T71-L71,"")</f>
        <v/>
      </c>
      <c r="AI71" s="15" t="n">
        <f aca="false">IF(AND(ISNUMBER(O71),ISNUMBER(Q71)),Q71-O71,"")</f>
        <v>1</v>
      </c>
      <c r="AJ71" s="15" t="str">
        <f aca="false">IF(B71="","",COUNT(L71:M71,P71:T71)&amp;"/7")</f>
        <v>2/7</v>
      </c>
      <c r="AK71" s="15" t="str">
        <f aca="false">IF(B71="","",IF(OR(AND(ISNUMBER(L71),ISNUMBER(M71),M71&lt;L71),AND(ISNUMBER(M71),ISNUMBER(P71),P71&lt;M71),AND(ISNUMBER(P71),ISNUMBER(Q71),Q71&lt;P71),AND(ISNUMBER(Q71),ISNUMBER(R71),R71&lt;Q71),AND(ISNUMBER(R71),ISNUMBER(S71),S71&lt;R71),AND(ISNUMBER(S71),ISNUMBER(T71),T71&lt;S71),AND(ISNUMBER(N71),ISNUMBER(O71),O71&lt;N71)),"Urutan tanggal salah",IF(AND(ISNUMBER(Q71),ISNUMBER(R71),ISNUMBER(Y71),ABS(R71-Q71-Y71)&gt;2),"S tanggal ≠ Sailing tercatat",IF(AND(ISNUMBER(Q71),ISNUMBER(O71),ABS(Q71-O71)&gt;60),"Cek tahun laycan",IF(AND(ISNUMBER(Q71),ISNUMBER(N71),Q71&lt;N71),"Berangkat sebelum laycan",IF(NOT(ISNUMBER(AE71)),"S belum ada","OK"))))))</f>
        <v>OK</v>
      </c>
    </row>
    <row r="72" customFormat="false" ht="15" hidden="false" customHeight="false" outlineLevel="0" collapsed="false">
      <c r="A72" s="11" t="n">
        <f aca="false">IF(B72="","",ROW()-4)</f>
        <v>68</v>
      </c>
      <c r="B72" s="12" t="s">
        <v>250</v>
      </c>
      <c r="C72" s="11" t="s">
        <v>268</v>
      </c>
      <c r="D72" s="11" t="n">
        <v>2022</v>
      </c>
      <c r="E72" s="11" t="s">
        <v>269</v>
      </c>
      <c r="F72" s="11" t="s">
        <v>257</v>
      </c>
      <c r="G72" s="11" t="s">
        <v>253</v>
      </c>
      <c r="H72" s="11" t="s">
        <v>258</v>
      </c>
      <c r="I72" s="11" t="s">
        <v>270</v>
      </c>
      <c r="J72" s="11"/>
      <c r="K72" s="11" t="n">
        <v>4942</v>
      </c>
      <c r="L72" s="13"/>
      <c r="M72" s="13"/>
      <c r="N72" s="13" t="n">
        <v>44750</v>
      </c>
      <c r="O72" s="13" t="n">
        <v>44750</v>
      </c>
      <c r="P72" s="13"/>
      <c r="Q72" s="13" t="n">
        <v>44751</v>
      </c>
      <c r="R72" s="13" t="n">
        <v>44757</v>
      </c>
      <c r="S72" s="13"/>
      <c r="T72" s="13"/>
      <c r="U72" s="12" t="s">
        <v>80</v>
      </c>
      <c r="V72" s="14"/>
      <c r="W72" s="11"/>
      <c r="X72" s="11"/>
      <c r="Y72" s="11" t="n">
        <v>7</v>
      </c>
      <c r="Z72" s="11" t="s">
        <v>81</v>
      </c>
      <c r="AA72" s="15" t="str">
        <f aca="false">IF(AND(ISNUMBER(L72),ISNUMBER(M72)),M72-L72,"")</f>
        <v/>
      </c>
      <c r="AB72" s="15" t="str">
        <f aca="false">IF(AND(ISNUMBER(M72),ISNUMBER(P72)),P72-M72,"")</f>
        <v/>
      </c>
      <c r="AC72" s="15" t="str">
        <f aca="false">IF(AND(ISNUMBER(L72),ISNUMBER(P72)),P72-L72,"")</f>
        <v/>
      </c>
      <c r="AD72" s="15" t="str">
        <f aca="false">IF(AND(ISNUMBER(P72),ISNUMBER(Q72)),Q72-P72,"")</f>
        <v/>
      </c>
      <c r="AE72" s="15" t="n">
        <f aca="false">IF(AND(ISNUMBER(Q72),ISNUMBER(R72)),R72-Q72,IF(ISNUMBER(Y72),Y72,""))</f>
        <v>6</v>
      </c>
      <c r="AF72" s="15" t="str">
        <f aca="false">IF(AND(ISNUMBER(R72),ISNUMBER(S72)),S72-R72,"")</f>
        <v/>
      </c>
      <c r="AG72" s="15" t="str">
        <f aca="false">IF(AND(ISNUMBER(S72),ISNUMBER(T72)),T72-S72,"")</f>
        <v/>
      </c>
      <c r="AH72" s="15" t="str">
        <f aca="false">IF(AND(ISNUMBER(L72),ISNUMBER(T72)),T72-L72,"")</f>
        <v/>
      </c>
      <c r="AI72" s="15" t="n">
        <f aca="false">IF(AND(ISNUMBER(O72),ISNUMBER(Q72)),Q72-O72,"")</f>
        <v>1</v>
      </c>
      <c r="AJ72" s="15" t="str">
        <f aca="false">IF(B72="","",COUNT(L72:M72,P72:T72)&amp;"/7")</f>
        <v>2/7</v>
      </c>
      <c r="AK72" s="15" t="str">
        <f aca="false">IF(B72="","",IF(OR(AND(ISNUMBER(L72),ISNUMBER(M72),M72&lt;L72),AND(ISNUMBER(M72),ISNUMBER(P72),P72&lt;M72),AND(ISNUMBER(P72),ISNUMBER(Q72),Q72&lt;P72),AND(ISNUMBER(Q72),ISNUMBER(R72),R72&lt;Q72),AND(ISNUMBER(R72),ISNUMBER(S72),S72&lt;R72),AND(ISNUMBER(S72),ISNUMBER(T72),T72&lt;S72),AND(ISNUMBER(N72),ISNUMBER(O72),O72&lt;N72)),"Urutan tanggal salah",IF(AND(ISNUMBER(Q72),ISNUMBER(R72),ISNUMBER(Y72),ABS(R72-Q72-Y72)&gt;2),"S tanggal ≠ Sailing tercatat",IF(AND(ISNUMBER(Q72),ISNUMBER(O72),ABS(Q72-O72)&gt;60),"Cek tahun laycan",IF(AND(ISNUMBER(Q72),ISNUMBER(N72),Q72&lt;N72),"Berangkat sebelum laycan",IF(NOT(ISNUMBER(AE72)),"S belum ada","OK"))))))</f>
        <v>OK</v>
      </c>
    </row>
    <row r="73" customFormat="false" ht="15" hidden="false" customHeight="false" outlineLevel="0" collapsed="false">
      <c r="A73" s="11" t="n">
        <f aca="false">IF(B73="","",ROW()-4)</f>
        <v>69</v>
      </c>
      <c r="B73" s="12" t="s">
        <v>250</v>
      </c>
      <c r="C73" s="11" t="s">
        <v>271</v>
      </c>
      <c r="D73" s="11" t="n">
        <v>2022</v>
      </c>
      <c r="E73" s="11" t="s">
        <v>261</v>
      </c>
      <c r="F73" s="11" t="s">
        <v>272</v>
      </c>
      <c r="G73" s="11" t="s">
        <v>253</v>
      </c>
      <c r="H73" s="11" t="s">
        <v>258</v>
      </c>
      <c r="I73" s="11" t="s">
        <v>273</v>
      </c>
      <c r="J73" s="11"/>
      <c r="K73" s="11" t="n">
        <v>17000</v>
      </c>
      <c r="L73" s="13"/>
      <c r="M73" s="13"/>
      <c r="N73" s="13" t="n">
        <v>44770</v>
      </c>
      <c r="O73" s="13" t="n">
        <v>44770</v>
      </c>
      <c r="P73" s="13"/>
      <c r="Q73" s="13" t="n">
        <v>44769</v>
      </c>
      <c r="R73" s="13" t="n">
        <v>44785</v>
      </c>
      <c r="S73" s="13"/>
      <c r="T73" s="13"/>
      <c r="U73" s="12" t="s">
        <v>80</v>
      </c>
      <c r="V73" s="14"/>
      <c r="W73" s="11"/>
      <c r="X73" s="11"/>
      <c r="Y73" s="11" t="n">
        <v>15</v>
      </c>
      <c r="Z73" s="11" t="s">
        <v>81</v>
      </c>
      <c r="AA73" s="15" t="str">
        <f aca="false">IF(AND(ISNUMBER(L73),ISNUMBER(M73)),M73-L73,"")</f>
        <v/>
      </c>
      <c r="AB73" s="15" t="str">
        <f aca="false">IF(AND(ISNUMBER(M73),ISNUMBER(P73)),P73-M73,"")</f>
        <v/>
      </c>
      <c r="AC73" s="15" t="str">
        <f aca="false">IF(AND(ISNUMBER(L73),ISNUMBER(P73)),P73-L73,"")</f>
        <v/>
      </c>
      <c r="AD73" s="15" t="str">
        <f aca="false">IF(AND(ISNUMBER(P73),ISNUMBER(Q73)),Q73-P73,"")</f>
        <v/>
      </c>
      <c r="AE73" s="15" t="n">
        <f aca="false">IF(AND(ISNUMBER(Q73),ISNUMBER(R73)),R73-Q73,IF(ISNUMBER(Y73),Y73,""))</f>
        <v>16</v>
      </c>
      <c r="AF73" s="15" t="str">
        <f aca="false">IF(AND(ISNUMBER(R73),ISNUMBER(S73)),S73-R73,"")</f>
        <v/>
      </c>
      <c r="AG73" s="15" t="str">
        <f aca="false">IF(AND(ISNUMBER(S73),ISNUMBER(T73)),T73-S73,"")</f>
        <v/>
      </c>
      <c r="AH73" s="15" t="str">
        <f aca="false">IF(AND(ISNUMBER(L73),ISNUMBER(T73)),T73-L73,"")</f>
        <v/>
      </c>
      <c r="AI73" s="15" t="n">
        <f aca="false">IF(AND(ISNUMBER(O73),ISNUMBER(Q73)),Q73-O73,"")</f>
        <v>-1</v>
      </c>
      <c r="AJ73" s="15" t="str">
        <f aca="false">IF(B73="","",COUNT(L73:M73,P73:T73)&amp;"/7")</f>
        <v>2/7</v>
      </c>
      <c r="AK73" s="15" t="str">
        <f aca="false">IF(B73="","",IF(OR(AND(ISNUMBER(L73),ISNUMBER(M73),M73&lt;L73),AND(ISNUMBER(M73),ISNUMBER(P73),P73&lt;M73),AND(ISNUMBER(P73),ISNUMBER(Q73),Q73&lt;P73),AND(ISNUMBER(Q73),ISNUMBER(R73),R73&lt;Q73),AND(ISNUMBER(R73),ISNUMBER(S73),S73&lt;R73),AND(ISNUMBER(S73),ISNUMBER(T73),T73&lt;S73),AND(ISNUMBER(N73),ISNUMBER(O73),O73&lt;N73)),"Urutan tanggal salah",IF(AND(ISNUMBER(Q73),ISNUMBER(R73),ISNUMBER(Y73),ABS(R73-Q73-Y73)&gt;2),"S tanggal ≠ Sailing tercatat",IF(AND(ISNUMBER(Q73),ISNUMBER(O73),ABS(Q73-O73)&gt;60),"Cek tahun laycan",IF(AND(ISNUMBER(Q73),ISNUMBER(N73),Q73&lt;N73),"Berangkat sebelum laycan",IF(NOT(ISNUMBER(AE73)),"S belum ada","OK"))))))</f>
        <v>Berangkat sebelum laycan</v>
      </c>
    </row>
    <row r="74" customFormat="false" ht="15" hidden="false" customHeight="false" outlineLevel="0" collapsed="false">
      <c r="A74" s="11" t="n">
        <f aca="false">IF(B74="","",ROW()-4)</f>
        <v>70</v>
      </c>
      <c r="B74" s="12" t="s">
        <v>250</v>
      </c>
      <c r="C74" s="11" t="s">
        <v>251</v>
      </c>
      <c r="D74" s="11" t="n">
        <v>2022</v>
      </c>
      <c r="E74" s="11" t="s">
        <v>261</v>
      </c>
      <c r="F74" s="11" t="s">
        <v>274</v>
      </c>
      <c r="G74" s="11" t="s">
        <v>253</v>
      </c>
      <c r="H74" s="11" t="s">
        <v>275</v>
      </c>
      <c r="I74" s="11" t="s">
        <v>276</v>
      </c>
      <c r="J74" s="11"/>
      <c r="K74" s="11" t="n">
        <v>33000</v>
      </c>
      <c r="L74" s="13"/>
      <c r="M74" s="13"/>
      <c r="N74" s="13" t="n">
        <v>44855</v>
      </c>
      <c r="O74" s="13" t="n">
        <v>44855</v>
      </c>
      <c r="P74" s="13"/>
      <c r="Q74" s="13" t="n">
        <v>44858</v>
      </c>
      <c r="R74" s="13" t="n">
        <v>44868</v>
      </c>
      <c r="S74" s="13"/>
      <c r="T74" s="13"/>
      <c r="U74" s="12" t="s">
        <v>80</v>
      </c>
      <c r="V74" s="14"/>
      <c r="W74" s="11"/>
      <c r="X74" s="11" t="s">
        <v>277</v>
      </c>
      <c r="Y74" s="11" t="n">
        <v>15</v>
      </c>
      <c r="Z74" s="11" t="s">
        <v>81</v>
      </c>
      <c r="AA74" s="15" t="str">
        <f aca="false">IF(AND(ISNUMBER(L74),ISNUMBER(M74)),M74-L74,"")</f>
        <v/>
      </c>
      <c r="AB74" s="15" t="str">
        <f aca="false">IF(AND(ISNUMBER(M74),ISNUMBER(P74)),P74-M74,"")</f>
        <v/>
      </c>
      <c r="AC74" s="15" t="str">
        <f aca="false">IF(AND(ISNUMBER(L74),ISNUMBER(P74)),P74-L74,"")</f>
        <v/>
      </c>
      <c r="AD74" s="15" t="str">
        <f aca="false">IF(AND(ISNUMBER(P74),ISNUMBER(Q74)),Q74-P74,"")</f>
        <v/>
      </c>
      <c r="AE74" s="15" t="n">
        <f aca="false">IF(AND(ISNUMBER(Q74),ISNUMBER(R74)),R74-Q74,IF(ISNUMBER(Y74),Y74,""))</f>
        <v>10</v>
      </c>
      <c r="AF74" s="15" t="str">
        <f aca="false">IF(AND(ISNUMBER(R74),ISNUMBER(S74)),S74-R74,"")</f>
        <v/>
      </c>
      <c r="AG74" s="15" t="str">
        <f aca="false">IF(AND(ISNUMBER(S74),ISNUMBER(T74)),T74-S74,"")</f>
        <v/>
      </c>
      <c r="AH74" s="15" t="str">
        <f aca="false">IF(AND(ISNUMBER(L74),ISNUMBER(T74)),T74-L74,"")</f>
        <v/>
      </c>
      <c r="AI74" s="15" t="n">
        <f aca="false">IF(AND(ISNUMBER(O74),ISNUMBER(Q74)),Q74-O74,"")</f>
        <v>3</v>
      </c>
      <c r="AJ74" s="15" t="str">
        <f aca="false">IF(B74="","",COUNT(L74:M74,P74:T74)&amp;"/7")</f>
        <v>2/7</v>
      </c>
      <c r="AK74" s="15" t="str">
        <f aca="false">IF(B74="","",IF(OR(AND(ISNUMBER(L74),ISNUMBER(M74),M74&lt;L74),AND(ISNUMBER(M74),ISNUMBER(P74),P74&lt;M74),AND(ISNUMBER(P74),ISNUMBER(Q74),Q74&lt;P74),AND(ISNUMBER(Q74),ISNUMBER(R74),R74&lt;Q74),AND(ISNUMBER(R74),ISNUMBER(S74),S74&lt;R74),AND(ISNUMBER(S74),ISNUMBER(T74),T74&lt;S74),AND(ISNUMBER(N74),ISNUMBER(O74),O74&lt;N74)),"Urutan tanggal salah",IF(AND(ISNUMBER(Q74),ISNUMBER(R74),ISNUMBER(Y74),ABS(R74-Q74-Y74)&gt;2),"S tanggal ≠ Sailing tercatat",IF(AND(ISNUMBER(Q74),ISNUMBER(O74),ABS(Q74-O74)&gt;60),"Cek tahun laycan",IF(AND(ISNUMBER(Q74),ISNUMBER(N74),Q74&lt;N74),"Berangkat sebelum laycan",IF(NOT(ISNUMBER(AE74)),"S belum ada","OK"))))))</f>
        <v>S tanggal ≠ Sailing tercatat</v>
      </c>
    </row>
    <row r="75" customFormat="false" ht="15" hidden="false" customHeight="false" outlineLevel="0" collapsed="false">
      <c r="A75" s="11" t="n">
        <f aca="false">IF(B75="","",ROW()-4)</f>
        <v>71</v>
      </c>
      <c r="B75" s="12" t="s">
        <v>250</v>
      </c>
      <c r="C75" s="11" t="s">
        <v>251</v>
      </c>
      <c r="D75" s="11" t="n">
        <v>2022</v>
      </c>
      <c r="E75" s="11" t="s">
        <v>261</v>
      </c>
      <c r="F75" s="11" t="s">
        <v>278</v>
      </c>
      <c r="G75" s="11" t="s">
        <v>253</v>
      </c>
      <c r="H75" s="11" t="s">
        <v>258</v>
      </c>
      <c r="I75" s="11" t="s">
        <v>279</v>
      </c>
      <c r="J75" s="11"/>
      <c r="K75" s="11" t="n">
        <v>20200</v>
      </c>
      <c r="L75" s="13"/>
      <c r="M75" s="13"/>
      <c r="N75" s="13" t="n">
        <v>44896</v>
      </c>
      <c r="O75" s="13" t="n">
        <v>44896</v>
      </c>
      <c r="P75" s="13"/>
      <c r="Q75" s="13" t="n">
        <v>44900</v>
      </c>
      <c r="R75" s="13" t="n">
        <v>44914</v>
      </c>
      <c r="S75" s="13"/>
      <c r="T75" s="13"/>
      <c r="U75" s="12" t="s">
        <v>80</v>
      </c>
      <c r="V75" s="14"/>
      <c r="W75" s="11"/>
      <c r="X75" s="11" t="s">
        <v>280</v>
      </c>
      <c r="Y75" s="11" t="n">
        <v>14</v>
      </c>
      <c r="Z75" s="11" t="s">
        <v>81</v>
      </c>
      <c r="AA75" s="15" t="str">
        <f aca="false">IF(AND(ISNUMBER(L75),ISNUMBER(M75)),M75-L75,"")</f>
        <v/>
      </c>
      <c r="AB75" s="15" t="str">
        <f aca="false">IF(AND(ISNUMBER(M75),ISNUMBER(P75)),P75-M75,"")</f>
        <v/>
      </c>
      <c r="AC75" s="15" t="str">
        <f aca="false">IF(AND(ISNUMBER(L75),ISNUMBER(P75)),P75-L75,"")</f>
        <v/>
      </c>
      <c r="AD75" s="15" t="str">
        <f aca="false">IF(AND(ISNUMBER(P75),ISNUMBER(Q75)),Q75-P75,"")</f>
        <v/>
      </c>
      <c r="AE75" s="15" t="n">
        <f aca="false">IF(AND(ISNUMBER(Q75),ISNUMBER(R75)),R75-Q75,IF(ISNUMBER(Y75),Y75,""))</f>
        <v>14</v>
      </c>
      <c r="AF75" s="15" t="str">
        <f aca="false">IF(AND(ISNUMBER(R75),ISNUMBER(S75)),S75-R75,"")</f>
        <v/>
      </c>
      <c r="AG75" s="15" t="str">
        <f aca="false">IF(AND(ISNUMBER(S75),ISNUMBER(T75)),T75-S75,"")</f>
        <v/>
      </c>
      <c r="AH75" s="15" t="str">
        <f aca="false">IF(AND(ISNUMBER(L75),ISNUMBER(T75)),T75-L75,"")</f>
        <v/>
      </c>
      <c r="AI75" s="15" t="n">
        <f aca="false">IF(AND(ISNUMBER(O75),ISNUMBER(Q75)),Q75-O75,"")</f>
        <v>4</v>
      </c>
      <c r="AJ75" s="15" t="str">
        <f aca="false">IF(B75="","",COUNT(L75:M75,P75:T75)&amp;"/7")</f>
        <v>2/7</v>
      </c>
      <c r="AK75" s="15" t="str">
        <f aca="false">IF(B75="","",IF(OR(AND(ISNUMBER(L75),ISNUMBER(M75),M75&lt;L75),AND(ISNUMBER(M75),ISNUMBER(P75),P75&lt;M75),AND(ISNUMBER(P75),ISNUMBER(Q75),Q75&lt;P75),AND(ISNUMBER(Q75),ISNUMBER(R75),R75&lt;Q75),AND(ISNUMBER(R75),ISNUMBER(S75),S75&lt;R75),AND(ISNUMBER(S75),ISNUMBER(T75),T75&lt;S75),AND(ISNUMBER(N75),ISNUMBER(O75),O75&lt;N75)),"Urutan tanggal salah",IF(AND(ISNUMBER(Q75),ISNUMBER(R75),ISNUMBER(Y75),ABS(R75-Q75-Y75)&gt;2),"S tanggal ≠ Sailing tercatat",IF(AND(ISNUMBER(Q75),ISNUMBER(O75),ABS(Q75-O75)&gt;60),"Cek tahun laycan",IF(AND(ISNUMBER(Q75),ISNUMBER(N75),Q75&lt;N75),"Berangkat sebelum laycan",IF(NOT(ISNUMBER(AE75)),"S belum ada","OK"))))))</f>
        <v>OK</v>
      </c>
    </row>
    <row r="76" customFormat="false" ht="15" hidden="false" customHeight="false" outlineLevel="0" collapsed="false">
      <c r="A76" s="11" t="n">
        <f aca="false">IF(B76="","",ROW()-4)</f>
        <v>72</v>
      </c>
      <c r="B76" s="12" t="s">
        <v>250</v>
      </c>
      <c r="C76" s="11" t="s">
        <v>251</v>
      </c>
      <c r="D76" s="11" t="n">
        <v>2023</v>
      </c>
      <c r="E76" s="11" t="s">
        <v>261</v>
      </c>
      <c r="F76" s="11" t="s">
        <v>281</v>
      </c>
      <c r="G76" s="11" t="s">
        <v>253</v>
      </c>
      <c r="H76" s="11" t="s">
        <v>258</v>
      </c>
      <c r="I76" s="11" t="s">
        <v>282</v>
      </c>
      <c r="J76" s="11"/>
      <c r="K76" s="11" t="n">
        <v>22000</v>
      </c>
      <c r="L76" s="13"/>
      <c r="M76" s="13"/>
      <c r="N76" s="13" t="n">
        <v>45004</v>
      </c>
      <c r="O76" s="13" t="n">
        <v>45013</v>
      </c>
      <c r="P76" s="13"/>
      <c r="Q76" s="13" t="n">
        <v>45014</v>
      </c>
      <c r="R76" s="13" t="n">
        <v>45024</v>
      </c>
      <c r="S76" s="13"/>
      <c r="T76" s="13"/>
      <c r="U76" s="12" t="s">
        <v>80</v>
      </c>
      <c r="V76" s="14"/>
      <c r="W76" s="11"/>
      <c r="X76" s="11" t="s">
        <v>283</v>
      </c>
      <c r="Y76" s="11" t="n">
        <v>10</v>
      </c>
      <c r="Z76" s="11" t="s">
        <v>81</v>
      </c>
      <c r="AA76" s="15" t="str">
        <f aca="false">IF(AND(ISNUMBER(L76),ISNUMBER(M76)),M76-L76,"")</f>
        <v/>
      </c>
      <c r="AB76" s="15" t="str">
        <f aca="false">IF(AND(ISNUMBER(M76),ISNUMBER(P76)),P76-M76,"")</f>
        <v/>
      </c>
      <c r="AC76" s="15" t="str">
        <f aca="false">IF(AND(ISNUMBER(L76),ISNUMBER(P76)),P76-L76,"")</f>
        <v/>
      </c>
      <c r="AD76" s="15" t="str">
        <f aca="false">IF(AND(ISNUMBER(P76),ISNUMBER(Q76)),Q76-P76,"")</f>
        <v/>
      </c>
      <c r="AE76" s="15" t="n">
        <f aca="false">IF(AND(ISNUMBER(Q76),ISNUMBER(R76)),R76-Q76,IF(ISNUMBER(Y76),Y76,""))</f>
        <v>10</v>
      </c>
      <c r="AF76" s="15" t="str">
        <f aca="false">IF(AND(ISNUMBER(R76),ISNUMBER(S76)),S76-R76,"")</f>
        <v/>
      </c>
      <c r="AG76" s="15" t="str">
        <f aca="false">IF(AND(ISNUMBER(S76),ISNUMBER(T76)),T76-S76,"")</f>
        <v/>
      </c>
      <c r="AH76" s="15" t="str">
        <f aca="false">IF(AND(ISNUMBER(L76),ISNUMBER(T76)),T76-L76,"")</f>
        <v/>
      </c>
      <c r="AI76" s="15" t="n">
        <f aca="false">IF(AND(ISNUMBER(O76),ISNUMBER(Q76)),Q76-O76,"")</f>
        <v>1</v>
      </c>
      <c r="AJ76" s="15" t="str">
        <f aca="false">IF(B76="","",COUNT(L76:M76,P76:T76)&amp;"/7")</f>
        <v>2/7</v>
      </c>
      <c r="AK76" s="15" t="str">
        <f aca="false">IF(B76="","",IF(OR(AND(ISNUMBER(L76),ISNUMBER(M76),M76&lt;L76),AND(ISNUMBER(M76),ISNUMBER(P76),P76&lt;M76),AND(ISNUMBER(P76),ISNUMBER(Q76),Q76&lt;P76),AND(ISNUMBER(Q76),ISNUMBER(R76),R76&lt;Q76),AND(ISNUMBER(R76),ISNUMBER(S76),S76&lt;R76),AND(ISNUMBER(S76),ISNUMBER(T76),T76&lt;S76),AND(ISNUMBER(N76),ISNUMBER(O76),O76&lt;N76)),"Urutan tanggal salah",IF(AND(ISNUMBER(Q76),ISNUMBER(R76),ISNUMBER(Y76),ABS(R76-Q76-Y76)&gt;2),"S tanggal ≠ Sailing tercatat",IF(AND(ISNUMBER(Q76),ISNUMBER(O76),ABS(Q76-O76)&gt;60),"Cek tahun laycan",IF(AND(ISNUMBER(Q76),ISNUMBER(N76),Q76&lt;N76),"Berangkat sebelum laycan",IF(NOT(ISNUMBER(AE76)),"S belum ada","OK"))))))</f>
        <v>OK</v>
      </c>
    </row>
    <row r="77" customFormat="false" ht="15" hidden="false" customHeight="false" outlineLevel="0" collapsed="false">
      <c r="A77" s="11" t="n">
        <f aca="false">IF(B77="","",ROW()-4)</f>
        <v>73</v>
      </c>
      <c r="B77" s="12" t="s">
        <v>250</v>
      </c>
      <c r="C77" s="11" t="s">
        <v>268</v>
      </c>
      <c r="D77" s="11" t="n">
        <v>2023</v>
      </c>
      <c r="E77" s="11" t="s">
        <v>269</v>
      </c>
      <c r="F77" s="11" t="s">
        <v>257</v>
      </c>
      <c r="G77" s="11" t="s">
        <v>253</v>
      </c>
      <c r="H77" s="11" t="s">
        <v>284</v>
      </c>
      <c r="I77" s="11" t="s">
        <v>285</v>
      </c>
      <c r="J77" s="11"/>
      <c r="K77" s="11" t="n">
        <v>11090.68</v>
      </c>
      <c r="L77" s="13"/>
      <c r="M77" s="13"/>
      <c r="N77" s="13" t="n">
        <v>45071</v>
      </c>
      <c r="O77" s="13" t="n">
        <v>45076</v>
      </c>
      <c r="P77" s="13"/>
      <c r="Q77" s="13" t="n">
        <v>45078</v>
      </c>
      <c r="R77" s="13" t="n">
        <v>45085</v>
      </c>
      <c r="S77" s="13"/>
      <c r="T77" s="13"/>
      <c r="U77" s="12" t="s">
        <v>80</v>
      </c>
      <c r="V77" s="14"/>
      <c r="W77" s="11"/>
      <c r="X77" s="11" t="s">
        <v>286</v>
      </c>
      <c r="Y77" s="11" t="n">
        <v>7</v>
      </c>
      <c r="Z77" s="11" t="s">
        <v>81</v>
      </c>
      <c r="AA77" s="15" t="str">
        <f aca="false">IF(AND(ISNUMBER(L77),ISNUMBER(M77)),M77-L77,"")</f>
        <v/>
      </c>
      <c r="AB77" s="15" t="str">
        <f aca="false">IF(AND(ISNUMBER(M77),ISNUMBER(P77)),P77-M77,"")</f>
        <v/>
      </c>
      <c r="AC77" s="15" t="str">
        <f aca="false">IF(AND(ISNUMBER(L77),ISNUMBER(P77)),P77-L77,"")</f>
        <v/>
      </c>
      <c r="AD77" s="15" t="str">
        <f aca="false">IF(AND(ISNUMBER(P77),ISNUMBER(Q77)),Q77-P77,"")</f>
        <v/>
      </c>
      <c r="AE77" s="15" t="n">
        <f aca="false">IF(AND(ISNUMBER(Q77),ISNUMBER(R77)),R77-Q77,IF(ISNUMBER(Y77),Y77,""))</f>
        <v>7</v>
      </c>
      <c r="AF77" s="15" t="str">
        <f aca="false">IF(AND(ISNUMBER(R77),ISNUMBER(S77)),S77-R77,"")</f>
        <v/>
      </c>
      <c r="AG77" s="15" t="str">
        <f aca="false">IF(AND(ISNUMBER(S77),ISNUMBER(T77)),T77-S77,"")</f>
        <v/>
      </c>
      <c r="AH77" s="15" t="str">
        <f aca="false">IF(AND(ISNUMBER(L77),ISNUMBER(T77)),T77-L77,"")</f>
        <v/>
      </c>
      <c r="AI77" s="15" t="n">
        <f aca="false">IF(AND(ISNUMBER(O77),ISNUMBER(Q77)),Q77-O77,"")</f>
        <v>2</v>
      </c>
      <c r="AJ77" s="15" t="str">
        <f aca="false">IF(B77="","",COUNT(L77:M77,P77:T77)&amp;"/7")</f>
        <v>2/7</v>
      </c>
      <c r="AK77" s="15" t="str">
        <f aca="false">IF(B77="","",IF(OR(AND(ISNUMBER(L77),ISNUMBER(M77),M77&lt;L77),AND(ISNUMBER(M77),ISNUMBER(P77),P77&lt;M77),AND(ISNUMBER(P77),ISNUMBER(Q77),Q77&lt;P77),AND(ISNUMBER(Q77),ISNUMBER(R77),R77&lt;Q77),AND(ISNUMBER(R77),ISNUMBER(S77),S77&lt;R77),AND(ISNUMBER(S77),ISNUMBER(T77),T77&lt;S77),AND(ISNUMBER(N77),ISNUMBER(O77),O77&lt;N77)),"Urutan tanggal salah",IF(AND(ISNUMBER(Q77),ISNUMBER(R77),ISNUMBER(Y77),ABS(R77-Q77-Y77)&gt;2),"S tanggal ≠ Sailing tercatat",IF(AND(ISNUMBER(Q77),ISNUMBER(O77),ABS(Q77-O77)&gt;60),"Cek tahun laycan",IF(AND(ISNUMBER(Q77),ISNUMBER(N77),Q77&lt;N77),"Berangkat sebelum laycan",IF(NOT(ISNUMBER(AE77)),"S belum ada","OK"))))))</f>
        <v>OK</v>
      </c>
    </row>
    <row r="78" customFormat="false" ht="15" hidden="false" customHeight="false" outlineLevel="0" collapsed="false">
      <c r="A78" s="11" t="n">
        <f aca="false">IF(B78="","",ROW()-4)</f>
        <v>74</v>
      </c>
      <c r="B78" s="12" t="s">
        <v>250</v>
      </c>
      <c r="C78" s="11" t="s">
        <v>287</v>
      </c>
      <c r="D78" s="11" t="n">
        <v>2023</v>
      </c>
      <c r="E78" s="11" t="s">
        <v>269</v>
      </c>
      <c r="F78" s="11" t="s">
        <v>257</v>
      </c>
      <c r="G78" s="11" t="s">
        <v>253</v>
      </c>
      <c r="H78" s="11" t="s">
        <v>284</v>
      </c>
      <c r="I78" s="11" t="s">
        <v>285</v>
      </c>
      <c r="J78" s="11"/>
      <c r="K78" s="11" t="n">
        <v>10900</v>
      </c>
      <c r="L78" s="13"/>
      <c r="M78" s="13"/>
      <c r="N78" s="13" t="n">
        <v>45097</v>
      </c>
      <c r="O78" s="13" t="n">
        <v>45102</v>
      </c>
      <c r="P78" s="13"/>
      <c r="Q78" s="13" t="n">
        <v>45103</v>
      </c>
      <c r="R78" s="13" t="n">
        <v>45110</v>
      </c>
      <c r="S78" s="13"/>
      <c r="T78" s="13"/>
      <c r="U78" s="12" t="s">
        <v>80</v>
      </c>
      <c r="V78" s="14"/>
      <c r="W78" s="11"/>
      <c r="X78" s="11" t="s">
        <v>288</v>
      </c>
      <c r="Y78" s="11" t="n">
        <v>7</v>
      </c>
      <c r="Z78" s="11" t="s">
        <v>81</v>
      </c>
      <c r="AA78" s="15" t="str">
        <f aca="false">IF(AND(ISNUMBER(L78),ISNUMBER(M78)),M78-L78,"")</f>
        <v/>
      </c>
      <c r="AB78" s="15" t="str">
        <f aca="false">IF(AND(ISNUMBER(M78),ISNUMBER(P78)),P78-M78,"")</f>
        <v/>
      </c>
      <c r="AC78" s="15" t="str">
        <f aca="false">IF(AND(ISNUMBER(L78),ISNUMBER(P78)),P78-L78,"")</f>
        <v/>
      </c>
      <c r="AD78" s="15" t="str">
        <f aca="false">IF(AND(ISNUMBER(P78),ISNUMBER(Q78)),Q78-P78,"")</f>
        <v/>
      </c>
      <c r="AE78" s="15" t="n">
        <f aca="false">IF(AND(ISNUMBER(Q78),ISNUMBER(R78)),R78-Q78,IF(ISNUMBER(Y78),Y78,""))</f>
        <v>7</v>
      </c>
      <c r="AF78" s="15" t="str">
        <f aca="false">IF(AND(ISNUMBER(R78),ISNUMBER(S78)),S78-R78,"")</f>
        <v/>
      </c>
      <c r="AG78" s="15" t="str">
        <f aca="false">IF(AND(ISNUMBER(S78),ISNUMBER(T78)),T78-S78,"")</f>
        <v/>
      </c>
      <c r="AH78" s="15" t="str">
        <f aca="false">IF(AND(ISNUMBER(L78),ISNUMBER(T78)),T78-L78,"")</f>
        <v/>
      </c>
      <c r="AI78" s="15" t="n">
        <f aca="false">IF(AND(ISNUMBER(O78),ISNUMBER(Q78)),Q78-O78,"")</f>
        <v>1</v>
      </c>
      <c r="AJ78" s="15" t="str">
        <f aca="false">IF(B78="","",COUNT(L78:M78,P78:T78)&amp;"/7")</f>
        <v>2/7</v>
      </c>
      <c r="AK78" s="15" t="str">
        <f aca="false">IF(B78="","",IF(OR(AND(ISNUMBER(L78),ISNUMBER(M78),M78&lt;L78),AND(ISNUMBER(M78),ISNUMBER(P78),P78&lt;M78),AND(ISNUMBER(P78),ISNUMBER(Q78),Q78&lt;P78),AND(ISNUMBER(Q78),ISNUMBER(R78),R78&lt;Q78),AND(ISNUMBER(R78),ISNUMBER(S78),S78&lt;R78),AND(ISNUMBER(S78),ISNUMBER(T78),T78&lt;S78),AND(ISNUMBER(N78),ISNUMBER(O78),O78&lt;N78)),"Urutan tanggal salah",IF(AND(ISNUMBER(Q78),ISNUMBER(R78),ISNUMBER(Y78),ABS(R78-Q78-Y78)&gt;2),"S tanggal ≠ Sailing tercatat",IF(AND(ISNUMBER(Q78),ISNUMBER(O78),ABS(Q78-O78)&gt;60),"Cek tahun laycan",IF(AND(ISNUMBER(Q78),ISNUMBER(N78),Q78&lt;N78),"Berangkat sebelum laycan",IF(NOT(ISNUMBER(AE78)),"S belum ada","OK"))))))</f>
        <v>OK</v>
      </c>
    </row>
    <row r="79" customFormat="false" ht="15" hidden="false" customHeight="false" outlineLevel="0" collapsed="false">
      <c r="A79" s="11" t="n">
        <f aca="false">IF(B79="","",ROW()-4)</f>
        <v>75</v>
      </c>
      <c r="B79" s="12" t="s">
        <v>250</v>
      </c>
      <c r="C79" s="11" t="s">
        <v>289</v>
      </c>
      <c r="D79" s="11" t="n">
        <v>2023</v>
      </c>
      <c r="E79" s="11" t="s">
        <v>261</v>
      </c>
      <c r="F79" s="11" t="s">
        <v>290</v>
      </c>
      <c r="G79" s="11" t="s">
        <v>253</v>
      </c>
      <c r="H79" s="11" t="s">
        <v>291</v>
      </c>
      <c r="I79" s="11" t="s">
        <v>292</v>
      </c>
      <c r="J79" s="11"/>
      <c r="K79" s="11" t="n">
        <v>22000</v>
      </c>
      <c r="L79" s="13"/>
      <c r="M79" s="13"/>
      <c r="N79" s="13" t="n">
        <v>45078</v>
      </c>
      <c r="O79" s="13" t="n">
        <v>45087</v>
      </c>
      <c r="P79" s="13"/>
      <c r="Q79" s="13" t="n">
        <v>45089</v>
      </c>
      <c r="R79" s="13" t="n">
        <v>45103</v>
      </c>
      <c r="S79" s="13"/>
      <c r="T79" s="13"/>
      <c r="U79" s="12" t="s">
        <v>80</v>
      </c>
      <c r="V79" s="14"/>
      <c r="W79" s="11"/>
      <c r="X79" s="11" t="s">
        <v>293</v>
      </c>
      <c r="Y79" s="11" t="n">
        <v>14</v>
      </c>
      <c r="Z79" s="11" t="s">
        <v>81</v>
      </c>
      <c r="AA79" s="15" t="str">
        <f aca="false">IF(AND(ISNUMBER(L79),ISNUMBER(M79)),M79-L79,"")</f>
        <v/>
      </c>
      <c r="AB79" s="15" t="str">
        <f aca="false">IF(AND(ISNUMBER(M79),ISNUMBER(P79)),P79-M79,"")</f>
        <v/>
      </c>
      <c r="AC79" s="15" t="str">
        <f aca="false">IF(AND(ISNUMBER(L79),ISNUMBER(P79)),P79-L79,"")</f>
        <v/>
      </c>
      <c r="AD79" s="15" t="str">
        <f aca="false">IF(AND(ISNUMBER(P79),ISNUMBER(Q79)),Q79-P79,"")</f>
        <v/>
      </c>
      <c r="AE79" s="15" t="n">
        <f aca="false">IF(AND(ISNUMBER(Q79),ISNUMBER(R79)),R79-Q79,IF(ISNUMBER(Y79),Y79,""))</f>
        <v>14</v>
      </c>
      <c r="AF79" s="15" t="str">
        <f aca="false">IF(AND(ISNUMBER(R79),ISNUMBER(S79)),S79-R79,"")</f>
        <v/>
      </c>
      <c r="AG79" s="15" t="str">
        <f aca="false">IF(AND(ISNUMBER(S79),ISNUMBER(T79)),T79-S79,"")</f>
        <v/>
      </c>
      <c r="AH79" s="15" t="str">
        <f aca="false">IF(AND(ISNUMBER(L79),ISNUMBER(T79)),T79-L79,"")</f>
        <v/>
      </c>
      <c r="AI79" s="15" t="n">
        <f aca="false">IF(AND(ISNUMBER(O79),ISNUMBER(Q79)),Q79-O79,"")</f>
        <v>2</v>
      </c>
      <c r="AJ79" s="15" t="str">
        <f aca="false">IF(B79="","",COUNT(L79:M79,P79:T79)&amp;"/7")</f>
        <v>2/7</v>
      </c>
      <c r="AK79" s="15" t="str">
        <f aca="false">IF(B79="","",IF(OR(AND(ISNUMBER(L79),ISNUMBER(M79),M79&lt;L79),AND(ISNUMBER(M79),ISNUMBER(P79),P79&lt;M79),AND(ISNUMBER(P79),ISNUMBER(Q79),Q79&lt;P79),AND(ISNUMBER(Q79),ISNUMBER(R79),R79&lt;Q79),AND(ISNUMBER(R79),ISNUMBER(S79),S79&lt;R79),AND(ISNUMBER(S79),ISNUMBER(T79),T79&lt;S79),AND(ISNUMBER(N79),ISNUMBER(O79),O79&lt;N79)),"Urutan tanggal salah",IF(AND(ISNUMBER(Q79),ISNUMBER(R79),ISNUMBER(Y79),ABS(R79-Q79-Y79)&gt;2),"S tanggal ≠ Sailing tercatat",IF(AND(ISNUMBER(Q79),ISNUMBER(O79),ABS(Q79-O79)&gt;60),"Cek tahun laycan",IF(AND(ISNUMBER(Q79),ISNUMBER(N79),Q79&lt;N79),"Berangkat sebelum laycan",IF(NOT(ISNUMBER(AE79)),"S belum ada","OK"))))))</f>
        <v>OK</v>
      </c>
    </row>
    <row r="80" customFormat="false" ht="15" hidden="false" customHeight="false" outlineLevel="0" collapsed="false">
      <c r="A80" s="11" t="n">
        <f aca="false">IF(B80="","",ROW()-4)</f>
        <v>76</v>
      </c>
      <c r="B80" s="12" t="s">
        <v>250</v>
      </c>
      <c r="C80" s="11" t="s">
        <v>271</v>
      </c>
      <c r="D80" s="11" t="n">
        <v>2024</v>
      </c>
      <c r="E80" s="11" t="s">
        <v>261</v>
      </c>
      <c r="F80" s="11" t="s">
        <v>290</v>
      </c>
      <c r="G80" s="11" t="s">
        <v>253</v>
      </c>
      <c r="H80" s="11" t="s">
        <v>291</v>
      </c>
      <c r="I80" s="11"/>
      <c r="J80" s="11"/>
      <c r="K80" s="11" t="n">
        <v>0</v>
      </c>
      <c r="L80" s="13"/>
      <c r="M80" s="13"/>
      <c r="N80" s="13"/>
      <c r="O80" s="13"/>
      <c r="P80" s="13"/>
      <c r="Q80" s="13"/>
      <c r="R80" s="13"/>
      <c r="S80" s="13"/>
      <c r="T80" s="13"/>
      <c r="U80" s="12"/>
      <c r="V80" s="14"/>
      <c r="W80" s="11" t="s">
        <v>294</v>
      </c>
      <c r="X80" s="11"/>
      <c r="Y80" s="11"/>
      <c r="Z80" s="11" t="s">
        <v>81</v>
      </c>
      <c r="AA80" s="15" t="str">
        <f aca="false">IF(AND(ISNUMBER(L80),ISNUMBER(M80)),M80-L80,"")</f>
        <v/>
      </c>
      <c r="AB80" s="15" t="str">
        <f aca="false">IF(AND(ISNUMBER(M80),ISNUMBER(P80)),P80-M80,"")</f>
        <v/>
      </c>
      <c r="AC80" s="15" t="str">
        <f aca="false">IF(AND(ISNUMBER(L80),ISNUMBER(P80)),P80-L80,"")</f>
        <v/>
      </c>
      <c r="AD80" s="15" t="str">
        <f aca="false">IF(AND(ISNUMBER(P80),ISNUMBER(Q80)),Q80-P80,"")</f>
        <v/>
      </c>
      <c r="AE80" s="15" t="str">
        <f aca="false">IF(AND(ISNUMBER(Q80),ISNUMBER(R80)),R80-Q80,IF(ISNUMBER(Y80),Y80,""))</f>
        <v/>
      </c>
      <c r="AF80" s="15" t="str">
        <f aca="false">IF(AND(ISNUMBER(R80),ISNUMBER(S80)),S80-R80,"")</f>
        <v/>
      </c>
      <c r="AG80" s="15" t="str">
        <f aca="false">IF(AND(ISNUMBER(S80),ISNUMBER(T80)),T80-S80,"")</f>
        <v/>
      </c>
      <c r="AH80" s="15" t="str">
        <f aca="false">IF(AND(ISNUMBER(L80),ISNUMBER(T80)),T80-L80,"")</f>
        <v/>
      </c>
      <c r="AI80" s="15" t="str">
        <f aca="false">IF(AND(ISNUMBER(O80),ISNUMBER(Q80)),Q80-O80,"")</f>
        <v/>
      </c>
      <c r="AJ80" s="15" t="str">
        <f aca="false">IF(B80="","",COUNT(L80:M80,P80:T80)&amp;"/7")</f>
        <v>0/7</v>
      </c>
      <c r="AK80" s="15" t="str">
        <f aca="false">IF(B80="","",IF(OR(AND(ISNUMBER(L80),ISNUMBER(M80),M80&lt;L80),AND(ISNUMBER(M80),ISNUMBER(P80),P80&lt;M80),AND(ISNUMBER(P80),ISNUMBER(Q80),Q80&lt;P80),AND(ISNUMBER(Q80),ISNUMBER(R80),R80&lt;Q80),AND(ISNUMBER(R80),ISNUMBER(S80),S80&lt;R80),AND(ISNUMBER(S80),ISNUMBER(T80),T80&lt;S80),AND(ISNUMBER(N80),ISNUMBER(O80),O80&lt;N80)),"Urutan tanggal salah",IF(AND(ISNUMBER(Q80),ISNUMBER(R80),ISNUMBER(Y80),ABS(R80-Q80-Y80)&gt;2),"S tanggal ≠ Sailing tercatat",IF(AND(ISNUMBER(Q80),ISNUMBER(O80),ABS(Q80-O80)&gt;60),"Cek tahun laycan",IF(AND(ISNUMBER(Q80),ISNUMBER(N80),Q80&lt;N80),"Berangkat sebelum laycan",IF(NOT(ISNUMBER(AE80)),"S belum ada","OK"))))))</f>
        <v>S belum ada</v>
      </c>
    </row>
    <row r="81" customFormat="false" ht="15" hidden="false" customHeight="false" outlineLevel="0" collapsed="false">
      <c r="A81" s="11" t="n">
        <f aca="false">IF(B81="","",ROW()-4)</f>
        <v>77</v>
      </c>
      <c r="B81" s="12" t="s">
        <v>250</v>
      </c>
      <c r="C81" s="11" t="s">
        <v>251</v>
      </c>
      <c r="D81" s="11" t="n">
        <v>2024</v>
      </c>
      <c r="E81" s="11" t="s">
        <v>261</v>
      </c>
      <c r="F81" s="11" t="s">
        <v>281</v>
      </c>
      <c r="G81" s="11" t="s">
        <v>253</v>
      </c>
      <c r="H81" s="11" t="s">
        <v>295</v>
      </c>
      <c r="I81" s="11" t="s">
        <v>296</v>
      </c>
      <c r="J81" s="11"/>
      <c r="K81" s="11" t="n">
        <v>33000</v>
      </c>
      <c r="L81" s="13"/>
      <c r="M81" s="13"/>
      <c r="N81" s="13" t="n">
        <v>45468</v>
      </c>
      <c r="O81" s="13" t="n">
        <v>45474</v>
      </c>
      <c r="P81" s="13"/>
      <c r="Q81" s="13" t="n">
        <v>45475</v>
      </c>
      <c r="R81" s="13" t="n">
        <v>45484</v>
      </c>
      <c r="S81" s="13"/>
      <c r="T81" s="13"/>
      <c r="U81" s="12" t="s">
        <v>80</v>
      </c>
      <c r="V81" s="14"/>
      <c r="W81" s="11"/>
      <c r="X81" s="11" t="s">
        <v>297</v>
      </c>
      <c r="Y81" s="11" t="n">
        <v>9</v>
      </c>
      <c r="Z81" s="11" t="s">
        <v>81</v>
      </c>
      <c r="AA81" s="15" t="str">
        <f aca="false">IF(AND(ISNUMBER(L81),ISNUMBER(M81)),M81-L81,"")</f>
        <v/>
      </c>
      <c r="AB81" s="15" t="str">
        <f aca="false">IF(AND(ISNUMBER(M81),ISNUMBER(P81)),P81-M81,"")</f>
        <v/>
      </c>
      <c r="AC81" s="15" t="str">
        <f aca="false">IF(AND(ISNUMBER(L81),ISNUMBER(P81)),P81-L81,"")</f>
        <v/>
      </c>
      <c r="AD81" s="15" t="str">
        <f aca="false">IF(AND(ISNUMBER(P81),ISNUMBER(Q81)),Q81-P81,"")</f>
        <v/>
      </c>
      <c r="AE81" s="15" t="n">
        <f aca="false">IF(AND(ISNUMBER(Q81),ISNUMBER(R81)),R81-Q81,IF(ISNUMBER(Y81),Y81,""))</f>
        <v>9</v>
      </c>
      <c r="AF81" s="15" t="str">
        <f aca="false">IF(AND(ISNUMBER(R81),ISNUMBER(S81)),S81-R81,"")</f>
        <v/>
      </c>
      <c r="AG81" s="15" t="str">
        <f aca="false">IF(AND(ISNUMBER(S81),ISNUMBER(T81)),T81-S81,"")</f>
        <v/>
      </c>
      <c r="AH81" s="15" t="str">
        <f aca="false">IF(AND(ISNUMBER(L81),ISNUMBER(T81)),T81-L81,"")</f>
        <v/>
      </c>
      <c r="AI81" s="15" t="n">
        <f aca="false">IF(AND(ISNUMBER(O81),ISNUMBER(Q81)),Q81-O81,"")</f>
        <v>1</v>
      </c>
      <c r="AJ81" s="15" t="str">
        <f aca="false">IF(B81="","",COUNT(L81:M81,P81:T81)&amp;"/7")</f>
        <v>2/7</v>
      </c>
      <c r="AK81" s="15" t="str">
        <f aca="false">IF(B81="","",IF(OR(AND(ISNUMBER(L81),ISNUMBER(M81),M81&lt;L81),AND(ISNUMBER(M81),ISNUMBER(P81),P81&lt;M81),AND(ISNUMBER(P81),ISNUMBER(Q81),Q81&lt;P81),AND(ISNUMBER(Q81),ISNUMBER(R81),R81&lt;Q81),AND(ISNUMBER(R81),ISNUMBER(S81),S81&lt;R81),AND(ISNUMBER(S81),ISNUMBER(T81),T81&lt;S81),AND(ISNUMBER(N81),ISNUMBER(O81),O81&lt;N81)),"Urutan tanggal salah",IF(AND(ISNUMBER(Q81),ISNUMBER(R81),ISNUMBER(Y81),ABS(R81-Q81-Y81)&gt;2),"S tanggal ≠ Sailing tercatat",IF(AND(ISNUMBER(Q81),ISNUMBER(O81),ABS(Q81-O81)&gt;60),"Cek tahun laycan",IF(AND(ISNUMBER(Q81),ISNUMBER(N81),Q81&lt;N81),"Berangkat sebelum laycan",IF(NOT(ISNUMBER(AE81)),"S belum ada","OK"))))))</f>
        <v>OK</v>
      </c>
    </row>
    <row r="82" customFormat="false" ht="15" hidden="false" customHeight="false" outlineLevel="0" collapsed="false">
      <c r="A82" s="11" t="n">
        <f aca="false">IF(B82="","",ROW()-4)</f>
        <v>78</v>
      </c>
      <c r="B82" s="12" t="s">
        <v>250</v>
      </c>
      <c r="C82" s="11" t="s">
        <v>256</v>
      </c>
      <c r="D82" s="11" t="n">
        <v>2024</v>
      </c>
      <c r="E82" s="11" t="s">
        <v>269</v>
      </c>
      <c r="F82" s="11" t="s">
        <v>257</v>
      </c>
      <c r="G82" s="11" t="s">
        <v>253</v>
      </c>
      <c r="H82" s="11" t="s">
        <v>298</v>
      </c>
      <c r="I82" s="11" t="s">
        <v>299</v>
      </c>
      <c r="J82" s="11"/>
      <c r="K82" s="11" t="n">
        <v>10986.69</v>
      </c>
      <c r="L82" s="13"/>
      <c r="M82" s="13"/>
      <c r="N82" s="13" t="n">
        <v>45430</v>
      </c>
      <c r="O82" s="13" t="n">
        <v>45433</v>
      </c>
      <c r="P82" s="13"/>
      <c r="Q82" s="13" t="n">
        <v>45434</v>
      </c>
      <c r="R82" s="13" t="n">
        <v>45448</v>
      </c>
      <c r="S82" s="13"/>
      <c r="T82" s="13"/>
      <c r="U82" s="12" t="s">
        <v>80</v>
      </c>
      <c r="V82" s="14"/>
      <c r="W82" s="11"/>
      <c r="X82" s="11" t="s">
        <v>300</v>
      </c>
      <c r="Y82" s="11" t="n">
        <v>14</v>
      </c>
      <c r="Z82" s="11" t="s">
        <v>81</v>
      </c>
      <c r="AA82" s="15" t="str">
        <f aca="false">IF(AND(ISNUMBER(L82),ISNUMBER(M82)),M82-L82,"")</f>
        <v/>
      </c>
      <c r="AB82" s="15" t="str">
        <f aca="false">IF(AND(ISNUMBER(M82),ISNUMBER(P82)),P82-M82,"")</f>
        <v/>
      </c>
      <c r="AC82" s="15" t="str">
        <f aca="false">IF(AND(ISNUMBER(L82),ISNUMBER(P82)),P82-L82,"")</f>
        <v/>
      </c>
      <c r="AD82" s="15" t="str">
        <f aca="false">IF(AND(ISNUMBER(P82),ISNUMBER(Q82)),Q82-P82,"")</f>
        <v/>
      </c>
      <c r="AE82" s="15" t="n">
        <f aca="false">IF(AND(ISNUMBER(Q82),ISNUMBER(R82)),R82-Q82,IF(ISNUMBER(Y82),Y82,""))</f>
        <v>14</v>
      </c>
      <c r="AF82" s="15" t="str">
        <f aca="false">IF(AND(ISNUMBER(R82),ISNUMBER(S82)),S82-R82,"")</f>
        <v/>
      </c>
      <c r="AG82" s="15" t="str">
        <f aca="false">IF(AND(ISNUMBER(S82),ISNUMBER(T82)),T82-S82,"")</f>
        <v/>
      </c>
      <c r="AH82" s="15" t="str">
        <f aca="false">IF(AND(ISNUMBER(L82),ISNUMBER(T82)),T82-L82,"")</f>
        <v/>
      </c>
      <c r="AI82" s="15" t="n">
        <f aca="false">IF(AND(ISNUMBER(O82),ISNUMBER(Q82)),Q82-O82,"")</f>
        <v>1</v>
      </c>
      <c r="AJ82" s="15" t="str">
        <f aca="false">IF(B82="","",COUNT(L82:M82,P82:T82)&amp;"/7")</f>
        <v>2/7</v>
      </c>
      <c r="AK82" s="15" t="str">
        <f aca="false">IF(B82="","",IF(OR(AND(ISNUMBER(L82),ISNUMBER(M82),M82&lt;L82),AND(ISNUMBER(M82),ISNUMBER(P82),P82&lt;M82),AND(ISNUMBER(P82),ISNUMBER(Q82),Q82&lt;P82),AND(ISNUMBER(Q82),ISNUMBER(R82),R82&lt;Q82),AND(ISNUMBER(R82),ISNUMBER(S82),S82&lt;R82),AND(ISNUMBER(S82),ISNUMBER(T82),T82&lt;S82),AND(ISNUMBER(N82),ISNUMBER(O82),O82&lt;N82)),"Urutan tanggal salah",IF(AND(ISNUMBER(Q82),ISNUMBER(R82),ISNUMBER(Y82),ABS(R82-Q82-Y82)&gt;2),"S tanggal ≠ Sailing tercatat",IF(AND(ISNUMBER(Q82),ISNUMBER(O82),ABS(Q82-O82)&gt;60),"Cek tahun laycan",IF(AND(ISNUMBER(Q82),ISNUMBER(N82),Q82&lt;N82),"Berangkat sebelum laycan",IF(NOT(ISNUMBER(AE82)),"S belum ada","OK"))))))</f>
        <v>OK</v>
      </c>
    </row>
    <row r="83" customFormat="false" ht="15" hidden="false" customHeight="false" outlineLevel="0" collapsed="false">
      <c r="A83" s="11" t="n">
        <f aca="false">IF(B83="","",ROW()-4)</f>
        <v>79</v>
      </c>
      <c r="B83" s="12" t="s">
        <v>250</v>
      </c>
      <c r="C83" s="11" t="s">
        <v>250</v>
      </c>
      <c r="D83" s="11" t="n">
        <v>2024</v>
      </c>
      <c r="E83" s="11"/>
      <c r="F83" s="11"/>
      <c r="G83" s="11" t="s">
        <v>253</v>
      </c>
      <c r="H83" s="11" t="s">
        <v>298</v>
      </c>
      <c r="I83" s="11"/>
      <c r="J83" s="11"/>
      <c r="K83" s="11" t="n">
        <v>20000</v>
      </c>
      <c r="L83" s="13"/>
      <c r="M83" s="13"/>
      <c r="N83" s="13"/>
      <c r="O83" s="13"/>
      <c r="P83" s="13"/>
      <c r="Q83" s="13"/>
      <c r="R83" s="13"/>
      <c r="S83" s="13"/>
      <c r="T83" s="13"/>
      <c r="U83" s="12"/>
      <c r="V83" s="14"/>
      <c r="W83" s="11" t="s">
        <v>301</v>
      </c>
      <c r="X83" s="11"/>
      <c r="Y83" s="11"/>
      <c r="Z83" s="11" t="s">
        <v>81</v>
      </c>
      <c r="AA83" s="15" t="str">
        <f aca="false">IF(AND(ISNUMBER(L83),ISNUMBER(M83)),M83-L83,"")</f>
        <v/>
      </c>
      <c r="AB83" s="15" t="str">
        <f aca="false">IF(AND(ISNUMBER(M83),ISNUMBER(P83)),P83-M83,"")</f>
        <v/>
      </c>
      <c r="AC83" s="15" t="str">
        <f aca="false">IF(AND(ISNUMBER(L83),ISNUMBER(P83)),P83-L83,"")</f>
        <v/>
      </c>
      <c r="AD83" s="15" t="str">
        <f aca="false">IF(AND(ISNUMBER(P83),ISNUMBER(Q83)),Q83-P83,"")</f>
        <v/>
      </c>
      <c r="AE83" s="15" t="str">
        <f aca="false">IF(AND(ISNUMBER(Q83),ISNUMBER(R83)),R83-Q83,IF(ISNUMBER(Y83),Y83,""))</f>
        <v/>
      </c>
      <c r="AF83" s="15" t="str">
        <f aca="false">IF(AND(ISNUMBER(R83),ISNUMBER(S83)),S83-R83,"")</f>
        <v/>
      </c>
      <c r="AG83" s="15" t="str">
        <f aca="false">IF(AND(ISNUMBER(S83),ISNUMBER(T83)),T83-S83,"")</f>
        <v/>
      </c>
      <c r="AH83" s="15" t="str">
        <f aca="false">IF(AND(ISNUMBER(L83),ISNUMBER(T83)),T83-L83,"")</f>
        <v/>
      </c>
      <c r="AI83" s="15" t="str">
        <f aca="false">IF(AND(ISNUMBER(O83),ISNUMBER(Q83)),Q83-O83,"")</f>
        <v/>
      </c>
      <c r="AJ83" s="15" t="str">
        <f aca="false">IF(B83="","",COUNT(L83:M83,P83:T83)&amp;"/7")</f>
        <v>0/7</v>
      </c>
      <c r="AK83" s="15" t="str">
        <f aca="false">IF(B83="","",IF(OR(AND(ISNUMBER(L83),ISNUMBER(M83),M83&lt;L83),AND(ISNUMBER(M83),ISNUMBER(P83),P83&lt;M83),AND(ISNUMBER(P83),ISNUMBER(Q83),Q83&lt;P83),AND(ISNUMBER(Q83),ISNUMBER(R83),R83&lt;Q83),AND(ISNUMBER(R83),ISNUMBER(S83),S83&lt;R83),AND(ISNUMBER(S83),ISNUMBER(T83),T83&lt;S83),AND(ISNUMBER(N83),ISNUMBER(O83),O83&lt;N83)),"Urutan tanggal salah",IF(AND(ISNUMBER(Q83),ISNUMBER(R83),ISNUMBER(Y83),ABS(R83-Q83-Y83)&gt;2),"S tanggal ≠ Sailing tercatat",IF(AND(ISNUMBER(Q83),ISNUMBER(O83),ABS(Q83-O83)&gt;60),"Cek tahun laycan",IF(AND(ISNUMBER(Q83),ISNUMBER(N83),Q83&lt;N83),"Berangkat sebelum laycan",IF(NOT(ISNUMBER(AE83)),"S belum ada","OK"))))))</f>
        <v>S belum ada</v>
      </c>
    </row>
    <row r="84" customFormat="false" ht="15" hidden="false" customHeight="false" outlineLevel="0" collapsed="false">
      <c r="A84" s="11" t="n">
        <f aca="false">IF(B84="","",ROW()-4)</f>
        <v>80</v>
      </c>
      <c r="B84" s="12" t="s">
        <v>250</v>
      </c>
      <c r="C84" s="11" t="s">
        <v>256</v>
      </c>
      <c r="D84" s="11" t="n">
        <v>2024</v>
      </c>
      <c r="E84" s="11" t="s">
        <v>261</v>
      </c>
      <c r="F84" s="11" t="s">
        <v>302</v>
      </c>
      <c r="G84" s="11" t="s">
        <v>253</v>
      </c>
      <c r="H84" s="11" t="s">
        <v>295</v>
      </c>
      <c r="I84" s="11" t="s">
        <v>303</v>
      </c>
      <c r="J84" s="11"/>
      <c r="K84" s="11" t="n">
        <v>22000</v>
      </c>
      <c r="L84" s="13"/>
      <c r="M84" s="13"/>
      <c r="N84" s="13" t="n">
        <v>45553</v>
      </c>
      <c r="O84" s="13" t="n">
        <v>45555</v>
      </c>
      <c r="P84" s="13"/>
      <c r="Q84" s="13" t="n">
        <v>45556</v>
      </c>
      <c r="R84" s="13" t="n">
        <v>45566</v>
      </c>
      <c r="S84" s="13"/>
      <c r="T84" s="13"/>
      <c r="U84" s="12" t="s">
        <v>80</v>
      </c>
      <c r="V84" s="14"/>
      <c r="W84" s="11" t="s">
        <v>304</v>
      </c>
      <c r="X84" s="11" t="s">
        <v>305</v>
      </c>
      <c r="Y84" s="11" t="n">
        <v>10</v>
      </c>
      <c r="Z84" s="11" t="s">
        <v>81</v>
      </c>
      <c r="AA84" s="15" t="str">
        <f aca="false">IF(AND(ISNUMBER(L84),ISNUMBER(M84)),M84-L84,"")</f>
        <v/>
      </c>
      <c r="AB84" s="15" t="str">
        <f aca="false">IF(AND(ISNUMBER(M84),ISNUMBER(P84)),P84-M84,"")</f>
        <v/>
      </c>
      <c r="AC84" s="15" t="str">
        <f aca="false">IF(AND(ISNUMBER(L84),ISNUMBER(P84)),P84-L84,"")</f>
        <v/>
      </c>
      <c r="AD84" s="15" t="str">
        <f aca="false">IF(AND(ISNUMBER(P84),ISNUMBER(Q84)),Q84-P84,"")</f>
        <v/>
      </c>
      <c r="AE84" s="15" t="n">
        <f aca="false">IF(AND(ISNUMBER(Q84),ISNUMBER(R84)),R84-Q84,IF(ISNUMBER(Y84),Y84,""))</f>
        <v>10</v>
      </c>
      <c r="AF84" s="15" t="str">
        <f aca="false">IF(AND(ISNUMBER(R84),ISNUMBER(S84)),S84-R84,"")</f>
        <v/>
      </c>
      <c r="AG84" s="15" t="str">
        <f aca="false">IF(AND(ISNUMBER(S84),ISNUMBER(T84)),T84-S84,"")</f>
        <v/>
      </c>
      <c r="AH84" s="15" t="str">
        <f aca="false">IF(AND(ISNUMBER(L84),ISNUMBER(T84)),T84-L84,"")</f>
        <v/>
      </c>
      <c r="AI84" s="15" t="n">
        <f aca="false">IF(AND(ISNUMBER(O84),ISNUMBER(Q84)),Q84-O84,"")</f>
        <v>1</v>
      </c>
      <c r="AJ84" s="15" t="str">
        <f aca="false">IF(B84="","",COUNT(L84:M84,P84:T84)&amp;"/7")</f>
        <v>2/7</v>
      </c>
      <c r="AK84" s="15" t="str">
        <f aca="false">IF(B84="","",IF(OR(AND(ISNUMBER(L84),ISNUMBER(M84),M84&lt;L84),AND(ISNUMBER(M84),ISNUMBER(P84),P84&lt;M84),AND(ISNUMBER(P84),ISNUMBER(Q84),Q84&lt;P84),AND(ISNUMBER(Q84),ISNUMBER(R84),R84&lt;Q84),AND(ISNUMBER(R84),ISNUMBER(S84),S84&lt;R84),AND(ISNUMBER(S84),ISNUMBER(T84),T84&lt;S84),AND(ISNUMBER(N84),ISNUMBER(O84),O84&lt;N84)),"Urutan tanggal salah",IF(AND(ISNUMBER(Q84),ISNUMBER(R84),ISNUMBER(Y84),ABS(R84-Q84-Y84)&gt;2),"S tanggal ≠ Sailing tercatat",IF(AND(ISNUMBER(Q84),ISNUMBER(O84),ABS(Q84-O84)&gt;60),"Cek tahun laycan",IF(AND(ISNUMBER(Q84),ISNUMBER(N84),Q84&lt;N84),"Berangkat sebelum laycan",IF(NOT(ISNUMBER(AE84)),"S belum ada","OK"))))))</f>
        <v>OK</v>
      </c>
    </row>
    <row r="85" customFormat="false" ht="15" hidden="false" customHeight="false" outlineLevel="0" collapsed="false">
      <c r="A85" s="11" t="n">
        <f aca="false">IF(B85="","",ROW()-4)</f>
        <v>81</v>
      </c>
      <c r="B85" s="12" t="s">
        <v>306</v>
      </c>
      <c r="C85" s="11" t="s">
        <v>306</v>
      </c>
      <c r="D85" s="11" t="n">
        <v>2022</v>
      </c>
      <c r="E85" s="11" t="s">
        <v>261</v>
      </c>
      <c r="F85" s="11" t="s">
        <v>307</v>
      </c>
      <c r="G85" s="11" t="s">
        <v>77</v>
      </c>
      <c r="H85" s="11" t="s">
        <v>308</v>
      </c>
      <c r="I85" s="11" t="s">
        <v>309</v>
      </c>
      <c r="J85" s="11"/>
      <c r="K85" s="11" t="n">
        <v>22000</v>
      </c>
      <c r="L85" s="13"/>
      <c r="M85" s="13"/>
      <c r="N85" s="13" t="n">
        <v>44550</v>
      </c>
      <c r="O85" s="13" t="n">
        <v>44550</v>
      </c>
      <c r="P85" s="13"/>
      <c r="Q85" s="13" t="n">
        <v>44551</v>
      </c>
      <c r="R85" s="13" t="n">
        <v>44569</v>
      </c>
      <c r="S85" s="13"/>
      <c r="T85" s="13"/>
      <c r="U85" s="12" t="s">
        <v>80</v>
      </c>
      <c r="V85" s="14"/>
      <c r="W85" s="11"/>
      <c r="X85" s="11" t="s">
        <v>310</v>
      </c>
      <c r="Y85" s="11" t="n">
        <v>18</v>
      </c>
      <c r="Z85" s="11" t="s">
        <v>81</v>
      </c>
      <c r="AA85" s="15" t="str">
        <f aca="false">IF(AND(ISNUMBER(L85),ISNUMBER(M85)),M85-L85,"")</f>
        <v/>
      </c>
      <c r="AB85" s="15" t="str">
        <f aca="false">IF(AND(ISNUMBER(M85),ISNUMBER(P85)),P85-M85,"")</f>
        <v/>
      </c>
      <c r="AC85" s="15" t="str">
        <f aca="false">IF(AND(ISNUMBER(L85),ISNUMBER(P85)),P85-L85,"")</f>
        <v/>
      </c>
      <c r="AD85" s="15" t="str">
        <f aca="false">IF(AND(ISNUMBER(P85),ISNUMBER(Q85)),Q85-P85,"")</f>
        <v/>
      </c>
      <c r="AE85" s="15" t="n">
        <f aca="false">IF(AND(ISNUMBER(Q85),ISNUMBER(R85)),R85-Q85,IF(ISNUMBER(Y85),Y85,""))</f>
        <v>18</v>
      </c>
      <c r="AF85" s="15" t="str">
        <f aca="false">IF(AND(ISNUMBER(R85),ISNUMBER(S85)),S85-R85,"")</f>
        <v/>
      </c>
      <c r="AG85" s="15" t="str">
        <f aca="false">IF(AND(ISNUMBER(S85),ISNUMBER(T85)),T85-S85,"")</f>
        <v/>
      </c>
      <c r="AH85" s="15" t="str">
        <f aca="false">IF(AND(ISNUMBER(L85),ISNUMBER(T85)),T85-L85,"")</f>
        <v/>
      </c>
      <c r="AI85" s="15" t="n">
        <f aca="false">IF(AND(ISNUMBER(O85),ISNUMBER(Q85)),Q85-O85,"")</f>
        <v>1</v>
      </c>
      <c r="AJ85" s="15" t="str">
        <f aca="false">IF(B85="","",COUNT(L85:M85,P85:T85)&amp;"/7")</f>
        <v>2/7</v>
      </c>
      <c r="AK85" s="15" t="str">
        <f aca="false">IF(B85="","",IF(OR(AND(ISNUMBER(L85),ISNUMBER(M85),M85&lt;L85),AND(ISNUMBER(M85),ISNUMBER(P85),P85&lt;M85),AND(ISNUMBER(P85),ISNUMBER(Q85),Q85&lt;P85),AND(ISNUMBER(Q85),ISNUMBER(R85),R85&lt;Q85),AND(ISNUMBER(R85),ISNUMBER(S85),S85&lt;R85),AND(ISNUMBER(S85),ISNUMBER(T85),T85&lt;S85),AND(ISNUMBER(N85),ISNUMBER(O85),O85&lt;N85)),"Urutan tanggal salah",IF(AND(ISNUMBER(Q85),ISNUMBER(R85),ISNUMBER(Y85),ABS(R85-Q85-Y85)&gt;2),"S tanggal ≠ Sailing tercatat",IF(AND(ISNUMBER(Q85),ISNUMBER(O85),ABS(Q85-O85)&gt;60),"Cek tahun laycan",IF(AND(ISNUMBER(Q85),ISNUMBER(N85),Q85&lt;N85),"Berangkat sebelum laycan",IF(NOT(ISNUMBER(AE85)),"S belum ada","OK"))))))</f>
        <v>OK</v>
      </c>
    </row>
    <row r="86" customFormat="false" ht="15" hidden="false" customHeight="false" outlineLevel="0" collapsed="false">
      <c r="A86" s="11" t="n">
        <f aca="false">IF(B86="","",ROW()-4)</f>
        <v>82</v>
      </c>
      <c r="B86" s="12" t="s">
        <v>306</v>
      </c>
      <c r="C86" s="11" t="s">
        <v>306</v>
      </c>
      <c r="D86" s="11" t="n">
        <v>2022</v>
      </c>
      <c r="E86" s="11" t="s">
        <v>261</v>
      </c>
      <c r="F86" s="11" t="s">
        <v>302</v>
      </c>
      <c r="G86" s="11" t="s">
        <v>77</v>
      </c>
      <c r="H86" s="11" t="s">
        <v>311</v>
      </c>
      <c r="I86" s="11" t="s">
        <v>312</v>
      </c>
      <c r="J86" s="11"/>
      <c r="K86" s="11" t="n">
        <v>22000</v>
      </c>
      <c r="L86" s="13"/>
      <c r="M86" s="13"/>
      <c r="N86" s="13" t="n">
        <v>44576</v>
      </c>
      <c r="O86" s="13" t="n">
        <v>44576</v>
      </c>
      <c r="P86" s="13"/>
      <c r="Q86" s="13" t="n">
        <v>44577</v>
      </c>
      <c r="R86" s="13" t="n">
        <v>44595</v>
      </c>
      <c r="S86" s="13"/>
      <c r="T86" s="13"/>
      <c r="U86" s="12" t="s">
        <v>80</v>
      </c>
      <c r="V86" s="14"/>
      <c r="W86" s="11"/>
      <c r="X86" s="11"/>
      <c r="Y86" s="11" t="n">
        <v>18</v>
      </c>
      <c r="Z86" s="11" t="s">
        <v>81</v>
      </c>
      <c r="AA86" s="15" t="str">
        <f aca="false">IF(AND(ISNUMBER(L86),ISNUMBER(M86)),M86-L86,"")</f>
        <v/>
      </c>
      <c r="AB86" s="15" t="str">
        <f aca="false">IF(AND(ISNUMBER(M86),ISNUMBER(P86)),P86-M86,"")</f>
        <v/>
      </c>
      <c r="AC86" s="15" t="str">
        <f aca="false">IF(AND(ISNUMBER(L86),ISNUMBER(P86)),P86-L86,"")</f>
        <v/>
      </c>
      <c r="AD86" s="15" t="str">
        <f aca="false">IF(AND(ISNUMBER(P86),ISNUMBER(Q86)),Q86-P86,"")</f>
        <v/>
      </c>
      <c r="AE86" s="15" t="n">
        <f aca="false">IF(AND(ISNUMBER(Q86),ISNUMBER(R86)),R86-Q86,IF(ISNUMBER(Y86),Y86,""))</f>
        <v>18</v>
      </c>
      <c r="AF86" s="15" t="str">
        <f aca="false">IF(AND(ISNUMBER(R86),ISNUMBER(S86)),S86-R86,"")</f>
        <v/>
      </c>
      <c r="AG86" s="15" t="str">
        <f aca="false">IF(AND(ISNUMBER(S86),ISNUMBER(T86)),T86-S86,"")</f>
        <v/>
      </c>
      <c r="AH86" s="15" t="str">
        <f aca="false">IF(AND(ISNUMBER(L86),ISNUMBER(T86)),T86-L86,"")</f>
        <v/>
      </c>
      <c r="AI86" s="15" t="n">
        <f aca="false">IF(AND(ISNUMBER(O86),ISNUMBER(Q86)),Q86-O86,"")</f>
        <v>1</v>
      </c>
      <c r="AJ86" s="15" t="str">
        <f aca="false">IF(B86="","",COUNT(L86:M86,P86:T86)&amp;"/7")</f>
        <v>2/7</v>
      </c>
      <c r="AK86" s="15" t="str">
        <f aca="false">IF(B86="","",IF(OR(AND(ISNUMBER(L86),ISNUMBER(M86),M86&lt;L86),AND(ISNUMBER(M86),ISNUMBER(P86),P86&lt;M86),AND(ISNUMBER(P86),ISNUMBER(Q86),Q86&lt;P86),AND(ISNUMBER(Q86),ISNUMBER(R86),R86&lt;Q86),AND(ISNUMBER(R86),ISNUMBER(S86),S86&lt;R86),AND(ISNUMBER(S86),ISNUMBER(T86),T86&lt;S86),AND(ISNUMBER(N86),ISNUMBER(O86),O86&lt;N86)),"Urutan tanggal salah",IF(AND(ISNUMBER(Q86),ISNUMBER(R86),ISNUMBER(Y86),ABS(R86-Q86-Y86)&gt;2),"S tanggal ≠ Sailing tercatat",IF(AND(ISNUMBER(Q86),ISNUMBER(O86),ABS(Q86-O86)&gt;60),"Cek tahun laycan",IF(AND(ISNUMBER(Q86),ISNUMBER(N86),Q86&lt;N86),"Berangkat sebelum laycan",IF(NOT(ISNUMBER(AE86)),"S belum ada","OK"))))))</f>
        <v>OK</v>
      </c>
    </row>
    <row r="87" customFormat="false" ht="15" hidden="false" customHeight="false" outlineLevel="0" collapsed="false">
      <c r="A87" s="11" t="n">
        <f aca="false">IF(B87="","",ROW()-4)</f>
        <v>83</v>
      </c>
      <c r="B87" s="12" t="s">
        <v>306</v>
      </c>
      <c r="C87" s="11" t="s">
        <v>306</v>
      </c>
      <c r="D87" s="11" t="n">
        <v>2022</v>
      </c>
      <c r="E87" s="11" t="s">
        <v>261</v>
      </c>
      <c r="F87" s="11" t="s">
        <v>313</v>
      </c>
      <c r="G87" s="11" t="s">
        <v>77</v>
      </c>
      <c r="H87" s="11" t="s">
        <v>314</v>
      </c>
      <c r="I87" s="11" t="s">
        <v>315</v>
      </c>
      <c r="J87" s="11"/>
      <c r="K87" s="11" t="n">
        <v>31657</v>
      </c>
      <c r="L87" s="13"/>
      <c r="M87" s="13"/>
      <c r="N87" s="13"/>
      <c r="O87" s="13"/>
      <c r="P87" s="13"/>
      <c r="Q87" s="13"/>
      <c r="R87" s="13"/>
      <c r="S87" s="13"/>
      <c r="T87" s="13"/>
      <c r="U87" s="12" t="s">
        <v>80</v>
      </c>
      <c r="V87" s="14"/>
      <c r="W87" s="11"/>
      <c r="X87" s="11"/>
      <c r="Y87" s="11"/>
      <c r="Z87" s="11" t="s">
        <v>81</v>
      </c>
      <c r="AA87" s="15" t="str">
        <f aca="false">IF(AND(ISNUMBER(L87),ISNUMBER(M87)),M87-L87,"")</f>
        <v/>
      </c>
      <c r="AB87" s="15" t="str">
        <f aca="false">IF(AND(ISNUMBER(M87),ISNUMBER(P87)),P87-M87,"")</f>
        <v/>
      </c>
      <c r="AC87" s="15" t="str">
        <f aca="false">IF(AND(ISNUMBER(L87),ISNUMBER(P87)),P87-L87,"")</f>
        <v/>
      </c>
      <c r="AD87" s="15" t="str">
        <f aca="false">IF(AND(ISNUMBER(P87),ISNUMBER(Q87)),Q87-P87,"")</f>
        <v/>
      </c>
      <c r="AE87" s="15" t="str">
        <f aca="false">IF(AND(ISNUMBER(Q87),ISNUMBER(R87)),R87-Q87,IF(ISNUMBER(Y87),Y87,""))</f>
        <v/>
      </c>
      <c r="AF87" s="15" t="str">
        <f aca="false">IF(AND(ISNUMBER(R87),ISNUMBER(S87)),S87-R87,"")</f>
        <v/>
      </c>
      <c r="AG87" s="15" t="str">
        <f aca="false">IF(AND(ISNUMBER(S87),ISNUMBER(T87)),T87-S87,"")</f>
        <v/>
      </c>
      <c r="AH87" s="15" t="str">
        <f aca="false">IF(AND(ISNUMBER(L87),ISNUMBER(T87)),T87-L87,"")</f>
        <v/>
      </c>
      <c r="AI87" s="15" t="str">
        <f aca="false">IF(AND(ISNUMBER(O87),ISNUMBER(Q87)),Q87-O87,"")</f>
        <v/>
      </c>
      <c r="AJ87" s="15" t="str">
        <f aca="false">IF(B87="","",COUNT(L87:M87,P87:T87)&amp;"/7")</f>
        <v>0/7</v>
      </c>
      <c r="AK87" s="15" t="str">
        <f aca="false">IF(B87="","",IF(OR(AND(ISNUMBER(L87),ISNUMBER(M87),M87&lt;L87),AND(ISNUMBER(M87),ISNUMBER(P87),P87&lt;M87),AND(ISNUMBER(P87),ISNUMBER(Q87),Q87&lt;P87),AND(ISNUMBER(Q87),ISNUMBER(R87),R87&lt;Q87),AND(ISNUMBER(R87),ISNUMBER(S87),S87&lt;R87),AND(ISNUMBER(S87),ISNUMBER(T87),T87&lt;S87),AND(ISNUMBER(N87),ISNUMBER(O87),O87&lt;N87)),"Urutan tanggal salah",IF(AND(ISNUMBER(Q87),ISNUMBER(R87),ISNUMBER(Y87),ABS(R87-Q87-Y87)&gt;2),"S tanggal ≠ Sailing tercatat",IF(AND(ISNUMBER(Q87),ISNUMBER(O87),ABS(Q87-O87)&gt;60),"Cek tahun laycan",IF(AND(ISNUMBER(Q87),ISNUMBER(N87),Q87&lt;N87),"Berangkat sebelum laycan",IF(NOT(ISNUMBER(AE87)),"S belum ada","OK"))))))</f>
        <v>S belum ada</v>
      </c>
    </row>
    <row r="88" customFormat="false" ht="15" hidden="false" customHeight="false" outlineLevel="0" collapsed="false">
      <c r="A88" s="11" t="n">
        <f aca="false">IF(B88="","",ROW()-4)</f>
        <v>84</v>
      </c>
      <c r="B88" s="12" t="s">
        <v>306</v>
      </c>
      <c r="C88" s="11" t="s">
        <v>306</v>
      </c>
      <c r="D88" s="11" t="n">
        <v>2022</v>
      </c>
      <c r="E88" s="11" t="s">
        <v>261</v>
      </c>
      <c r="F88" s="11" t="s">
        <v>316</v>
      </c>
      <c r="G88" s="11" t="s">
        <v>77</v>
      </c>
      <c r="H88" s="11" t="s">
        <v>317</v>
      </c>
      <c r="I88" s="11" t="s">
        <v>318</v>
      </c>
      <c r="J88" s="11"/>
      <c r="K88" s="11" t="n">
        <v>33000</v>
      </c>
      <c r="L88" s="13"/>
      <c r="M88" s="13"/>
      <c r="N88" s="13" t="n">
        <v>44722</v>
      </c>
      <c r="O88" s="13" t="n">
        <v>44727</v>
      </c>
      <c r="P88" s="13"/>
      <c r="Q88" s="13" t="n">
        <v>44728</v>
      </c>
      <c r="R88" s="13" t="n">
        <v>44746</v>
      </c>
      <c r="S88" s="13"/>
      <c r="T88" s="13"/>
      <c r="U88" s="12" t="s">
        <v>80</v>
      </c>
      <c r="V88" s="14"/>
      <c r="W88" s="11"/>
      <c r="X88" s="11" t="s">
        <v>319</v>
      </c>
      <c r="Y88" s="11" t="n">
        <v>18</v>
      </c>
      <c r="Z88" s="11" t="s">
        <v>81</v>
      </c>
      <c r="AA88" s="15" t="str">
        <f aca="false">IF(AND(ISNUMBER(L88),ISNUMBER(M88)),M88-L88,"")</f>
        <v/>
      </c>
      <c r="AB88" s="15" t="str">
        <f aca="false">IF(AND(ISNUMBER(M88),ISNUMBER(P88)),P88-M88,"")</f>
        <v/>
      </c>
      <c r="AC88" s="15" t="str">
        <f aca="false">IF(AND(ISNUMBER(L88),ISNUMBER(P88)),P88-L88,"")</f>
        <v/>
      </c>
      <c r="AD88" s="15" t="str">
        <f aca="false">IF(AND(ISNUMBER(P88),ISNUMBER(Q88)),Q88-P88,"")</f>
        <v/>
      </c>
      <c r="AE88" s="15" t="n">
        <f aca="false">IF(AND(ISNUMBER(Q88),ISNUMBER(R88)),R88-Q88,IF(ISNUMBER(Y88),Y88,""))</f>
        <v>18</v>
      </c>
      <c r="AF88" s="15" t="str">
        <f aca="false">IF(AND(ISNUMBER(R88),ISNUMBER(S88)),S88-R88,"")</f>
        <v/>
      </c>
      <c r="AG88" s="15" t="str">
        <f aca="false">IF(AND(ISNUMBER(S88),ISNUMBER(T88)),T88-S88,"")</f>
        <v/>
      </c>
      <c r="AH88" s="15" t="str">
        <f aca="false">IF(AND(ISNUMBER(L88),ISNUMBER(T88)),T88-L88,"")</f>
        <v/>
      </c>
      <c r="AI88" s="15" t="n">
        <f aca="false">IF(AND(ISNUMBER(O88),ISNUMBER(Q88)),Q88-O88,"")</f>
        <v>1</v>
      </c>
      <c r="AJ88" s="15" t="str">
        <f aca="false">IF(B88="","",COUNT(L88:M88,P88:T88)&amp;"/7")</f>
        <v>2/7</v>
      </c>
      <c r="AK88" s="15" t="str">
        <f aca="false">IF(B88="","",IF(OR(AND(ISNUMBER(L88),ISNUMBER(M88),M88&lt;L88),AND(ISNUMBER(M88),ISNUMBER(P88),P88&lt;M88),AND(ISNUMBER(P88),ISNUMBER(Q88),Q88&lt;P88),AND(ISNUMBER(Q88),ISNUMBER(R88),R88&lt;Q88),AND(ISNUMBER(R88),ISNUMBER(S88),S88&lt;R88),AND(ISNUMBER(S88),ISNUMBER(T88),T88&lt;S88),AND(ISNUMBER(N88),ISNUMBER(O88),O88&lt;N88)),"Urutan tanggal salah",IF(AND(ISNUMBER(Q88),ISNUMBER(R88),ISNUMBER(Y88),ABS(R88-Q88-Y88)&gt;2),"S tanggal ≠ Sailing tercatat",IF(AND(ISNUMBER(Q88),ISNUMBER(O88),ABS(Q88-O88)&gt;60),"Cek tahun laycan",IF(AND(ISNUMBER(Q88),ISNUMBER(N88),Q88&lt;N88),"Berangkat sebelum laycan",IF(NOT(ISNUMBER(AE88)),"S belum ada","OK"))))))</f>
        <v>OK</v>
      </c>
    </row>
    <row r="89" customFormat="false" ht="15" hidden="false" customHeight="false" outlineLevel="0" collapsed="false">
      <c r="A89" s="11" t="n">
        <f aca="false">IF(B89="","",ROW()-4)</f>
        <v>85</v>
      </c>
      <c r="B89" s="12" t="s">
        <v>306</v>
      </c>
      <c r="C89" s="11" t="s">
        <v>306</v>
      </c>
      <c r="D89" s="11" t="n">
        <v>2022</v>
      </c>
      <c r="E89" s="11" t="s">
        <v>261</v>
      </c>
      <c r="F89" s="11" t="s">
        <v>320</v>
      </c>
      <c r="G89" s="11" t="s">
        <v>77</v>
      </c>
      <c r="H89" s="11" t="s">
        <v>321</v>
      </c>
      <c r="I89" s="11" t="s">
        <v>322</v>
      </c>
      <c r="J89" s="11"/>
      <c r="K89" s="11" t="n">
        <v>21500</v>
      </c>
      <c r="L89" s="13"/>
      <c r="M89" s="13"/>
      <c r="N89" s="13" t="n">
        <v>44788</v>
      </c>
      <c r="O89" s="13" t="n">
        <v>44788</v>
      </c>
      <c r="P89" s="13"/>
      <c r="Q89" s="13" t="n">
        <v>44789</v>
      </c>
      <c r="R89" s="13" t="n">
        <v>44795</v>
      </c>
      <c r="S89" s="13"/>
      <c r="T89" s="13"/>
      <c r="U89" s="12" t="s">
        <v>80</v>
      </c>
      <c r="V89" s="14"/>
      <c r="W89" s="11"/>
      <c r="X89" s="11" t="s">
        <v>323</v>
      </c>
      <c r="Y89" s="11" t="n">
        <v>6</v>
      </c>
      <c r="Z89" s="11" t="s">
        <v>81</v>
      </c>
      <c r="AA89" s="15" t="str">
        <f aca="false">IF(AND(ISNUMBER(L89),ISNUMBER(M89)),M89-L89,"")</f>
        <v/>
      </c>
      <c r="AB89" s="15" t="str">
        <f aca="false">IF(AND(ISNUMBER(M89),ISNUMBER(P89)),P89-M89,"")</f>
        <v/>
      </c>
      <c r="AC89" s="15" t="str">
        <f aca="false">IF(AND(ISNUMBER(L89),ISNUMBER(P89)),P89-L89,"")</f>
        <v/>
      </c>
      <c r="AD89" s="15" t="str">
        <f aca="false">IF(AND(ISNUMBER(P89),ISNUMBER(Q89)),Q89-P89,"")</f>
        <v/>
      </c>
      <c r="AE89" s="15" t="n">
        <f aca="false">IF(AND(ISNUMBER(Q89),ISNUMBER(R89)),R89-Q89,IF(ISNUMBER(Y89),Y89,""))</f>
        <v>6</v>
      </c>
      <c r="AF89" s="15" t="str">
        <f aca="false">IF(AND(ISNUMBER(R89),ISNUMBER(S89)),S89-R89,"")</f>
        <v/>
      </c>
      <c r="AG89" s="15" t="str">
        <f aca="false">IF(AND(ISNUMBER(S89),ISNUMBER(T89)),T89-S89,"")</f>
        <v/>
      </c>
      <c r="AH89" s="15" t="str">
        <f aca="false">IF(AND(ISNUMBER(L89),ISNUMBER(T89)),T89-L89,"")</f>
        <v/>
      </c>
      <c r="AI89" s="15" t="n">
        <f aca="false">IF(AND(ISNUMBER(O89),ISNUMBER(Q89)),Q89-O89,"")</f>
        <v>1</v>
      </c>
      <c r="AJ89" s="15" t="str">
        <f aca="false">IF(B89="","",COUNT(L89:M89,P89:T89)&amp;"/7")</f>
        <v>2/7</v>
      </c>
      <c r="AK89" s="15" t="str">
        <f aca="false">IF(B89="","",IF(OR(AND(ISNUMBER(L89),ISNUMBER(M89),M89&lt;L89),AND(ISNUMBER(M89),ISNUMBER(P89),P89&lt;M89),AND(ISNUMBER(P89),ISNUMBER(Q89),Q89&lt;P89),AND(ISNUMBER(Q89),ISNUMBER(R89),R89&lt;Q89),AND(ISNUMBER(R89),ISNUMBER(S89),S89&lt;R89),AND(ISNUMBER(S89),ISNUMBER(T89),T89&lt;S89),AND(ISNUMBER(N89),ISNUMBER(O89),O89&lt;N89)),"Urutan tanggal salah",IF(AND(ISNUMBER(Q89),ISNUMBER(R89),ISNUMBER(Y89),ABS(R89-Q89-Y89)&gt;2),"S tanggal ≠ Sailing tercatat",IF(AND(ISNUMBER(Q89),ISNUMBER(O89),ABS(Q89-O89)&gt;60),"Cek tahun laycan",IF(AND(ISNUMBER(Q89),ISNUMBER(N89),Q89&lt;N89),"Berangkat sebelum laycan",IF(NOT(ISNUMBER(AE89)),"S belum ada","OK"))))))</f>
        <v>OK</v>
      </c>
    </row>
    <row r="90" customFormat="false" ht="15" hidden="false" customHeight="false" outlineLevel="0" collapsed="false">
      <c r="A90" s="11" t="n">
        <f aca="false">IF(B90="","",ROW()-4)</f>
        <v>86</v>
      </c>
      <c r="B90" s="12" t="s">
        <v>306</v>
      </c>
      <c r="C90" s="11" t="s">
        <v>324</v>
      </c>
      <c r="D90" s="11" t="n">
        <v>2022</v>
      </c>
      <c r="E90" s="11" t="s">
        <v>261</v>
      </c>
      <c r="F90" s="11" t="s">
        <v>325</v>
      </c>
      <c r="G90" s="11" t="s">
        <v>77</v>
      </c>
      <c r="H90" s="11" t="s">
        <v>275</v>
      </c>
      <c r="I90" s="11" t="s">
        <v>326</v>
      </c>
      <c r="J90" s="11"/>
      <c r="K90" s="11" t="n">
        <v>21300</v>
      </c>
      <c r="L90" s="13"/>
      <c r="M90" s="13"/>
      <c r="N90" s="13" t="n">
        <v>44854</v>
      </c>
      <c r="O90" s="13" t="n">
        <v>44854</v>
      </c>
      <c r="P90" s="13"/>
      <c r="Q90" s="13" t="n">
        <v>44857</v>
      </c>
      <c r="R90" s="13" t="n">
        <v>44869</v>
      </c>
      <c r="S90" s="13"/>
      <c r="T90" s="13"/>
      <c r="U90" s="12" t="s">
        <v>80</v>
      </c>
      <c r="V90" s="14"/>
      <c r="W90" s="11"/>
      <c r="X90" s="11" t="s">
        <v>327</v>
      </c>
      <c r="Y90" s="11" t="n">
        <v>12</v>
      </c>
      <c r="Z90" s="11" t="s">
        <v>81</v>
      </c>
      <c r="AA90" s="15" t="str">
        <f aca="false">IF(AND(ISNUMBER(L90),ISNUMBER(M90)),M90-L90,"")</f>
        <v/>
      </c>
      <c r="AB90" s="15" t="str">
        <f aca="false">IF(AND(ISNUMBER(M90),ISNUMBER(P90)),P90-M90,"")</f>
        <v/>
      </c>
      <c r="AC90" s="15" t="str">
        <f aca="false">IF(AND(ISNUMBER(L90),ISNUMBER(P90)),P90-L90,"")</f>
        <v/>
      </c>
      <c r="AD90" s="15" t="str">
        <f aca="false">IF(AND(ISNUMBER(P90),ISNUMBER(Q90)),Q90-P90,"")</f>
        <v/>
      </c>
      <c r="AE90" s="15" t="n">
        <f aca="false">IF(AND(ISNUMBER(Q90),ISNUMBER(R90)),R90-Q90,IF(ISNUMBER(Y90),Y90,""))</f>
        <v>12</v>
      </c>
      <c r="AF90" s="15" t="str">
        <f aca="false">IF(AND(ISNUMBER(R90),ISNUMBER(S90)),S90-R90,"")</f>
        <v/>
      </c>
      <c r="AG90" s="15" t="str">
        <f aca="false">IF(AND(ISNUMBER(S90),ISNUMBER(T90)),T90-S90,"")</f>
        <v/>
      </c>
      <c r="AH90" s="15" t="str">
        <f aca="false">IF(AND(ISNUMBER(L90),ISNUMBER(T90)),T90-L90,"")</f>
        <v/>
      </c>
      <c r="AI90" s="15" t="n">
        <f aca="false">IF(AND(ISNUMBER(O90),ISNUMBER(Q90)),Q90-O90,"")</f>
        <v>3</v>
      </c>
      <c r="AJ90" s="15" t="str">
        <f aca="false">IF(B90="","",COUNT(L90:M90,P90:T90)&amp;"/7")</f>
        <v>2/7</v>
      </c>
      <c r="AK90" s="15" t="str">
        <f aca="false">IF(B90="","",IF(OR(AND(ISNUMBER(L90),ISNUMBER(M90),M90&lt;L90),AND(ISNUMBER(M90),ISNUMBER(P90),P90&lt;M90),AND(ISNUMBER(P90),ISNUMBER(Q90),Q90&lt;P90),AND(ISNUMBER(Q90),ISNUMBER(R90),R90&lt;Q90),AND(ISNUMBER(R90),ISNUMBER(S90),S90&lt;R90),AND(ISNUMBER(S90),ISNUMBER(T90),T90&lt;S90),AND(ISNUMBER(N90),ISNUMBER(O90),O90&lt;N90)),"Urutan tanggal salah",IF(AND(ISNUMBER(Q90),ISNUMBER(R90),ISNUMBER(Y90),ABS(R90-Q90-Y90)&gt;2),"S tanggal ≠ Sailing tercatat",IF(AND(ISNUMBER(Q90),ISNUMBER(O90),ABS(Q90-O90)&gt;60),"Cek tahun laycan",IF(AND(ISNUMBER(Q90),ISNUMBER(N90),Q90&lt;N90),"Berangkat sebelum laycan",IF(NOT(ISNUMBER(AE90)),"S belum ada","OK"))))))</f>
        <v>OK</v>
      </c>
    </row>
    <row r="91" customFormat="false" ht="15" hidden="false" customHeight="false" outlineLevel="0" collapsed="false">
      <c r="A91" s="11" t="n">
        <f aca="false">IF(B91="","",ROW()-4)</f>
        <v>87</v>
      </c>
      <c r="B91" s="12" t="s">
        <v>306</v>
      </c>
      <c r="C91" s="11" t="s">
        <v>306</v>
      </c>
      <c r="D91" s="11" t="n">
        <v>2022</v>
      </c>
      <c r="E91" s="11" t="s">
        <v>261</v>
      </c>
      <c r="F91" s="11" t="s">
        <v>302</v>
      </c>
      <c r="G91" s="11" t="s">
        <v>77</v>
      </c>
      <c r="H91" s="11" t="s">
        <v>328</v>
      </c>
      <c r="I91" s="11" t="s">
        <v>329</v>
      </c>
      <c r="J91" s="11"/>
      <c r="K91" s="11" t="n">
        <v>22000</v>
      </c>
      <c r="L91" s="13"/>
      <c r="M91" s="13"/>
      <c r="N91" s="13" t="n">
        <v>44864</v>
      </c>
      <c r="O91" s="13" t="n">
        <v>44864</v>
      </c>
      <c r="P91" s="13"/>
      <c r="Q91" s="13" t="n">
        <v>44875</v>
      </c>
      <c r="R91" s="13" t="n">
        <v>44889</v>
      </c>
      <c r="S91" s="13"/>
      <c r="T91" s="13"/>
      <c r="U91" s="12" t="s">
        <v>80</v>
      </c>
      <c r="V91" s="14"/>
      <c r="W91" s="11"/>
      <c r="X91" s="11" t="s">
        <v>330</v>
      </c>
      <c r="Y91" s="11" t="n">
        <v>14</v>
      </c>
      <c r="Z91" s="11" t="s">
        <v>81</v>
      </c>
      <c r="AA91" s="15" t="str">
        <f aca="false">IF(AND(ISNUMBER(L91),ISNUMBER(M91)),M91-L91,"")</f>
        <v/>
      </c>
      <c r="AB91" s="15" t="str">
        <f aca="false">IF(AND(ISNUMBER(M91),ISNUMBER(P91)),P91-M91,"")</f>
        <v/>
      </c>
      <c r="AC91" s="15" t="str">
        <f aca="false">IF(AND(ISNUMBER(L91),ISNUMBER(P91)),P91-L91,"")</f>
        <v/>
      </c>
      <c r="AD91" s="15" t="str">
        <f aca="false">IF(AND(ISNUMBER(P91),ISNUMBER(Q91)),Q91-P91,"")</f>
        <v/>
      </c>
      <c r="AE91" s="15" t="n">
        <f aca="false">IF(AND(ISNUMBER(Q91),ISNUMBER(R91)),R91-Q91,IF(ISNUMBER(Y91),Y91,""))</f>
        <v>14</v>
      </c>
      <c r="AF91" s="15" t="str">
        <f aca="false">IF(AND(ISNUMBER(R91),ISNUMBER(S91)),S91-R91,"")</f>
        <v/>
      </c>
      <c r="AG91" s="15" t="str">
        <f aca="false">IF(AND(ISNUMBER(S91),ISNUMBER(T91)),T91-S91,"")</f>
        <v/>
      </c>
      <c r="AH91" s="15" t="str">
        <f aca="false">IF(AND(ISNUMBER(L91),ISNUMBER(T91)),T91-L91,"")</f>
        <v/>
      </c>
      <c r="AI91" s="15" t="n">
        <f aca="false">IF(AND(ISNUMBER(O91),ISNUMBER(Q91)),Q91-O91,"")</f>
        <v>11</v>
      </c>
      <c r="AJ91" s="15" t="str">
        <f aca="false">IF(B91="","",COUNT(L91:M91,P91:T91)&amp;"/7")</f>
        <v>2/7</v>
      </c>
      <c r="AK91" s="15" t="str">
        <f aca="false">IF(B91="","",IF(OR(AND(ISNUMBER(L91),ISNUMBER(M91),M91&lt;L91),AND(ISNUMBER(M91),ISNUMBER(P91),P91&lt;M91),AND(ISNUMBER(P91),ISNUMBER(Q91),Q91&lt;P91),AND(ISNUMBER(Q91),ISNUMBER(R91),R91&lt;Q91),AND(ISNUMBER(R91),ISNUMBER(S91),S91&lt;R91),AND(ISNUMBER(S91),ISNUMBER(T91),T91&lt;S91),AND(ISNUMBER(N91),ISNUMBER(O91),O91&lt;N91)),"Urutan tanggal salah",IF(AND(ISNUMBER(Q91),ISNUMBER(R91),ISNUMBER(Y91),ABS(R91-Q91-Y91)&gt;2),"S tanggal ≠ Sailing tercatat",IF(AND(ISNUMBER(Q91),ISNUMBER(O91),ABS(Q91-O91)&gt;60),"Cek tahun laycan",IF(AND(ISNUMBER(Q91),ISNUMBER(N91),Q91&lt;N91),"Berangkat sebelum laycan",IF(NOT(ISNUMBER(AE91)),"S belum ada","OK"))))))</f>
        <v>OK</v>
      </c>
    </row>
    <row r="92" customFormat="false" ht="15" hidden="false" customHeight="false" outlineLevel="0" collapsed="false">
      <c r="A92" s="11" t="n">
        <f aca="false">IF(B92="","",ROW()-4)</f>
        <v>88</v>
      </c>
      <c r="B92" s="12" t="s">
        <v>306</v>
      </c>
      <c r="C92" s="11" t="s">
        <v>306</v>
      </c>
      <c r="D92" s="11" t="n">
        <v>2023</v>
      </c>
      <c r="E92" s="11" t="s">
        <v>261</v>
      </c>
      <c r="F92" s="11" t="s">
        <v>331</v>
      </c>
      <c r="G92" s="11" t="s">
        <v>77</v>
      </c>
      <c r="H92" s="11" t="s">
        <v>275</v>
      </c>
      <c r="I92" s="11" t="s">
        <v>332</v>
      </c>
      <c r="J92" s="11"/>
      <c r="K92" s="11" t="n">
        <v>21978</v>
      </c>
      <c r="L92" s="13"/>
      <c r="M92" s="13"/>
      <c r="N92" s="13" t="n">
        <v>44915</v>
      </c>
      <c r="O92" s="13" t="n">
        <v>44920</v>
      </c>
      <c r="P92" s="13"/>
      <c r="Q92" s="13" t="n">
        <v>44921</v>
      </c>
      <c r="R92" s="13" t="n">
        <v>44936</v>
      </c>
      <c r="S92" s="13"/>
      <c r="T92" s="13"/>
      <c r="U92" s="12" t="s">
        <v>80</v>
      </c>
      <c r="V92" s="14"/>
      <c r="W92" s="11"/>
      <c r="X92" s="11" t="s">
        <v>333</v>
      </c>
      <c r="Y92" s="11" t="n">
        <v>15</v>
      </c>
      <c r="Z92" s="11" t="s">
        <v>81</v>
      </c>
      <c r="AA92" s="15" t="str">
        <f aca="false">IF(AND(ISNUMBER(L92),ISNUMBER(M92)),M92-L92,"")</f>
        <v/>
      </c>
      <c r="AB92" s="15" t="str">
        <f aca="false">IF(AND(ISNUMBER(M92),ISNUMBER(P92)),P92-M92,"")</f>
        <v/>
      </c>
      <c r="AC92" s="15" t="str">
        <f aca="false">IF(AND(ISNUMBER(L92),ISNUMBER(P92)),P92-L92,"")</f>
        <v/>
      </c>
      <c r="AD92" s="15" t="str">
        <f aca="false">IF(AND(ISNUMBER(P92),ISNUMBER(Q92)),Q92-P92,"")</f>
        <v/>
      </c>
      <c r="AE92" s="15" t="n">
        <f aca="false">IF(AND(ISNUMBER(Q92),ISNUMBER(R92)),R92-Q92,IF(ISNUMBER(Y92),Y92,""))</f>
        <v>15</v>
      </c>
      <c r="AF92" s="15" t="str">
        <f aca="false">IF(AND(ISNUMBER(R92),ISNUMBER(S92)),S92-R92,"")</f>
        <v/>
      </c>
      <c r="AG92" s="15" t="str">
        <f aca="false">IF(AND(ISNUMBER(S92),ISNUMBER(T92)),T92-S92,"")</f>
        <v/>
      </c>
      <c r="AH92" s="15" t="str">
        <f aca="false">IF(AND(ISNUMBER(L92),ISNUMBER(T92)),T92-L92,"")</f>
        <v/>
      </c>
      <c r="AI92" s="15" t="n">
        <f aca="false">IF(AND(ISNUMBER(O92),ISNUMBER(Q92)),Q92-O92,"")</f>
        <v>1</v>
      </c>
      <c r="AJ92" s="15" t="str">
        <f aca="false">IF(B92="","",COUNT(L92:M92,P92:T92)&amp;"/7")</f>
        <v>2/7</v>
      </c>
      <c r="AK92" s="15" t="str">
        <f aca="false">IF(B92="","",IF(OR(AND(ISNUMBER(L92),ISNUMBER(M92),M92&lt;L92),AND(ISNUMBER(M92),ISNUMBER(P92),P92&lt;M92),AND(ISNUMBER(P92),ISNUMBER(Q92),Q92&lt;P92),AND(ISNUMBER(Q92),ISNUMBER(R92),R92&lt;Q92),AND(ISNUMBER(R92),ISNUMBER(S92),S92&lt;R92),AND(ISNUMBER(S92),ISNUMBER(T92),T92&lt;S92),AND(ISNUMBER(N92),ISNUMBER(O92),O92&lt;N92)),"Urutan tanggal salah",IF(AND(ISNUMBER(Q92),ISNUMBER(R92),ISNUMBER(Y92),ABS(R92-Q92-Y92)&gt;2),"S tanggal ≠ Sailing tercatat",IF(AND(ISNUMBER(Q92),ISNUMBER(O92),ABS(Q92-O92)&gt;60),"Cek tahun laycan",IF(AND(ISNUMBER(Q92),ISNUMBER(N92),Q92&lt;N92),"Berangkat sebelum laycan",IF(NOT(ISNUMBER(AE92)),"S belum ada","OK"))))))</f>
        <v>OK</v>
      </c>
    </row>
    <row r="93" customFormat="false" ht="15" hidden="false" customHeight="false" outlineLevel="0" collapsed="false">
      <c r="A93" s="11" t="n">
        <f aca="false">IF(B93="","",ROW()-4)</f>
        <v>89</v>
      </c>
      <c r="B93" s="12" t="s">
        <v>306</v>
      </c>
      <c r="C93" s="11" t="s">
        <v>306</v>
      </c>
      <c r="D93" s="11" t="n">
        <v>2023</v>
      </c>
      <c r="E93" s="11" t="s">
        <v>261</v>
      </c>
      <c r="F93" s="11" t="s">
        <v>302</v>
      </c>
      <c r="G93" s="11" t="s">
        <v>77</v>
      </c>
      <c r="H93" s="11" t="s">
        <v>334</v>
      </c>
      <c r="I93" s="11" t="s">
        <v>335</v>
      </c>
      <c r="J93" s="11"/>
      <c r="K93" s="11" t="n">
        <v>20000</v>
      </c>
      <c r="L93" s="13"/>
      <c r="M93" s="13"/>
      <c r="N93" s="13" t="n">
        <v>45015</v>
      </c>
      <c r="O93" s="13" t="n">
        <v>45018</v>
      </c>
      <c r="P93" s="13"/>
      <c r="Q93" s="13" t="n">
        <v>45019</v>
      </c>
      <c r="R93" s="13" t="n">
        <v>45034</v>
      </c>
      <c r="S93" s="13"/>
      <c r="T93" s="13"/>
      <c r="U93" s="12" t="s">
        <v>80</v>
      </c>
      <c r="V93" s="14"/>
      <c r="W93" s="11"/>
      <c r="X93" s="11" t="s">
        <v>336</v>
      </c>
      <c r="Y93" s="11" t="n">
        <v>15</v>
      </c>
      <c r="Z93" s="11" t="s">
        <v>81</v>
      </c>
      <c r="AA93" s="15" t="str">
        <f aca="false">IF(AND(ISNUMBER(L93),ISNUMBER(M93)),M93-L93,"")</f>
        <v/>
      </c>
      <c r="AB93" s="15" t="str">
        <f aca="false">IF(AND(ISNUMBER(M93),ISNUMBER(P93)),P93-M93,"")</f>
        <v/>
      </c>
      <c r="AC93" s="15" t="str">
        <f aca="false">IF(AND(ISNUMBER(L93),ISNUMBER(P93)),P93-L93,"")</f>
        <v/>
      </c>
      <c r="AD93" s="15" t="str">
        <f aca="false">IF(AND(ISNUMBER(P93),ISNUMBER(Q93)),Q93-P93,"")</f>
        <v/>
      </c>
      <c r="AE93" s="15" t="n">
        <f aca="false">IF(AND(ISNUMBER(Q93),ISNUMBER(R93)),R93-Q93,IF(ISNUMBER(Y93),Y93,""))</f>
        <v>15</v>
      </c>
      <c r="AF93" s="15" t="str">
        <f aca="false">IF(AND(ISNUMBER(R93),ISNUMBER(S93)),S93-R93,"")</f>
        <v/>
      </c>
      <c r="AG93" s="15" t="str">
        <f aca="false">IF(AND(ISNUMBER(S93),ISNUMBER(T93)),T93-S93,"")</f>
        <v/>
      </c>
      <c r="AH93" s="15" t="str">
        <f aca="false">IF(AND(ISNUMBER(L93),ISNUMBER(T93)),T93-L93,"")</f>
        <v/>
      </c>
      <c r="AI93" s="15" t="n">
        <f aca="false">IF(AND(ISNUMBER(O93),ISNUMBER(Q93)),Q93-O93,"")</f>
        <v>1</v>
      </c>
      <c r="AJ93" s="15" t="str">
        <f aca="false">IF(B93="","",COUNT(L93:M93,P93:T93)&amp;"/7")</f>
        <v>2/7</v>
      </c>
      <c r="AK93" s="15" t="str">
        <f aca="false">IF(B93="","",IF(OR(AND(ISNUMBER(L93),ISNUMBER(M93),M93&lt;L93),AND(ISNUMBER(M93),ISNUMBER(P93),P93&lt;M93),AND(ISNUMBER(P93),ISNUMBER(Q93),Q93&lt;P93),AND(ISNUMBER(Q93),ISNUMBER(R93),R93&lt;Q93),AND(ISNUMBER(R93),ISNUMBER(S93),S93&lt;R93),AND(ISNUMBER(S93),ISNUMBER(T93),T93&lt;S93),AND(ISNUMBER(N93),ISNUMBER(O93),O93&lt;N93)),"Urutan tanggal salah",IF(AND(ISNUMBER(Q93),ISNUMBER(R93),ISNUMBER(Y93),ABS(R93-Q93-Y93)&gt;2),"S tanggal ≠ Sailing tercatat",IF(AND(ISNUMBER(Q93),ISNUMBER(O93),ABS(Q93-O93)&gt;60),"Cek tahun laycan",IF(AND(ISNUMBER(Q93),ISNUMBER(N93),Q93&lt;N93),"Berangkat sebelum laycan",IF(NOT(ISNUMBER(AE93)),"S belum ada","OK"))))))</f>
        <v>OK</v>
      </c>
    </row>
    <row r="94" customFormat="false" ht="15" hidden="false" customHeight="false" outlineLevel="0" collapsed="false">
      <c r="A94" s="11" t="n">
        <f aca="false">IF(B94="","",ROW()-4)</f>
        <v>90</v>
      </c>
      <c r="B94" s="12" t="s">
        <v>306</v>
      </c>
      <c r="C94" s="11" t="s">
        <v>324</v>
      </c>
      <c r="D94" s="11" t="n">
        <v>2023</v>
      </c>
      <c r="E94" s="11" t="s">
        <v>261</v>
      </c>
      <c r="F94" s="11" t="s">
        <v>320</v>
      </c>
      <c r="G94" s="11" t="s">
        <v>77</v>
      </c>
      <c r="H94" s="11" t="s">
        <v>337</v>
      </c>
      <c r="I94" s="11" t="s">
        <v>338</v>
      </c>
      <c r="J94" s="11"/>
      <c r="K94" s="11" t="n">
        <v>11000</v>
      </c>
      <c r="L94" s="13"/>
      <c r="M94" s="13"/>
      <c r="N94" s="13" t="n">
        <v>45104</v>
      </c>
      <c r="O94" s="13" t="n">
        <v>45104</v>
      </c>
      <c r="P94" s="13"/>
      <c r="Q94" s="13" t="n">
        <v>45106</v>
      </c>
      <c r="R94" s="13" t="n">
        <v>45114</v>
      </c>
      <c r="S94" s="13"/>
      <c r="T94" s="13"/>
      <c r="U94" s="12" t="s">
        <v>80</v>
      </c>
      <c r="V94" s="14"/>
      <c r="W94" s="11"/>
      <c r="X94" s="11"/>
      <c r="Y94" s="11" t="n">
        <v>8</v>
      </c>
      <c r="Z94" s="11" t="s">
        <v>81</v>
      </c>
      <c r="AA94" s="15" t="str">
        <f aca="false">IF(AND(ISNUMBER(L94),ISNUMBER(M94)),M94-L94,"")</f>
        <v/>
      </c>
      <c r="AB94" s="15" t="str">
        <f aca="false">IF(AND(ISNUMBER(M94),ISNUMBER(P94)),P94-M94,"")</f>
        <v/>
      </c>
      <c r="AC94" s="15" t="str">
        <f aca="false">IF(AND(ISNUMBER(L94),ISNUMBER(P94)),P94-L94,"")</f>
        <v/>
      </c>
      <c r="AD94" s="15" t="str">
        <f aca="false">IF(AND(ISNUMBER(P94),ISNUMBER(Q94)),Q94-P94,"")</f>
        <v/>
      </c>
      <c r="AE94" s="15" t="n">
        <f aca="false">IF(AND(ISNUMBER(Q94),ISNUMBER(R94)),R94-Q94,IF(ISNUMBER(Y94),Y94,""))</f>
        <v>8</v>
      </c>
      <c r="AF94" s="15" t="str">
        <f aca="false">IF(AND(ISNUMBER(R94),ISNUMBER(S94)),S94-R94,"")</f>
        <v/>
      </c>
      <c r="AG94" s="15" t="str">
        <f aca="false">IF(AND(ISNUMBER(S94),ISNUMBER(T94)),T94-S94,"")</f>
        <v/>
      </c>
      <c r="AH94" s="15" t="str">
        <f aca="false">IF(AND(ISNUMBER(L94),ISNUMBER(T94)),T94-L94,"")</f>
        <v/>
      </c>
      <c r="AI94" s="15" t="n">
        <f aca="false">IF(AND(ISNUMBER(O94),ISNUMBER(Q94)),Q94-O94,"")</f>
        <v>2</v>
      </c>
      <c r="AJ94" s="15" t="str">
        <f aca="false">IF(B94="","",COUNT(L94:M94,P94:T94)&amp;"/7")</f>
        <v>2/7</v>
      </c>
      <c r="AK94" s="15" t="str">
        <f aca="false">IF(B94="","",IF(OR(AND(ISNUMBER(L94),ISNUMBER(M94),M94&lt;L94),AND(ISNUMBER(M94),ISNUMBER(P94),P94&lt;M94),AND(ISNUMBER(P94),ISNUMBER(Q94),Q94&lt;P94),AND(ISNUMBER(Q94),ISNUMBER(R94),R94&lt;Q94),AND(ISNUMBER(R94),ISNUMBER(S94),S94&lt;R94),AND(ISNUMBER(S94),ISNUMBER(T94),T94&lt;S94),AND(ISNUMBER(N94),ISNUMBER(O94),O94&lt;N94)),"Urutan tanggal salah",IF(AND(ISNUMBER(Q94),ISNUMBER(R94),ISNUMBER(Y94),ABS(R94-Q94-Y94)&gt;2),"S tanggal ≠ Sailing tercatat",IF(AND(ISNUMBER(Q94),ISNUMBER(O94),ABS(Q94-O94)&gt;60),"Cek tahun laycan",IF(AND(ISNUMBER(Q94),ISNUMBER(N94),Q94&lt;N94),"Berangkat sebelum laycan",IF(NOT(ISNUMBER(AE94)),"S belum ada","OK"))))))</f>
        <v>OK</v>
      </c>
    </row>
    <row r="95" customFormat="false" ht="15" hidden="false" customHeight="false" outlineLevel="0" collapsed="false">
      <c r="A95" s="11" t="n">
        <f aca="false">IF(B95="","",ROW()-4)</f>
        <v>91</v>
      </c>
      <c r="B95" s="12" t="s">
        <v>306</v>
      </c>
      <c r="C95" s="11" t="s">
        <v>339</v>
      </c>
      <c r="D95" s="11" t="n">
        <v>2023</v>
      </c>
      <c r="E95" s="11" t="s">
        <v>261</v>
      </c>
      <c r="F95" s="11" t="s">
        <v>340</v>
      </c>
      <c r="G95" s="11" t="s">
        <v>77</v>
      </c>
      <c r="H95" s="11" t="s">
        <v>337</v>
      </c>
      <c r="I95" s="11" t="s">
        <v>341</v>
      </c>
      <c r="J95" s="11"/>
      <c r="K95" s="11" t="n">
        <v>9000</v>
      </c>
      <c r="L95" s="13"/>
      <c r="M95" s="13"/>
      <c r="N95" s="13" t="n">
        <v>45174</v>
      </c>
      <c r="O95" s="13" t="n">
        <v>45179</v>
      </c>
      <c r="P95" s="13"/>
      <c r="Q95" s="13" t="n">
        <v>45180</v>
      </c>
      <c r="R95" s="13" t="n">
        <v>45190</v>
      </c>
      <c r="S95" s="13"/>
      <c r="T95" s="13"/>
      <c r="U95" s="12" t="s">
        <v>80</v>
      </c>
      <c r="V95" s="14"/>
      <c r="W95" s="11"/>
      <c r="X95" s="11" t="s">
        <v>342</v>
      </c>
      <c r="Y95" s="11" t="n">
        <v>10</v>
      </c>
      <c r="Z95" s="11" t="s">
        <v>81</v>
      </c>
      <c r="AA95" s="15" t="str">
        <f aca="false">IF(AND(ISNUMBER(L95),ISNUMBER(M95)),M95-L95,"")</f>
        <v/>
      </c>
      <c r="AB95" s="15" t="str">
        <f aca="false">IF(AND(ISNUMBER(M95),ISNUMBER(P95)),P95-M95,"")</f>
        <v/>
      </c>
      <c r="AC95" s="15" t="str">
        <f aca="false">IF(AND(ISNUMBER(L95),ISNUMBER(P95)),P95-L95,"")</f>
        <v/>
      </c>
      <c r="AD95" s="15" t="str">
        <f aca="false">IF(AND(ISNUMBER(P95),ISNUMBER(Q95)),Q95-P95,"")</f>
        <v/>
      </c>
      <c r="AE95" s="15" t="n">
        <f aca="false">IF(AND(ISNUMBER(Q95),ISNUMBER(R95)),R95-Q95,IF(ISNUMBER(Y95),Y95,""))</f>
        <v>10</v>
      </c>
      <c r="AF95" s="15" t="str">
        <f aca="false">IF(AND(ISNUMBER(R95),ISNUMBER(S95)),S95-R95,"")</f>
        <v/>
      </c>
      <c r="AG95" s="15" t="str">
        <f aca="false">IF(AND(ISNUMBER(S95),ISNUMBER(T95)),T95-S95,"")</f>
        <v/>
      </c>
      <c r="AH95" s="15" t="str">
        <f aca="false">IF(AND(ISNUMBER(L95),ISNUMBER(T95)),T95-L95,"")</f>
        <v/>
      </c>
      <c r="AI95" s="15" t="n">
        <f aca="false">IF(AND(ISNUMBER(O95),ISNUMBER(Q95)),Q95-O95,"")</f>
        <v>1</v>
      </c>
      <c r="AJ95" s="15" t="str">
        <f aca="false">IF(B95="","",COUNT(L95:M95,P95:T95)&amp;"/7")</f>
        <v>2/7</v>
      </c>
      <c r="AK95" s="15" t="str">
        <f aca="false">IF(B95="","",IF(OR(AND(ISNUMBER(L95),ISNUMBER(M95),M95&lt;L95),AND(ISNUMBER(M95),ISNUMBER(P95),P95&lt;M95),AND(ISNUMBER(P95),ISNUMBER(Q95),Q95&lt;P95),AND(ISNUMBER(Q95),ISNUMBER(R95),R95&lt;Q95),AND(ISNUMBER(R95),ISNUMBER(S95),S95&lt;R95),AND(ISNUMBER(S95),ISNUMBER(T95),T95&lt;S95),AND(ISNUMBER(N95),ISNUMBER(O95),O95&lt;N95)),"Urutan tanggal salah",IF(AND(ISNUMBER(Q95),ISNUMBER(R95),ISNUMBER(Y95),ABS(R95-Q95-Y95)&gt;2),"S tanggal ≠ Sailing tercatat",IF(AND(ISNUMBER(Q95),ISNUMBER(O95),ABS(Q95-O95)&gt;60),"Cek tahun laycan",IF(AND(ISNUMBER(Q95),ISNUMBER(N95),Q95&lt;N95),"Berangkat sebelum laycan",IF(NOT(ISNUMBER(AE95)),"S belum ada","OK"))))))</f>
        <v>OK</v>
      </c>
    </row>
    <row r="96" customFormat="false" ht="15" hidden="false" customHeight="false" outlineLevel="0" collapsed="false">
      <c r="A96" s="11" t="n">
        <f aca="false">IF(B96="","",ROW()-4)</f>
        <v>92</v>
      </c>
      <c r="B96" s="12" t="s">
        <v>306</v>
      </c>
      <c r="C96" s="11" t="s">
        <v>343</v>
      </c>
      <c r="D96" s="11" t="n">
        <v>2024</v>
      </c>
      <c r="E96" s="11" t="s">
        <v>261</v>
      </c>
      <c r="F96" s="11" t="s">
        <v>344</v>
      </c>
      <c r="G96" s="11" t="s">
        <v>77</v>
      </c>
      <c r="H96" s="11" t="s">
        <v>337</v>
      </c>
      <c r="I96" s="11" t="s">
        <v>345</v>
      </c>
      <c r="J96" s="11"/>
      <c r="K96" s="11" t="n">
        <v>16000</v>
      </c>
      <c r="L96" s="13"/>
      <c r="M96" s="13"/>
      <c r="N96" s="13" t="n">
        <v>45347</v>
      </c>
      <c r="O96" s="13" t="n">
        <v>45351</v>
      </c>
      <c r="P96" s="13"/>
      <c r="Q96" s="13" t="n">
        <v>45348</v>
      </c>
      <c r="R96" s="13" t="n">
        <v>45367</v>
      </c>
      <c r="S96" s="13"/>
      <c r="T96" s="13"/>
      <c r="U96" s="12" t="s">
        <v>80</v>
      </c>
      <c r="V96" s="14"/>
      <c r="W96" s="11" t="s">
        <v>346</v>
      </c>
      <c r="X96" s="11" t="s">
        <v>347</v>
      </c>
      <c r="Y96" s="11" t="n">
        <v>19</v>
      </c>
      <c r="Z96" s="11" t="s">
        <v>81</v>
      </c>
      <c r="AA96" s="15" t="str">
        <f aca="false">IF(AND(ISNUMBER(L96),ISNUMBER(M96)),M96-L96,"")</f>
        <v/>
      </c>
      <c r="AB96" s="15" t="str">
        <f aca="false">IF(AND(ISNUMBER(M96),ISNUMBER(P96)),P96-M96,"")</f>
        <v/>
      </c>
      <c r="AC96" s="15" t="str">
        <f aca="false">IF(AND(ISNUMBER(L96),ISNUMBER(P96)),P96-L96,"")</f>
        <v/>
      </c>
      <c r="AD96" s="15" t="str">
        <f aca="false">IF(AND(ISNUMBER(P96),ISNUMBER(Q96)),Q96-P96,"")</f>
        <v/>
      </c>
      <c r="AE96" s="15" t="n">
        <f aca="false">IF(AND(ISNUMBER(Q96),ISNUMBER(R96)),R96-Q96,IF(ISNUMBER(Y96),Y96,""))</f>
        <v>19</v>
      </c>
      <c r="AF96" s="15" t="str">
        <f aca="false">IF(AND(ISNUMBER(R96),ISNUMBER(S96)),S96-R96,"")</f>
        <v/>
      </c>
      <c r="AG96" s="15" t="str">
        <f aca="false">IF(AND(ISNUMBER(S96),ISNUMBER(T96)),T96-S96,"")</f>
        <v/>
      </c>
      <c r="AH96" s="15" t="str">
        <f aca="false">IF(AND(ISNUMBER(L96),ISNUMBER(T96)),T96-L96,"")</f>
        <v/>
      </c>
      <c r="AI96" s="15" t="n">
        <f aca="false">IF(AND(ISNUMBER(O96),ISNUMBER(Q96)),Q96-O96,"")</f>
        <v>-3</v>
      </c>
      <c r="AJ96" s="15" t="str">
        <f aca="false">IF(B96="","",COUNT(L96:M96,P96:T96)&amp;"/7")</f>
        <v>2/7</v>
      </c>
      <c r="AK96" s="15" t="str">
        <f aca="false">IF(B96="","",IF(OR(AND(ISNUMBER(L96),ISNUMBER(M96),M96&lt;L96),AND(ISNUMBER(M96),ISNUMBER(P96),P96&lt;M96),AND(ISNUMBER(P96),ISNUMBER(Q96),Q96&lt;P96),AND(ISNUMBER(Q96),ISNUMBER(R96),R96&lt;Q96),AND(ISNUMBER(R96),ISNUMBER(S96),S96&lt;R96),AND(ISNUMBER(S96),ISNUMBER(T96),T96&lt;S96),AND(ISNUMBER(N96),ISNUMBER(O96),O96&lt;N96)),"Urutan tanggal salah",IF(AND(ISNUMBER(Q96),ISNUMBER(R96),ISNUMBER(Y96),ABS(R96-Q96-Y96)&gt;2),"S tanggal ≠ Sailing tercatat",IF(AND(ISNUMBER(Q96),ISNUMBER(O96),ABS(Q96-O96)&gt;60),"Cek tahun laycan",IF(AND(ISNUMBER(Q96),ISNUMBER(N96),Q96&lt;N96),"Berangkat sebelum laycan",IF(NOT(ISNUMBER(AE96)),"S belum ada","OK"))))))</f>
        <v>OK</v>
      </c>
    </row>
    <row r="97" customFormat="false" ht="15" hidden="false" customHeight="false" outlineLevel="0" collapsed="false">
      <c r="A97" s="11" t="n">
        <f aca="false">IF(B97="","",ROW()-4)</f>
        <v>93</v>
      </c>
      <c r="B97" s="12" t="s">
        <v>306</v>
      </c>
      <c r="C97" s="11" t="s">
        <v>324</v>
      </c>
      <c r="D97" s="11" t="n">
        <v>2023</v>
      </c>
      <c r="E97" s="11" t="s">
        <v>261</v>
      </c>
      <c r="F97" s="11" t="s">
        <v>320</v>
      </c>
      <c r="G97" s="11" t="s">
        <v>77</v>
      </c>
      <c r="H97" s="11" t="s">
        <v>334</v>
      </c>
      <c r="I97" s="11" t="s">
        <v>348</v>
      </c>
      <c r="J97" s="11"/>
      <c r="K97" s="11" t="n">
        <v>18000</v>
      </c>
      <c r="L97" s="13"/>
      <c r="M97" s="13"/>
      <c r="N97" s="13" t="n">
        <v>45219</v>
      </c>
      <c r="O97" s="13" t="n">
        <v>45222</v>
      </c>
      <c r="P97" s="13"/>
      <c r="Q97" s="13" t="n">
        <v>45223</v>
      </c>
      <c r="R97" s="13" t="n">
        <v>45233</v>
      </c>
      <c r="S97" s="13"/>
      <c r="T97" s="13"/>
      <c r="U97" s="12" t="s">
        <v>80</v>
      </c>
      <c r="V97" s="14"/>
      <c r="W97" s="11"/>
      <c r="X97" s="11" t="s">
        <v>349</v>
      </c>
      <c r="Y97" s="11" t="n">
        <v>10</v>
      </c>
      <c r="Z97" s="11" t="s">
        <v>81</v>
      </c>
      <c r="AA97" s="15" t="str">
        <f aca="false">IF(AND(ISNUMBER(L97),ISNUMBER(M97)),M97-L97,"")</f>
        <v/>
      </c>
      <c r="AB97" s="15" t="str">
        <f aca="false">IF(AND(ISNUMBER(M97),ISNUMBER(P97)),P97-M97,"")</f>
        <v/>
      </c>
      <c r="AC97" s="15" t="str">
        <f aca="false">IF(AND(ISNUMBER(L97),ISNUMBER(P97)),P97-L97,"")</f>
        <v/>
      </c>
      <c r="AD97" s="15" t="str">
        <f aca="false">IF(AND(ISNUMBER(P97),ISNUMBER(Q97)),Q97-P97,"")</f>
        <v/>
      </c>
      <c r="AE97" s="15" t="n">
        <f aca="false">IF(AND(ISNUMBER(Q97),ISNUMBER(R97)),R97-Q97,IF(ISNUMBER(Y97),Y97,""))</f>
        <v>10</v>
      </c>
      <c r="AF97" s="15" t="str">
        <f aca="false">IF(AND(ISNUMBER(R97),ISNUMBER(S97)),S97-R97,"")</f>
        <v/>
      </c>
      <c r="AG97" s="15" t="str">
        <f aca="false">IF(AND(ISNUMBER(S97),ISNUMBER(T97)),T97-S97,"")</f>
        <v/>
      </c>
      <c r="AH97" s="15" t="str">
        <f aca="false">IF(AND(ISNUMBER(L97),ISNUMBER(T97)),T97-L97,"")</f>
        <v/>
      </c>
      <c r="AI97" s="15" t="n">
        <f aca="false">IF(AND(ISNUMBER(O97),ISNUMBER(Q97)),Q97-O97,"")</f>
        <v>1</v>
      </c>
      <c r="AJ97" s="15" t="str">
        <f aca="false">IF(B97="","",COUNT(L97:M97,P97:T97)&amp;"/7")</f>
        <v>2/7</v>
      </c>
      <c r="AK97" s="15" t="str">
        <f aca="false">IF(B97="","",IF(OR(AND(ISNUMBER(L97),ISNUMBER(M97),M97&lt;L97),AND(ISNUMBER(M97),ISNUMBER(P97),P97&lt;M97),AND(ISNUMBER(P97),ISNUMBER(Q97),Q97&lt;P97),AND(ISNUMBER(Q97),ISNUMBER(R97),R97&lt;Q97),AND(ISNUMBER(R97),ISNUMBER(S97),S97&lt;R97),AND(ISNUMBER(S97),ISNUMBER(T97),T97&lt;S97),AND(ISNUMBER(N97),ISNUMBER(O97),O97&lt;N97)),"Urutan tanggal salah",IF(AND(ISNUMBER(Q97),ISNUMBER(R97),ISNUMBER(Y97),ABS(R97-Q97-Y97)&gt;2),"S tanggal ≠ Sailing tercatat",IF(AND(ISNUMBER(Q97),ISNUMBER(O97),ABS(Q97-O97)&gt;60),"Cek tahun laycan",IF(AND(ISNUMBER(Q97),ISNUMBER(N97),Q97&lt;N97),"Berangkat sebelum laycan",IF(NOT(ISNUMBER(AE97)),"S belum ada","OK"))))))</f>
        <v>OK</v>
      </c>
    </row>
    <row r="98" customFormat="false" ht="15" hidden="false" customHeight="false" outlineLevel="0" collapsed="false">
      <c r="A98" s="11" t="n">
        <f aca="false">IF(B98="","",ROW()-4)</f>
        <v>94</v>
      </c>
      <c r="B98" s="12" t="s">
        <v>306</v>
      </c>
      <c r="C98" s="11" t="s">
        <v>306</v>
      </c>
      <c r="D98" s="11" t="n">
        <v>2023</v>
      </c>
      <c r="E98" s="11" t="s">
        <v>261</v>
      </c>
      <c r="F98" s="11" t="s">
        <v>320</v>
      </c>
      <c r="G98" s="11" t="s">
        <v>77</v>
      </c>
      <c r="H98" s="11" t="s">
        <v>317</v>
      </c>
      <c r="I98" s="11" t="s">
        <v>106</v>
      </c>
      <c r="J98" s="11"/>
      <c r="K98" s="11" t="n">
        <v>11000</v>
      </c>
      <c r="L98" s="13"/>
      <c r="M98" s="13"/>
      <c r="N98" s="13" t="n">
        <v>45226</v>
      </c>
      <c r="O98" s="13" t="n">
        <v>45233</v>
      </c>
      <c r="P98" s="13"/>
      <c r="Q98" s="13" t="n">
        <v>45234</v>
      </c>
      <c r="R98" s="13" t="n">
        <v>45239</v>
      </c>
      <c r="S98" s="13"/>
      <c r="T98" s="13"/>
      <c r="U98" s="12" t="s">
        <v>80</v>
      </c>
      <c r="V98" s="14"/>
      <c r="W98" s="11"/>
      <c r="X98" s="11" t="s">
        <v>350</v>
      </c>
      <c r="Y98" s="11" t="n">
        <v>5</v>
      </c>
      <c r="Z98" s="11" t="s">
        <v>81</v>
      </c>
      <c r="AA98" s="15" t="str">
        <f aca="false">IF(AND(ISNUMBER(L98),ISNUMBER(M98)),M98-L98,"")</f>
        <v/>
      </c>
      <c r="AB98" s="15" t="str">
        <f aca="false">IF(AND(ISNUMBER(M98),ISNUMBER(P98)),P98-M98,"")</f>
        <v/>
      </c>
      <c r="AC98" s="15" t="str">
        <f aca="false">IF(AND(ISNUMBER(L98),ISNUMBER(P98)),P98-L98,"")</f>
        <v/>
      </c>
      <c r="AD98" s="15" t="str">
        <f aca="false">IF(AND(ISNUMBER(P98),ISNUMBER(Q98)),Q98-P98,"")</f>
        <v/>
      </c>
      <c r="AE98" s="15" t="n">
        <f aca="false">IF(AND(ISNUMBER(Q98),ISNUMBER(R98)),R98-Q98,IF(ISNUMBER(Y98),Y98,""))</f>
        <v>5</v>
      </c>
      <c r="AF98" s="15" t="str">
        <f aca="false">IF(AND(ISNUMBER(R98),ISNUMBER(S98)),S98-R98,"")</f>
        <v/>
      </c>
      <c r="AG98" s="15" t="str">
        <f aca="false">IF(AND(ISNUMBER(S98),ISNUMBER(T98)),T98-S98,"")</f>
        <v/>
      </c>
      <c r="AH98" s="15" t="str">
        <f aca="false">IF(AND(ISNUMBER(L98),ISNUMBER(T98)),T98-L98,"")</f>
        <v/>
      </c>
      <c r="AI98" s="15" t="n">
        <f aca="false">IF(AND(ISNUMBER(O98),ISNUMBER(Q98)),Q98-O98,"")</f>
        <v>1</v>
      </c>
      <c r="AJ98" s="15" t="str">
        <f aca="false">IF(B98="","",COUNT(L98:M98,P98:T98)&amp;"/7")</f>
        <v>2/7</v>
      </c>
      <c r="AK98" s="15" t="str">
        <f aca="false">IF(B98="","",IF(OR(AND(ISNUMBER(L98),ISNUMBER(M98),M98&lt;L98),AND(ISNUMBER(M98),ISNUMBER(P98),P98&lt;M98),AND(ISNUMBER(P98),ISNUMBER(Q98),Q98&lt;P98),AND(ISNUMBER(Q98),ISNUMBER(R98),R98&lt;Q98),AND(ISNUMBER(R98),ISNUMBER(S98),S98&lt;R98),AND(ISNUMBER(S98),ISNUMBER(T98),T98&lt;S98),AND(ISNUMBER(N98),ISNUMBER(O98),O98&lt;N98)),"Urutan tanggal salah",IF(AND(ISNUMBER(Q98),ISNUMBER(R98),ISNUMBER(Y98),ABS(R98-Q98-Y98)&gt;2),"S tanggal ≠ Sailing tercatat",IF(AND(ISNUMBER(Q98),ISNUMBER(O98),ABS(Q98-O98)&gt;60),"Cek tahun laycan",IF(AND(ISNUMBER(Q98),ISNUMBER(N98),Q98&lt;N98),"Berangkat sebelum laycan",IF(NOT(ISNUMBER(AE98)),"S belum ada","OK"))))))</f>
        <v>OK</v>
      </c>
    </row>
    <row r="99" customFormat="false" ht="15" hidden="false" customHeight="false" outlineLevel="0" collapsed="false">
      <c r="A99" s="11" t="n">
        <f aca="false">IF(B99="","",ROW()-4)</f>
        <v>95</v>
      </c>
      <c r="B99" s="12" t="s">
        <v>306</v>
      </c>
      <c r="C99" s="11" t="s">
        <v>306</v>
      </c>
      <c r="D99" s="11" t="n">
        <v>2023</v>
      </c>
      <c r="E99" s="11" t="s">
        <v>261</v>
      </c>
      <c r="F99" s="11" t="s">
        <v>351</v>
      </c>
      <c r="G99" s="11" t="s">
        <v>77</v>
      </c>
      <c r="H99" s="11" t="s">
        <v>317</v>
      </c>
      <c r="I99" s="11" t="s">
        <v>352</v>
      </c>
      <c r="J99" s="11"/>
      <c r="K99" s="11" t="n">
        <v>10800</v>
      </c>
      <c r="L99" s="13"/>
      <c r="M99" s="13"/>
      <c r="N99" s="13" t="n">
        <v>45250</v>
      </c>
      <c r="O99" s="13" t="n">
        <v>45255</v>
      </c>
      <c r="P99" s="13"/>
      <c r="Q99" s="13" t="n">
        <v>45256</v>
      </c>
      <c r="R99" s="13" t="n">
        <v>45270</v>
      </c>
      <c r="S99" s="13"/>
      <c r="T99" s="13"/>
      <c r="U99" s="12" t="s">
        <v>80</v>
      </c>
      <c r="V99" s="14"/>
      <c r="W99" s="11"/>
      <c r="X99" s="11" t="s">
        <v>353</v>
      </c>
      <c r="Y99" s="11" t="n">
        <v>14</v>
      </c>
      <c r="Z99" s="11" t="s">
        <v>81</v>
      </c>
      <c r="AA99" s="15" t="str">
        <f aca="false">IF(AND(ISNUMBER(L99),ISNUMBER(M99)),M99-L99,"")</f>
        <v/>
      </c>
      <c r="AB99" s="15" t="str">
        <f aca="false">IF(AND(ISNUMBER(M99),ISNUMBER(P99)),P99-M99,"")</f>
        <v/>
      </c>
      <c r="AC99" s="15" t="str">
        <f aca="false">IF(AND(ISNUMBER(L99),ISNUMBER(P99)),P99-L99,"")</f>
        <v/>
      </c>
      <c r="AD99" s="15" t="str">
        <f aca="false">IF(AND(ISNUMBER(P99),ISNUMBER(Q99)),Q99-P99,"")</f>
        <v/>
      </c>
      <c r="AE99" s="15" t="n">
        <f aca="false">IF(AND(ISNUMBER(Q99),ISNUMBER(R99)),R99-Q99,IF(ISNUMBER(Y99),Y99,""))</f>
        <v>14</v>
      </c>
      <c r="AF99" s="15" t="str">
        <f aca="false">IF(AND(ISNUMBER(R99),ISNUMBER(S99)),S99-R99,"")</f>
        <v/>
      </c>
      <c r="AG99" s="15" t="str">
        <f aca="false">IF(AND(ISNUMBER(S99),ISNUMBER(T99)),T99-S99,"")</f>
        <v/>
      </c>
      <c r="AH99" s="15" t="str">
        <f aca="false">IF(AND(ISNUMBER(L99),ISNUMBER(T99)),T99-L99,"")</f>
        <v/>
      </c>
      <c r="AI99" s="15" t="n">
        <f aca="false">IF(AND(ISNUMBER(O99),ISNUMBER(Q99)),Q99-O99,"")</f>
        <v>1</v>
      </c>
      <c r="AJ99" s="15" t="str">
        <f aca="false">IF(B99="","",COUNT(L99:M99,P99:T99)&amp;"/7")</f>
        <v>2/7</v>
      </c>
      <c r="AK99" s="15" t="str">
        <f aca="false">IF(B99="","",IF(OR(AND(ISNUMBER(L99),ISNUMBER(M99),M99&lt;L99),AND(ISNUMBER(M99),ISNUMBER(P99),P99&lt;M99),AND(ISNUMBER(P99),ISNUMBER(Q99),Q99&lt;P99),AND(ISNUMBER(Q99),ISNUMBER(R99),R99&lt;Q99),AND(ISNUMBER(R99),ISNUMBER(S99),S99&lt;R99),AND(ISNUMBER(S99),ISNUMBER(T99),T99&lt;S99),AND(ISNUMBER(N99),ISNUMBER(O99),O99&lt;N99)),"Urutan tanggal salah",IF(AND(ISNUMBER(Q99),ISNUMBER(R99),ISNUMBER(Y99),ABS(R99-Q99-Y99)&gt;2),"S tanggal ≠ Sailing tercatat",IF(AND(ISNUMBER(Q99),ISNUMBER(O99),ABS(Q99-O99)&gt;60),"Cek tahun laycan",IF(AND(ISNUMBER(Q99),ISNUMBER(N99),Q99&lt;N99),"Berangkat sebelum laycan",IF(NOT(ISNUMBER(AE99)),"S belum ada","OK"))))))</f>
        <v>OK</v>
      </c>
    </row>
    <row r="100" customFormat="false" ht="15" hidden="false" customHeight="false" outlineLevel="0" collapsed="false">
      <c r="A100" s="11" t="n">
        <f aca="false">IF(B100="","",ROW()-4)</f>
        <v>96</v>
      </c>
      <c r="B100" s="12" t="s">
        <v>306</v>
      </c>
      <c r="C100" s="11" t="s">
        <v>306</v>
      </c>
      <c r="D100" s="11" t="n">
        <v>2024</v>
      </c>
      <c r="E100" s="11" t="s">
        <v>261</v>
      </c>
      <c r="F100" s="11" t="s">
        <v>354</v>
      </c>
      <c r="G100" s="11" t="s">
        <v>77</v>
      </c>
      <c r="H100" s="11" t="s">
        <v>355</v>
      </c>
      <c r="I100" s="11" t="s">
        <v>356</v>
      </c>
      <c r="J100" s="11"/>
      <c r="K100" s="11" t="n">
        <v>36000</v>
      </c>
      <c r="L100" s="13"/>
      <c r="M100" s="13"/>
      <c r="N100" s="13" t="n">
        <v>45366</v>
      </c>
      <c r="O100" s="13" t="n">
        <v>45371</v>
      </c>
      <c r="P100" s="13"/>
      <c r="Q100" s="13" t="n">
        <v>45372</v>
      </c>
      <c r="R100" s="13" t="n">
        <v>45380</v>
      </c>
      <c r="S100" s="13"/>
      <c r="T100" s="13"/>
      <c r="U100" s="12" t="s">
        <v>80</v>
      </c>
      <c r="V100" s="14"/>
      <c r="W100" s="11" t="s">
        <v>357</v>
      </c>
      <c r="X100" s="11" t="s">
        <v>358</v>
      </c>
      <c r="Y100" s="11" t="n">
        <v>8</v>
      </c>
      <c r="Z100" s="11" t="s">
        <v>81</v>
      </c>
      <c r="AA100" s="15" t="str">
        <f aca="false">IF(AND(ISNUMBER(L100),ISNUMBER(M100)),M100-L100,"")</f>
        <v/>
      </c>
      <c r="AB100" s="15" t="str">
        <f aca="false">IF(AND(ISNUMBER(M100),ISNUMBER(P100)),P100-M100,"")</f>
        <v/>
      </c>
      <c r="AC100" s="15" t="str">
        <f aca="false">IF(AND(ISNUMBER(L100),ISNUMBER(P100)),P100-L100,"")</f>
        <v/>
      </c>
      <c r="AD100" s="15" t="str">
        <f aca="false">IF(AND(ISNUMBER(P100),ISNUMBER(Q100)),Q100-P100,"")</f>
        <v/>
      </c>
      <c r="AE100" s="15" t="n">
        <f aca="false">IF(AND(ISNUMBER(Q100),ISNUMBER(R100)),R100-Q100,IF(ISNUMBER(Y100),Y100,""))</f>
        <v>8</v>
      </c>
      <c r="AF100" s="15" t="str">
        <f aca="false">IF(AND(ISNUMBER(R100),ISNUMBER(S100)),S100-R100,"")</f>
        <v/>
      </c>
      <c r="AG100" s="15" t="str">
        <f aca="false">IF(AND(ISNUMBER(S100),ISNUMBER(T100)),T100-S100,"")</f>
        <v/>
      </c>
      <c r="AH100" s="15" t="str">
        <f aca="false">IF(AND(ISNUMBER(L100),ISNUMBER(T100)),T100-L100,"")</f>
        <v/>
      </c>
      <c r="AI100" s="15" t="n">
        <f aca="false">IF(AND(ISNUMBER(O100),ISNUMBER(Q100)),Q100-O100,"")</f>
        <v>1</v>
      </c>
      <c r="AJ100" s="15" t="str">
        <f aca="false">IF(B100="","",COUNT(L100:M100,P100:T100)&amp;"/7")</f>
        <v>2/7</v>
      </c>
      <c r="AK100" s="15" t="str">
        <f aca="false">IF(B100="","",IF(OR(AND(ISNUMBER(L100),ISNUMBER(M100),M100&lt;L100),AND(ISNUMBER(M100),ISNUMBER(P100),P100&lt;M100),AND(ISNUMBER(P100),ISNUMBER(Q100),Q100&lt;P100),AND(ISNUMBER(Q100),ISNUMBER(R100),R100&lt;Q100),AND(ISNUMBER(R100),ISNUMBER(S100),S100&lt;R100),AND(ISNUMBER(S100),ISNUMBER(T100),T100&lt;S100),AND(ISNUMBER(N100),ISNUMBER(O100),O100&lt;N100)),"Urutan tanggal salah",IF(AND(ISNUMBER(Q100),ISNUMBER(R100),ISNUMBER(Y100),ABS(R100-Q100-Y100)&gt;2),"S tanggal ≠ Sailing tercatat",IF(AND(ISNUMBER(Q100),ISNUMBER(O100),ABS(Q100-O100)&gt;60),"Cek tahun laycan",IF(AND(ISNUMBER(Q100),ISNUMBER(N100),Q100&lt;N100),"Berangkat sebelum laycan",IF(NOT(ISNUMBER(AE100)),"S belum ada","OK"))))))</f>
        <v>OK</v>
      </c>
    </row>
    <row r="101" customFormat="false" ht="15" hidden="false" customHeight="false" outlineLevel="0" collapsed="false">
      <c r="A101" s="11" t="n">
        <f aca="false">IF(B101="","",ROW()-4)</f>
        <v>97</v>
      </c>
      <c r="B101" s="12" t="s">
        <v>306</v>
      </c>
      <c r="C101" s="11" t="s">
        <v>306</v>
      </c>
      <c r="D101" s="11" t="n">
        <v>2024</v>
      </c>
      <c r="E101" s="11" t="s">
        <v>261</v>
      </c>
      <c r="F101" s="11"/>
      <c r="G101" s="11" t="s">
        <v>77</v>
      </c>
      <c r="H101" s="11" t="s">
        <v>359</v>
      </c>
      <c r="I101" s="11"/>
      <c r="J101" s="11"/>
      <c r="K101" s="11" t="n">
        <v>0</v>
      </c>
      <c r="L101" s="13"/>
      <c r="M101" s="13"/>
      <c r="N101" s="13"/>
      <c r="O101" s="13"/>
      <c r="P101" s="13"/>
      <c r="Q101" s="13"/>
      <c r="R101" s="13"/>
      <c r="S101" s="13"/>
      <c r="T101" s="13"/>
      <c r="U101" s="12"/>
      <c r="V101" s="14"/>
      <c r="W101" s="11" t="s">
        <v>360</v>
      </c>
      <c r="X101" s="11"/>
      <c r="Y101" s="11"/>
      <c r="Z101" s="11" t="s">
        <v>81</v>
      </c>
      <c r="AA101" s="15" t="str">
        <f aca="false">IF(AND(ISNUMBER(L101),ISNUMBER(M101)),M101-L101,"")</f>
        <v/>
      </c>
      <c r="AB101" s="15" t="str">
        <f aca="false">IF(AND(ISNUMBER(M101),ISNUMBER(P101)),P101-M101,"")</f>
        <v/>
      </c>
      <c r="AC101" s="15" t="str">
        <f aca="false">IF(AND(ISNUMBER(L101),ISNUMBER(P101)),P101-L101,"")</f>
        <v/>
      </c>
      <c r="AD101" s="15" t="str">
        <f aca="false">IF(AND(ISNUMBER(P101),ISNUMBER(Q101)),Q101-P101,"")</f>
        <v/>
      </c>
      <c r="AE101" s="15" t="str">
        <f aca="false">IF(AND(ISNUMBER(Q101),ISNUMBER(R101)),R101-Q101,IF(ISNUMBER(Y101),Y101,""))</f>
        <v/>
      </c>
      <c r="AF101" s="15" t="str">
        <f aca="false">IF(AND(ISNUMBER(R101),ISNUMBER(S101)),S101-R101,"")</f>
        <v/>
      </c>
      <c r="AG101" s="15" t="str">
        <f aca="false">IF(AND(ISNUMBER(S101),ISNUMBER(T101)),T101-S101,"")</f>
        <v/>
      </c>
      <c r="AH101" s="15" t="str">
        <f aca="false">IF(AND(ISNUMBER(L101),ISNUMBER(T101)),T101-L101,"")</f>
        <v/>
      </c>
      <c r="AI101" s="15" t="str">
        <f aca="false">IF(AND(ISNUMBER(O101),ISNUMBER(Q101)),Q101-O101,"")</f>
        <v/>
      </c>
      <c r="AJ101" s="15" t="str">
        <f aca="false">IF(B101="","",COUNT(L101:M101,P101:T101)&amp;"/7")</f>
        <v>0/7</v>
      </c>
      <c r="AK101" s="15" t="str">
        <f aca="false">IF(B101="","",IF(OR(AND(ISNUMBER(L101),ISNUMBER(M101),M101&lt;L101),AND(ISNUMBER(M101),ISNUMBER(P101),P101&lt;M101),AND(ISNUMBER(P101),ISNUMBER(Q101),Q101&lt;P101),AND(ISNUMBER(Q101),ISNUMBER(R101),R101&lt;Q101),AND(ISNUMBER(R101),ISNUMBER(S101),S101&lt;R101),AND(ISNUMBER(S101),ISNUMBER(T101),T101&lt;S101),AND(ISNUMBER(N101),ISNUMBER(O101),O101&lt;N101)),"Urutan tanggal salah",IF(AND(ISNUMBER(Q101),ISNUMBER(R101),ISNUMBER(Y101),ABS(R101-Q101-Y101)&gt;2),"S tanggal ≠ Sailing tercatat",IF(AND(ISNUMBER(Q101),ISNUMBER(O101),ABS(Q101-O101)&gt;60),"Cek tahun laycan",IF(AND(ISNUMBER(Q101),ISNUMBER(N101),Q101&lt;N101),"Berangkat sebelum laycan",IF(NOT(ISNUMBER(AE101)),"S belum ada","OK"))))))</f>
        <v>S belum ada</v>
      </c>
    </row>
    <row r="102" customFormat="false" ht="15" hidden="false" customHeight="false" outlineLevel="0" collapsed="false">
      <c r="A102" s="11" t="n">
        <f aca="false">IF(B102="","",ROW()-4)</f>
        <v>98</v>
      </c>
      <c r="B102" s="12" t="s">
        <v>306</v>
      </c>
      <c r="C102" s="11" t="s">
        <v>324</v>
      </c>
      <c r="D102" s="11" t="n">
        <v>2024</v>
      </c>
      <c r="E102" s="11" t="s">
        <v>261</v>
      </c>
      <c r="F102" s="11" t="s">
        <v>320</v>
      </c>
      <c r="G102" s="11" t="s">
        <v>77</v>
      </c>
      <c r="H102" s="11" t="s">
        <v>361</v>
      </c>
      <c r="I102" s="11" t="s">
        <v>362</v>
      </c>
      <c r="J102" s="11"/>
      <c r="K102" s="11" t="n">
        <v>15800</v>
      </c>
      <c r="L102" s="13"/>
      <c r="M102" s="13"/>
      <c r="N102" s="13" t="n">
        <v>45325</v>
      </c>
      <c r="O102" s="13" t="n">
        <v>45329</v>
      </c>
      <c r="P102" s="13"/>
      <c r="Q102" s="13" t="n">
        <v>45331</v>
      </c>
      <c r="R102" s="13" t="n">
        <v>45342</v>
      </c>
      <c r="S102" s="13"/>
      <c r="T102" s="13"/>
      <c r="U102" s="12" t="s">
        <v>80</v>
      </c>
      <c r="V102" s="14"/>
      <c r="W102" s="11" t="s">
        <v>363</v>
      </c>
      <c r="X102" s="11" t="s">
        <v>364</v>
      </c>
      <c r="Y102" s="11" t="n">
        <v>11</v>
      </c>
      <c r="Z102" s="11" t="s">
        <v>81</v>
      </c>
      <c r="AA102" s="15" t="str">
        <f aca="false">IF(AND(ISNUMBER(L102),ISNUMBER(M102)),M102-L102,"")</f>
        <v/>
      </c>
      <c r="AB102" s="15" t="str">
        <f aca="false">IF(AND(ISNUMBER(M102),ISNUMBER(P102)),P102-M102,"")</f>
        <v/>
      </c>
      <c r="AC102" s="15" t="str">
        <f aca="false">IF(AND(ISNUMBER(L102),ISNUMBER(P102)),P102-L102,"")</f>
        <v/>
      </c>
      <c r="AD102" s="15" t="str">
        <f aca="false">IF(AND(ISNUMBER(P102),ISNUMBER(Q102)),Q102-P102,"")</f>
        <v/>
      </c>
      <c r="AE102" s="15" t="n">
        <f aca="false">IF(AND(ISNUMBER(Q102),ISNUMBER(R102)),R102-Q102,IF(ISNUMBER(Y102),Y102,""))</f>
        <v>11</v>
      </c>
      <c r="AF102" s="15" t="str">
        <f aca="false">IF(AND(ISNUMBER(R102),ISNUMBER(S102)),S102-R102,"")</f>
        <v/>
      </c>
      <c r="AG102" s="15" t="str">
        <f aca="false">IF(AND(ISNUMBER(S102),ISNUMBER(T102)),T102-S102,"")</f>
        <v/>
      </c>
      <c r="AH102" s="15" t="str">
        <f aca="false">IF(AND(ISNUMBER(L102),ISNUMBER(T102)),T102-L102,"")</f>
        <v/>
      </c>
      <c r="AI102" s="15" t="n">
        <f aca="false">IF(AND(ISNUMBER(O102),ISNUMBER(Q102)),Q102-O102,"")</f>
        <v>2</v>
      </c>
      <c r="AJ102" s="15" t="str">
        <f aca="false">IF(B102="","",COUNT(L102:M102,P102:T102)&amp;"/7")</f>
        <v>2/7</v>
      </c>
      <c r="AK102" s="15" t="str">
        <f aca="false">IF(B102="","",IF(OR(AND(ISNUMBER(L102),ISNUMBER(M102),M102&lt;L102),AND(ISNUMBER(M102),ISNUMBER(P102),P102&lt;M102),AND(ISNUMBER(P102),ISNUMBER(Q102),Q102&lt;P102),AND(ISNUMBER(Q102),ISNUMBER(R102),R102&lt;Q102),AND(ISNUMBER(R102),ISNUMBER(S102),S102&lt;R102),AND(ISNUMBER(S102),ISNUMBER(T102),T102&lt;S102),AND(ISNUMBER(N102),ISNUMBER(O102),O102&lt;N102)),"Urutan tanggal salah",IF(AND(ISNUMBER(Q102),ISNUMBER(R102),ISNUMBER(Y102),ABS(R102-Q102-Y102)&gt;2),"S tanggal ≠ Sailing tercatat",IF(AND(ISNUMBER(Q102),ISNUMBER(O102),ABS(Q102-O102)&gt;60),"Cek tahun laycan",IF(AND(ISNUMBER(Q102),ISNUMBER(N102),Q102&lt;N102),"Berangkat sebelum laycan",IF(NOT(ISNUMBER(AE102)),"S belum ada","OK"))))))</f>
        <v>OK</v>
      </c>
    </row>
    <row r="103" customFormat="false" ht="15" hidden="false" customHeight="false" outlineLevel="0" collapsed="false">
      <c r="A103" s="11" t="n">
        <f aca="false">IF(B103="","",ROW()-4)</f>
        <v>99</v>
      </c>
      <c r="B103" s="12" t="s">
        <v>306</v>
      </c>
      <c r="C103" s="11" t="s">
        <v>339</v>
      </c>
      <c r="D103" s="11" t="n">
        <v>2024</v>
      </c>
      <c r="E103" s="11" t="s">
        <v>261</v>
      </c>
      <c r="F103" s="11" t="s">
        <v>344</v>
      </c>
      <c r="G103" s="11" t="s">
        <v>77</v>
      </c>
      <c r="H103" s="11" t="s">
        <v>361</v>
      </c>
      <c r="I103" s="11" t="s">
        <v>345</v>
      </c>
      <c r="J103" s="11"/>
      <c r="K103" s="11" t="n">
        <v>6200</v>
      </c>
      <c r="L103" s="13"/>
      <c r="M103" s="13"/>
      <c r="N103" s="13" t="n">
        <v>45347</v>
      </c>
      <c r="O103" s="13" t="n">
        <v>45351</v>
      </c>
      <c r="P103" s="13"/>
      <c r="Q103" s="13" t="n">
        <v>45348</v>
      </c>
      <c r="R103" s="13" t="n">
        <v>45367</v>
      </c>
      <c r="S103" s="13"/>
      <c r="T103" s="13"/>
      <c r="U103" s="12" t="s">
        <v>80</v>
      </c>
      <c r="V103" s="14"/>
      <c r="W103" s="11" t="s">
        <v>346</v>
      </c>
      <c r="X103" s="11" t="s">
        <v>347</v>
      </c>
      <c r="Y103" s="11" t="n">
        <v>19</v>
      </c>
      <c r="Z103" s="11" t="s">
        <v>81</v>
      </c>
      <c r="AA103" s="15" t="str">
        <f aca="false">IF(AND(ISNUMBER(L103),ISNUMBER(M103)),M103-L103,"")</f>
        <v/>
      </c>
      <c r="AB103" s="15" t="str">
        <f aca="false">IF(AND(ISNUMBER(M103),ISNUMBER(P103)),P103-M103,"")</f>
        <v/>
      </c>
      <c r="AC103" s="15" t="str">
        <f aca="false">IF(AND(ISNUMBER(L103),ISNUMBER(P103)),P103-L103,"")</f>
        <v/>
      </c>
      <c r="AD103" s="15" t="str">
        <f aca="false">IF(AND(ISNUMBER(P103),ISNUMBER(Q103)),Q103-P103,"")</f>
        <v/>
      </c>
      <c r="AE103" s="15" t="n">
        <f aca="false">IF(AND(ISNUMBER(Q103),ISNUMBER(R103)),R103-Q103,IF(ISNUMBER(Y103),Y103,""))</f>
        <v>19</v>
      </c>
      <c r="AF103" s="15" t="str">
        <f aca="false">IF(AND(ISNUMBER(R103),ISNUMBER(S103)),S103-R103,"")</f>
        <v/>
      </c>
      <c r="AG103" s="15" t="str">
        <f aca="false">IF(AND(ISNUMBER(S103),ISNUMBER(T103)),T103-S103,"")</f>
        <v/>
      </c>
      <c r="AH103" s="15" t="str">
        <f aca="false">IF(AND(ISNUMBER(L103),ISNUMBER(T103)),T103-L103,"")</f>
        <v/>
      </c>
      <c r="AI103" s="15" t="n">
        <f aca="false">IF(AND(ISNUMBER(O103),ISNUMBER(Q103)),Q103-O103,"")</f>
        <v>-3</v>
      </c>
      <c r="AJ103" s="15" t="str">
        <f aca="false">IF(B103="","",COUNT(L103:M103,P103:T103)&amp;"/7")</f>
        <v>2/7</v>
      </c>
      <c r="AK103" s="15" t="str">
        <f aca="false">IF(B103="","",IF(OR(AND(ISNUMBER(L103),ISNUMBER(M103),M103&lt;L103),AND(ISNUMBER(M103),ISNUMBER(P103),P103&lt;M103),AND(ISNUMBER(P103),ISNUMBER(Q103),Q103&lt;P103),AND(ISNUMBER(Q103),ISNUMBER(R103),R103&lt;Q103),AND(ISNUMBER(R103),ISNUMBER(S103),S103&lt;R103),AND(ISNUMBER(S103),ISNUMBER(T103),T103&lt;S103),AND(ISNUMBER(N103),ISNUMBER(O103),O103&lt;N103)),"Urutan tanggal salah",IF(AND(ISNUMBER(Q103),ISNUMBER(R103),ISNUMBER(Y103),ABS(R103-Q103-Y103)&gt;2),"S tanggal ≠ Sailing tercatat",IF(AND(ISNUMBER(Q103),ISNUMBER(O103),ABS(Q103-O103)&gt;60),"Cek tahun laycan",IF(AND(ISNUMBER(Q103),ISNUMBER(N103),Q103&lt;N103),"Berangkat sebelum laycan",IF(NOT(ISNUMBER(AE103)),"S belum ada","OK"))))))</f>
        <v>OK</v>
      </c>
    </row>
    <row r="104" customFormat="false" ht="15" hidden="false" customHeight="false" outlineLevel="0" collapsed="false">
      <c r="A104" s="11" t="n">
        <f aca="false">IF(B104="","",ROW()-4)</f>
        <v>100</v>
      </c>
      <c r="B104" s="12" t="s">
        <v>306</v>
      </c>
      <c r="C104" s="11" t="s">
        <v>306</v>
      </c>
      <c r="D104" s="11" t="n">
        <v>2024</v>
      </c>
      <c r="E104" s="11" t="s">
        <v>261</v>
      </c>
      <c r="F104" s="11" t="s">
        <v>320</v>
      </c>
      <c r="G104" s="11" t="s">
        <v>77</v>
      </c>
      <c r="H104" s="11" t="s">
        <v>365</v>
      </c>
      <c r="I104" s="11" t="s">
        <v>366</v>
      </c>
      <c r="J104" s="11"/>
      <c r="K104" s="11" t="n">
        <v>21910</v>
      </c>
      <c r="L104" s="13"/>
      <c r="M104" s="13"/>
      <c r="N104" s="13" t="n">
        <v>45443</v>
      </c>
      <c r="O104" s="13" t="n">
        <v>45447</v>
      </c>
      <c r="P104" s="13"/>
      <c r="Q104" s="13" t="n">
        <v>45448</v>
      </c>
      <c r="R104" s="13" t="n">
        <v>45457</v>
      </c>
      <c r="S104" s="13"/>
      <c r="T104" s="13"/>
      <c r="U104" s="12" t="s">
        <v>80</v>
      </c>
      <c r="V104" s="14"/>
      <c r="W104" s="11" t="s">
        <v>367</v>
      </c>
      <c r="X104" s="11" t="s">
        <v>368</v>
      </c>
      <c r="Y104" s="11" t="n">
        <v>9</v>
      </c>
      <c r="Z104" s="11" t="s">
        <v>81</v>
      </c>
      <c r="AA104" s="15" t="str">
        <f aca="false">IF(AND(ISNUMBER(L104),ISNUMBER(M104)),M104-L104,"")</f>
        <v/>
      </c>
      <c r="AB104" s="15" t="str">
        <f aca="false">IF(AND(ISNUMBER(M104),ISNUMBER(P104)),P104-M104,"")</f>
        <v/>
      </c>
      <c r="AC104" s="15" t="str">
        <f aca="false">IF(AND(ISNUMBER(L104),ISNUMBER(P104)),P104-L104,"")</f>
        <v/>
      </c>
      <c r="AD104" s="15" t="str">
        <f aca="false">IF(AND(ISNUMBER(P104),ISNUMBER(Q104)),Q104-P104,"")</f>
        <v/>
      </c>
      <c r="AE104" s="15" t="n">
        <f aca="false">IF(AND(ISNUMBER(Q104),ISNUMBER(R104)),R104-Q104,IF(ISNUMBER(Y104),Y104,""))</f>
        <v>9</v>
      </c>
      <c r="AF104" s="15" t="str">
        <f aca="false">IF(AND(ISNUMBER(R104),ISNUMBER(S104)),S104-R104,"")</f>
        <v/>
      </c>
      <c r="AG104" s="15" t="str">
        <f aca="false">IF(AND(ISNUMBER(S104),ISNUMBER(T104)),T104-S104,"")</f>
        <v/>
      </c>
      <c r="AH104" s="15" t="str">
        <f aca="false">IF(AND(ISNUMBER(L104),ISNUMBER(T104)),T104-L104,"")</f>
        <v/>
      </c>
      <c r="AI104" s="15" t="n">
        <f aca="false">IF(AND(ISNUMBER(O104),ISNUMBER(Q104)),Q104-O104,"")</f>
        <v>1</v>
      </c>
      <c r="AJ104" s="15" t="str">
        <f aca="false">IF(B104="","",COUNT(L104:M104,P104:T104)&amp;"/7")</f>
        <v>2/7</v>
      </c>
      <c r="AK104" s="15" t="str">
        <f aca="false">IF(B104="","",IF(OR(AND(ISNUMBER(L104),ISNUMBER(M104),M104&lt;L104),AND(ISNUMBER(M104),ISNUMBER(P104),P104&lt;M104),AND(ISNUMBER(P104),ISNUMBER(Q104),Q104&lt;P104),AND(ISNUMBER(Q104),ISNUMBER(R104),R104&lt;Q104),AND(ISNUMBER(R104),ISNUMBER(S104),S104&lt;R104),AND(ISNUMBER(S104),ISNUMBER(T104),T104&lt;S104),AND(ISNUMBER(N104),ISNUMBER(O104),O104&lt;N104)),"Urutan tanggal salah",IF(AND(ISNUMBER(Q104),ISNUMBER(R104),ISNUMBER(Y104),ABS(R104-Q104-Y104)&gt;2),"S tanggal ≠ Sailing tercatat",IF(AND(ISNUMBER(Q104),ISNUMBER(O104),ABS(Q104-O104)&gt;60),"Cek tahun laycan",IF(AND(ISNUMBER(Q104),ISNUMBER(N104),Q104&lt;N104),"Berangkat sebelum laycan",IF(NOT(ISNUMBER(AE104)),"S belum ada","OK"))))))</f>
        <v>OK</v>
      </c>
    </row>
    <row r="105" customFormat="false" ht="15" hidden="false" customHeight="false" outlineLevel="0" collapsed="false">
      <c r="A105" s="11" t="n">
        <f aca="false">IF(B105="","",ROW()-4)</f>
        <v>101</v>
      </c>
      <c r="B105" s="12" t="s">
        <v>306</v>
      </c>
      <c r="C105" s="11" t="s">
        <v>324</v>
      </c>
      <c r="D105" s="11" t="n">
        <v>2024</v>
      </c>
      <c r="E105" s="11" t="s">
        <v>261</v>
      </c>
      <c r="F105" s="11" t="s">
        <v>320</v>
      </c>
      <c r="G105" s="11" t="s">
        <v>77</v>
      </c>
      <c r="H105" s="11" t="s">
        <v>337</v>
      </c>
      <c r="I105" s="11" t="s">
        <v>369</v>
      </c>
      <c r="J105" s="11"/>
      <c r="K105" s="11" t="n">
        <v>22000</v>
      </c>
      <c r="L105" s="13"/>
      <c r="M105" s="13"/>
      <c r="N105" s="13" t="n">
        <v>45409</v>
      </c>
      <c r="O105" s="13" t="n">
        <v>45413</v>
      </c>
      <c r="P105" s="13"/>
      <c r="Q105" s="13" t="n">
        <v>45417</v>
      </c>
      <c r="R105" s="13" t="n">
        <v>45426</v>
      </c>
      <c r="S105" s="13"/>
      <c r="T105" s="13"/>
      <c r="U105" s="12" t="s">
        <v>80</v>
      </c>
      <c r="V105" s="14"/>
      <c r="W105" s="11" t="s">
        <v>367</v>
      </c>
      <c r="X105" s="11" t="s">
        <v>370</v>
      </c>
      <c r="Y105" s="11" t="n">
        <v>9</v>
      </c>
      <c r="Z105" s="11" t="s">
        <v>81</v>
      </c>
      <c r="AA105" s="15" t="str">
        <f aca="false">IF(AND(ISNUMBER(L105),ISNUMBER(M105)),M105-L105,"")</f>
        <v/>
      </c>
      <c r="AB105" s="15" t="str">
        <f aca="false">IF(AND(ISNUMBER(M105),ISNUMBER(P105)),P105-M105,"")</f>
        <v/>
      </c>
      <c r="AC105" s="15" t="str">
        <f aca="false">IF(AND(ISNUMBER(L105),ISNUMBER(P105)),P105-L105,"")</f>
        <v/>
      </c>
      <c r="AD105" s="15" t="str">
        <f aca="false">IF(AND(ISNUMBER(P105),ISNUMBER(Q105)),Q105-P105,"")</f>
        <v/>
      </c>
      <c r="AE105" s="15" t="n">
        <f aca="false">IF(AND(ISNUMBER(Q105),ISNUMBER(R105)),R105-Q105,IF(ISNUMBER(Y105),Y105,""))</f>
        <v>9</v>
      </c>
      <c r="AF105" s="15" t="str">
        <f aca="false">IF(AND(ISNUMBER(R105),ISNUMBER(S105)),S105-R105,"")</f>
        <v/>
      </c>
      <c r="AG105" s="15" t="str">
        <f aca="false">IF(AND(ISNUMBER(S105),ISNUMBER(T105)),T105-S105,"")</f>
        <v/>
      </c>
      <c r="AH105" s="15" t="str">
        <f aca="false">IF(AND(ISNUMBER(L105),ISNUMBER(T105)),T105-L105,"")</f>
        <v/>
      </c>
      <c r="AI105" s="15" t="n">
        <f aca="false">IF(AND(ISNUMBER(O105),ISNUMBER(Q105)),Q105-O105,"")</f>
        <v>4</v>
      </c>
      <c r="AJ105" s="15" t="str">
        <f aca="false">IF(B105="","",COUNT(L105:M105,P105:T105)&amp;"/7")</f>
        <v>2/7</v>
      </c>
      <c r="AK105" s="15" t="str">
        <f aca="false">IF(B105="","",IF(OR(AND(ISNUMBER(L105),ISNUMBER(M105),M105&lt;L105),AND(ISNUMBER(M105),ISNUMBER(P105),P105&lt;M105),AND(ISNUMBER(P105),ISNUMBER(Q105),Q105&lt;P105),AND(ISNUMBER(Q105),ISNUMBER(R105),R105&lt;Q105),AND(ISNUMBER(R105),ISNUMBER(S105),S105&lt;R105),AND(ISNUMBER(S105),ISNUMBER(T105),T105&lt;S105),AND(ISNUMBER(N105),ISNUMBER(O105),O105&lt;N105)),"Urutan tanggal salah",IF(AND(ISNUMBER(Q105),ISNUMBER(R105),ISNUMBER(Y105),ABS(R105-Q105-Y105)&gt;2),"S tanggal ≠ Sailing tercatat",IF(AND(ISNUMBER(Q105),ISNUMBER(O105),ABS(Q105-O105)&gt;60),"Cek tahun laycan",IF(AND(ISNUMBER(Q105),ISNUMBER(N105),Q105&lt;N105),"Berangkat sebelum laycan",IF(NOT(ISNUMBER(AE105)),"S belum ada","OK"))))))</f>
        <v>OK</v>
      </c>
    </row>
    <row r="106" customFormat="false" ht="15" hidden="false" customHeight="false" outlineLevel="0" collapsed="false">
      <c r="A106" s="11" t="n">
        <f aca="false">IF(B106="","",ROW()-4)</f>
        <v>102</v>
      </c>
      <c r="B106" s="12" t="s">
        <v>306</v>
      </c>
      <c r="C106" s="11" t="s">
        <v>339</v>
      </c>
      <c r="D106" s="11" t="n">
        <v>2024</v>
      </c>
      <c r="E106" s="11" t="s">
        <v>261</v>
      </c>
      <c r="F106" s="11" t="s">
        <v>371</v>
      </c>
      <c r="G106" s="11" t="s">
        <v>77</v>
      </c>
      <c r="H106" s="11" t="s">
        <v>337</v>
      </c>
      <c r="I106" s="11" t="s">
        <v>372</v>
      </c>
      <c r="J106" s="11"/>
      <c r="K106" s="11" t="n">
        <v>20000</v>
      </c>
      <c r="L106" s="13"/>
      <c r="M106" s="13"/>
      <c r="N106" s="13" t="n">
        <v>45469</v>
      </c>
      <c r="O106" s="13" t="n">
        <v>45476</v>
      </c>
      <c r="P106" s="13"/>
      <c r="Q106" s="13" t="n">
        <v>45477</v>
      </c>
      <c r="R106" s="13" t="n">
        <v>45489</v>
      </c>
      <c r="S106" s="13"/>
      <c r="T106" s="13"/>
      <c r="U106" s="12" t="s">
        <v>80</v>
      </c>
      <c r="V106" s="14"/>
      <c r="W106" s="11" t="s">
        <v>373</v>
      </c>
      <c r="X106" s="11" t="s">
        <v>374</v>
      </c>
      <c r="Y106" s="11" t="n">
        <v>12</v>
      </c>
      <c r="Z106" s="11" t="s">
        <v>81</v>
      </c>
      <c r="AA106" s="15" t="str">
        <f aca="false">IF(AND(ISNUMBER(L106),ISNUMBER(M106)),M106-L106,"")</f>
        <v/>
      </c>
      <c r="AB106" s="15" t="str">
        <f aca="false">IF(AND(ISNUMBER(M106),ISNUMBER(P106)),P106-M106,"")</f>
        <v/>
      </c>
      <c r="AC106" s="15" t="str">
        <f aca="false">IF(AND(ISNUMBER(L106),ISNUMBER(P106)),P106-L106,"")</f>
        <v/>
      </c>
      <c r="AD106" s="15" t="str">
        <f aca="false">IF(AND(ISNUMBER(P106),ISNUMBER(Q106)),Q106-P106,"")</f>
        <v/>
      </c>
      <c r="AE106" s="15" t="n">
        <f aca="false">IF(AND(ISNUMBER(Q106),ISNUMBER(R106)),R106-Q106,IF(ISNUMBER(Y106),Y106,""))</f>
        <v>12</v>
      </c>
      <c r="AF106" s="15" t="str">
        <f aca="false">IF(AND(ISNUMBER(R106),ISNUMBER(S106)),S106-R106,"")</f>
        <v/>
      </c>
      <c r="AG106" s="15" t="str">
        <f aca="false">IF(AND(ISNUMBER(S106),ISNUMBER(T106)),T106-S106,"")</f>
        <v/>
      </c>
      <c r="AH106" s="15" t="str">
        <f aca="false">IF(AND(ISNUMBER(L106),ISNUMBER(T106)),T106-L106,"")</f>
        <v/>
      </c>
      <c r="AI106" s="15" t="n">
        <f aca="false">IF(AND(ISNUMBER(O106),ISNUMBER(Q106)),Q106-O106,"")</f>
        <v>1</v>
      </c>
      <c r="AJ106" s="15" t="str">
        <f aca="false">IF(B106="","",COUNT(L106:M106,P106:T106)&amp;"/7")</f>
        <v>2/7</v>
      </c>
      <c r="AK106" s="15" t="str">
        <f aca="false">IF(B106="","",IF(OR(AND(ISNUMBER(L106),ISNUMBER(M106),M106&lt;L106),AND(ISNUMBER(M106),ISNUMBER(P106),P106&lt;M106),AND(ISNUMBER(P106),ISNUMBER(Q106),Q106&lt;P106),AND(ISNUMBER(Q106),ISNUMBER(R106),R106&lt;Q106),AND(ISNUMBER(R106),ISNUMBER(S106),S106&lt;R106),AND(ISNUMBER(S106),ISNUMBER(T106),T106&lt;S106),AND(ISNUMBER(N106),ISNUMBER(O106),O106&lt;N106)),"Urutan tanggal salah",IF(AND(ISNUMBER(Q106),ISNUMBER(R106),ISNUMBER(Y106),ABS(R106-Q106-Y106)&gt;2),"S tanggal ≠ Sailing tercatat",IF(AND(ISNUMBER(Q106),ISNUMBER(O106),ABS(Q106-O106)&gt;60),"Cek tahun laycan",IF(AND(ISNUMBER(Q106),ISNUMBER(N106),Q106&lt;N106),"Berangkat sebelum laycan",IF(NOT(ISNUMBER(AE106)),"S belum ada","OK"))))))</f>
        <v>OK</v>
      </c>
    </row>
    <row r="107" customFormat="false" ht="15" hidden="false" customHeight="false" outlineLevel="0" collapsed="false">
      <c r="A107" s="11" t="n">
        <f aca="false">IF(B107="","",ROW()-4)</f>
        <v>103</v>
      </c>
      <c r="B107" s="12" t="s">
        <v>306</v>
      </c>
      <c r="C107" s="11" t="s">
        <v>306</v>
      </c>
      <c r="D107" s="11" t="n">
        <v>2024</v>
      </c>
      <c r="E107" s="11" t="s">
        <v>261</v>
      </c>
      <c r="F107" s="11" t="s">
        <v>375</v>
      </c>
      <c r="G107" s="11" t="s">
        <v>253</v>
      </c>
      <c r="H107" s="11" t="s">
        <v>376</v>
      </c>
      <c r="I107" s="11" t="s">
        <v>377</v>
      </c>
      <c r="J107" s="11"/>
      <c r="K107" s="11" t="n">
        <v>18000</v>
      </c>
      <c r="L107" s="13"/>
      <c r="M107" s="13"/>
      <c r="N107" s="13" t="n">
        <v>45550</v>
      </c>
      <c r="O107" s="13" t="n">
        <v>45553</v>
      </c>
      <c r="P107" s="13"/>
      <c r="Q107" s="13" t="n">
        <v>45554</v>
      </c>
      <c r="R107" s="13" t="n">
        <v>45566</v>
      </c>
      <c r="S107" s="13"/>
      <c r="T107" s="13"/>
      <c r="U107" s="12" t="s">
        <v>80</v>
      </c>
      <c r="V107" s="14"/>
      <c r="W107" s="11" t="s">
        <v>378</v>
      </c>
      <c r="X107" s="11" t="s">
        <v>379</v>
      </c>
      <c r="Y107" s="11" t="n">
        <v>12</v>
      </c>
      <c r="Z107" s="11" t="s">
        <v>81</v>
      </c>
      <c r="AA107" s="15" t="str">
        <f aca="false">IF(AND(ISNUMBER(L107),ISNUMBER(M107)),M107-L107,"")</f>
        <v/>
      </c>
      <c r="AB107" s="15" t="str">
        <f aca="false">IF(AND(ISNUMBER(M107),ISNUMBER(P107)),P107-M107,"")</f>
        <v/>
      </c>
      <c r="AC107" s="15" t="str">
        <f aca="false">IF(AND(ISNUMBER(L107),ISNUMBER(P107)),P107-L107,"")</f>
        <v/>
      </c>
      <c r="AD107" s="15" t="str">
        <f aca="false">IF(AND(ISNUMBER(P107),ISNUMBER(Q107)),Q107-P107,"")</f>
        <v/>
      </c>
      <c r="AE107" s="15" t="n">
        <f aca="false">IF(AND(ISNUMBER(Q107),ISNUMBER(R107)),R107-Q107,IF(ISNUMBER(Y107),Y107,""))</f>
        <v>12</v>
      </c>
      <c r="AF107" s="15" t="str">
        <f aca="false">IF(AND(ISNUMBER(R107),ISNUMBER(S107)),S107-R107,"")</f>
        <v/>
      </c>
      <c r="AG107" s="15" t="str">
        <f aca="false">IF(AND(ISNUMBER(S107),ISNUMBER(T107)),T107-S107,"")</f>
        <v/>
      </c>
      <c r="AH107" s="15" t="str">
        <f aca="false">IF(AND(ISNUMBER(L107),ISNUMBER(T107)),T107-L107,"")</f>
        <v/>
      </c>
      <c r="AI107" s="15" t="n">
        <f aca="false">IF(AND(ISNUMBER(O107),ISNUMBER(Q107)),Q107-O107,"")</f>
        <v>1</v>
      </c>
      <c r="AJ107" s="15" t="str">
        <f aca="false">IF(B107="","",COUNT(L107:M107,P107:T107)&amp;"/7")</f>
        <v>2/7</v>
      </c>
      <c r="AK107" s="15" t="str">
        <f aca="false">IF(B107="","",IF(OR(AND(ISNUMBER(L107),ISNUMBER(M107),M107&lt;L107),AND(ISNUMBER(M107),ISNUMBER(P107),P107&lt;M107),AND(ISNUMBER(P107),ISNUMBER(Q107),Q107&lt;P107),AND(ISNUMBER(Q107),ISNUMBER(R107),R107&lt;Q107),AND(ISNUMBER(R107),ISNUMBER(S107),S107&lt;R107),AND(ISNUMBER(S107),ISNUMBER(T107),T107&lt;S107),AND(ISNUMBER(N107),ISNUMBER(O107),O107&lt;N107)),"Urutan tanggal salah",IF(AND(ISNUMBER(Q107),ISNUMBER(R107),ISNUMBER(Y107),ABS(R107-Q107-Y107)&gt;2),"S tanggal ≠ Sailing tercatat",IF(AND(ISNUMBER(Q107),ISNUMBER(O107),ABS(Q107-O107)&gt;60),"Cek tahun laycan",IF(AND(ISNUMBER(Q107),ISNUMBER(N107),Q107&lt;N107),"Berangkat sebelum laycan",IF(NOT(ISNUMBER(AE107)),"S belum ada","OK"))))))</f>
        <v>OK</v>
      </c>
    </row>
    <row r="108" customFormat="false" ht="15" hidden="false" customHeight="false" outlineLevel="0" collapsed="false">
      <c r="A108" s="11" t="n">
        <f aca="false">IF(B108="","",ROW()-4)</f>
        <v>104</v>
      </c>
      <c r="B108" s="12" t="s">
        <v>306</v>
      </c>
      <c r="C108" s="11" t="s">
        <v>306</v>
      </c>
      <c r="D108" s="11" t="n">
        <v>2024</v>
      </c>
      <c r="E108" s="11" t="s">
        <v>261</v>
      </c>
      <c r="F108" s="11" t="s">
        <v>380</v>
      </c>
      <c r="G108" s="11" t="s">
        <v>77</v>
      </c>
      <c r="H108" s="11" t="s">
        <v>381</v>
      </c>
      <c r="I108" s="11" t="s">
        <v>382</v>
      </c>
      <c r="J108" s="11"/>
      <c r="K108" s="11" t="n">
        <v>20000</v>
      </c>
      <c r="L108" s="13"/>
      <c r="M108" s="13"/>
      <c r="N108" s="13" t="n">
        <v>45491</v>
      </c>
      <c r="O108" s="13" t="n">
        <v>45495</v>
      </c>
      <c r="P108" s="13"/>
      <c r="Q108" s="13" t="n">
        <v>45496</v>
      </c>
      <c r="R108" s="13" t="n">
        <v>45509</v>
      </c>
      <c r="S108" s="13"/>
      <c r="T108" s="13"/>
      <c r="U108" s="12" t="s">
        <v>80</v>
      </c>
      <c r="V108" s="14"/>
      <c r="W108" s="11" t="s">
        <v>383</v>
      </c>
      <c r="X108" s="11" t="s">
        <v>384</v>
      </c>
      <c r="Y108" s="11" t="n">
        <v>13</v>
      </c>
      <c r="Z108" s="11" t="s">
        <v>81</v>
      </c>
      <c r="AA108" s="15" t="str">
        <f aca="false">IF(AND(ISNUMBER(L108),ISNUMBER(M108)),M108-L108,"")</f>
        <v/>
      </c>
      <c r="AB108" s="15" t="str">
        <f aca="false">IF(AND(ISNUMBER(M108),ISNUMBER(P108)),P108-M108,"")</f>
        <v/>
      </c>
      <c r="AC108" s="15" t="str">
        <f aca="false">IF(AND(ISNUMBER(L108),ISNUMBER(P108)),P108-L108,"")</f>
        <v/>
      </c>
      <c r="AD108" s="15" t="str">
        <f aca="false">IF(AND(ISNUMBER(P108),ISNUMBER(Q108)),Q108-P108,"")</f>
        <v/>
      </c>
      <c r="AE108" s="15" t="n">
        <f aca="false">IF(AND(ISNUMBER(Q108),ISNUMBER(R108)),R108-Q108,IF(ISNUMBER(Y108),Y108,""))</f>
        <v>13</v>
      </c>
      <c r="AF108" s="15" t="str">
        <f aca="false">IF(AND(ISNUMBER(R108),ISNUMBER(S108)),S108-R108,"")</f>
        <v/>
      </c>
      <c r="AG108" s="15" t="str">
        <f aca="false">IF(AND(ISNUMBER(S108),ISNUMBER(T108)),T108-S108,"")</f>
        <v/>
      </c>
      <c r="AH108" s="15" t="str">
        <f aca="false">IF(AND(ISNUMBER(L108),ISNUMBER(T108)),T108-L108,"")</f>
        <v/>
      </c>
      <c r="AI108" s="15" t="n">
        <f aca="false">IF(AND(ISNUMBER(O108),ISNUMBER(Q108)),Q108-O108,"")</f>
        <v>1</v>
      </c>
      <c r="AJ108" s="15" t="str">
        <f aca="false">IF(B108="","",COUNT(L108:M108,P108:T108)&amp;"/7")</f>
        <v>2/7</v>
      </c>
      <c r="AK108" s="15" t="str">
        <f aca="false">IF(B108="","",IF(OR(AND(ISNUMBER(L108),ISNUMBER(M108),M108&lt;L108),AND(ISNUMBER(M108),ISNUMBER(P108),P108&lt;M108),AND(ISNUMBER(P108),ISNUMBER(Q108),Q108&lt;P108),AND(ISNUMBER(Q108),ISNUMBER(R108),R108&lt;Q108),AND(ISNUMBER(R108),ISNUMBER(S108),S108&lt;R108),AND(ISNUMBER(S108),ISNUMBER(T108),T108&lt;S108),AND(ISNUMBER(N108),ISNUMBER(O108),O108&lt;N108)),"Urutan tanggal salah",IF(AND(ISNUMBER(Q108),ISNUMBER(R108),ISNUMBER(Y108),ABS(R108-Q108-Y108)&gt;2),"S tanggal ≠ Sailing tercatat",IF(AND(ISNUMBER(Q108),ISNUMBER(O108),ABS(Q108-O108)&gt;60),"Cek tahun laycan",IF(AND(ISNUMBER(Q108),ISNUMBER(N108),Q108&lt;N108),"Berangkat sebelum laycan",IF(NOT(ISNUMBER(AE108)),"S belum ada","OK"))))))</f>
        <v>OK</v>
      </c>
    </row>
    <row r="109" customFormat="false" ht="15" hidden="false" customHeight="false" outlineLevel="0" collapsed="false">
      <c r="A109" s="11" t="n">
        <f aca="false">IF(B109="","",ROW()-4)</f>
        <v>105</v>
      </c>
      <c r="B109" s="12" t="s">
        <v>306</v>
      </c>
      <c r="C109" s="11" t="s">
        <v>385</v>
      </c>
      <c r="D109" s="11" t="n">
        <v>2024</v>
      </c>
      <c r="E109" s="11" t="s">
        <v>261</v>
      </c>
      <c r="F109" s="11" t="s">
        <v>380</v>
      </c>
      <c r="G109" s="11" t="s">
        <v>77</v>
      </c>
      <c r="H109" s="11" t="s">
        <v>361</v>
      </c>
      <c r="I109" s="11" t="s">
        <v>382</v>
      </c>
      <c r="J109" s="11"/>
      <c r="K109" s="11" t="n">
        <v>3350</v>
      </c>
      <c r="L109" s="13"/>
      <c r="M109" s="13"/>
      <c r="N109" s="13" t="n">
        <v>45491</v>
      </c>
      <c r="O109" s="13" t="n">
        <v>45495</v>
      </c>
      <c r="P109" s="13"/>
      <c r="Q109" s="13" t="n">
        <v>45496</v>
      </c>
      <c r="R109" s="13" t="n">
        <v>45509</v>
      </c>
      <c r="S109" s="13"/>
      <c r="T109" s="13"/>
      <c r="U109" s="12" t="s">
        <v>80</v>
      </c>
      <c r="V109" s="14"/>
      <c r="W109" s="11" t="s">
        <v>383</v>
      </c>
      <c r="X109" s="11" t="s">
        <v>384</v>
      </c>
      <c r="Y109" s="11" t="n">
        <v>13</v>
      </c>
      <c r="Z109" s="11" t="s">
        <v>81</v>
      </c>
      <c r="AA109" s="15" t="str">
        <f aca="false">IF(AND(ISNUMBER(L109),ISNUMBER(M109)),M109-L109,"")</f>
        <v/>
      </c>
      <c r="AB109" s="15" t="str">
        <f aca="false">IF(AND(ISNUMBER(M109),ISNUMBER(P109)),P109-M109,"")</f>
        <v/>
      </c>
      <c r="AC109" s="15" t="str">
        <f aca="false">IF(AND(ISNUMBER(L109),ISNUMBER(P109)),P109-L109,"")</f>
        <v/>
      </c>
      <c r="AD109" s="15" t="str">
        <f aca="false">IF(AND(ISNUMBER(P109),ISNUMBER(Q109)),Q109-P109,"")</f>
        <v/>
      </c>
      <c r="AE109" s="15" t="n">
        <f aca="false">IF(AND(ISNUMBER(Q109),ISNUMBER(R109)),R109-Q109,IF(ISNUMBER(Y109),Y109,""))</f>
        <v>13</v>
      </c>
      <c r="AF109" s="15" t="str">
        <f aca="false">IF(AND(ISNUMBER(R109),ISNUMBER(S109)),S109-R109,"")</f>
        <v/>
      </c>
      <c r="AG109" s="15" t="str">
        <f aca="false">IF(AND(ISNUMBER(S109),ISNUMBER(T109)),T109-S109,"")</f>
        <v/>
      </c>
      <c r="AH109" s="15" t="str">
        <f aca="false">IF(AND(ISNUMBER(L109),ISNUMBER(T109)),T109-L109,"")</f>
        <v/>
      </c>
      <c r="AI109" s="15" t="n">
        <f aca="false">IF(AND(ISNUMBER(O109),ISNUMBER(Q109)),Q109-O109,"")</f>
        <v>1</v>
      </c>
      <c r="AJ109" s="15" t="str">
        <f aca="false">IF(B109="","",COUNT(L109:M109,P109:T109)&amp;"/7")</f>
        <v>2/7</v>
      </c>
      <c r="AK109" s="15" t="str">
        <f aca="false">IF(B109="","",IF(OR(AND(ISNUMBER(L109),ISNUMBER(M109),M109&lt;L109),AND(ISNUMBER(M109),ISNUMBER(P109),P109&lt;M109),AND(ISNUMBER(P109),ISNUMBER(Q109),Q109&lt;P109),AND(ISNUMBER(Q109),ISNUMBER(R109),R109&lt;Q109),AND(ISNUMBER(R109),ISNUMBER(S109),S109&lt;R109),AND(ISNUMBER(S109),ISNUMBER(T109),T109&lt;S109),AND(ISNUMBER(N109),ISNUMBER(O109),O109&lt;N109)),"Urutan tanggal salah",IF(AND(ISNUMBER(Q109),ISNUMBER(R109),ISNUMBER(Y109),ABS(R109-Q109-Y109)&gt;2),"S tanggal ≠ Sailing tercatat",IF(AND(ISNUMBER(Q109),ISNUMBER(O109),ABS(Q109-O109)&gt;60),"Cek tahun laycan",IF(AND(ISNUMBER(Q109),ISNUMBER(N109),Q109&lt;N109),"Berangkat sebelum laycan",IF(NOT(ISNUMBER(AE109)),"S belum ada","OK"))))))</f>
        <v>OK</v>
      </c>
    </row>
    <row r="110" customFormat="false" ht="15" hidden="false" customHeight="false" outlineLevel="0" collapsed="false">
      <c r="A110" s="11" t="n">
        <f aca="false">IF(B110="","",ROW()-4)</f>
        <v>106</v>
      </c>
      <c r="B110" s="12" t="s">
        <v>306</v>
      </c>
      <c r="C110" s="11" t="s">
        <v>386</v>
      </c>
      <c r="D110" s="11" t="n">
        <v>2024</v>
      </c>
      <c r="E110" s="11" t="s">
        <v>261</v>
      </c>
      <c r="F110" s="11" t="s">
        <v>320</v>
      </c>
      <c r="G110" s="11" t="s">
        <v>77</v>
      </c>
      <c r="H110" s="11" t="s">
        <v>361</v>
      </c>
      <c r="I110" s="11" t="s">
        <v>387</v>
      </c>
      <c r="J110" s="11"/>
      <c r="K110" s="11" t="n">
        <v>17000</v>
      </c>
      <c r="L110" s="13"/>
      <c r="M110" s="13"/>
      <c r="N110" s="13" t="n">
        <v>45508</v>
      </c>
      <c r="O110" s="13" t="n">
        <v>45513</v>
      </c>
      <c r="P110" s="13"/>
      <c r="Q110" s="13" t="n">
        <v>45514</v>
      </c>
      <c r="R110" s="13" t="n">
        <v>45523</v>
      </c>
      <c r="S110" s="13"/>
      <c r="T110" s="13"/>
      <c r="U110" s="12" t="s">
        <v>80</v>
      </c>
      <c r="V110" s="14"/>
      <c r="W110" s="11" t="s">
        <v>388</v>
      </c>
      <c r="X110" s="11" t="s">
        <v>389</v>
      </c>
      <c r="Y110" s="11" t="n">
        <v>9</v>
      </c>
      <c r="Z110" s="11" t="s">
        <v>81</v>
      </c>
      <c r="AA110" s="15" t="str">
        <f aca="false">IF(AND(ISNUMBER(L110),ISNUMBER(M110)),M110-L110,"")</f>
        <v/>
      </c>
      <c r="AB110" s="15" t="str">
        <f aca="false">IF(AND(ISNUMBER(M110),ISNUMBER(P110)),P110-M110,"")</f>
        <v/>
      </c>
      <c r="AC110" s="15" t="str">
        <f aca="false">IF(AND(ISNUMBER(L110),ISNUMBER(P110)),P110-L110,"")</f>
        <v/>
      </c>
      <c r="AD110" s="15" t="str">
        <f aca="false">IF(AND(ISNUMBER(P110),ISNUMBER(Q110)),Q110-P110,"")</f>
        <v/>
      </c>
      <c r="AE110" s="15" t="n">
        <f aca="false">IF(AND(ISNUMBER(Q110),ISNUMBER(R110)),R110-Q110,IF(ISNUMBER(Y110),Y110,""))</f>
        <v>9</v>
      </c>
      <c r="AF110" s="15" t="str">
        <f aca="false">IF(AND(ISNUMBER(R110),ISNUMBER(S110)),S110-R110,"")</f>
        <v/>
      </c>
      <c r="AG110" s="15" t="str">
        <f aca="false">IF(AND(ISNUMBER(S110),ISNUMBER(T110)),T110-S110,"")</f>
        <v/>
      </c>
      <c r="AH110" s="15" t="str">
        <f aca="false">IF(AND(ISNUMBER(L110),ISNUMBER(T110)),T110-L110,"")</f>
        <v/>
      </c>
      <c r="AI110" s="15" t="n">
        <f aca="false">IF(AND(ISNUMBER(O110),ISNUMBER(Q110)),Q110-O110,"")</f>
        <v>1</v>
      </c>
      <c r="AJ110" s="15" t="str">
        <f aca="false">IF(B110="","",COUNT(L110:M110,P110:T110)&amp;"/7")</f>
        <v>2/7</v>
      </c>
      <c r="AK110" s="15" t="str">
        <f aca="false">IF(B110="","",IF(OR(AND(ISNUMBER(L110),ISNUMBER(M110),M110&lt;L110),AND(ISNUMBER(M110),ISNUMBER(P110),P110&lt;M110),AND(ISNUMBER(P110),ISNUMBER(Q110),Q110&lt;P110),AND(ISNUMBER(Q110),ISNUMBER(R110),R110&lt;Q110),AND(ISNUMBER(R110),ISNUMBER(S110),S110&lt;R110),AND(ISNUMBER(S110),ISNUMBER(T110),T110&lt;S110),AND(ISNUMBER(N110),ISNUMBER(O110),O110&lt;N110)),"Urutan tanggal salah",IF(AND(ISNUMBER(Q110),ISNUMBER(R110),ISNUMBER(Y110),ABS(R110-Q110-Y110)&gt;2),"S tanggal ≠ Sailing tercatat",IF(AND(ISNUMBER(Q110),ISNUMBER(O110),ABS(Q110-O110)&gt;60),"Cek tahun laycan",IF(AND(ISNUMBER(Q110),ISNUMBER(N110),Q110&lt;N110),"Berangkat sebelum laycan",IF(NOT(ISNUMBER(AE110)),"S belum ada","OK"))))))</f>
        <v>OK</v>
      </c>
    </row>
    <row r="111" customFormat="false" ht="15" hidden="false" customHeight="false" outlineLevel="0" collapsed="false">
      <c r="A111" s="11" t="n">
        <f aca="false">IF(B111="","",ROW()-4)</f>
        <v>107</v>
      </c>
      <c r="B111" s="12" t="s">
        <v>306</v>
      </c>
      <c r="C111" s="11" t="s">
        <v>306</v>
      </c>
      <c r="D111" s="11" t="n">
        <v>2024</v>
      </c>
      <c r="E111" s="11" t="s">
        <v>261</v>
      </c>
      <c r="F111" s="11" t="s">
        <v>320</v>
      </c>
      <c r="G111" s="11" t="s">
        <v>77</v>
      </c>
      <c r="H111" s="11" t="s">
        <v>337</v>
      </c>
      <c r="I111" s="11" t="s">
        <v>372</v>
      </c>
      <c r="J111" s="11"/>
      <c r="K111" s="11" t="n">
        <v>22000</v>
      </c>
      <c r="L111" s="13"/>
      <c r="M111" s="13"/>
      <c r="N111" s="13" t="n">
        <v>45536</v>
      </c>
      <c r="O111" s="13" t="n">
        <v>45539</v>
      </c>
      <c r="P111" s="13"/>
      <c r="Q111" s="13" t="n">
        <v>45540</v>
      </c>
      <c r="R111" s="13" t="n">
        <v>45552</v>
      </c>
      <c r="S111" s="13"/>
      <c r="T111" s="13"/>
      <c r="U111" s="12" t="s">
        <v>80</v>
      </c>
      <c r="V111" s="14"/>
      <c r="W111" s="11" t="s">
        <v>390</v>
      </c>
      <c r="X111" s="11" t="s">
        <v>391</v>
      </c>
      <c r="Y111" s="11" t="n">
        <v>12</v>
      </c>
      <c r="Z111" s="11" t="s">
        <v>81</v>
      </c>
      <c r="AA111" s="15" t="str">
        <f aca="false">IF(AND(ISNUMBER(L111),ISNUMBER(M111)),M111-L111,"")</f>
        <v/>
      </c>
      <c r="AB111" s="15" t="str">
        <f aca="false">IF(AND(ISNUMBER(M111),ISNUMBER(P111)),P111-M111,"")</f>
        <v/>
      </c>
      <c r="AC111" s="15" t="str">
        <f aca="false">IF(AND(ISNUMBER(L111),ISNUMBER(P111)),P111-L111,"")</f>
        <v/>
      </c>
      <c r="AD111" s="15" t="str">
        <f aca="false">IF(AND(ISNUMBER(P111),ISNUMBER(Q111)),Q111-P111,"")</f>
        <v/>
      </c>
      <c r="AE111" s="15" t="n">
        <f aca="false">IF(AND(ISNUMBER(Q111),ISNUMBER(R111)),R111-Q111,IF(ISNUMBER(Y111),Y111,""))</f>
        <v>12</v>
      </c>
      <c r="AF111" s="15" t="str">
        <f aca="false">IF(AND(ISNUMBER(R111),ISNUMBER(S111)),S111-R111,"")</f>
        <v/>
      </c>
      <c r="AG111" s="15" t="str">
        <f aca="false">IF(AND(ISNUMBER(S111),ISNUMBER(T111)),T111-S111,"")</f>
        <v/>
      </c>
      <c r="AH111" s="15" t="str">
        <f aca="false">IF(AND(ISNUMBER(L111),ISNUMBER(T111)),T111-L111,"")</f>
        <v/>
      </c>
      <c r="AI111" s="15" t="n">
        <f aca="false">IF(AND(ISNUMBER(O111),ISNUMBER(Q111)),Q111-O111,"")</f>
        <v>1</v>
      </c>
      <c r="AJ111" s="15" t="str">
        <f aca="false">IF(B111="","",COUNT(L111:M111,P111:T111)&amp;"/7")</f>
        <v>2/7</v>
      </c>
      <c r="AK111" s="15" t="str">
        <f aca="false">IF(B111="","",IF(OR(AND(ISNUMBER(L111),ISNUMBER(M111),M111&lt;L111),AND(ISNUMBER(M111),ISNUMBER(P111),P111&lt;M111),AND(ISNUMBER(P111),ISNUMBER(Q111),Q111&lt;P111),AND(ISNUMBER(Q111),ISNUMBER(R111),R111&lt;Q111),AND(ISNUMBER(R111),ISNUMBER(S111),S111&lt;R111),AND(ISNUMBER(S111),ISNUMBER(T111),T111&lt;S111),AND(ISNUMBER(N111),ISNUMBER(O111),O111&lt;N111)),"Urutan tanggal salah",IF(AND(ISNUMBER(Q111),ISNUMBER(R111),ISNUMBER(Y111),ABS(R111-Q111-Y111)&gt;2),"S tanggal ≠ Sailing tercatat",IF(AND(ISNUMBER(Q111),ISNUMBER(O111),ABS(Q111-O111)&gt;60),"Cek tahun laycan",IF(AND(ISNUMBER(Q111),ISNUMBER(N111),Q111&lt;N111),"Berangkat sebelum laycan",IF(NOT(ISNUMBER(AE111)),"S belum ada","OK"))))))</f>
        <v>OK</v>
      </c>
    </row>
    <row r="112" customFormat="false" ht="15" hidden="false" customHeight="false" outlineLevel="0" collapsed="false">
      <c r="A112" s="11" t="n">
        <f aca="false">IF(B112="","",ROW()-4)</f>
        <v>108</v>
      </c>
      <c r="B112" s="12" t="s">
        <v>306</v>
      </c>
      <c r="C112" s="11" t="s">
        <v>306</v>
      </c>
      <c r="D112" s="11" t="n">
        <v>2024</v>
      </c>
      <c r="E112" s="11" t="s">
        <v>261</v>
      </c>
      <c r="F112" s="11" t="s">
        <v>392</v>
      </c>
      <c r="G112" s="11" t="s">
        <v>77</v>
      </c>
      <c r="H112" s="11" t="s">
        <v>337</v>
      </c>
      <c r="I112" s="11" t="s">
        <v>393</v>
      </c>
      <c r="J112" s="11"/>
      <c r="K112" s="11" t="n">
        <v>20000</v>
      </c>
      <c r="L112" s="13"/>
      <c r="M112" s="13"/>
      <c r="N112" s="13" t="n">
        <v>45541</v>
      </c>
      <c r="O112" s="13" t="n">
        <v>45545</v>
      </c>
      <c r="P112" s="13"/>
      <c r="Q112" s="13" t="n">
        <v>45546</v>
      </c>
      <c r="R112" s="13" t="n">
        <v>45558</v>
      </c>
      <c r="S112" s="13"/>
      <c r="T112" s="13"/>
      <c r="U112" s="12" t="s">
        <v>80</v>
      </c>
      <c r="V112" s="14"/>
      <c r="W112" s="11" t="s">
        <v>394</v>
      </c>
      <c r="X112" s="11" t="s">
        <v>395</v>
      </c>
      <c r="Y112" s="11" t="n">
        <v>12</v>
      </c>
      <c r="Z112" s="11" t="s">
        <v>81</v>
      </c>
      <c r="AA112" s="15" t="str">
        <f aca="false">IF(AND(ISNUMBER(L112),ISNUMBER(M112)),M112-L112,"")</f>
        <v/>
      </c>
      <c r="AB112" s="15" t="str">
        <f aca="false">IF(AND(ISNUMBER(M112),ISNUMBER(P112)),P112-M112,"")</f>
        <v/>
      </c>
      <c r="AC112" s="15" t="str">
        <f aca="false">IF(AND(ISNUMBER(L112),ISNUMBER(P112)),P112-L112,"")</f>
        <v/>
      </c>
      <c r="AD112" s="15" t="str">
        <f aca="false">IF(AND(ISNUMBER(P112),ISNUMBER(Q112)),Q112-P112,"")</f>
        <v/>
      </c>
      <c r="AE112" s="15" t="n">
        <f aca="false">IF(AND(ISNUMBER(Q112),ISNUMBER(R112)),R112-Q112,IF(ISNUMBER(Y112),Y112,""))</f>
        <v>12</v>
      </c>
      <c r="AF112" s="15" t="str">
        <f aca="false">IF(AND(ISNUMBER(R112),ISNUMBER(S112)),S112-R112,"")</f>
        <v/>
      </c>
      <c r="AG112" s="15" t="str">
        <f aca="false">IF(AND(ISNUMBER(S112),ISNUMBER(T112)),T112-S112,"")</f>
        <v/>
      </c>
      <c r="AH112" s="15" t="str">
        <f aca="false">IF(AND(ISNUMBER(L112),ISNUMBER(T112)),T112-L112,"")</f>
        <v/>
      </c>
      <c r="AI112" s="15" t="n">
        <f aca="false">IF(AND(ISNUMBER(O112),ISNUMBER(Q112)),Q112-O112,"")</f>
        <v>1</v>
      </c>
      <c r="AJ112" s="15" t="str">
        <f aca="false">IF(B112="","",COUNT(L112:M112,P112:T112)&amp;"/7")</f>
        <v>2/7</v>
      </c>
      <c r="AK112" s="15" t="str">
        <f aca="false">IF(B112="","",IF(OR(AND(ISNUMBER(L112),ISNUMBER(M112),M112&lt;L112),AND(ISNUMBER(M112),ISNUMBER(P112),P112&lt;M112),AND(ISNUMBER(P112),ISNUMBER(Q112),Q112&lt;P112),AND(ISNUMBER(Q112),ISNUMBER(R112),R112&lt;Q112),AND(ISNUMBER(R112),ISNUMBER(S112),S112&lt;R112),AND(ISNUMBER(S112),ISNUMBER(T112),T112&lt;S112),AND(ISNUMBER(N112),ISNUMBER(O112),O112&lt;N112)),"Urutan tanggal salah",IF(AND(ISNUMBER(Q112),ISNUMBER(R112),ISNUMBER(Y112),ABS(R112-Q112-Y112)&gt;2),"S tanggal ≠ Sailing tercatat",IF(AND(ISNUMBER(Q112),ISNUMBER(O112),ABS(Q112-O112)&gt;60),"Cek tahun laycan",IF(AND(ISNUMBER(Q112),ISNUMBER(N112),Q112&lt;N112),"Berangkat sebelum laycan",IF(NOT(ISNUMBER(AE112)),"S belum ada","OK"))))))</f>
        <v>OK</v>
      </c>
    </row>
    <row r="113" customFormat="false" ht="15" hidden="false" customHeight="false" outlineLevel="0" collapsed="false">
      <c r="A113" s="11" t="n">
        <f aca="false">IF(B113="","",ROW()-4)</f>
        <v>109</v>
      </c>
      <c r="B113" s="12" t="s">
        <v>306</v>
      </c>
      <c r="C113" s="11" t="s">
        <v>306</v>
      </c>
      <c r="D113" s="11" t="n">
        <v>2024</v>
      </c>
      <c r="E113" s="11" t="s">
        <v>261</v>
      </c>
      <c r="F113" s="11"/>
      <c r="G113" s="11" t="s">
        <v>77</v>
      </c>
      <c r="H113" s="11" t="s">
        <v>337</v>
      </c>
      <c r="I113" s="11"/>
      <c r="J113" s="11"/>
      <c r="K113" s="11" t="n">
        <v>20000</v>
      </c>
      <c r="L113" s="13"/>
      <c r="M113" s="13"/>
      <c r="N113" s="13"/>
      <c r="O113" s="13"/>
      <c r="P113" s="13"/>
      <c r="Q113" s="13"/>
      <c r="R113" s="13" t="n">
        <v>45585</v>
      </c>
      <c r="S113" s="13"/>
      <c r="T113" s="13"/>
      <c r="U113" s="12"/>
      <c r="V113" s="14"/>
      <c r="W113" s="11" t="s">
        <v>396</v>
      </c>
      <c r="X113" s="11"/>
      <c r="Y113" s="11"/>
      <c r="Z113" s="11" t="s">
        <v>81</v>
      </c>
      <c r="AA113" s="15" t="str">
        <f aca="false">IF(AND(ISNUMBER(L113),ISNUMBER(M113)),M113-L113,"")</f>
        <v/>
      </c>
      <c r="AB113" s="15" t="str">
        <f aca="false">IF(AND(ISNUMBER(M113),ISNUMBER(P113)),P113-M113,"")</f>
        <v/>
      </c>
      <c r="AC113" s="15" t="str">
        <f aca="false">IF(AND(ISNUMBER(L113),ISNUMBER(P113)),P113-L113,"")</f>
        <v/>
      </c>
      <c r="AD113" s="15" t="str">
        <f aca="false">IF(AND(ISNUMBER(P113),ISNUMBER(Q113)),Q113-P113,"")</f>
        <v/>
      </c>
      <c r="AE113" s="15" t="str">
        <f aca="false">IF(AND(ISNUMBER(Q113),ISNUMBER(R113)),R113-Q113,IF(ISNUMBER(Y113),Y113,""))</f>
        <v/>
      </c>
      <c r="AF113" s="15" t="str">
        <f aca="false">IF(AND(ISNUMBER(R113),ISNUMBER(S113)),S113-R113,"")</f>
        <v/>
      </c>
      <c r="AG113" s="15" t="str">
        <f aca="false">IF(AND(ISNUMBER(S113),ISNUMBER(T113)),T113-S113,"")</f>
        <v/>
      </c>
      <c r="AH113" s="15" t="str">
        <f aca="false">IF(AND(ISNUMBER(L113),ISNUMBER(T113)),T113-L113,"")</f>
        <v/>
      </c>
      <c r="AI113" s="15" t="str">
        <f aca="false">IF(AND(ISNUMBER(O113),ISNUMBER(Q113)),Q113-O113,"")</f>
        <v/>
      </c>
      <c r="AJ113" s="15" t="str">
        <f aca="false">IF(B113="","",COUNT(L113:M113,P113:T113)&amp;"/7")</f>
        <v>1/7</v>
      </c>
      <c r="AK113" s="15" t="str">
        <f aca="false">IF(B113="","",IF(OR(AND(ISNUMBER(L113),ISNUMBER(M113),M113&lt;L113),AND(ISNUMBER(M113),ISNUMBER(P113),P113&lt;M113),AND(ISNUMBER(P113),ISNUMBER(Q113),Q113&lt;P113),AND(ISNUMBER(Q113),ISNUMBER(R113),R113&lt;Q113),AND(ISNUMBER(R113),ISNUMBER(S113),S113&lt;R113),AND(ISNUMBER(S113),ISNUMBER(T113),T113&lt;S113),AND(ISNUMBER(N113),ISNUMBER(O113),O113&lt;N113)),"Urutan tanggal salah",IF(AND(ISNUMBER(Q113),ISNUMBER(R113),ISNUMBER(Y113),ABS(R113-Q113-Y113)&gt;2),"S tanggal ≠ Sailing tercatat",IF(AND(ISNUMBER(Q113),ISNUMBER(O113),ABS(Q113-O113)&gt;60),"Cek tahun laycan",IF(AND(ISNUMBER(Q113),ISNUMBER(N113),Q113&lt;N113),"Berangkat sebelum laycan",IF(NOT(ISNUMBER(AE113)),"S belum ada","OK"))))))</f>
        <v>S belum ada</v>
      </c>
    </row>
    <row r="114" customFormat="false" ht="15" hidden="false" customHeight="false" outlineLevel="0" collapsed="false">
      <c r="A114" s="11" t="n">
        <f aca="false">IF(B114="","",ROW()-4)</f>
        <v>110</v>
      </c>
      <c r="B114" s="12" t="s">
        <v>306</v>
      </c>
      <c r="C114" s="11" t="s">
        <v>306</v>
      </c>
      <c r="D114" s="11" t="n">
        <v>2024</v>
      </c>
      <c r="E114" s="11" t="s">
        <v>261</v>
      </c>
      <c r="F114" s="11" t="s">
        <v>320</v>
      </c>
      <c r="G114" s="11" t="s">
        <v>77</v>
      </c>
      <c r="H114" s="11" t="s">
        <v>361</v>
      </c>
      <c r="I114" s="11" t="s">
        <v>397</v>
      </c>
      <c r="J114" s="11"/>
      <c r="K114" s="11" t="n">
        <v>22000</v>
      </c>
      <c r="L114" s="13"/>
      <c r="M114" s="13"/>
      <c r="N114" s="13" t="n">
        <v>45566</v>
      </c>
      <c r="O114" s="13" t="n">
        <v>45568</v>
      </c>
      <c r="P114" s="13"/>
      <c r="Q114" s="13" t="n">
        <v>45569</v>
      </c>
      <c r="R114" s="13" t="n">
        <v>45579</v>
      </c>
      <c r="S114" s="13"/>
      <c r="T114" s="13"/>
      <c r="U114" s="12" t="s">
        <v>220</v>
      </c>
      <c r="V114" s="14"/>
      <c r="W114" s="11" t="s">
        <v>398</v>
      </c>
      <c r="X114" s="11" t="s">
        <v>399</v>
      </c>
      <c r="Y114" s="11" t="n">
        <v>10</v>
      </c>
      <c r="Z114" s="11" t="s">
        <v>81</v>
      </c>
      <c r="AA114" s="15" t="str">
        <f aca="false">IF(AND(ISNUMBER(L114),ISNUMBER(M114)),M114-L114,"")</f>
        <v/>
      </c>
      <c r="AB114" s="15" t="str">
        <f aca="false">IF(AND(ISNUMBER(M114),ISNUMBER(P114)),P114-M114,"")</f>
        <v/>
      </c>
      <c r="AC114" s="15" t="str">
        <f aca="false">IF(AND(ISNUMBER(L114),ISNUMBER(P114)),P114-L114,"")</f>
        <v/>
      </c>
      <c r="AD114" s="15" t="str">
        <f aca="false">IF(AND(ISNUMBER(P114),ISNUMBER(Q114)),Q114-P114,"")</f>
        <v/>
      </c>
      <c r="AE114" s="15" t="n">
        <f aca="false">IF(AND(ISNUMBER(Q114),ISNUMBER(R114)),R114-Q114,IF(ISNUMBER(Y114),Y114,""))</f>
        <v>10</v>
      </c>
      <c r="AF114" s="15" t="str">
        <f aca="false">IF(AND(ISNUMBER(R114),ISNUMBER(S114)),S114-R114,"")</f>
        <v/>
      </c>
      <c r="AG114" s="15" t="str">
        <f aca="false">IF(AND(ISNUMBER(S114),ISNUMBER(T114)),T114-S114,"")</f>
        <v/>
      </c>
      <c r="AH114" s="15" t="str">
        <f aca="false">IF(AND(ISNUMBER(L114),ISNUMBER(T114)),T114-L114,"")</f>
        <v/>
      </c>
      <c r="AI114" s="15" t="n">
        <f aca="false">IF(AND(ISNUMBER(O114),ISNUMBER(Q114)),Q114-O114,"")</f>
        <v>1</v>
      </c>
      <c r="AJ114" s="15" t="str">
        <f aca="false">IF(B114="","",COUNT(L114:M114,P114:T114)&amp;"/7")</f>
        <v>2/7</v>
      </c>
      <c r="AK114" s="15" t="str">
        <f aca="false">IF(B114="","",IF(OR(AND(ISNUMBER(L114),ISNUMBER(M114),M114&lt;L114),AND(ISNUMBER(M114),ISNUMBER(P114),P114&lt;M114),AND(ISNUMBER(P114),ISNUMBER(Q114),Q114&lt;P114),AND(ISNUMBER(Q114),ISNUMBER(R114),R114&lt;Q114),AND(ISNUMBER(R114),ISNUMBER(S114),S114&lt;R114),AND(ISNUMBER(S114),ISNUMBER(T114),T114&lt;S114),AND(ISNUMBER(N114),ISNUMBER(O114),O114&lt;N114)),"Urutan tanggal salah",IF(AND(ISNUMBER(Q114),ISNUMBER(R114),ISNUMBER(Y114),ABS(R114-Q114-Y114)&gt;2),"S tanggal ≠ Sailing tercatat",IF(AND(ISNUMBER(Q114),ISNUMBER(O114),ABS(Q114-O114)&gt;60),"Cek tahun laycan",IF(AND(ISNUMBER(Q114),ISNUMBER(N114),Q114&lt;N114),"Berangkat sebelum laycan",IF(NOT(ISNUMBER(AE114)),"S belum ada","OK"))))))</f>
        <v>OK</v>
      </c>
    </row>
    <row r="115" customFormat="false" ht="15" hidden="false" customHeight="false" outlineLevel="0" collapsed="false">
      <c r="A115" s="11" t="n">
        <f aca="false">IF(B115="","",ROW()-4)</f>
        <v>111</v>
      </c>
      <c r="B115" s="12" t="s">
        <v>306</v>
      </c>
      <c r="C115" s="11" t="s">
        <v>306</v>
      </c>
      <c r="D115" s="11" t="n">
        <v>2024</v>
      </c>
      <c r="E115" s="11" t="s">
        <v>261</v>
      </c>
      <c r="F115" s="11" t="s">
        <v>400</v>
      </c>
      <c r="G115" s="11" t="s">
        <v>77</v>
      </c>
      <c r="H115" s="11" t="s">
        <v>381</v>
      </c>
      <c r="I115" s="11" t="s">
        <v>401</v>
      </c>
      <c r="J115" s="11"/>
      <c r="K115" s="11" t="n">
        <v>20000</v>
      </c>
      <c r="L115" s="13"/>
      <c r="M115" s="13"/>
      <c r="N115" s="13" t="n">
        <v>45574</v>
      </c>
      <c r="O115" s="13" t="n">
        <v>45577</v>
      </c>
      <c r="P115" s="13"/>
      <c r="Q115" s="13" t="n">
        <v>45578</v>
      </c>
      <c r="R115" s="13" t="n">
        <v>45591</v>
      </c>
      <c r="S115" s="13"/>
      <c r="T115" s="13"/>
      <c r="U115" s="12" t="s">
        <v>220</v>
      </c>
      <c r="V115" s="14"/>
      <c r="W115" s="11" t="s">
        <v>402</v>
      </c>
      <c r="X115" s="11" t="s">
        <v>403</v>
      </c>
      <c r="Y115" s="11" t="n">
        <v>13</v>
      </c>
      <c r="Z115" s="11" t="s">
        <v>81</v>
      </c>
      <c r="AA115" s="15" t="str">
        <f aca="false">IF(AND(ISNUMBER(L115),ISNUMBER(M115)),M115-L115,"")</f>
        <v/>
      </c>
      <c r="AB115" s="15" t="str">
        <f aca="false">IF(AND(ISNUMBER(M115),ISNUMBER(P115)),P115-M115,"")</f>
        <v/>
      </c>
      <c r="AC115" s="15" t="str">
        <f aca="false">IF(AND(ISNUMBER(L115),ISNUMBER(P115)),P115-L115,"")</f>
        <v/>
      </c>
      <c r="AD115" s="15" t="str">
        <f aca="false">IF(AND(ISNUMBER(P115),ISNUMBER(Q115)),Q115-P115,"")</f>
        <v/>
      </c>
      <c r="AE115" s="15" t="n">
        <f aca="false">IF(AND(ISNUMBER(Q115),ISNUMBER(R115)),R115-Q115,IF(ISNUMBER(Y115),Y115,""))</f>
        <v>13</v>
      </c>
      <c r="AF115" s="15" t="str">
        <f aca="false">IF(AND(ISNUMBER(R115),ISNUMBER(S115)),S115-R115,"")</f>
        <v/>
      </c>
      <c r="AG115" s="15" t="str">
        <f aca="false">IF(AND(ISNUMBER(S115),ISNUMBER(T115)),T115-S115,"")</f>
        <v/>
      </c>
      <c r="AH115" s="15" t="str">
        <f aca="false">IF(AND(ISNUMBER(L115),ISNUMBER(T115)),T115-L115,"")</f>
        <v/>
      </c>
      <c r="AI115" s="15" t="n">
        <f aca="false">IF(AND(ISNUMBER(O115),ISNUMBER(Q115)),Q115-O115,"")</f>
        <v>1</v>
      </c>
      <c r="AJ115" s="15" t="str">
        <f aca="false">IF(B115="","",COUNT(L115:M115,P115:T115)&amp;"/7")</f>
        <v>2/7</v>
      </c>
      <c r="AK115" s="15" t="str">
        <f aca="false">IF(B115="","",IF(OR(AND(ISNUMBER(L115),ISNUMBER(M115),M115&lt;L115),AND(ISNUMBER(M115),ISNUMBER(P115),P115&lt;M115),AND(ISNUMBER(P115),ISNUMBER(Q115),Q115&lt;P115),AND(ISNUMBER(Q115),ISNUMBER(R115),R115&lt;Q115),AND(ISNUMBER(R115),ISNUMBER(S115),S115&lt;R115),AND(ISNUMBER(S115),ISNUMBER(T115),T115&lt;S115),AND(ISNUMBER(N115),ISNUMBER(O115),O115&lt;N115)),"Urutan tanggal salah",IF(AND(ISNUMBER(Q115),ISNUMBER(R115),ISNUMBER(Y115),ABS(R115-Q115-Y115)&gt;2),"S tanggal ≠ Sailing tercatat",IF(AND(ISNUMBER(Q115),ISNUMBER(O115),ABS(Q115-O115)&gt;60),"Cek tahun laycan",IF(AND(ISNUMBER(Q115),ISNUMBER(N115),Q115&lt;N115),"Berangkat sebelum laycan",IF(NOT(ISNUMBER(AE115)),"S belum ada","OK"))))))</f>
        <v>OK</v>
      </c>
    </row>
    <row r="116" customFormat="false" ht="15" hidden="false" customHeight="false" outlineLevel="0" collapsed="false">
      <c r="A116" s="11" t="n">
        <f aca="false">IF(B116="","",ROW()-4)</f>
        <v>112</v>
      </c>
      <c r="B116" s="12" t="s">
        <v>306</v>
      </c>
      <c r="C116" s="11" t="s">
        <v>306</v>
      </c>
      <c r="D116" s="11" t="n">
        <v>2024</v>
      </c>
      <c r="E116" s="11" t="s">
        <v>261</v>
      </c>
      <c r="F116" s="11" t="s">
        <v>404</v>
      </c>
      <c r="G116" s="11" t="s">
        <v>77</v>
      </c>
      <c r="H116" s="11" t="s">
        <v>405</v>
      </c>
      <c r="I116" s="11" t="s">
        <v>372</v>
      </c>
      <c r="J116" s="11"/>
      <c r="K116" s="11" t="n">
        <v>20000</v>
      </c>
      <c r="L116" s="13"/>
      <c r="M116" s="13"/>
      <c r="N116" s="13" t="n">
        <v>45582</v>
      </c>
      <c r="O116" s="13" t="n">
        <v>45586</v>
      </c>
      <c r="P116" s="13"/>
      <c r="Q116" s="13" t="n">
        <v>45587</v>
      </c>
      <c r="R116" s="13" t="n">
        <v>45600</v>
      </c>
      <c r="S116" s="13"/>
      <c r="T116" s="13"/>
      <c r="U116" s="12" t="s">
        <v>224</v>
      </c>
      <c r="V116" s="14"/>
      <c r="W116" s="16" t="s">
        <v>406</v>
      </c>
      <c r="X116" s="16" t="s">
        <v>407</v>
      </c>
      <c r="Y116" s="16" t="n">
        <v>13</v>
      </c>
      <c r="Z116" s="16" t="s">
        <v>81</v>
      </c>
      <c r="AA116" s="15" t="str">
        <f aca="false">IF(AND(ISNUMBER(L116),ISNUMBER(M116)),M116-L116,"")</f>
        <v/>
      </c>
      <c r="AB116" s="15" t="str">
        <f aca="false">IF(AND(ISNUMBER(M116),ISNUMBER(P116)),P116-M116,"")</f>
        <v/>
      </c>
      <c r="AC116" s="15" t="str">
        <f aca="false">IF(AND(ISNUMBER(L116),ISNUMBER(P116)),P116-L116,"")</f>
        <v/>
      </c>
      <c r="AD116" s="15" t="str">
        <f aca="false">IF(AND(ISNUMBER(P116),ISNUMBER(Q116)),Q116-P116,"")</f>
        <v/>
      </c>
      <c r="AE116" s="15" t="n">
        <f aca="false">IF(AND(ISNUMBER(Q116),ISNUMBER(R116)),R116-Q116,IF(ISNUMBER(Y116),Y116,""))</f>
        <v>13</v>
      </c>
      <c r="AF116" s="15" t="str">
        <f aca="false">IF(AND(ISNUMBER(R116),ISNUMBER(S116)),S116-R116,"")</f>
        <v/>
      </c>
      <c r="AG116" s="15" t="str">
        <f aca="false">IF(AND(ISNUMBER(S116),ISNUMBER(T116)),T116-S116,"")</f>
        <v/>
      </c>
      <c r="AH116" s="15" t="str">
        <f aca="false">IF(AND(ISNUMBER(L116),ISNUMBER(T116)),T116-L116,"")</f>
        <v/>
      </c>
      <c r="AI116" s="15" t="n">
        <f aca="false">IF(AND(ISNUMBER(O116),ISNUMBER(Q116)),Q116-O116,"")</f>
        <v>1</v>
      </c>
      <c r="AJ116" s="15" t="str">
        <f aca="false">IF(B116="","",COUNT(L116:M116,P116:T116)&amp;"/7")</f>
        <v>2/7</v>
      </c>
      <c r="AK116" s="15" t="str">
        <f aca="false">IF(B116="","",IF(OR(AND(ISNUMBER(L116),ISNUMBER(M116),M116&lt;L116),AND(ISNUMBER(M116),ISNUMBER(P116),P116&lt;M116),AND(ISNUMBER(P116),ISNUMBER(Q116),Q116&lt;P116),AND(ISNUMBER(Q116),ISNUMBER(R116),R116&lt;Q116),AND(ISNUMBER(R116),ISNUMBER(S116),S116&lt;R116),AND(ISNUMBER(S116),ISNUMBER(T116),T116&lt;S116),AND(ISNUMBER(N116),ISNUMBER(O116),O116&lt;N116)),"Urutan tanggal salah",IF(AND(ISNUMBER(Q116),ISNUMBER(R116),ISNUMBER(Y116),ABS(R116-Q116-Y116)&gt;2),"S tanggal ≠ Sailing tercatat",IF(AND(ISNUMBER(Q116),ISNUMBER(O116),ABS(Q116-O116)&gt;60),"Cek tahun laycan",IF(AND(ISNUMBER(Q116),ISNUMBER(N116),Q116&lt;N116),"Berangkat sebelum laycan",IF(NOT(ISNUMBER(AE116)),"S belum ada","OK"))))))</f>
        <v>OK</v>
      </c>
    </row>
    <row r="117" customFormat="false" ht="15" hidden="false" customHeight="false" outlineLevel="0" collapsed="false">
      <c r="A117" s="16" t="n">
        <f aca="false">IF(B117="","",ROW()-4)</f>
        <v>113</v>
      </c>
      <c r="B117" s="12" t="s">
        <v>306</v>
      </c>
      <c r="C117" s="16" t="s">
        <v>306</v>
      </c>
      <c r="D117" s="16" t="n">
        <v>2024</v>
      </c>
      <c r="E117" s="16" t="s">
        <v>261</v>
      </c>
      <c r="F117" s="16" t="s">
        <v>400</v>
      </c>
      <c r="G117" s="16" t="s">
        <v>77</v>
      </c>
      <c r="H117" s="16" t="s">
        <v>381</v>
      </c>
      <c r="I117" s="16" t="s">
        <v>408</v>
      </c>
      <c r="J117" s="16"/>
      <c r="K117" s="16" t="n">
        <v>20000</v>
      </c>
      <c r="L117" s="13"/>
      <c r="M117" s="13"/>
      <c r="N117" s="13" t="n">
        <v>45585</v>
      </c>
      <c r="O117" s="13" t="n">
        <v>45590</v>
      </c>
      <c r="P117" s="13"/>
      <c r="Q117" s="13" t="n">
        <v>45591</v>
      </c>
      <c r="R117" s="13" t="n">
        <v>45604</v>
      </c>
      <c r="S117" s="13"/>
      <c r="T117" s="13"/>
      <c r="U117" s="12" t="s">
        <v>224</v>
      </c>
      <c r="V117" s="14"/>
      <c r="W117" s="16" t="n">
        <v>45566</v>
      </c>
      <c r="X117" s="16" t="s">
        <v>409</v>
      </c>
      <c r="Y117" s="16" t="n">
        <v>13</v>
      </c>
      <c r="Z117" s="16" t="s">
        <v>81</v>
      </c>
      <c r="AA117" s="15" t="str">
        <f aca="false">IF(AND(ISNUMBER(L117),ISNUMBER(M117)),M117-L117,"")</f>
        <v/>
      </c>
      <c r="AB117" s="15" t="str">
        <f aca="false">IF(AND(ISNUMBER(M117),ISNUMBER(P117)),P117-M117,"")</f>
        <v/>
      </c>
      <c r="AC117" s="15" t="str">
        <f aca="false">IF(AND(ISNUMBER(L117),ISNUMBER(P117)),P117-L117,"")</f>
        <v/>
      </c>
      <c r="AD117" s="15" t="str">
        <f aca="false">IF(AND(ISNUMBER(P117),ISNUMBER(Q117)),Q117-P117,"")</f>
        <v/>
      </c>
      <c r="AE117" s="15" t="n">
        <f aca="false">IF(AND(ISNUMBER(Q117),ISNUMBER(R117)),R117-Q117,IF(ISNUMBER(Y117),Y117,""))</f>
        <v>13</v>
      </c>
      <c r="AF117" s="15" t="str">
        <f aca="false">IF(AND(ISNUMBER(R117),ISNUMBER(S117)),S117-R117,"")</f>
        <v/>
      </c>
      <c r="AG117" s="15" t="str">
        <f aca="false">IF(AND(ISNUMBER(S117),ISNUMBER(T117)),T117-S117,"")</f>
        <v/>
      </c>
      <c r="AH117" s="15" t="str">
        <f aca="false">IF(AND(ISNUMBER(L117),ISNUMBER(T117)),T117-L117,"")</f>
        <v/>
      </c>
      <c r="AI117" s="15" t="n">
        <f aca="false">IF(AND(ISNUMBER(O117),ISNUMBER(Q117)),Q117-O117,"")</f>
        <v>1</v>
      </c>
      <c r="AJ117" s="15" t="str">
        <f aca="false">IF(B117="","",COUNT(L117:M117,P117:T117)&amp;"/7")</f>
        <v>2/7</v>
      </c>
      <c r="AK117" s="15" t="str">
        <f aca="false">IF(B117="","",IF(OR(AND(ISNUMBER(L117),ISNUMBER(M117),M117&lt;L117),AND(ISNUMBER(M117),ISNUMBER(P117),P117&lt;M117),AND(ISNUMBER(P117),ISNUMBER(Q117),Q117&lt;P117),AND(ISNUMBER(Q117),ISNUMBER(R117),R117&lt;Q117),AND(ISNUMBER(R117),ISNUMBER(S117),S117&lt;R117),AND(ISNUMBER(S117),ISNUMBER(T117),T117&lt;S117),AND(ISNUMBER(N117),ISNUMBER(O117),O117&lt;N117)),"Urutan tanggal salah",IF(AND(ISNUMBER(Q117),ISNUMBER(R117),ISNUMBER(Y117),ABS(R117-Q117-Y117)&gt;2),"S tanggal ≠ Sailing tercatat",IF(AND(ISNUMBER(Q117),ISNUMBER(O117),ABS(Q117-O117)&gt;60),"Cek tahun laycan",IF(AND(ISNUMBER(Q117),ISNUMBER(N117),Q117&lt;N117),"Berangkat sebelum laycan",IF(NOT(ISNUMBER(AE117)),"S belum ada","OK"))))))</f>
        <v>OK</v>
      </c>
    </row>
    <row r="118" customFormat="false" ht="15" hidden="false" customHeight="false" outlineLevel="0" collapsed="false">
      <c r="A118" s="16" t="n">
        <f aca="false">IF(B118="","",ROW()-4)</f>
        <v>114</v>
      </c>
      <c r="B118" s="12" t="s">
        <v>306</v>
      </c>
      <c r="C118" s="16" t="s">
        <v>306</v>
      </c>
      <c r="D118" s="16" t="n">
        <v>2024</v>
      </c>
      <c r="E118" s="16" t="s">
        <v>261</v>
      </c>
      <c r="F118" s="16"/>
      <c r="G118" s="16" t="s">
        <v>77</v>
      </c>
      <c r="H118" s="16" t="s">
        <v>361</v>
      </c>
      <c r="I118" s="16"/>
      <c r="J118" s="16"/>
      <c r="K118" s="16" t="n">
        <v>20000</v>
      </c>
      <c r="L118" s="13"/>
      <c r="M118" s="13"/>
      <c r="N118" s="13"/>
      <c r="O118" s="13"/>
      <c r="P118" s="13"/>
      <c r="Q118" s="13"/>
      <c r="R118" s="13"/>
      <c r="S118" s="13"/>
      <c r="T118" s="13"/>
      <c r="U118" s="12"/>
      <c r="V118" s="14"/>
      <c r="W118" s="16" t="s">
        <v>410</v>
      </c>
      <c r="X118" s="16"/>
      <c r="Y118" s="16"/>
      <c r="Z118" s="16" t="s">
        <v>81</v>
      </c>
      <c r="AA118" s="15" t="str">
        <f aca="false">IF(AND(ISNUMBER(L118),ISNUMBER(M118)),M118-L118,"")</f>
        <v/>
      </c>
      <c r="AB118" s="15" t="str">
        <f aca="false">IF(AND(ISNUMBER(M118),ISNUMBER(P118)),P118-M118,"")</f>
        <v/>
      </c>
      <c r="AC118" s="15" t="str">
        <f aca="false">IF(AND(ISNUMBER(L118),ISNUMBER(P118)),P118-L118,"")</f>
        <v/>
      </c>
      <c r="AD118" s="15" t="str">
        <f aca="false">IF(AND(ISNUMBER(P118),ISNUMBER(Q118)),Q118-P118,"")</f>
        <v/>
      </c>
      <c r="AE118" s="15" t="str">
        <f aca="false">IF(AND(ISNUMBER(Q118),ISNUMBER(R118)),R118-Q118,IF(ISNUMBER(Y118),Y118,""))</f>
        <v/>
      </c>
      <c r="AF118" s="15" t="str">
        <f aca="false">IF(AND(ISNUMBER(R118),ISNUMBER(S118)),S118-R118,"")</f>
        <v/>
      </c>
      <c r="AG118" s="15" t="str">
        <f aca="false">IF(AND(ISNUMBER(S118),ISNUMBER(T118)),T118-S118,"")</f>
        <v/>
      </c>
      <c r="AH118" s="15" t="str">
        <f aca="false">IF(AND(ISNUMBER(L118),ISNUMBER(T118)),T118-L118,"")</f>
        <v/>
      </c>
      <c r="AI118" s="15" t="str">
        <f aca="false">IF(AND(ISNUMBER(O118),ISNUMBER(Q118)),Q118-O118,"")</f>
        <v/>
      </c>
      <c r="AJ118" s="15" t="str">
        <f aca="false">IF(B118="","",COUNT(L118:M118,P118:T118)&amp;"/7")</f>
        <v>0/7</v>
      </c>
      <c r="AK118" s="15" t="str">
        <f aca="false">IF(B118="","",IF(OR(AND(ISNUMBER(L118),ISNUMBER(M118),M118&lt;L118),AND(ISNUMBER(M118),ISNUMBER(P118),P118&lt;M118),AND(ISNUMBER(P118),ISNUMBER(Q118),Q118&lt;P118),AND(ISNUMBER(Q118),ISNUMBER(R118),R118&lt;Q118),AND(ISNUMBER(R118),ISNUMBER(S118),S118&lt;R118),AND(ISNUMBER(S118),ISNUMBER(T118),T118&lt;S118),AND(ISNUMBER(N118),ISNUMBER(O118),O118&lt;N118)),"Urutan tanggal salah",IF(AND(ISNUMBER(Q118),ISNUMBER(R118),ISNUMBER(Y118),ABS(R118-Q118-Y118)&gt;2),"S tanggal ≠ Sailing tercatat",IF(AND(ISNUMBER(Q118),ISNUMBER(O118),ABS(Q118-O118)&gt;60),"Cek tahun laycan",IF(AND(ISNUMBER(Q118),ISNUMBER(N118),Q118&lt;N118),"Berangkat sebelum laycan",IF(NOT(ISNUMBER(AE118)),"S belum ada","OK"))))))</f>
        <v>S belum ada</v>
      </c>
    </row>
    <row r="119" customFormat="false" ht="15" hidden="false" customHeight="false" outlineLevel="0" collapsed="false">
      <c r="A119" s="16" t="n">
        <f aca="false">IF(B119="","",ROW()-4)</f>
        <v>115</v>
      </c>
      <c r="B119" s="12" t="s">
        <v>306</v>
      </c>
      <c r="C119" s="16" t="s">
        <v>306</v>
      </c>
      <c r="D119" s="16" t="n">
        <v>2024</v>
      </c>
      <c r="E119" s="16" t="s">
        <v>261</v>
      </c>
      <c r="F119" s="16"/>
      <c r="G119" s="16" t="s">
        <v>77</v>
      </c>
      <c r="H119" s="16" t="s">
        <v>361</v>
      </c>
      <c r="I119" s="16"/>
      <c r="J119" s="16"/>
      <c r="K119" s="16" t="n">
        <v>20000</v>
      </c>
      <c r="L119" s="13"/>
      <c r="M119" s="13"/>
      <c r="N119" s="13"/>
      <c r="O119" s="13"/>
      <c r="P119" s="13"/>
      <c r="Q119" s="13"/>
      <c r="R119" s="13"/>
      <c r="S119" s="13"/>
      <c r="T119" s="13"/>
      <c r="U119" s="12"/>
      <c r="V119" s="14"/>
      <c r="W119" s="16" t="s">
        <v>410</v>
      </c>
      <c r="X119" s="16"/>
      <c r="Y119" s="16"/>
      <c r="Z119" s="16" t="s">
        <v>81</v>
      </c>
      <c r="AA119" s="15" t="str">
        <f aca="false">IF(AND(ISNUMBER(L119),ISNUMBER(M119)),M119-L119,"")</f>
        <v/>
      </c>
      <c r="AB119" s="15" t="str">
        <f aca="false">IF(AND(ISNUMBER(M119),ISNUMBER(P119)),P119-M119,"")</f>
        <v/>
      </c>
      <c r="AC119" s="15" t="str">
        <f aca="false">IF(AND(ISNUMBER(L119),ISNUMBER(P119)),P119-L119,"")</f>
        <v/>
      </c>
      <c r="AD119" s="15" t="str">
        <f aca="false">IF(AND(ISNUMBER(P119),ISNUMBER(Q119)),Q119-P119,"")</f>
        <v/>
      </c>
      <c r="AE119" s="15" t="str">
        <f aca="false">IF(AND(ISNUMBER(Q119),ISNUMBER(R119)),R119-Q119,IF(ISNUMBER(Y119),Y119,""))</f>
        <v/>
      </c>
      <c r="AF119" s="15" t="str">
        <f aca="false">IF(AND(ISNUMBER(R119),ISNUMBER(S119)),S119-R119,"")</f>
        <v/>
      </c>
      <c r="AG119" s="15" t="str">
        <f aca="false">IF(AND(ISNUMBER(S119),ISNUMBER(T119)),T119-S119,"")</f>
        <v/>
      </c>
      <c r="AH119" s="15" t="str">
        <f aca="false">IF(AND(ISNUMBER(L119),ISNUMBER(T119)),T119-L119,"")</f>
        <v/>
      </c>
      <c r="AI119" s="15" t="str">
        <f aca="false">IF(AND(ISNUMBER(O119),ISNUMBER(Q119)),Q119-O119,"")</f>
        <v/>
      </c>
      <c r="AJ119" s="15" t="str">
        <f aca="false">IF(B119="","",COUNT(L119:M119,P119:T119)&amp;"/7")</f>
        <v>0/7</v>
      </c>
      <c r="AK119" s="15" t="str">
        <f aca="false">IF(B119="","",IF(OR(AND(ISNUMBER(L119),ISNUMBER(M119),M119&lt;L119),AND(ISNUMBER(M119),ISNUMBER(P119),P119&lt;M119),AND(ISNUMBER(P119),ISNUMBER(Q119),Q119&lt;P119),AND(ISNUMBER(Q119),ISNUMBER(R119),R119&lt;Q119),AND(ISNUMBER(R119),ISNUMBER(S119),S119&lt;R119),AND(ISNUMBER(S119),ISNUMBER(T119),T119&lt;S119),AND(ISNUMBER(N119),ISNUMBER(O119),O119&lt;N119)),"Urutan tanggal salah",IF(AND(ISNUMBER(Q119),ISNUMBER(R119),ISNUMBER(Y119),ABS(R119-Q119-Y119)&gt;2),"S tanggal ≠ Sailing tercatat",IF(AND(ISNUMBER(Q119),ISNUMBER(O119),ABS(Q119-O119)&gt;60),"Cek tahun laycan",IF(AND(ISNUMBER(Q119),ISNUMBER(N119),Q119&lt;N119),"Berangkat sebelum laycan",IF(NOT(ISNUMBER(AE119)),"S belum ada","OK"))))))</f>
        <v>S belum ada</v>
      </c>
    </row>
    <row r="120" customFormat="false" ht="15" hidden="false" customHeight="false" outlineLevel="0" collapsed="false">
      <c r="A120" s="16" t="n">
        <f aca="false">IF(B120="","",ROW()-4)</f>
        <v>116</v>
      </c>
      <c r="B120" s="12" t="s">
        <v>306</v>
      </c>
      <c r="C120" s="16" t="s">
        <v>306</v>
      </c>
      <c r="D120" s="16" t="n">
        <v>2024</v>
      </c>
      <c r="E120" s="16" t="s">
        <v>261</v>
      </c>
      <c r="F120" s="16" t="s">
        <v>320</v>
      </c>
      <c r="G120" s="16" t="s">
        <v>77</v>
      </c>
      <c r="H120" s="16" t="s">
        <v>411</v>
      </c>
      <c r="I120" s="16" t="s">
        <v>412</v>
      </c>
      <c r="J120" s="16"/>
      <c r="K120" s="16" t="n">
        <v>20000</v>
      </c>
      <c r="L120" s="13"/>
      <c r="M120" s="13"/>
      <c r="N120" s="13" t="n">
        <v>45581</v>
      </c>
      <c r="O120" s="13" t="n">
        <v>45584</v>
      </c>
      <c r="P120" s="13"/>
      <c r="Q120" s="13" t="n">
        <v>45585</v>
      </c>
      <c r="R120" s="13" t="n">
        <v>45598</v>
      </c>
      <c r="S120" s="13"/>
      <c r="T120" s="13"/>
      <c r="U120" s="12" t="s">
        <v>224</v>
      </c>
      <c r="V120" s="14"/>
      <c r="W120" s="16" t="s">
        <v>413</v>
      </c>
      <c r="X120" s="16" t="s">
        <v>414</v>
      </c>
      <c r="Y120" s="16" t="n">
        <v>13</v>
      </c>
      <c r="Z120" s="16" t="s">
        <v>81</v>
      </c>
      <c r="AA120" s="15" t="str">
        <f aca="false">IF(AND(ISNUMBER(L120),ISNUMBER(M120)),M120-L120,"")</f>
        <v/>
      </c>
      <c r="AB120" s="15" t="str">
        <f aca="false">IF(AND(ISNUMBER(M120),ISNUMBER(P120)),P120-M120,"")</f>
        <v/>
      </c>
      <c r="AC120" s="15" t="str">
        <f aca="false">IF(AND(ISNUMBER(L120),ISNUMBER(P120)),P120-L120,"")</f>
        <v/>
      </c>
      <c r="AD120" s="15" t="str">
        <f aca="false">IF(AND(ISNUMBER(P120),ISNUMBER(Q120)),Q120-P120,"")</f>
        <v/>
      </c>
      <c r="AE120" s="15" t="n">
        <f aca="false">IF(AND(ISNUMBER(Q120),ISNUMBER(R120)),R120-Q120,IF(ISNUMBER(Y120),Y120,""))</f>
        <v>13</v>
      </c>
      <c r="AF120" s="15" t="str">
        <f aca="false">IF(AND(ISNUMBER(R120),ISNUMBER(S120)),S120-R120,"")</f>
        <v/>
      </c>
      <c r="AG120" s="15" t="str">
        <f aca="false">IF(AND(ISNUMBER(S120),ISNUMBER(T120)),T120-S120,"")</f>
        <v/>
      </c>
      <c r="AH120" s="15" t="str">
        <f aca="false">IF(AND(ISNUMBER(L120),ISNUMBER(T120)),T120-L120,"")</f>
        <v/>
      </c>
      <c r="AI120" s="15" t="n">
        <f aca="false">IF(AND(ISNUMBER(O120),ISNUMBER(Q120)),Q120-O120,"")</f>
        <v>1</v>
      </c>
      <c r="AJ120" s="15" t="str">
        <f aca="false">IF(B120="","",COUNT(L120:M120,P120:T120)&amp;"/7")</f>
        <v>2/7</v>
      </c>
      <c r="AK120" s="15" t="str">
        <f aca="false">IF(B120="","",IF(OR(AND(ISNUMBER(L120),ISNUMBER(M120),M120&lt;L120),AND(ISNUMBER(M120),ISNUMBER(P120),P120&lt;M120),AND(ISNUMBER(P120),ISNUMBER(Q120),Q120&lt;P120),AND(ISNUMBER(Q120),ISNUMBER(R120),R120&lt;Q120),AND(ISNUMBER(R120),ISNUMBER(S120),S120&lt;R120),AND(ISNUMBER(S120),ISNUMBER(T120),T120&lt;S120),AND(ISNUMBER(N120),ISNUMBER(O120),O120&lt;N120)),"Urutan tanggal salah",IF(AND(ISNUMBER(Q120),ISNUMBER(R120),ISNUMBER(Y120),ABS(R120-Q120-Y120)&gt;2),"S tanggal ≠ Sailing tercatat",IF(AND(ISNUMBER(Q120),ISNUMBER(O120),ABS(Q120-O120)&gt;60),"Cek tahun laycan",IF(AND(ISNUMBER(Q120),ISNUMBER(N120),Q120&lt;N120),"Berangkat sebelum laycan",IF(NOT(ISNUMBER(AE120)),"S belum ada","OK"))))))</f>
        <v>OK</v>
      </c>
    </row>
    <row r="121" customFormat="false" ht="15" hidden="false" customHeight="false" outlineLevel="0" collapsed="false">
      <c r="A121" s="16" t="n">
        <f aca="false">IF(B121="","",ROW()-4)</f>
        <v>117</v>
      </c>
      <c r="B121" s="12" t="s">
        <v>306</v>
      </c>
      <c r="C121" s="16" t="s">
        <v>306</v>
      </c>
      <c r="D121" s="16" t="n">
        <v>2024</v>
      </c>
      <c r="E121" s="16" t="s">
        <v>261</v>
      </c>
      <c r="F121" s="16"/>
      <c r="G121" s="16" t="s">
        <v>77</v>
      </c>
      <c r="H121" s="16" t="s">
        <v>337</v>
      </c>
      <c r="I121" s="16"/>
      <c r="J121" s="16"/>
      <c r="K121" s="16" t="n">
        <v>20000</v>
      </c>
      <c r="L121" s="13"/>
      <c r="M121" s="13"/>
      <c r="N121" s="13"/>
      <c r="O121" s="13"/>
      <c r="P121" s="13"/>
      <c r="Q121" s="13"/>
      <c r="R121" s="13"/>
      <c r="S121" s="13"/>
      <c r="T121" s="13"/>
      <c r="U121" s="12"/>
      <c r="V121" s="14"/>
      <c r="W121" s="16" t="s">
        <v>410</v>
      </c>
      <c r="X121" s="16"/>
      <c r="Y121" s="16"/>
      <c r="Z121" s="16" t="s">
        <v>81</v>
      </c>
      <c r="AA121" s="15" t="str">
        <f aca="false">IF(AND(ISNUMBER(L121),ISNUMBER(M121)),M121-L121,"")</f>
        <v/>
      </c>
      <c r="AB121" s="15" t="str">
        <f aca="false">IF(AND(ISNUMBER(M121),ISNUMBER(P121)),P121-M121,"")</f>
        <v/>
      </c>
      <c r="AC121" s="15" t="str">
        <f aca="false">IF(AND(ISNUMBER(L121),ISNUMBER(P121)),P121-L121,"")</f>
        <v/>
      </c>
      <c r="AD121" s="15" t="str">
        <f aca="false">IF(AND(ISNUMBER(P121),ISNUMBER(Q121)),Q121-P121,"")</f>
        <v/>
      </c>
      <c r="AE121" s="15" t="str">
        <f aca="false">IF(AND(ISNUMBER(Q121),ISNUMBER(R121)),R121-Q121,IF(ISNUMBER(Y121),Y121,""))</f>
        <v/>
      </c>
      <c r="AF121" s="15" t="str">
        <f aca="false">IF(AND(ISNUMBER(R121),ISNUMBER(S121)),S121-R121,"")</f>
        <v/>
      </c>
      <c r="AG121" s="15" t="str">
        <f aca="false">IF(AND(ISNUMBER(S121),ISNUMBER(T121)),T121-S121,"")</f>
        <v/>
      </c>
      <c r="AH121" s="15" t="str">
        <f aca="false">IF(AND(ISNUMBER(L121),ISNUMBER(T121)),T121-L121,"")</f>
        <v/>
      </c>
      <c r="AI121" s="15" t="str">
        <f aca="false">IF(AND(ISNUMBER(O121),ISNUMBER(Q121)),Q121-O121,"")</f>
        <v/>
      </c>
      <c r="AJ121" s="15" t="str">
        <f aca="false">IF(B121="","",COUNT(L121:M121,P121:T121)&amp;"/7")</f>
        <v>0/7</v>
      </c>
      <c r="AK121" s="15" t="str">
        <f aca="false">IF(B121="","",IF(OR(AND(ISNUMBER(L121),ISNUMBER(M121),M121&lt;L121),AND(ISNUMBER(M121),ISNUMBER(P121),P121&lt;M121),AND(ISNUMBER(P121),ISNUMBER(Q121),Q121&lt;P121),AND(ISNUMBER(Q121),ISNUMBER(R121),R121&lt;Q121),AND(ISNUMBER(R121),ISNUMBER(S121),S121&lt;R121),AND(ISNUMBER(S121),ISNUMBER(T121),T121&lt;S121),AND(ISNUMBER(N121),ISNUMBER(O121),O121&lt;N121)),"Urutan tanggal salah",IF(AND(ISNUMBER(Q121),ISNUMBER(R121),ISNUMBER(Y121),ABS(R121-Q121-Y121)&gt;2),"S tanggal ≠ Sailing tercatat",IF(AND(ISNUMBER(Q121),ISNUMBER(O121),ABS(Q121-O121)&gt;60),"Cek tahun laycan",IF(AND(ISNUMBER(Q121),ISNUMBER(N121),Q121&lt;N121),"Berangkat sebelum laycan",IF(NOT(ISNUMBER(AE121)),"S belum ada","OK"))))))</f>
        <v>S belum ada</v>
      </c>
    </row>
    <row r="122" customFormat="false" ht="15" hidden="false" customHeight="false" outlineLevel="0" collapsed="false">
      <c r="A122" s="16" t="n">
        <f aca="false">IF(B122="","",ROW()-4)</f>
        <v>118</v>
      </c>
      <c r="B122" s="12" t="s">
        <v>415</v>
      </c>
      <c r="C122" s="16" t="s">
        <v>416</v>
      </c>
      <c r="D122" s="16" t="n">
        <v>2022</v>
      </c>
      <c r="E122" s="16" t="s">
        <v>94</v>
      </c>
      <c r="F122" s="16" t="s">
        <v>95</v>
      </c>
      <c r="G122" s="16" t="s">
        <v>77</v>
      </c>
      <c r="H122" s="16" t="s">
        <v>417</v>
      </c>
      <c r="I122" s="16" t="s">
        <v>418</v>
      </c>
      <c r="J122" s="16"/>
      <c r="K122" s="16" t="n">
        <v>42100</v>
      </c>
      <c r="L122" s="13"/>
      <c r="M122" s="13"/>
      <c r="N122" s="13"/>
      <c r="O122" s="13"/>
      <c r="P122" s="13"/>
      <c r="Q122" s="13"/>
      <c r="R122" s="13" t="n">
        <v>44661</v>
      </c>
      <c r="S122" s="13"/>
      <c r="T122" s="13"/>
      <c r="U122" s="12" t="s">
        <v>80</v>
      </c>
      <c r="V122" s="14"/>
      <c r="W122" s="16"/>
      <c r="X122" s="16"/>
      <c r="Y122" s="16" t="n">
        <v>23</v>
      </c>
      <c r="Z122" s="16" t="s">
        <v>81</v>
      </c>
      <c r="AA122" s="15" t="str">
        <f aca="false">IF(AND(ISNUMBER(L122),ISNUMBER(M122)),M122-L122,"")</f>
        <v/>
      </c>
      <c r="AB122" s="15" t="str">
        <f aca="false">IF(AND(ISNUMBER(M122),ISNUMBER(P122)),P122-M122,"")</f>
        <v/>
      </c>
      <c r="AC122" s="15" t="str">
        <f aca="false">IF(AND(ISNUMBER(L122),ISNUMBER(P122)),P122-L122,"")</f>
        <v/>
      </c>
      <c r="AD122" s="15" t="str">
        <f aca="false">IF(AND(ISNUMBER(P122),ISNUMBER(Q122)),Q122-P122,"")</f>
        <v/>
      </c>
      <c r="AE122" s="15" t="n">
        <f aca="false">IF(AND(ISNUMBER(Q122),ISNUMBER(R122)),R122-Q122,IF(ISNUMBER(Y122),Y122,""))</f>
        <v>23</v>
      </c>
      <c r="AF122" s="15" t="str">
        <f aca="false">IF(AND(ISNUMBER(R122),ISNUMBER(S122)),S122-R122,"")</f>
        <v/>
      </c>
      <c r="AG122" s="15" t="str">
        <f aca="false">IF(AND(ISNUMBER(S122),ISNUMBER(T122)),T122-S122,"")</f>
        <v/>
      </c>
      <c r="AH122" s="15" t="str">
        <f aca="false">IF(AND(ISNUMBER(L122),ISNUMBER(T122)),T122-L122,"")</f>
        <v/>
      </c>
      <c r="AI122" s="15" t="str">
        <f aca="false">IF(AND(ISNUMBER(O122),ISNUMBER(Q122)),Q122-O122,"")</f>
        <v/>
      </c>
      <c r="AJ122" s="15" t="str">
        <f aca="false">IF(B122="","",COUNT(L122:M122,P122:T122)&amp;"/7")</f>
        <v>1/7</v>
      </c>
      <c r="AK122" s="15" t="str">
        <f aca="false">IF(B122="","",IF(OR(AND(ISNUMBER(L122),ISNUMBER(M122),M122&lt;L122),AND(ISNUMBER(M122),ISNUMBER(P122),P122&lt;M122),AND(ISNUMBER(P122),ISNUMBER(Q122),Q122&lt;P122),AND(ISNUMBER(Q122),ISNUMBER(R122),R122&lt;Q122),AND(ISNUMBER(R122),ISNUMBER(S122),S122&lt;R122),AND(ISNUMBER(S122),ISNUMBER(T122),T122&lt;S122),AND(ISNUMBER(N122),ISNUMBER(O122),O122&lt;N122)),"Urutan tanggal salah",IF(AND(ISNUMBER(Q122),ISNUMBER(R122),ISNUMBER(Y122),ABS(R122-Q122-Y122)&gt;2),"S tanggal ≠ Sailing tercatat",IF(AND(ISNUMBER(Q122),ISNUMBER(O122),ABS(Q122-O122)&gt;60),"Cek tahun laycan",IF(AND(ISNUMBER(Q122),ISNUMBER(N122),Q122&lt;N122),"Berangkat sebelum laycan",IF(NOT(ISNUMBER(AE122)),"S belum ada","OK"))))))</f>
        <v>OK</v>
      </c>
    </row>
    <row r="123" customFormat="false" ht="15" hidden="false" customHeight="false" outlineLevel="0" collapsed="false">
      <c r="A123" s="16" t="n">
        <f aca="false">IF(B123="","",ROW()-4)</f>
        <v>119</v>
      </c>
      <c r="B123" s="12" t="s">
        <v>415</v>
      </c>
      <c r="C123" s="16" t="s">
        <v>419</v>
      </c>
      <c r="D123" s="16" t="n">
        <v>2022</v>
      </c>
      <c r="E123" s="16" t="s">
        <v>94</v>
      </c>
      <c r="F123" s="16" t="s">
        <v>95</v>
      </c>
      <c r="G123" s="16" t="s">
        <v>77</v>
      </c>
      <c r="H123" s="16" t="s">
        <v>417</v>
      </c>
      <c r="I123" s="16" t="s">
        <v>420</v>
      </c>
      <c r="J123" s="16"/>
      <c r="K123" s="16" t="n">
        <v>43800</v>
      </c>
      <c r="L123" s="13"/>
      <c r="M123" s="13"/>
      <c r="N123" s="13" t="n">
        <v>44754</v>
      </c>
      <c r="O123" s="13" t="n">
        <v>44754</v>
      </c>
      <c r="P123" s="13"/>
      <c r="Q123" s="13"/>
      <c r="R123" s="13" t="n">
        <v>44681</v>
      </c>
      <c r="S123" s="13"/>
      <c r="T123" s="13"/>
      <c r="U123" s="12" t="s">
        <v>80</v>
      </c>
      <c r="V123" s="14"/>
      <c r="W123" s="16"/>
      <c r="X123" s="16"/>
      <c r="Y123" s="16" t="n">
        <v>23</v>
      </c>
      <c r="Z123" s="16" t="s">
        <v>81</v>
      </c>
      <c r="AA123" s="15" t="str">
        <f aca="false">IF(AND(ISNUMBER(L123),ISNUMBER(M123)),M123-L123,"")</f>
        <v/>
      </c>
      <c r="AB123" s="15" t="str">
        <f aca="false">IF(AND(ISNUMBER(M123),ISNUMBER(P123)),P123-M123,"")</f>
        <v/>
      </c>
      <c r="AC123" s="15" t="str">
        <f aca="false">IF(AND(ISNUMBER(L123),ISNUMBER(P123)),P123-L123,"")</f>
        <v/>
      </c>
      <c r="AD123" s="15" t="str">
        <f aca="false">IF(AND(ISNUMBER(P123),ISNUMBER(Q123)),Q123-P123,"")</f>
        <v/>
      </c>
      <c r="AE123" s="15" t="n">
        <f aca="false">IF(AND(ISNUMBER(Q123),ISNUMBER(R123)),R123-Q123,IF(ISNUMBER(Y123),Y123,""))</f>
        <v>23</v>
      </c>
      <c r="AF123" s="15" t="str">
        <f aca="false">IF(AND(ISNUMBER(R123),ISNUMBER(S123)),S123-R123,"")</f>
        <v/>
      </c>
      <c r="AG123" s="15" t="str">
        <f aca="false">IF(AND(ISNUMBER(S123),ISNUMBER(T123)),T123-S123,"")</f>
        <v/>
      </c>
      <c r="AH123" s="15" t="str">
        <f aca="false">IF(AND(ISNUMBER(L123),ISNUMBER(T123)),T123-L123,"")</f>
        <v/>
      </c>
      <c r="AI123" s="15" t="str">
        <f aca="false">IF(AND(ISNUMBER(O123),ISNUMBER(Q123)),Q123-O123,"")</f>
        <v/>
      </c>
      <c r="AJ123" s="15" t="str">
        <f aca="false">IF(B123="","",COUNT(L123:M123,P123:T123)&amp;"/7")</f>
        <v>1/7</v>
      </c>
      <c r="AK123" s="15" t="str">
        <f aca="false">IF(B123="","",IF(OR(AND(ISNUMBER(L123),ISNUMBER(M123),M123&lt;L123),AND(ISNUMBER(M123),ISNUMBER(P123),P123&lt;M123),AND(ISNUMBER(P123),ISNUMBER(Q123),Q123&lt;P123),AND(ISNUMBER(Q123),ISNUMBER(R123),R123&lt;Q123),AND(ISNUMBER(R123),ISNUMBER(S123),S123&lt;R123),AND(ISNUMBER(S123),ISNUMBER(T123),T123&lt;S123),AND(ISNUMBER(N123),ISNUMBER(O123),O123&lt;N123)),"Urutan tanggal salah",IF(AND(ISNUMBER(Q123),ISNUMBER(R123),ISNUMBER(Y123),ABS(R123-Q123-Y123)&gt;2),"S tanggal ≠ Sailing tercatat",IF(AND(ISNUMBER(Q123),ISNUMBER(O123),ABS(Q123-O123)&gt;60),"Cek tahun laycan",IF(AND(ISNUMBER(Q123),ISNUMBER(N123),Q123&lt;N123),"Berangkat sebelum laycan",IF(NOT(ISNUMBER(AE123)),"S belum ada","OK"))))))</f>
        <v>OK</v>
      </c>
    </row>
    <row r="124" customFormat="false" ht="15" hidden="false" customHeight="false" outlineLevel="0" collapsed="false">
      <c r="A124" s="16" t="n">
        <f aca="false">IF(B124="","",ROW()-4)</f>
        <v>120</v>
      </c>
      <c r="B124" s="12" t="s">
        <v>415</v>
      </c>
      <c r="C124" s="16" t="s">
        <v>421</v>
      </c>
      <c r="D124" s="16" t="n">
        <v>2022</v>
      </c>
      <c r="E124" s="16" t="s">
        <v>94</v>
      </c>
      <c r="F124" s="16" t="s">
        <v>95</v>
      </c>
      <c r="G124" s="16" t="s">
        <v>77</v>
      </c>
      <c r="H124" s="16" t="s">
        <v>417</v>
      </c>
      <c r="I124" s="16" t="s">
        <v>422</v>
      </c>
      <c r="J124" s="16"/>
      <c r="K124" s="16" t="n">
        <v>40000</v>
      </c>
      <c r="L124" s="13"/>
      <c r="M124" s="13"/>
      <c r="N124" s="13" t="n">
        <v>44710</v>
      </c>
      <c r="O124" s="13" t="n">
        <v>44710</v>
      </c>
      <c r="P124" s="13"/>
      <c r="Q124" s="13"/>
      <c r="R124" s="13" t="n">
        <v>44733</v>
      </c>
      <c r="S124" s="13"/>
      <c r="T124" s="13"/>
      <c r="U124" s="12" t="s">
        <v>80</v>
      </c>
      <c r="V124" s="14"/>
      <c r="W124" s="16"/>
      <c r="X124" s="16"/>
      <c r="Y124" s="16" t="n">
        <v>23</v>
      </c>
      <c r="Z124" s="16" t="s">
        <v>81</v>
      </c>
      <c r="AA124" s="15" t="str">
        <f aca="false">IF(AND(ISNUMBER(L124),ISNUMBER(M124)),M124-L124,"")</f>
        <v/>
      </c>
      <c r="AB124" s="15" t="str">
        <f aca="false">IF(AND(ISNUMBER(M124),ISNUMBER(P124)),P124-M124,"")</f>
        <v/>
      </c>
      <c r="AC124" s="15" t="str">
        <f aca="false">IF(AND(ISNUMBER(L124),ISNUMBER(P124)),P124-L124,"")</f>
        <v/>
      </c>
      <c r="AD124" s="15" t="str">
        <f aca="false">IF(AND(ISNUMBER(P124),ISNUMBER(Q124)),Q124-P124,"")</f>
        <v/>
      </c>
      <c r="AE124" s="15" t="n">
        <f aca="false">IF(AND(ISNUMBER(Q124),ISNUMBER(R124)),R124-Q124,IF(ISNUMBER(Y124),Y124,""))</f>
        <v>23</v>
      </c>
      <c r="AF124" s="15" t="str">
        <f aca="false">IF(AND(ISNUMBER(R124),ISNUMBER(S124)),S124-R124,"")</f>
        <v/>
      </c>
      <c r="AG124" s="15" t="str">
        <f aca="false">IF(AND(ISNUMBER(S124),ISNUMBER(T124)),T124-S124,"")</f>
        <v/>
      </c>
      <c r="AH124" s="15" t="str">
        <f aca="false">IF(AND(ISNUMBER(L124),ISNUMBER(T124)),T124-L124,"")</f>
        <v/>
      </c>
      <c r="AI124" s="15" t="str">
        <f aca="false">IF(AND(ISNUMBER(O124),ISNUMBER(Q124)),Q124-O124,"")</f>
        <v/>
      </c>
      <c r="AJ124" s="15" t="str">
        <f aca="false">IF(B124="","",COUNT(L124:M124,P124:T124)&amp;"/7")</f>
        <v>1/7</v>
      </c>
      <c r="AK124" s="15" t="str">
        <f aca="false">IF(B124="","",IF(OR(AND(ISNUMBER(L124),ISNUMBER(M124),M124&lt;L124),AND(ISNUMBER(M124),ISNUMBER(P124),P124&lt;M124),AND(ISNUMBER(P124),ISNUMBER(Q124),Q124&lt;P124),AND(ISNUMBER(Q124),ISNUMBER(R124),R124&lt;Q124),AND(ISNUMBER(R124),ISNUMBER(S124),S124&lt;R124),AND(ISNUMBER(S124),ISNUMBER(T124),T124&lt;S124),AND(ISNUMBER(N124),ISNUMBER(O124),O124&lt;N124)),"Urutan tanggal salah",IF(AND(ISNUMBER(Q124),ISNUMBER(R124),ISNUMBER(Y124),ABS(R124-Q124-Y124)&gt;2),"S tanggal ≠ Sailing tercatat",IF(AND(ISNUMBER(Q124),ISNUMBER(O124),ABS(Q124-O124)&gt;60),"Cek tahun laycan",IF(AND(ISNUMBER(Q124),ISNUMBER(N124),Q124&lt;N124),"Berangkat sebelum laycan",IF(NOT(ISNUMBER(AE124)),"S belum ada","OK"))))))</f>
        <v>OK</v>
      </c>
    </row>
    <row r="125" customFormat="false" ht="15" hidden="false" customHeight="false" outlineLevel="0" collapsed="false">
      <c r="A125" s="16" t="n">
        <f aca="false">IF(B125="","",ROW()-4)</f>
        <v>121</v>
      </c>
      <c r="B125" s="12" t="s">
        <v>415</v>
      </c>
      <c r="C125" s="16" t="s">
        <v>423</v>
      </c>
      <c r="D125" s="16" t="n">
        <v>2022</v>
      </c>
      <c r="E125" s="16" t="s">
        <v>94</v>
      </c>
      <c r="F125" s="16" t="s">
        <v>95</v>
      </c>
      <c r="G125" s="16" t="s">
        <v>77</v>
      </c>
      <c r="H125" s="16" t="s">
        <v>417</v>
      </c>
      <c r="I125" s="16" t="s">
        <v>424</v>
      </c>
      <c r="J125" s="16"/>
      <c r="K125" s="16" t="n">
        <v>40000</v>
      </c>
      <c r="L125" s="13"/>
      <c r="M125" s="13"/>
      <c r="N125" s="13" t="n">
        <v>44790</v>
      </c>
      <c r="O125" s="13" t="n">
        <v>44790</v>
      </c>
      <c r="P125" s="13"/>
      <c r="Q125" s="13"/>
      <c r="R125" s="13" t="n">
        <v>44813</v>
      </c>
      <c r="S125" s="13"/>
      <c r="T125" s="13"/>
      <c r="U125" s="12" t="s">
        <v>80</v>
      </c>
      <c r="V125" s="14"/>
      <c r="W125" s="16"/>
      <c r="X125" s="16"/>
      <c r="Y125" s="16" t="n">
        <v>23</v>
      </c>
      <c r="Z125" s="16" t="s">
        <v>81</v>
      </c>
      <c r="AA125" s="15" t="str">
        <f aca="false">IF(AND(ISNUMBER(L125),ISNUMBER(M125)),M125-L125,"")</f>
        <v/>
      </c>
      <c r="AB125" s="15" t="str">
        <f aca="false">IF(AND(ISNUMBER(M125),ISNUMBER(P125)),P125-M125,"")</f>
        <v/>
      </c>
      <c r="AC125" s="15" t="str">
        <f aca="false">IF(AND(ISNUMBER(L125),ISNUMBER(P125)),P125-L125,"")</f>
        <v/>
      </c>
      <c r="AD125" s="15" t="str">
        <f aca="false">IF(AND(ISNUMBER(P125),ISNUMBER(Q125)),Q125-P125,"")</f>
        <v/>
      </c>
      <c r="AE125" s="15" t="n">
        <f aca="false">IF(AND(ISNUMBER(Q125),ISNUMBER(R125)),R125-Q125,IF(ISNUMBER(Y125),Y125,""))</f>
        <v>23</v>
      </c>
      <c r="AF125" s="15" t="str">
        <f aca="false">IF(AND(ISNUMBER(R125),ISNUMBER(S125)),S125-R125,"")</f>
        <v/>
      </c>
      <c r="AG125" s="15" t="str">
        <f aca="false">IF(AND(ISNUMBER(S125),ISNUMBER(T125)),T125-S125,"")</f>
        <v/>
      </c>
      <c r="AH125" s="15" t="str">
        <f aca="false">IF(AND(ISNUMBER(L125),ISNUMBER(T125)),T125-L125,"")</f>
        <v/>
      </c>
      <c r="AI125" s="15" t="str">
        <f aca="false">IF(AND(ISNUMBER(O125),ISNUMBER(Q125)),Q125-O125,"")</f>
        <v/>
      </c>
      <c r="AJ125" s="15" t="str">
        <f aca="false">IF(B125="","",COUNT(L125:M125,P125:T125)&amp;"/7")</f>
        <v>1/7</v>
      </c>
      <c r="AK125" s="15" t="str">
        <f aca="false">IF(B125="","",IF(OR(AND(ISNUMBER(L125),ISNUMBER(M125),M125&lt;L125),AND(ISNUMBER(M125),ISNUMBER(P125),P125&lt;M125),AND(ISNUMBER(P125),ISNUMBER(Q125),Q125&lt;P125),AND(ISNUMBER(Q125),ISNUMBER(R125),R125&lt;Q125),AND(ISNUMBER(R125),ISNUMBER(S125),S125&lt;R125),AND(ISNUMBER(S125),ISNUMBER(T125),T125&lt;S125),AND(ISNUMBER(N125),ISNUMBER(O125),O125&lt;N125)),"Urutan tanggal salah",IF(AND(ISNUMBER(Q125),ISNUMBER(R125),ISNUMBER(Y125),ABS(R125-Q125-Y125)&gt;2),"S tanggal ≠ Sailing tercatat",IF(AND(ISNUMBER(Q125),ISNUMBER(O125),ABS(Q125-O125)&gt;60),"Cek tahun laycan",IF(AND(ISNUMBER(Q125),ISNUMBER(N125),Q125&lt;N125),"Berangkat sebelum laycan",IF(NOT(ISNUMBER(AE125)),"S belum ada","OK"))))))</f>
        <v>OK</v>
      </c>
    </row>
    <row r="126" customFormat="false" ht="15" hidden="false" customHeight="false" outlineLevel="0" collapsed="false">
      <c r="A126" s="16" t="n">
        <f aca="false">IF(B126="","",ROW()-4)</f>
        <v>122</v>
      </c>
      <c r="B126" s="12" t="s">
        <v>415</v>
      </c>
      <c r="C126" s="16" t="s">
        <v>425</v>
      </c>
      <c r="D126" s="16" t="n">
        <v>2022</v>
      </c>
      <c r="E126" s="16" t="s">
        <v>426</v>
      </c>
      <c r="F126" s="16" t="s">
        <v>427</v>
      </c>
      <c r="G126" s="16" t="s">
        <v>77</v>
      </c>
      <c r="H126" s="16" t="s">
        <v>428</v>
      </c>
      <c r="I126" s="16" t="s">
        <v>429</v>
      </c>
      <c r="J126" s="16"/>
      <c r="K126" s="16" t="n">
        <v>44000</v>
      </c>
      <c r="L126" s="13"/>
      <c r="M126" s="13"/>
      <c r="N126" s="13"/>
      <c r="O126" s="13"/>
      <c r="P126" s="13"/>
      <c r="Q126" s="13"/>
      <c r="R126" s="13" t="n">
        <v>44651</v>
      </c>
      <c r="S126" s="13"/>
      <c r="T126" s="13"/>
      <c r="U126" s="12" t="s">
        <v>80</v>
      </c>
      <c r="V126" s="14"/>
      <c r="W126" s="16"/>
      <c r="X126" s="16"/>
      <c r="Y126" s="16" t="n">
        <v>23</v>
      </c>
      <c r="Z126" s="16" t="s">
        <v>81</v>
      </c>
      <c r="AA126" s="15" t="str">
        <f aca="false">IF(AND(ISNUMBER(L126),ISNUMBER(M126)),M126-L126,"")</f>
        <v/>
      </c>
      <c r="AB126" s="15" t="str">
        <f aca="false">IF(AND(ISNUMBER(M126),ISNUMBER(P126)),P126-M126,"")</f>
        <v/>
      </c>
      <c r="AC126" s="15" t="str">
        <f aca="false">IF(AND(ISNUMBER(L126),ISNUMBER(P126)),P126-L126,"")</f>
        <v/>
      </c>
      <c r="AD126" s="15" t="str">
        <f aca="false">IF(AND(ISNUMBER(P126),ISNUMBER(Q126)),Q126-P126,"")</f>
        <v/>
      </c>
      <c r="AE126" s="15" t="n">
        <f aca="false">IF(AND(ISNUMBER(Q126),ISNUMBER(R126)),R126-Q126,IF(ISNUMBER(Y126),Y126,""))</f>
        <v>23</v>
      </c>
      <c r="AF126" s="15" t="str">
        <f aca="false">IF(AND(ISNUMBER(R126),ISNUMBER(S126)),S126-R126,"")</f>
        <v/>
      </c>
      <c r="AG126" s="15" t="str">
        <f aca="false">IF(AND(ISNUMBER(S126),ISNUMBER(T126)),T126-S126,"")</f>
        <v/>
      </c>
      <c r="AH126" s="15" t="str">
        <f aca="false">IF(AND(ISNUMBER(L126),ISNUMBER(T126)),T126-L126,"")</f>
        <v/>
      </c>
      <c r="AI126" s="15" t="str">
        <f aca="false">IF(AND(ISNUMBER(O126),ISNUMBER(Q126)),Q126-O126,"")</f>
        <v/>
      </c>
      <c r="AJ126" s="15" t="str">
        <f aca="false">IF(B126="","",COUNT(L126:M126,P126:T126)&amp;"/7")</f>
        <v>1/7</v>
      </c>
      <c r="AK126" s="15" t="str">
        <f aca="false">IF(B126="","",IF(OR(AND(ISNUMBER(L126),ISNUMBER(M126),M126&lt;L126),AND(ISNUMBER(M126),ISNUMBER(P126),P126&lt;M126),AND(ISNUMBER(P126),ISNUMBER(Q126),Q126&lt;P126),AND(ISNUMBER(Q126),ISNUMBER(R126),R126&lt;Q126),AND(ISNUMBER(R126),ISNUMBER(S126),S126&lt;R126),AND(ISNUMBER(S126),ISNUMBER(T126),T126&lt;S126),AND(ISNUMBER(N126),ISNUMBER(O126),O126&lt;N126)),"Urutan tanggal salah",IF(AND(ISNUMBER(Q126),ISNUMBER(R126),ISNUMBER(Y126),ABS(R126-Q126-Y126)&gt;2),"S tanggal ≠ Sailing tercatat",IF(AND(ISNUMBER(Q126),ISNUMBER(O126),ABS(Q126-O126)&gt;60),"Cek tahun laycan",IF(AND(ISNUMBER(Q126),ISNUMBER(N126),Q126&lt;N126),"Berangkat sebelum laycan",IF(NOT(ISNUMBER(AE126)),"S belum ada","OK"))))))</f>
        <v>OK</v>
      </c>
    </row>
    <row r="127" customFormat="false" ht="15" hidden="false" customHeight="false" outlineLevel="0" collapsed="false">
      <c r="A127" s="16" t="n">
        <f aca="false">IF(B127="","",ROW()-4)</f>
        <v>123</v>
      </c>
      <c r="B127" s="12" t="s">
        <v>415</v>
      </c>
      <c r="C127" s="16" t="s">
        <v>430</v>
      </c>
      <c r="D127" s="16" t="n">
        <v>2022</v>
      </c>
      <c r="E127" s="16" t="s">
        <v>426</v>
      </c>
      <c r="F127" s="16" t="s">
        <v>427</v>
      </c>
      <c r="G127" s="16" t="s">
        <v>77</v>
      </c>
      <c r="H127" s="16" t="s">
        <v>428</v>
      </c>
      <c r="I127" s="16" t="s">
        <v>431</v>
      </c>
      <c r="J127" s="16"/>
      <c r="K127" s="16" t="n">
        <v>41650</v>
      </c>
      <c r="L127" s="13"/>
      <c r="M127" s="13"/>
      <c r="N127" s="13"/>
      <c r="O127" s="13"/>
      <c r="P127" s="13"/>
      <c r="Q127" s="13"/>
      <c r="R127" s="13" t="n">
        <v>44680</v>
      </c>
      <c r="S127" s="13"/>
      <c r="T127" s="13"/>
      <c r="U127" s="12" t="s">
        <v>80</v>
      </c>
      <c r="V127" s="14"/>
      <c r="W127" s="16"/>
      <c r="X127" s="16"/>
      <c r="Y127" s="16" t="n">
        <v>23</v>
      </c>
      <c r="Z127" s="16" t="s">
        <v>81</v>
      </c>
      <c r="AA127" s="15" t="str">
        <f aca="false">IF(AND(ISNUMBER(L127),ISNUMBER(M127)),M127-L127,"")</f>
        <v/>
      </c>
      <c r="AB127" s="15" t="str">
        <f aca="false">IF(AND(ISNUMBER(M127),ISNUMBER(P127)),P127-M127,"")</f>
        <v/>
      </c>
      <c r="AC127" s="15" t="str">
        <f aca="false">IF(AND(ISNUMBER(L127),ISNUMBER(P127)),P127-L127,"")</f>
        <v/>
      </c>
      <c r="AD127" s="15" t="str">
        <f aca="false">IF(AND(ISNUMBER(P127),ISNUMBER(Q127)),Q127-P127,"")</f>
        <v/>
      </c>
      <c r="AE127" s="15" t="n">
        <f aca="false">IF(AND(ISNUMBER(Q127),ISNUMBER(R127)),R127-Q127,IF(ISNUMBER(Y127),Y127,""))</f>
        <v>23</v>
      </c>
      <c r="AF127" s="15" t="str">
        <f aca="false">IF(AND(ISNUMBER(R127),ISNUMBER(S127)),S127-R127,"")</f>
        <v/>
      </c>
      <c r="AG127" s="15" t="str">
        <f aca="false">IF(AND(ISNUMBER(S127),ISNUMBER(T127)),T127-S127,"")</f>
        <v/>
      </c>
      <c r="AH127" s="15" t="str">
        <f aca="false">IF(AND(ISNUMBER(L127),ISNUMBER(T127)),T127-L127,"")</f>
        <v/>
      </c>
      <c r="AI127" s="15" t="str">
        <f aca="false">IF(AND(ISNUMBER(O127),ISNUMBER(Q127)),Q127-O127,"")</f>
        <v/>
      </c>
      <c r="AJ127" s="15" t="str">
        <f aca="false">IF(B127="","",COUNT(L127:M127,P127:T127)&amp;"/7")</f>
        <v>1/7</v>
      </c>
      <c r="AK127" s="15" t="str">
        <f aca="false">IF(B127="","",IF(OR(AND(ISNUMBER(L127),ISNUMBER(M127),M127&lt;L127),AND(ISNUMBER(M127),ISNUMBER(P127),P127&lt;M127),AND(ISNUMBER(P127),ISNUMBER(Q127),Q127&lt;P127),AND(ISNUMBER(Q127),ISNUMBER(R127),R127&lt;Q127),AND(ISNUMBER(R127),ISNUMBER(S127),S127&lt;R127),AND(ISNUMBER(S127),ISNUMBER(T127),T127&lt;S127),AND(ISNUMBER(N127),ISNUMBER(O127),O127&lt;N127)),"Urutan tanggal salah",IF(AND(ISNUMBER(Q127),ISNUMBER(R127),ISNUMBER(Y127),ABS(R127-Q127-Y127)&gt;2),"S tanggal ≠ Sailing tercatat",IF(AND(ISNUMBER(Q127),ISNUMBER(O127),ABS(Q127-O127)&gt;60),"Cek tahun laycan",IF(AND(ISNUMBER(Q127),ISNUMBER(N127),Q127&lt;N127),"Berangkat sebelum laycan",IF(NOT(ISNUMBER(AE127)),"S belum ada","OK"))))))</f>
        <v>OK</v>
      </c>
    </row>
    <row r="128" customFormat="false" ht="15" hidden="false" customHeight="false" outlineLevel="0" collapsed="false">
      <c r="A128" s="16" t="n">
        <f aca="false">IF(B128="","",ROW()-4)</f>
        <v>124</v>
      </c>
      <c r="B128" s="12" t="s">
        <v>415</v>
      </c>
      <c r="C128" s="16" t="s">
        <v>432</v>
      </c>
      <c r="D128" s="16" t="n">
        <v>2022</v>
      </c>
      <c r="E128" s="16" t="s">
        <v>426</v>
      </c>
      <c r="F128" s="16" t="s">
        <v>427</v>
      </c>
      <c r="G128" s="16" t="s">
        <v>77</v>
      </c>
      <c r="H128" s="16" t="s">
        <v>428</v>
      </c>
      <c r="I128" s="16" t="s">
        <v>433</v>
      </c>
      <c r="J128" s="16"/>
      <c r="K128" s="16" t="n">
        <v>40000</v>
      </c>
      <c r="L128" s="13"/>
      <c r="M128" s="13"/>
      <c r="N128" s="13"/>
      <c r="O128" s="13"/>
      <c r="P128" s="13"/>
      <c r="Q128" s="13"/>
      <c r="R128" s="13" t="n">
        <v>44773</v>
      </c>
      <c r="S128" s="13"/>
      <c r="T128" s="13"/>
      <c r="U128" s="12" t="s">
        <v>80</v>
      </c>
      <c r="V128" s="14"/>
      <c r="W128" s="16"/>
      <c r="X128" s="16"/>
      <c r="Y128" s="16" t="n">
        <v>23</v>
      </c>
      <c r="Z128" s="16" t="s">
        <v>81</v>
      </c>
      <c r="AA128" s="15" t="str">
        <f aca="false">IF(AND(ISNUMBER(L128),ISNUMBER(M128)),M128-L128,"")</f>
        <v/>
      </c>
      <c r="AB128" s="15" t="str">
        <f aca="false">IF(AND(ISNUMBER(M128),ISNUMBER(P128)),P128-M128,"")</f>
        <v/>
      </c>
      <c r="AC128" s="15" t="str">
        <f aca="false">IF(AND(ISNUMBER(L128),ISNUMBER(P128)),P128-L128,"")</f>
        <v/>
      </c>
      <c r="AD128" s="15" t="str">
        <f aca="false">IF(AND(ISNUMBER(P128),ISNUMBER(Q128)),Q128-P128,"")</f>
        <v/>
      </c>
      <c r="AE128" s="15" t="n">
        <f aca="false">IF(AND(ISNUMBER(Q128),ISNUMBER(R128)),R128-Q128,IF(ISNUMBER(Y128),Y128,""))</f>
        <v>23</v>
      </c>
      <c r="AF128" s="15" t="str">
        <f aca="false">IF(AND(ISNUMBER(R128),ISNUMBER(S128)),S128-R128,"")</f>
        <v/>
      </c>
      <c r="AG128" s="15" t="str">
        <f aca="false">IF(AND(ISNUMBER(S128),ISNUMBER(T128)),T128-S128,"")</f>
        <v/>
      </c>
      <c r="AH128" s="15" t="str">
        <f aca="false">IF(AND(ISNUMBER(L128),ISNUMBER(T128)),T128-L128,"")</f>
        <v/>
      </c>
      <c r="AI128" s="15" t="str">
        <f aca="false">IF(AND(ISNUMBER(O128),ISNUMBER(Q128)),Q128-O128,"")</f>
        <v/>
      </c>
      <c r="AJ128" s="15" t="str">
        <f aca="false">IF(B128="","",COUNT(L128:M128,P128:T128)&amp;"/7")</f>
        <v>1/7</v>
      </c>
      <c r="AK128" s="15" t="str">
        <f aca="false">IF(B128="","",IF(OR(AND(ISNUMBER(L128),ISNUMBER(M128),M128&lt;L128),AND(ISNUMBER(M128),ISNUMBER(P128),P128&lt;M128),AND(ISNUMBER(P128),ISNUMBER(Q128),Q128&lt;P128),AND(ISNUMBER(Q128),ISNUMBER(R128),R128&lt;Q128),AND(ISNUMBER(R128),ISNUMBER(S128),S128&lt;R128),AND(ISNUMBER(S128),ISNUMBER(T128),T128&lt;S128),AND(ISNUMBER(N128),ISNUMBER(O128),O128&lt;N128)),"Urutan tanggal salah",IF(AND(ISNUMBER(Q128),ISNUMBER(R128),ISNUMBER(Y128),ABS(R128-Q128-Y128)&gt;2),"S tanggal ≠ Sailing tercatat",IF(AND(ISNUMBER(Q128),ISNUMBER(O128),ABS(Q128-O128)&gt;60),"Cek tahun laycan",IF(AND(ISNUMBER(Q128),ISNUMBER(N128),Q128&lt;N128),"Berangkat sebelum laycan",IF(NOT(ISNUMBER(AE128)),"S belum ada","OK"))))))</f>
        <v>OK</v>
      </c>
    </row>
    <row r="129" customFormat="false" ht="15" hidden="false" customHeight="false" outlineLevel="0" collapsed="false">
      <c r="A129" s="16" t="n">
        <f aca="false">IF(B129="","",ROW()-4)</f>
        <v>125</v>
      </c>
      <c r="B129" s="12" t="s">
        <v>415</v>
      </c>
      <c r="C129" s="16" t="s">
        <v>434</v>
      </c>
      <c r="D129" s="16" t="n">
        <v>2022</v>
      </c>
      <c r="E129" s="16" t="s">
        <v>426</v>
      </c>
      <c r="F129" s="16" t="s">
        <v>427</v>
      </c>
      <c r="G129" s="16" t="s">
        <v>77</v>
      </c>
      <c r="H129" s="16" t="s">
        <v>428</v>
      </c>
      <c r="I129" s="16" t="s">
        <v>435</v>
      </c>
      <c r="J129" s="16"/>
      <c r="K129" s="16" t="n">
        <v>40000</v>
      </c>
      <c r="L129" s="13"/>
      <c r="M129" s="13"/>
      <c r="N129" s="13" t="n">
        <v>44708</v>
      </c>
      <c r="O129" s="13" t="n">
        <v>44708</v>
      </c>
      <c r="P129" s="13"/>
      <c r="Q129" s="13"/>
      <c r="R129" s="13" t="n">
        <v>44731</v>
      </c>
      <c r="S129" s="13"/>
      <c r="T129" s="13"/>
      <c r="U129" s="12" t="s">
        <v>80</v>
      </c>
      <c r="V129" s="14"/>
      <c r="W129" s="16"/>
      <c r="X129" s="16"/>
      <c r="Y129" s="16" t="n">
        <v>23</v>
      </c>
      <c r="Z129" s="16" t="s">
        <v>81</v>
      </c>
      <c r="AA129" s="15" t="str">
        <f aca="false">IF(AND(ISNUMBER(L129),ISNUMBER(M129)),M129-L129,"")</f>
        <v/>
      </c>
      <c r="AB129" s="15" t="str">
        <f aca="false">IF(AND(ISNUMBER(M129),ISNUMBER(P129)),P129-M129,"")</f>
        <v/>
      </c>
      <c r="AC129" s="15" t="str">
        <f aca="false">IF(AND(ISNUMBER(L129),ISNUMBER(P129)),P129-L129,"")</f>
        <v/>
      </c>
      <c r="AD129" s="15" t="str">
        <f aca="false">IF(AND(ISNUMBER(P129),ISNUMBER(Q129)),Q129-P129,"")</f>
        <v/>
      </c>
      <c r="AE129" s="15" t="n">
        <f aca="false">IF(AND(ISNUMBER(Q129),ISNUMBER(R129)),R129-Q129,IF(ISNUMBER(Y129),Y129,""))</f>
        <v>23</v>
      </c>
      <c r="AF129" s="15" t="str">
        <f aca="false">IF(AND(ISNUMBER(R129),ISNUMBER(S129)),S129-R129,"")</f>
        <v/>
      </c>
      <c r="AG129" s="15" t="str">
        <f aca="false">IF(AND(ISNUMBER(S129),ISNUMBER(T129)),T129-S129,"")</f>
        <v/>
      </c>
      <c r="AH129" s="15" t="str">
        <f aca="false">IF(AND(ISNUMBER(L129),ISNUMBER(T129)),T129-L129,"")</f>
        <v/>
      </c>
      <c r="AI129" s="15" t="str">
        <f aca="false">IF(AND(ISNUMBER(O129),ISNUMBER(Q129)),Q129-O129,"")</f>
        <v/>
      </c>
      <c r="AJ129" s="15" t="str">
        <f aca="false">IF(B129="","",COUNT(L129:M129,P129:T129)&amp;"/7")</f>
        <v>1/7</v>
      </c>
      <c r="AK129" s="15" t="str">
        <f aca="false">IF(B129="","",IF(OR(AND(ISNUMBER(L129),ISNUMBER(M129),M129&lt;L129),AND(ISNUMBER(M129),ISNUMBER(P129),P129&lt;M129),AND(ISNUMBER(P129),ISNUMBER(Q129),Q129&lt;P129),AND(ISNUMBER(Q129),ISNUMBER(R129),R129&lt;Q129),AND(ISNUMBER(R129),ISNUMBER(S129),S129&lt;R129),AND(ISNUMBER(S129),ISNUMBER(T129),T129&lt;S129),AND(ISNUMBER(N129),ISNUMBER(O129),O129&lt;N129)),"Urutan tanggal salah",IF(AND(ISNUMBER(Q129),ISNUMBER(R129),ISNUMBER(Y129),ABS(R129-Q129-Y129)&gt;2),"S tanggal ≠ Sailing tercatat",IF(AND(ISNUMBER(Q129),ISNUMBER(O129),ABS(Q129-O129)&gt;60),"Cek tahun laycan",IF(AND(ISNUMBER(Q129),ISNUMBER(N129),Q129&lt;N129),"Berangkat sebelum laycan",IF(NOT(ISNUMBER(AE129)),"S belum ada","OK"))))))</f>
        <v>OK</v>
      </c>
    </row>
    <row r="130" customFormat="false" ht="15" hidden="false" customHeight="false" outlineLevel="0" collapsed="false">
      <c r="A130" s="16" t="n">
        <f aca="false">IF(B130="","",ROW()-4)</f>
        <v>126</v>
      </c>
      <c r="B130" s="12" t="s">
        <v>415</v>
      </c>
      <c r="C130" s="16" t="s">
        <v>436</v>
      </c>
      <c r="D130" s="16" t="n">
        <v>2022</v>
      </c>
      <c r="E130" s="16" t="s">
        <v>437</v>
      </c>
      <c r="F130" s="16" t="s">
        <v>438</v>
      </c>
      <c r="G130" s="16" t="s">
        <v>77</v>
      </c>
      <c r="H130" s="16" t="s">
        <v>439</v>
      </c>
      <c r="I130" s="16" t="s">
        <v>440</v>
      </c>
      <c r="J130" s="16"/>
      <c r="K130" s="16" t="n">
        <v>35000</v>
      </c>
      <c r="L130" s="13"/>
      <c r="M130" s="13"/>
      <c r="N130" s="13" t="n">
        <v>44744</v>
      </c>
      <c r="O130" s="13" t="n">
        <v>44744</v>
      </c>
      <c r="P130" s="13"/>
      <c r="Q130" s="13"/>
      <c r="R130" s="13" t="n">
        <v>44767</v>
      </c>
      <c r="S130" s="13"/>
      <c r="T130" s="13"/>
      <c r="U130" s="12" t="s">
        <v>80</v>
      </c>
      <c r="V130" s="14"/>
      <c r="W130" s="16"/>
      <c r="X130" s="16"/>
      <c r="Y130" s="16" t="n">
        <v>23</v>
      </c>
      <c r="Z130" s="16" t="s">
        <v>81</v>
      </c>
      <c r="AA130" s="15" t="str">
        <f aca="false">IF(AND(ISNUMBER(L130),ISNUMBER(M130)),M130-L130,"")</f>
        <v/>
      </c>
      <c r="AB130" s="15" t="str">
        <f aca="false">IF(AND(ISNUMBER(M130),ISNUMBER(P130)),P130-M130,"")</f>
        <v/>
      </c>
      <c r="AC130" s="15" t="str">
        <f aca="false">IF(AND(ISNUMBER(L130),ISNUMBER(P130)),P130-L130,"")</f>
        <v/>
      </c>
      <c r="AD130" s="15" t="str">
        <f aca="false">IF(AND(ISNUMBER(P130),ISNUMBER(Q130)),Q130-P130,"")</f>
        <v/>
      </c>
      <c r="AE130" s="15" t="n">
        <f aca="false">IF(AND(ISNUMBER(Q130),ISNUMBER(R130)),R130-Q130,IF(ISNUMBER(Y130),Y130,""))</f>
        <v>23</v>
      </c>
      <c r="AF130" s="15" t="str">
        <f aca="false">IF(AND(ISNUMBER(R130),ISNUMBER(S130)),S130-R130,"")</f>
        <v/>
      </c>
      <c r="AG130" s="15" t="str">
        <f aca="false">IF(AND(ISNUMBER(S130),ISNUMBER(T130)),T130-S130,"")</f>
        <v/>
      </c>
      <c r="AH130" s="15" t="str">
        <f aca="false">IF(AND(ISNUMBER(L130),ISNUMBER(T130)),T130-L130,"")</f>
        <v/>
      </c>
      <c r="AI130" s="15" t="str">
        <f aca="false">IF(AND(ISNUMBER(O130),ISNUMBER(Q130)),Q130-O130,"")</f>
        <v/>
      </c>
      <c r="AJ130" s="15" t="str">
        <f aca="false">IF(B130="","",COUNT(L130:M130,P130:T130)&amp;"/7")</f>
        <v>1/7</v>
      </c>
      <c r="AK130" s="15" t="str">
        <f aca="false">IF(B130="","",IF(OR(AND(ISNUMBER(L130),ISNUMBER(M130),M130&lt;L130),AND(ISNUMBER(M130),ISNUMBER(P130),P130&lt;M130),AND(ISNUMBER(P130),ISNUMBER(Q130),Q130&lt;P130),AND(ISNUMBER(Q130),ISNUMBER(R130),R130&lt;Q130),AND(ISNUMBER(R130),ISNUMBER(S130),S130&lt;R130),AND(ISNUMBER(S130),ISNUMBER(T130),T130&lt;S130),AND(ISNUMBER(N130),ISNUMBER(O130),O130&lt;N130)),"Urutan tanggal salah",IF(AND(ISNUMBER(Q130),ISNUMBER(R130),ISNUMBER(Y130),ABS(R130-Q130-Y130)&gt;2),"S tanggal ≠ Sailing tercatat",IF(AND(ISNUMBER(Q130),ISNUMBER(O130),ABS(Q130-O130)&gt;60),"Cek tahun laycan",IF(AND(ISNUMBER(Q130),ISNUMBER(N130),Q130&lt;N130),"Berangkat sebelum laycan",IF(NOT(ISNUMBER(AE130)),"S belum ada","OK"))))))</f>
        <v>OK</v>
      </c>
    </row>
    <row r="131" customFormat="false" ht="15" hidden="false" customHeight="false" outlineLevel="0" collapsed="false">
      <c r="A131" s="16" t="n">
        <f aca="false">IF(B131="","",ROW()-4)</f>
        <v>127</v>
      </c>
      <c r="B131" s="12" t="s">
        <v>415</v>
      </c>
      <c r="C131" s="16" t="s">
        <v>441</v>
      </c>
      <c r="D131" s="16" t="n">
        <v>2022</v>
      </c>
      <c r="E131" s="16" t="s">
        <v>94</v>
      </c>
      <c r="F131" s="16" t="s">
        <v>95</v>
      </c>
      <c r="G131" s="16" t="s">
        <v>77</v>
      </c>
      <c r="H131" s="16" t="s">
        <v>417</v>
      </c>
      <c r="I131" s="16" t="s">
        <v>442</v>
      </c>
      <c r="J131" s="16"/>
      <c r="K131" s="16" t="n">
        <v>42250</v>
      </c>
      <c r="L131" s="13"/>
      <c r="M131" s="13"/>
      <c r="N131" s="13"/>
      <c r="O131" s="13"/>
      <c r="P131" s="13"/>
      <c r="Q131" s="13"/>
      <c r="R131" s="13" t="n">
        <v>44772</v>
      </c>
      <c r="S131" s="13"/>
      <c r="T131" s="13"/>
      <c r="U131" s="12" t="s">
        <v>80</v>
      </c>
      <c r="V131" s="14"/>
      <c r="W131" s="16"/>
      <c r="X131" s="16"/>
      <c r="Y131" s="16" t="n">
        <v>23</v>
      </c>
      <c r="Z131" s="16" t="s">
        <v>81</v>
      </c>
      <c r="AA131" s="15" t="str">
        <f aca="false">IF(AND(ISNUMBER(L131),ISNUMBER(M131)),M131-L131,"")</f>
        <v/>
      </c>
      <c r="AB131" s="15" t="str">
        <f aca="false">IF(AND(ISNUMBER(M131),ISNUMBER(P131)),P131-M131,"")</f>
        <v/>
      </c>
      <c r="AC131" s="15" t="str">
        <f aca="false">IF(AND(ISNUMBER(L131),ISNUMBER(P131)),P131-L131,"")</f>
        <v/>
      </c>
      <c r="AD131" s="15" t="str">
        <f aca="false">IF(AND(ISNUMBER(P131),ISNUMBER(Q131)),Q131-P131,"")</f>
        <v/>
      </c>
      <c r="AE131" s="15" t="n">
        <f aca="false">IF(AND(ISNUMBER(Q131),ISNUMBER(R131)),R131-Q131,IF(ISNUMBER(Y131),Y131,""))</f>
        <v>23</v>
      </c>
      <c r="AF131" s="15" t="str">
        <f aca="false">IF(AND(ISNUMBER(R131),ISNUMBER(S131)),S131-R131,"")</f>
        <v/>
      </c>
      <c r="AG131" s="15" t="str">
        <f aca="false">IF(AND(ISNUMBER(S131),ISNUMBER(T131)),T131-S131,"")</f>
        <v/>
      </c>
      <c r="AH131" s="15" t="str">
        <f aca="false">IF(AND(ISNUMBER(L131),ISNUMBER(T131)),T131-L131,"")</f>
        <v/>
      </c>
      <c r="AI131" s="15" t="str">
        <f aca="false">IF(AND(ISNUMBER(O131),ISNUMBER(Q131)),Q131-O131,"")</f>
        <v/>
      </c>
      <c r="AJ131" s="15" t="str">
        <f aca="false">IF(B131="","",COUNT(L131:M131,P131:T131)&amp;"/7")</f>
        <v>1/7</v>
      </c>
      <c r="AK131" s="15" t="str">
        <f aca="false">IF(B131="","",IF(OR(AND(ISNUMBER(L131),ISNUMBER(M131),M131&lt;L131),AND(ISNUMBER(M131),ISNUMBER(P131),P131&lt;M131),AND(ISNUMBER(P131),ISNUMBER(Q131),Q131&lt;P131),AND(ISNUMBER(Q131),ISNUMBER(R131),R131&lt;Q131),AND(ISNUMBER(R131),ISNUMBER(S131),S131&lt;R131),AND(ISNUMBER(S131),ISNUMBER(T131),T131&lt;S131),AND(ISNUMBER(N131),ISNUMBER(O131),O131&lt;N131)),"Urutan tanggal salah",IF(AND(ISNUMBER(Q131),ISNUMBER(R131),ISNUMBER(Y131),ABS(R131-Q131-Y131)&gt;2),"S tanggal ≠ Sailing tercatat",IF(AND(ISNUMBER(Q131),ISNUMBER(O131),ABS(Q131-O131)&gt;60),"Cek tahun laycan",IF(AND(ISNUMBER(Q131),ISNUMBER(N131),Q131&lt;N131),"Berangkat sebelum laycan",IF(NOT(ISNUMBER(AE131)),"S belum ada","OK"))))))</f>
        <v>OK</v>
      </c>
    </row>
    <row r="132" customFormat="false" ht="15" hidden="false" customHeight="false" outlineLevel="0" collapsed="false">
      <c r="A132" s="16" t="n">
        <f aca="false">IF(B132="","",ROW()-4)</f>
        <v>128</v>
      </c>
      <c r="B132" s="12" t="s">
        <v>415</v>
      </c>
      <c r="C132" s="16" t="s">
        <v>434</v>
      </c>
      <c r="D132" s="16" t="n">
        <v>2023</v>
      </c>
      <c r="E132" s="16" t="s">
        <v>94</v>
      </c>
      <c r="F132" s="16" t="s">
        <v>95</v>
      </c>
      <c r="G132" s="16" t="s">
        <v>77</v>
      </c>
      <c r="H132" s="16" t="s">
        <v>417</v>
      </c>
      <c r="I132" s="16" t="s">
        <v>443</v>
      </c>
      <c r="J132" s="16"/>
      <c r="K132" s="16" t="n">
        <v>25000</v>
      </c>
      <c r="L132" s="13"/>
      <c r="M132" s="13"/>
      <c r="N132" s="13"/>
      <c r="O132" s="13"/>
      <c r="P132" s="13"/>
      <c r="Q132" s="13"/>
      <c r="R132" s="13" t="n">
        <v>44944</v>
      </c>
      <c r="S132" s="13"/>
      <c r="T132" s="13"/>
      <c r="U132" s="12" t="s">
        <v>80</v>
      </c>
      <c r="V132" s="14"/>
      <c r="W132" s="16"/>
      <c r="X132" s="16"/>
      <c r="Y132" s="16" t="n">
        <v>23</v>
      </c>
      <c r="Z132" s="16" t="s">
        <v>81</v>
      </c>
      <c r="AA132" s="15" t="str">
        <f aca="false">IF(AND(ISNUMBER(L132),ISNUMBER(M132)),M132-L132,"")</f>
        <v/>
      </c>
      <c r="AB132" s="15" t="str">
        <f aca="false">IF(AND(ISNUMBER(M132),ISNUMBER(P132)),P132-M132,"")</f>
        <v/>
      </c>
      <c r="AC132" s="15" t="str">
        <f aca="false">IF(AND(ISNUMBER(L132),ISNUMBER(P132)),P132-L132,"")</f>
        <v/>
      </c>
      <c r="AD132" s="15" t="str">
        <f aca="false">IF(AND(ISNUMBER(P132),ISNUMBER(Q132)),Q132-P132,"")</f>
        <v/>
      </c>
      <c r="AE132" s="15" t="n">
        <f aca="false">IF(AND(ISNUMBER(Q132),ISNUMBER(R132)),R132-Q132,IF(ISNUMBER(Y132),Y132,""))</f>
        <v>23</v>
      </c>
      <c r="AF132" s="15" t="str">
        <f aca="false">IF(AND(ISNUMBER(R132),ISNUMBER(S132)),S132-R132,"")</f>
        <v/>
      </c>
      <c r="AG132" s="15" t="str">
        <f aca="false">IF(AND(ISNUMBER(S132),ISNUMBER(T132)),T132-S132,"")</f>
        <v/>
      </c>
      <c r="AH132" s="15" t="str">
        <f aca="false">IF(AND(ISNUMBER(L132),ISNUMBER(T132)),T132-L132,"")</f>
        <v/>
      </c>
      <c r="AI132" s="15" t="str">
        <f aca="false">IF(AND(ISNUMBER(O132),ISNUMBER(Q132)),Q132-O132,"")</f>
        <v/>
      </c>
      <c r="AJ132" s="15" t="str">
        <f aca="false">IF(B132="","",COUNT(L132:M132,P132:T132)&amp;"/7")</f>
        <v>1/7</v>
      </c>
      <c r="AK132" s="15" t="str">
        <f aca="false">IF(B132="","",IF(OR(AND(ISNUMBER(L132),ISNUMBER(M132),M132&lt;L132),AND(ISNUMBER(M132),ISNUMBER(P132),P132&lt;M132),AND(ISNUMBER(P132),ISNUMBER(Q132),Q132&lt;P132),AND(ISNUMBER(Q132),ISNUMBER(R132),R132&lt;Q132),AND(ISNUMBER(R132),ISNUMBER(S132),S132&lt;R132),AND(ISNUMBER(S132),ISNUMBER(T132),T132&lt;S132),AND(ISNUMBER(N132),ISNUMBER(O132),O132&lt;N132)),"Urutan tanggal salah",IF(AND(ISNUMBER(Q132),ISNUMBER(R132),ISNUMBER(Y132),ABS(R132-Q132-Y132)&gt;2),"S tanggal ≠ Sailing tercatat",IF(AND(ISNUMBER(Q132),ISNUMBER(O132),ABS(Q132-O132)&gt;60),"Cek tahun laycan",IF(AND(ISNUMBER(Q132),ISNUMBER(N132),Q132&lt;N132),"Berangkat sebelum laycan",IF(NOT(ISNUMBER(AE132)),"S belum ada","OK"))))))</f>
        <v>OK</v>
      </c>
    </row>
    <row r="133" customFormat="false" ht="15" hidden="false" customHeight="false" outlineLevel="0" collapsed="false">
      <c r="A133" s="16" t="n">
        <f aca="false">IF(B133="","",ROW()-4)</f>
        <v>129</v>
      </c>
      <c r="B133" s="12" t="s">
        <v>415</v>
      </c>
      <c r="C133" s="16" t="s">
        <v>434</v>
      </c>
      <c r="D133" s="16" t="n">
        <v>2023</v>
      </c>
      <c r="E133" s="16" t="s">
        <v>437</v>
      </c>
      <c r="F133" s="16" t="s">
        <v>444</v>
      </c>
      <c r="G133" s="16" t="s">
        <v>77</v>
      </c>
      <c r="H133" s="16" t="s">
        <v>445</v>
      </c>
      <c r="I133" s="16" t="s">
        <v>446</v>
      </c>
      <c r="J133" s="16"/>
      <c r="K133" s="16" t="n">
        <v>27500</v>
      </c>
      <c r="L133" s="13"/>
      <c r="M133" s="13"/>
      <c r="N133" s="13" t="n">
        <v>44951</v>
      </c>
      <c r="O133" s="13" t="n">
        <v>44957</v>
      </c>
      <c r="P133" s="13"/>
      <c r="Q133" s="13" t="n">
        <v>44969</v>
      </c>
      <c r="R133" s="13" t="n">
        <v>44992</v>
      </c>
      <c r="S133" s="13"/>
      <c r="T133" s="13"/>
      <c r="U133" s="12" t="s">
        <v>80</v>
      </c>
      <c r="V133" s="14"/>
      <c r="W133" s="16"/>
      <c r="X133" s="16" t="s">
        <v>447</v>
      </c>
      <c r="Y133" s="16" t="n">
        <v>23</v>
      </c>
      <c r="Z133" s="16" t="s">
        <v>81</v>
      </c>
      <c r="AA133" s="15" t="str">
        <f aca="false">IF(AND(ISNUMBER(L133),ISNUMBER(M133)),M133-L133,"")</f>
        <v/>
      </c>
      <c r="AB133" s="15" t="str">
        <f aca="false">IF(AND(ISNUMBER(M133),ISNUMBER(P133)),P133-M133,"")</f>
        <v/>
      </c>
      <c r="AC133" s="15" t="str">
        <f aca="false">IF(AND(ISNUMBER(L133),ISNUMBER(P133)),P133-L133,"")</f>
        <v/>
      </c>
      <c r="AD133" s="15" t="str">
        <f aca="false">IF(AND(ISNUMBER(P133),ISNUMBER(Q133)),Q133-P133,"")</f>
        <v/>
      </c>
      <c r="AE133" s="15" t="n">
        <f aca="false">IF(AND(ISNUMBER(Q133),ISNUMBER(R133)),R133-Q133,IF(ISNUMBER(Y133),Y133,""))</f>
        <v>23</v>
      </c>
      <c r="AF133" s="15" t="str">
        <f aca="false">IF(AND(ISNUMBER(R133),ISNUMBER(S133)),S133-R133,"")</f>
        <v/>
      </c>
      <c r="AG133" s="15" t="str">
        <f aca="false">IF(AND(ISNUMBER(S133),ISNUMBER(T133)),T133-S133,"")</f>
        <v/>
      </c>
      <c r="AH133" s="15" t="str">
        <f aca="false">IF(AND(ISNUMBER(L133),ISNUMBER(T133)),T133-L133,"")</f>
        <v/>
      </c>
      <c r="AI133" s="15" t="n">
        <f aca="false">IF(AND(ISNUMBER(O133),ISNUMBER(Q133)),Q133-O133,"")</f>
        <v>12</v>
      </c>
      <c r="AJ133" s="15" t="str">
        <f aca="false">IF(B133="","",COUNT(L133:M133,P133:T133)&amp;"/7")</f>
        <v>2/7</v>
      </c>
      <c r="AK133" s="15" t="str">
        <f aca="false">IF(B133="","",IF(OR(AND(ISNUMBER(L133),ISNUMBER(M133),M133&lt;L133),AND(ISNUMBER(M133),ISNUMBER(P133),P133&lt;M133),AND(ISNUMBER(P133),ISNUMBER(Q133),Q133&lt;P133),AND(ISNUMBER(Q133),ISNUMBER(R133),R133&lt;Q133),AND(ISNUMBER(R133),ISNUMBER(S133),S133&lt;R133),AND(ISNUMBER(S133),ISNUMBER(T133),T133&lt;S133),AND(ISNUMBER(N133),ISNUMBER(O133),O133&lt;N133)),"Urutan tanggal salah",IF(AND(ISNUMBER(Q133),ISNUMBER(R133),ISNUMBER(Y133),ABS(R133-Q133-Y133)&gt;2),"S tanggal ≠ Sailing tercatat",IF(AND(ISNUMBER(Q133),ISNUMBER(O133),ABS(Q133-O133)&gt;60),"Cek tahun laycan",IF(AND(ISNUMBER(Q133),ISNUMBER(N133),Q133&lt;N133),"Berangkat sebelum laycan",IF(NOT(ISNUMBER(AE133)),"S belum ada","OK"))))))</f>
        <v>OK</v>
      </c>
    </row>
    <row r="134" customFormat="false" ht="15" hidden="false" customHeight="false" outlineLevel="0" collapsed="false">
      <c r="A134" s="16" t="n">
        <f aca="false">IF(B134="","",ROW()-4)</f>
        <v>130</v>
      </c>
      <c r="B134" s="12" t="s">
        <v>415</v>
      </c>
      <c r="C134" s="16" t="s">
        <v>434</v>
      </c>
      <c r="D134" s="16" t="n">
        <v>2023</v>
      </c>
      <c r="E134" s="16" t="s">
        <v>94</v>
      </c>
      <c r="F134" s="16" t="s">
        <v>95</v>
      </c>
      <c r="G134" s="16" t="s">
        <v>77</v>
      </c>
      <c r="H134" s="16" t="s">
        <v>417</v>
      </c>
      <c r="I134" s="16" t="s">
        <v>424</v>
      </c>
      <c r="J134" s="16"/>
      <c r="K134" s="16" t="n">
        <v>40000</v>
      </c>
      <c r="L134" s="13"/>
      <c r="M134" s="13"/>
      <c r="N134" s="13" t="n">
        <v>44982</v>
      </c>
      <c r="O134" s="13" t="n">
        <v>44982</v>
      </c>
      <c r="P134" s="13"/>
      <c r="Q134" s="13" t="n">
        <v>44983</v>
      </c>
      <c r="R134" s="13" t="n">
        <v>45005</v>
      </c>
      <c r="S134" s="13"/>
      <c r="T134" s="13"/>
      <c r="U134" s="12" t="s">
        <v>80</v>
      </c>
      <c r="V134" s="14"/>
      <c r="W134" s="16"/>
      <c r="X134" s="16"/>
      <c r="Y134" s="16" t="n">
        <v>23</v>
      </c>
      <c r="Z134" s="16" t="s">
        <v>81</v>
      </c>
      <c r="AA134" s="15" t="str">
        <f aca="false">IF(AND(ISNUMBER(L134),ISNUMBER(M134)),M134-L134,"")</f>
        <v/>
      </c>
      <c r="AB134" s="15" t="str">
        <f aca="false">IF(AND(ISNUMBER(M134),ISNUMBER(P134)),P134-M134,"")</f>
        <v/>
      </c>
      <c r="AC134" s="15" t="str">
        <f aca="false">IF(AND(ISNUMBER(L134),ISNUMBER(P134)),P134-L134,"")</f>
        <v/>
      </c>
      <c r="AD134" s="15" t="str">
        <f aca="false">IF(AND(ISNUMBER(P134),ISNUMBER(Q134)),Q134-P134,"")</f>
        <v/>
      </c>
      <c r="AE134" s="15" t="n">
        <f aca="false">IF(AND(ISNUMBER(Q134),ISNUMBER(R134)),R134-Q134,IF(ISNUMBER(Y134),Y134,""))</f>
        <v>22</v>
      </c>
      <c r="AF134" s="15" t="str">
        <f aca="false">IF(AND(ISNUMBER(R134),ISNUMBER(S134)),S134-R134,"")</f>
        <v/>
      </c>
      <c r="AG134" s="15" t="str">
        <f aca="false">IF(AND(ISNUMBER(S134),ISNUMBER(T134)),T134-S134,"")</f>
        <v/>
      </c>
      <c r="AH134" s="15" t="str">
        <f aca="false">IF(AND(ISNUMBER(L134),ISNUMBER(T134)),T134-L134,"")</f>
        <v/>
      </c>
      <c r="AI134" s="15" t="n">
        <f aca="false">IF(AND(ISNUMBER(O134),ISNUMBER(Q134)),Q134-O134,"")</f>
        <v>1</v>
      </c>
      <c r="AJ134" s="15" t="str">
        <f aca="false">IF(B134="","",COUNT(L134:M134,P134:T134)&amp;"/7")</f>
        <v>2/7</v>
      </c>
      <c r="AK134" s="15" t="str">
        <f aca="false">IF(B134="","",IF(OR(AND(ISNUMBER(L134),ISNUMBER(M134),M134&lt;L134),AND(ISNUMBER(M134),ISNUMBER(P134),P134&lt;M134),AND(ISNUMBER(P134),ISNUMBER(Q134),Q134&lt;P134),AND(ISNUMBER(Q134),ISNUMBER(R134),R134&lt;Q134),AND(ISNUMBER(R134),ISNUMBER(S134),S134&lt;R134),AND(ISNUMBER(S134),ISNUMBER(T134),T134&lt;S134),AND(ISNUMBER(N134),ISNUMBER(O134),O134&lt;N134)),"Urutan tanggal salah",IF(AND(ISNUMBER(Q134),ISNUMBER(R134),ISNUMBER(Y134),ABS(R134-Q134-Y134)&gt;2),"S tanggal ≠ Sailing tercatat",IF(AND(ISNUMBER(Q134),ISNUMBER(O134),ABS(Q134-O134)&gt;60),"Cek tahun laycan",IF(AND(ISNUMBER(Q134),ISNUMBER(N134),Q134&lt;N134),"Berangkat sebelum laycan",IF(NOT(ISNUMBER(AE134)),"S belum ada","OK"))))))</f>
        <v>OK</v>
      </c>
    </row>
    <row r="135" customFormat="false" ht="15" hidden="false" customHeight="false" outlineLevel="0" collapsed="false">
      <c r="A135" s="16" t="n">
        <f aca="false">IF(B135="","",ROW()-4)</f>
        <v>131</v>
      </c>
      <c r="B135" s="12" t="s">
        <v>415</v>
      </c>
      <c r="C135" s="16" t="s">
        <v>434</v>
      </c>
      <c r="D135" s="16" t="n">
        <v>2023</v>
      </c>
      <c r="E135" s="16" t="s">
        <v>437</v>
      </c>
      <c r="F135" s="16" t="s">
        <v>444</v>
      </c>
      <c r="G135" s="16" t="s">
        <v>77</v>
      </c>
      <c r="H135" s="16" t="s">
        <v>445</v>
      </c>
      <c r="I135" s="16" t="s">
        <v>448</v>
      </c>
      <c r="J135" s="16"/>
      <c r="K135" s="16" t="n">
        <v>40000</v>
      </c>
      <c r="L135" s="13"/>
      <c r="M135" s="13"/>
      <c r="N135" s="13" t="n">
        <v>45009</v>
      </c>
      <c r="O135" s="13" t="n">
        <v>45013</v>
      </c>
      <c r="P135" s="13"/>
      <c r="Q135" s="13" t="n">
        <v>45014</v>
      </c>
      <c r="R135" s="13" t="n">
        <v>45037</v>
      </c>
      <c r="S135" s="13"/>
      <c r="T135" s="13"/>
      <c r="U135" s="12" t="s">
        <v>80</v>
      </c>
      <c r="V135" s="14"/>
      <c r="W135" s="16"/>
      <c r="X135" s="16" t="s">
        <v>449</v>
      </c>
      <c r="Y135" s="16" t="n">
        <v>23</v>
      </c>
      <c r="Z135" s="16" t="s">
        <v>81</v>
      </c>
      <c r="AA135" s="15" t="str">
        <f aca="false">IF(AND(ISNUMBER(L135),ISNUMBER(M135)),M135-L135,"")</f>
        <v/>
      </c>
      <c r="AB135" s="15" t="str">
        <f aca="false">IF(AND(ISNUMBER(M135),ISNUMBER(P135)),P135-M135,"")</f>
        <v/>
      </c>
      <c r="AC135" s="15" t="str">
        <f aca="false">IF(AND(ISNUMBER(L135),ISNUMBER(P135)),P135-L135,"")</f>
        <v/>
      </c>
      <c r="AD135" s="15" t="str">
        <f aca="false">IF(AND(ISNUMBER(P135),ISNUMBER(Q135)),Q135-P135,"")</f>
        <v/>
      </c>
      <c r="AE135" s="15" t="n">
        <f aca="false">IF(AND(ISNUMBER(Q135),ISNUMBER(R135)),R135-Q135,IF(ISNUMBER(Y135),Y135,""))</f>
        <v>23</v>
      </c>
      <c r="AF135" s="15" t="str">
        <f aca="false">IF(AND(ISNUMBER(R135),ISNUMBER(S135)),S135-R135,"")</f>
        <v/>
      </c>
      <c r="AG135" s="15" t="str">
        <f aca="false">IF(AND(ISNUMBER(S135),ISNUMBER(T135)),T135-S135,"")</f>
        <v/>
      </c>
      <c r="AH135" s="15" t="str">
        <f aca="false">IF(AND(ISNUMBER(L135),ISNUMBER(T135)),T135-L135,"")</f>
        <v/>
      </c>
      <c r="AI135" s="15" t="n">
        <f aca="false">IF(AND(ISNUMBER(O135),ISNUMBER(Q135)),Q135-O135,"")</f>
        <v>1</v>
      </c>
      <c r="AJ135" s="15" t="str">
        <f aca="false">IF(B135="","",COUNT(L135:M135,P135:T135)&amp;"/7")</f>
        <v>2/7</v>
      </c>
      <c r="AK135" s="15" t="str">
        <f aca="false">IF(B135="","",IF(OR(AND(ISNUMBER(L135),ISNUMBER(M135),M135&lt;L135),AND(ISNUMBER(M135),ISNUMBER(P135),P135&lt;M135),AND(ISNUMBER(P135),ISNUMBER(Q135),Q135&lt;P135),AND(ISNUMBER(Q135),ISNUMBER(R135),R135&lt;Q135),AND(ISNUMBER(R135),ISNUMBER(S135),S135&lt;R135),AND(ISNUMBER(S135),ISNUMBER(T135),T135&lt;S135),AND(ISNUMBER(N135),ISNUMBER(O135),O135&lt;N135)),"Urutan tanggal salah",IF(AND(ISNUMBER(Q135),ISNUMBER(R135),ISNUMBER(Y135),ABS(R135-Q135-Y135)&gt;2),"S tanggal ≠ Sailing tercatat",IF(AND(ISNUMBER(Q135),ISNUMBER(O135),ABS(Q135-O135)&gt;60),"Cek tahun laycan",IF(AND(ISNUMBER(Q135),ISNUMBER(N135),Q135&lt;N135),"Berangkat sebelum laycan",IF(NOT(ISNUMBER(AE135)),"S belum ada","OK"))))))</f>
        <v>OK</v>
      </c>
    </row>
    <row r="136" customFormat="false" ht="15" hidden="false" customHeight="false" outlineLevel="0" collapsed="false">
      <c r="A136" s="16" t="n">
        <f aca="false">IF(B136="","",ROW()-4)</f>
        <v>132</v>
      </c>
      <c r="B136" s="12" t="s">
        <v>415</v>
      </c>
      <c r="C136" s="16" t="s">
        <v>434</v>
      </c>
      <c r="D136" s="16" t="n">
        <v>2023</v>
      </c>
      <c r="E136" s="16" t="s">
        <v>437</v>
      </c>
      <c r="F136" s="16" t="s">
        <v>444</v>
      </c>
      <c r="G136" s="16" t="s">
        <v>77</v>
      </c>
      <c r="H136" s="16" t="s">
        <v>439</v>
      </c>
      <c r="I136" s="16" t="s">
        <v>450</v>
      </c>
      <c r="J136" s="16"/>
      <c r="K136" s="16" t="n">
        <v>44000</v>
      </c>
      <c r="L136" s="13"/>
      <c r="M136" s="13"/>
      <c r="N136" s="13" t="n">
        <v>44988</v>
      </c>
      <c r="O136" s="13" t="n">
        <v>44991</v>
      </c>
      <c r="P136" s="13"/>
      <c r="Q136" s="13" t="n">
        <v>44992</v>
      </c>
      <c r="R136" s="13" t="n">
        <v>45026</v>
      </c>
      <c r="S136" s="13"/>
      <c r="T136" s="13"/>
      <c r="U136" s="12" t="s">
        <v>80</v>
      </c>
      <c r="V136" s="14"/>
      <c r="W136" s="16"/>
      <c r="X136" s="16" t="s">
        <v>451</v>
      </c>
      <c r="Y136" s="16" t="n">
        <v>34</v>
      </c>
      <c r="Z136" s="16" t="s">
        <v>81</v>
      </c>
      <c r="AA136" s="15" t="str">
        <f aca="false">IF(AND(ISNUMBER(L136),ISNUMBER(M136)),M136-L136,"")</f>
        <v/>
      </c>
      <c r="AB136" s="15" t="str">
        <f aca="false">IF(AND(ISNUMBER(M136),ISNUMBER(P136)),P136-M136,"")</f>
        <v/>
      </c>
      <c r="AC136" s="15" t="str">
        <f aca="false">IF(AND(ISNUMBER(L136),ISNUMBER(P136)),P136-L136,"")</f>
        <v/>
      </c>
      <c r="AD136" s="15" t="str">
        <f aca="false">IF(AND(ISNUMBER(P136),ISNUMBER(Q136)),Q136-P136,"")</f>
        <v/>
      </c>
      <c r="AE136" s="15" t="n">
        <f aca="false">IF(AND(ISNUMBER(Q136),ISNUMBER(R136)),R136-Q136,IF(ISNUMBER(Y136),Y136,""))</f>
        <v>34</v>
      </c>
      <c r="AF136" s="15" t="str">
        <f aca="false">IF(AND(ISNUMBER(R136),ISNUMBER(S136)),S136-R136,"")</f>
        <v/>
      </c>
      <c r="AG136" s="15" t="str">
        <f aca="false">IF(AND(ISNUMBER(S136),ISNUMBER(T136)),T136-S136,"")</f>
        <v/>
      </c>
      <c r="AH136" s="15" t="str">
        <f aca="false">IF(AND(ISNUMBER(L136),ISNUMBER(T136)),T136-L136,"")</f>
        <v/>
      </c>
      <c r="AI136" s="15" t="n">
        <f aca="false">IF(AND(ISNUMBER(O136),ISNUMBER(Q136)),Q136-O136,"")</f>
        <v>1</v>
      </c>
      <c r="AJ136" s="15" t="str">
        <f aca="false">IF(B136="","",COUNT(L136:M136,P136:T136)&amp;"/7")</f>
        <v>2/7</v>
      </c>
      <c r="AK136" s="15" t="str">
        <f aca="false">IF(B136="","",IF(OR(AND(ISNUMBER(L136),ISNUMBER(M136),M136&lt;L136),AND(ISNUMBER(M136),ISNUMBER(P136),P136&lt;M136),AND(ISNUMBER(P136),ISNUMBER(Q136),Q136&lt;P136),AND(ISNUMBER(Q136),ISNUMBER(R136),R136&lt;Q136),AND(ISNUMBER(R136),ISNUMBER(S136),S136&lt;R136),AND(ISNUMBER(S136),ISNUMBER(T136),T136&lt;S136),AND(ISNUMBER(N136),ISNUMBER(O136),O136&lt;N136)),"Urutan tanggal salah",IF(AND(ISNUMBER(Q136),ISNUMBER(R136),ISNUMBER(Y136),ABS(R136-Q136-Y136)&gt;2),"S tanggal ≠ Sailing tercatat",IF(AND(ISNUMBER(Q136),ISNUMBER(O136),ABS(Q136-O136)&gt;60),"Cek tahun laycan",IF(AND(ISNUMBER(Q136),ISNUMBER(N136),Q136&lt;N136),"Berangkat sebelum laycan",IF(NOT(ISNUMBER(AE136)),"S belum ada","OK"))))))</f>
        <v>OK</v>
      </c>
    </row>
    <row r="137" customFormat="false" ht="15" hidden="false" customHeight="false" outlineLevel="0" collapsed="false">
      <c r="A137" s="16" t="n">
        <f aca="false">IF(B137="","",ROW()-4)</f>
        <v>133</v>
      </c>
      <c r="B137" s="12" t="s">
        <v>415</v>
      </c>
      <c r="C137" s="16" t="s">
        <v>434</v>
      </c>
      <c r="D137" s="16" t="n">
        <v>2023</v>
      </c>
      <c r="E137" s="16" t="s">
        <v>437</v>
      </c>
      <c r="F137" s="16" t="s">
        <v>444</v>
      </c>
      <c r="G137" s="16" t="s">
        <v>77</v>
      </c>
      <c r="H137" s="16" t="s">
        <v>445</v>
      </c>
      <c r="I137" s="16" t="s">
        <v>452</v>
      </c>
      <c r="J137" s="16"/>
      <c r="K137" s="16" t="n">
        <v>40000</v>
      </c>
      <c r="L137" s="13"/>
      <c r="M137" s="13"/>
      <c r="N137" s="13" t="n">
        <v>45057</v>
      </c>
      <c r="O137" s="13" t="n">
        <v>45069</v>
      </c>
      <c r="P137" s="13"/>
      <c r="Q137" s="13" t="n">
        <v>45070</v>
      </c>
      <c r="R137" s="13" t="n">
        <v>45094</v>
      </c>
      <c r="S137" s="13"/>
      <c r="T137" s="13"/>
      <c r="U137" s="12" t="s">
        <v>80</v>
      </c>
      <c r="V137" s="14"/>
      <c r="W137" s="16"/>
      <c r="X137" s="16" t="s">
        <v>453</v>
      </c>
      <c r="Y137" s="16" t="n">
        <v>23</v>
      </c>
      <c r="Z137" s="16" t="s">
        <v>81</v>
      </c>
      <c r="AA137" s="15" t="str">
        <f aca="false">IF(AND(ISNUMBER(L137),ISNUMBER(M137)),M137-L137,"")</f>
        <v/>
      </c>
      <c r="AB137" s="15" t="str">
        <f aca="false">IF(AND(ISNUMBER(M137),ISNUMBER(P137)),P137-M137,"")</f>
        <v/>
      </c>
      <c r="AC137" s="15" t="str">
        <f aca="false">IF(AND(ISNUMBER(L137),ISNUMBER(P137)),P137-L137,"")</f>
        <v/>
      </c>
      <c r="AD137" s="15" t="str">
        <f aca="false">IF(AND(ISNUMBER(P137),ISNUMBER(Q137)),Q137-P137,"")</f>
        <v/>
      </c>
      <c r="AE137" s="15" t="n">
        <f aca="false">IF(AND(ISNUMBER(Q137),ISNUMBER(R137)),R137-Q137,IF(ISNUMBER(Y137),Y137,""))</f>
        <v>24</v>
      </c>
      <c r="AF137" s="15" t="str">
        <f aca="false">IF(AND(ISNUMBER(R137),ISNUMBER(S137)),S137-R137,"")</f>
        <v/>
      </c>
      <c r="AG137" s="15" t="str">
        <f aca="false">IF(AND(ISNUMBER(S137),ISNUMBER(T137)),T137-S137,"")</f>
        <v/>
      </c>
      <c r="AH137" s="15" t="str">
        <f aca="false">IF(AND(ISNUMBER(L137),ISNUMBER(T137)),T137-L137,"")</f>
        <v/>
      </c>
      <c r="AI137" s="15" t="n">
        <f aca="false">IF(AND(ISNUMBER(O137),ISNUMBER(Q137)),Q137-O137,"")</f>
        <v>1</v>
      </c>
      <c r="AJ137" s="15" t="str">
        <f aca="false">IF(B137="","",COUNT(L137:M137,P137:T137)&amp;"/7")</f>
        <v>2/7</v>
      </c>
      <c r="AK137" s="15" t="str">
        <f aca="false">IF(B137="","",IF(OR(AND(ISNUMBER(L137),ISNUMBER(M137),M137&lt;L137),AND(ISNUMBER(M137),ISNUMBER(P137),P137&lt;M137),AND(ISNUMBER(P137),ISNUMBER(Q137),Q137&lt;P137),AND(ISNUMBER(Q137),ISNUMBER(R137),R137&lt;Q137),AND(ISNUMBER(R137),ISNUMBER(S137),S137&lt;R137),AND(ISNUMBER(S137),ISNUMBER(T137),T137&lt;S137),AND(ISNUMBER(N137),ISNUMBER(O137),O137&lt;N137)),"Urutan tanggal salah",IF(AND(ISNUMBER(Q137),ISNUMBER(R137),ISNUMBER(Y137),ABS(R137-Q137-Y137)&gt;2),"S tanggal ≠ Sailing tercatat",IF(AND(ISNUMBER(Q137),ISNUMBER(O137),ABS(Q137-O137)&gt;60),"Cek tahun laycan",IF(AND(ISNUMBER(Q137),ISNUMBER(N137),Q137&lt;N137),"Berangkat sebelum laycan",IF(NOT(ISNUMBER(AE137)),"S belum ada","OK"))))))</f>
        <v>OK</v>
      </c>
    </row>
    <row r="138" customFormat="false" ht="15" hidden="false" customHeight="false" outlineLevel="0" collapsed="false">
      <c r="A138" s="16" t="n">
        <f aca="false">IF(B138="","",ROW()-4)</f>
        <v>134</v>
      </c>
      <c r="B138" s="12" t="s">
        <v>415</v>
      </c>
      <c r="C138" s="16" t="s">
        <v>434</v>
      </c>
      <c r="D138" s="16" t="n">
        <v>2023</v>
      </c>
      <c r="E138" s="16" t="s">
        <v>94</v>
      </c>
      <c r="F138" s="16" t="s">
        <v>95</v>
      </c>
      <c r="G138" s="16" t="s">
        <v>77</v>
      </c>
      <c r="H138" s="16" t="s">
        <v>417</v>
      </c>
      <c r="I138" s="16" t="s">
        <v>454</v>
      </c>
      <c r="J138" s="16"/>
      <c r="K138" s="16" t="n">
        <v>42705</v>
      </c>
      <c r="L138" s="13"/>
      <c r="M138" s="13"/>
      <c r="N138" s="13" t="n">
        <v>45006</v>
      </c>
      <c r="O138" s="13" t="n">
        <v>45009</v>
      </c>
      <c r="P138" s="13"/>
      <c r="Q138" s="13" t="n">
        <v>45010</v>
      </c>
      <c r="R138" s="13" t="n">
        <v>45033</v>
      </c>
      <c r="S138" s="13"/>
      <c r="T138" s="13"/>
      <c r="U138" s="12" t="s">
        <v>80</v>
      </c>
      <c r="V138" s="14"/>
      <c r="W138" s="16"/>
      <c r="X138" s="16" t="s">
        <v>455</v>
      </c>
      <c r="Y138" s="16" t="n">
        <v>23</v>
      </c>
      <c r="Z138" s="16" t="s">
        <v>81</v>
      </c>
      <c r="AA138" s="15" t="str">
        <f aca="false">IF(AND(ISNUMBER(L138),ISNUMBER(M138)),M138-L138,"")</f>
        <v/>
      </c>
      <c r="AB138" s="15" t="str">
        <f aca="false">IF(AND(ISNUMBER(M138),ISNUMBER(P138)),P138-M138,"")</f>
        <v/>
      </c>
      <c r="AC138" s="15" t="str">
        <f aca="false">IF(AND(ISNUMBER(L138),ISNUMBER(P138)),P138-L138,"")</f>
        <v/>
      </c>
      <c r="AD138" s="15" t="str">
        <f aca="false">IF(AND(ISNUMBER(P138),ISNUMBER(Q138)),Q138-P138,"")</f>
        <v/>
      </c>
      <c r="AE138" s="15" t="n">
        <f aca="false">IF(AND(ISNUMBER(Q138),ISNUMBER(R138)),R138-Q138,IF(ISNUMBER(Y138),Y138,""))</f>
        <v>23</v>
      </c>
      <c r="AF138" s="15" t="str">
        <f aca="false">IF(AND(ISNUMBER(R138),ISNUMBER(S138)),S138-R138,"")</f>
        <v/>
      </c>
      <c r="AG138" s="15" t="str">
        <f aca="false">IF(AND(ISNUMBER(S138),ISNUMBER(T138)),T138-S138,"")</f>
        <v/>
      </c>
      <c r="AH138" s="15" t="str">
        <f aca="false">IF(AND(ISNUMBER(L138),ISNUMBER(T138)),T138-L138,"")</f>
        <v/>
      </c>
      <c r="AI138" s="15" t="n">
        <f aca="false">IF(AND(ISNUMBER(O138),ISNUMBER(Q138)),Q138-O138,"")</f>
        <v>1</v>
      </c>
      <c r="AJ138" s="15" t="str">
        <f aca="false">IF(B138="","",COUNT(L138:M138,P138:T138)&amp;"/7")</f>
        <v>2/7</v>
      </c>
      <c r="AK138" s="15" t="str">
        <f aca="false">IF(B138="","",IF(OR(AND(ISNUMBER(L138),ISNUMBER(M138),M138&lt;L138),AND(ISNUMBER(M138),ISNUMBER(P138),P138&lt;M138),AND(ISNUMBER(P138),ISNUMBER(Q138),Q138&lt;P138),AND(ISNUMBER(Q138),ISNUMBER(R138),R138&lt;Q138),AND(ISNUMBER(R138),ISNUMBER(S138),S138&lt;R138),AND(ISNUMBER(S138),ISNUMBER(T138),T138&lt;S138),AND(ISNUMBER(N138),ISNUMBER(O138),O138&lt;N138)),"Urutan tanggal salah",IF(AND(ISNUMBER(Q138),ISNUMBER(R138),ISNUMBER(Y138),ABS(R138-Q138-Y138)&gt;2),"S tanggal ≠ Sailing tercatat",IF(AND(ISNUMBER(Q138),ISNUMBER(O138),ABS(Q138-O138)&gt;60),"Cek tahun laycan",IF(AND(ISNUMBER(Q138),ISNUMBER(N138),Q138&lt;N138),"Berangkat sebelum laycan",IF(NOT(ISNUMBER(AE138)),"S belum ada","OK"))))))</f>
        <v>OK</v>
      </c>
    </row>
    <row r="139" customFormat="false" ht="15" hidden="false" customHeight="false" outlineLevel="0" collapsed="false">
      <c r="A139" s="16" t="n">
        <f aca="false">IF(B139="","",ROW()-4)</f>
        <v>135</v>
      </c>
      <c r="B139" s="12" t="s">
        <v>415</v>
      </c>
      <c r="C139" s="16" t="s">
        <v>416</v>
      </c>
      <c r="D139" s="16" t="n">
        <v>2023</v>
      </c>
      <c r="E139" s="16" t="s">
        <v>437</v>
      </c>
      <c r="F139" s="16" t="s">
        <v>444</v>
      </c>
      <c r="G139" s="16" t="s">
        <v>77</v>
      </c>
      <c r="H139" s="16" t="s">
        <v>439</v>
      </c>
      <c r="I139" s="16" t="s">
        <v>456</v>
      </c>
      <c r="J139" s="16"/>
      <c r="K139" s="16" t="n">
        <v>44000</v>
      </c>
      <c r="L139" s="13"/>
      <c r="M139" s="13"/>
      <c r="N139" s="13" t="n">
        <v>45084</v>
      </c>
      <c r="O139" s="13" t="n">
        <v>45084</v>
      </c>
      <c r="P139" s="13"/>
      <c r="Q139" s="13" t="n">
        <v>45097</v>
      </c>
      <c r="R139" s="13" t="n">
        <v>45134</v>
      </c>
      <c r="S139" s="13"/>
      <c r="T139" s="13"/>
      <c r="U139" s="12" t="s">
        <v>80</v>
      </c>
      <c r="V139" s="14"/>
      <c r="W139" s="16"/>
      <c r="X139" s="16"/>
      <c r="Y139" s="16" t="n">
        <v>37</v>
      </c>
      <c r="Z139" s="16" t="s">
        <v>81</v>
      </c>
      <c r="AA139" s="15" t="str">
        <f aca="false">IF(AND(ISNUMBER(L139),ISNUMBER(M139)),M139-L139,"")</f>
        <v/>
      </c>
      <c r="AB139" s="15" t="str">
        <f aca="false">IF(AND(ISNUMBER(M139),ISNUMBER(P139)),P139-M139,"")</f>
        <v/>
      </c>
      <c r="AC139" s="15" t="str">
        <f aca="false">IF(AND(ISNUMBER(L139),ISNUMBER(P139)),P139-L139,"")</f>
        <v/>
      </c>
      <c r="AD139" s="15" t="str">
        <f aca="false">IF(AND(ISNUMBER(P139),ISNUMBER(Q139)),Q139-P139,"")</f>
        <v/>
      </c>
      <c r="AE139" s="15" t="n">
        <f aca="false">IF(AND(ISNUMBER(Q139),ISNUMBER(R139)),R139-Q139,IF(ISNUMBER(Y139),Y139,""))</f>
        <v>37</v>
      </c>
      <c r="AF139" s="15" t="str">
        <f aca="false">IF(AND(ISNUMBER(R139),ISNUMBER(S139)),S139-R139,"")</f>
        <v/>
      </c>
      <c r="AG139" s="15" t="str">
        <f aca="false">IF(AND(ISNUMBER(S139),ISNUMBER(T139)),T139-S139,"")</f>
        <v/>
      </c>
      <c r="AH139" s="15" t="str">
        <f aca="false">IF(AND(ISNUMBER(L139),ISNUMBER(T139)),T139-L139,"")</f>
        <v/>
      </c>
      <c r="AI139" s="15" t="n">
        <f aca="false">IF(AND(ISNUMBER(O139),ISNUMBER(Q139)),Q139-O139,"")</f>
        <v>13</v>
      </c>
      <c r="AJ139" s="15" t="str">
        <f aca="false">IF(B139="","",COUNT(L139:M139,P139:T139)&amp;"/7")</f>
        <v>2/7</v>
      </c>
      <c r="AK139" s="15" t="str">
        <f aca="false">IF(B139="","",IF(OR(AND(ISNUMBER(L139),ISNUMBER(M139),M139&lt;L139),AND(ISNUMBER(M139),ISNUMBER(P139),P139&lt;M139),AND(ISNUMBER(P139),ISNUMBER(Q139),Q139&lt;P139),AND(ISNUMBER(Q139),ISNUMBER(R139),R139&lt;Q139),AND(ISNUMBER(R139),ISNUMBER(S139),S139&lt;R139),AND(ISNUMBER(S139),ISNUMBER(T139),T139&lt;S139),AND(ISNUMBER(N139),ISNUMBER(O139),O139&lt;N139)),"Urutan tanggal salah",IF(AND(ISNUMBER(Q139),ISNUMBER(R139),ISNUMBER(Y139),ABS(R139-Q139-Y139)&gt;2),"S tanggal ≠ Sailing tercatat",IF(AND(ISNUMBER(Q139),ISNUMBER(O139),ABS(Q139-O139)&gt;60),"Cek tahun laycan",IF(AND(ISNUMBER(Q139),ISNUMBER(N139),Q139&lt;N139),"Berangkat sebelum laycan",IF(NOT(ISNUMBER(AE139)),"S belum ada","OK"))))))</f>
        <v>OK</v>
      </c>
    </row>
    <row r="140" customFormat="false" ht="15" hidden="false" customHeight="false" outlineLevel="0" collapsed="false">
      <c r="A140" s="16" t="n">
        <f aca="false">IF(B140="","",ROW()-4)</f>
        <v>136</v>
      </c>
      <c r="B140" s="12" t="s">
        <v>415</v>
      </c>
      <c r="C140" s="16" t="s">
        <v>419</v>
      </c>
      <c r="D140" s="16" t="n">
        <v>2023</v>
      </c>
      <c r="E140" s="16" t="s">
        <v>437</v>
      </c>
      <c r="F140" s="16" t="s">
        <v>444</v>
      </c>
      <c r="G140" s="16" t="s">
        <v>77</v>
      </c>
      <c r="H140" s="16" t="s">
        <v>439</v>
      </c>
      <c r="I140" s="16" t="s">
        <v>457</v>
      </c>
      <c r="J140" s="16"/>
      <c r="K140" s="16" t="n">
        <v>42350</v>
      </c>
      <c r="L140" s="13"/>
      <c r="M140" s="13"/>
      <c r="N140" s="13" t="n">
        <v>45131</v>
      </c>
      <c r="O140" s="13" t="n">
        <v>45137</v>
      </c>
      <c r="P140" s="13"/>
      <c r="Q140" s="13" t="n">
        <v>45139</v>
      </c>
      <c r="R140" s="13" t="n">
        <v>45167</v>
      </c>
      <c r="S140" s="13"/>
      <c r="T140" s="13"/>
      <c r="U140" s="12" t="s">
        <v>80</v>
      </c>
      <c r="V140" s="14"/>
      <c r="W140" s="16"/>
      <c r="X140" s="16" t="s">
        <v>458</v>
      </c>
      <c r="Y140" s="16" t="n">
        <v>28</v>
      </c>
      <c r="Z140" s="16" t="s">
        <v>81</v>
      </c>
      <c r="AA140" s="15" t="str">
        <f aca="false">IF(AND(ISNUMBER(L140),ISNUMBER(M140)),M140-L140,"")</f>
        <v/>
      </c>
      <c r="AB140" s="15" t="str">
        <f aca="false">IF(AND(ISNUMBER(M140),ISNUMBER(P140)),P140-M140,"")</f>
        <v/>
      </c>
      <c r="AC140" s="15" t="str">
        <f aca="false">IF(AND(ISNUMBER(L140),ISNUMBER(P140)),P140-L140,"")</f>
        <v/>
      </c>
      <c r="AD140" s="15" t="str">
        <f aca="false">IF(AND(ISNUMBER(P140),ISNUMBER(Q140)),Q140-P140,"")</f>
        <v/>
      </c>
      <c r="AE140" s="15" t="n">
        <f aca="false">IF(AND(ISNUMBER(Q140),ISNUMBER(R140)),R140-Q140,IF(ISNUMBER(Y140),Y140,""))</f>
        <v>28</v>
      </c>
      <c r="AF140" s="15" t="str">
        <f aca="false">IF(AND(ISNUMBER(R140),ISNUMBER(S140)),S140-R140,"")</f>
        <v/>
      </c>
      <c r="AG140" s="15" t="str">
        <f aca="false">IF(AND(ISNUMBER(S140),ISNUMBER(T140)),T140-S140,"")</f>
        <v/>
      </c>
      <c r="AH140" s="15" t="str">
        <f aca="false">IF(AND(ISNUMBER(L140),ISNUMBER(T140)),T140-L140,"")</f>
        <v/>
      </c>
      <c r="AI140" s="15" t="n">
        <f aca="false">IF(AND(ISNUMBER(O140),ISNUMBER(Q140)),Q140-O140,"")</f>
        <v>2</v>
      </c>
      <c r="AJ140" s="15" t="str">
        <f aca="false">IF(B140="","",COUNT(L140:M140,P140:T140)&amp;"/7")</f>
        <v>2/7</v>
      </c>
      <c r="AK140" s="15" t="str">
        <f aca="false">IF(B140="","",IF(OR(AND(ISNUMBER(L140),ISNUMBER(M140),M140&lt;L140),AND(ISNUMBER(M140),ISNUMBER(P140),P140&lt;M140),AND(ISNUMBER(P140),ISNUMBER(Q140),Q140&lt;P140),AND(ISNUMBER(Q140),ISNUMBER(R140),R140&lt;Q140),AND(ISNUMBER(R140),ISNUMBER(S140),S140&lt;R140),AND(ISNUMBER(S140),ISNUMBER(T140),T140&lt;S140),AND(ISNUMBER(N140),ISNUMBER(O140),O140&lt;N140)),"Urutan tanggal salah",IF(AND(ISNUMBER(Q140),ISNUMBER(R140),ISNUMBER(Y140),ABS(R140-Q140-Y140)&gt;2),"S tanggal ≠ Sailing tercatat",IF(AND(ISNUMBER(Q140),ISNUMBER(O140),ABS(Q140-O140)&gt;60),"Cek tahun laycan",IF(AND(ISNUMBER(Q140),ISNUMBER(N140),Q140&lt;N140),"Berangkat sebelum laycan",IF(NOT(ISNUMBER(AE140)),"S belum ada","OK"))))))</f>
        <v>OK</v>
      </c>
    </row>
    <row r="141" customFormat="false" ht="15" hidden="false" customHeight="false" outlineLevel="0" collapsed="false">
      <c r="A141" s="16" t="n">
        <f aca="false">IF(B141="","",ROW()-4)</f>
        <v>137</v>
      </c>
      <c r="B141" s="12" t="s">
        <v>415</v>
      </c>
      <c r="C141" s="16" t="s">
        <v>434</v>
      </c>
      <c r="D141" s="16" t="n">
        <v>2023</v>
      </c>
      <c r="E141" s="16" t="s">
        <v>459</v>
      </c>
      <c r="F141" s="16" t="s">
        <v>460</v>
      </c>
      <c r="G141" s="16" t="s">
        <v>77</v>
      </c>
      <c r="H141" s="16" t="s">
        <v>461</v>
      </c>
      <c r="I141" s="16" t="s">
        <v>462</v>
      </c>
      <c r="J141" s="16"/>
      <c r="K141" s="16" t="n">
        <v>36020</v>
      </c>
      <c r="L141" s="13"/>
      <c r="M141" s="13"/>
      <c r="N141" s="13" t="n">
        <v>45102</v>
      </c>
      <c r="O141" s="13" t="n">
        <v>45107</v>
      </c>
      <c r="P141" s="13"/>
      <c r="Q141" s="13" t="n">
        <v>45108</v>
      </c>
      <c r="R141" s="13" t="n">
        <v>45133</v>
      </c>
      <c r="S141" s="13"/>
      <c r="T141" s="13"/>
      <c r="U141" s="12" t="s">
        <v>80</v>
      </c>
      <c r="V141" s="14"/>
      <c r="W141" s="16"/>
      <c r="X141" s="16" t="s">
        <v>463</v>
      </c>
      <c r="Y141" s="16" t="n">
        <v>25</v>
      </c>
      <c r="Z141" s="16" t="s">
        <v>81</v>
      </c>
      <c r="AA141" s="15" t="str">
        <f aca="false">IF(AND(ISNUMBER(L141),ISNUMBER(M141)),M141-L141,"")</f>
        <v/>
      </c>
      <c r="AB141" s="15" t="str">
        <f aca="false">IF(AND(ISNUMBER(M141),ISNUMBER(P141)),P141-M141,"")</f>
        <v/>
      </c>
      <c r="AC141" s="15" t="str">
        <f aca="false">IF(AND(ISNUMBER(L141),ISNUMBER(P141)),P141-L141,"")</f>
        <v/>
      </c>
      <c r="AD141" s="15" t="str">
        <f aca="false">IF(AND(ISNUMBER(P141),ISNUMBER(Q141)),Q141-P141,"")</f>
        <v/>
      </c>
      <c r="AE141" s="15" t="n">
        <f aca="false">IF(AND(ISNUMBER(Q141),ISNUMBER(R141)),R141-Q141,IF(ISNUMBER(Y141),Y141,""))</f>
        <v>25</v>
      </c>
      <c r="AF141" s="15" t="str">
        <f aca="false">IF(AND(ISNUMBER(R141),ISNUMBER(S141)),S141-R141,"")</f>
        <v/>
      </c>
      <c r="AG141" s="15" t="str">
        <f aca="false">IF(AND(ISNUMBER(S141),ISNUMBER(T141)),T141-S141,"")</f>
        <v/>
      </c>
      <c r="AH141" s="15" t="str">
        <f aca="false">IF(AND(ISNUMBER(L141),ISNUMBER(T141)),T141-L141,"")</f>
        <v/>
      </c>
      <c r="AI141" s="15" t="n">
        <f aca="false">IF(AND(ISNUMBER(O141),ISNUMBER(Q141)),Q141-O141,"")</f>
        <v>1</v>
      </c>
      <c r="AJ141" s="15" t="str">
        <f aca="false">IF(B141="","",COUNT(L141:M141,P141:T141)&amp;"/7")</f>
        <v>2/7</v>
      </c>
      <c r="AK141" s="15" t="str">
        <f aca="false">IF(B141="","",IF(OR(AND(ISNUMBER(L141),ISNUMBER(M141),M141&lt;L141),AND(ISNUMBER(M141),ISNUMBER(P141),P141&lt;M141),AND(ISNUMBER(P141),ISNUMBER(Q141),Q141&lt;P141),AND(ISNUMBER(Q141),ISNUMBER(R141),R141&lt;Q141),AND(ISNUMBER(R141),ISNUMBER(S141),S141&lt;R141),AND(ISNUMBER(S141),ISNUMBER(T141),T141&lt;S141),AND(ISNUMBER(N141),ISNUMBER(O141),O141&lt;N141)),"Urutan tanggal salah",IF(AND(ISNUMBER(Q141),ISNUMBER(R141),ISNUMBER(Y141),ABS(R141-Q141-Y141)&gt;2),"S tanggal ≠ Sailing tercatat",IF(AND(ISNUMBER(Q141),ISNUMBER(O141),ABS(Q141-O141)&gt;60),"Cek tahun laycan",IF(AND(ISNUMBER(Q141),ISNUMBER(N141),Q141&lt;N141),"Berangkat sebelum laycan",IF(NOT(ISNUMBER(AE141)),"S belum ada","OK"))))))</f>
        <v>OK</v>
      </c>
    </row>
    <row r="142" customFormat="false" ht="15" hidden="false" customHeight="false" outlineLevel="0" collapsed="false">
      <c r="A142" s="16" t="n">
        <f aca="false">IF(B142="","",ROW()-4)</f>
        <v>138</v>
      </c>
      <c r="B142" s="12" t="s">
        <v>415</v>
      </c>
      <c r="C142" s="16" t="s">
        <v>416</v>
      </c>
      <c r="D142" s="16" t="n">
        <v>2023</v>
      </c>
      <c r="E142" s="16" t="s">
        <v>437</v>
      </c>
      <c r="F142" s="16" t="s">
        <v>464</v>
      </c>
      <c r="G142" s="16" t="s">
        <v>77</v>
      </c>
      <c r="H142" s="16" t="s">
        <v>465</v>
      </c>
      <c r="I142" s="16" t="s">
        <v>466</v>
      </c>
      <c r="J142" s="16"/>
      <c r="K142" s="16" t="n">
        <v>38200</v>
      </c>
      <c r="L142" s="13"/>
      <c r="M142" s="13"/>
      <c r="N142" s="13" t="n">
        <v>45176</v>
      </c>
      <c r="O142" s="13" t="n">
        <v>45182</v>
      </c>
      <c r="P142" s="13"/>
      <c r="Q142" s="13" t="n">
        <v>45183</v>
      </c>
      <c r="R142" s="13" t="n">
        <v>45203</v>
      </c>
      <c r="S142" s="13"/>
      <c r="T142" s="13"/>
      <c r="U142" s="12" t="s">
        <v>80</v>
      </c>
      <c r="V142" s="14"/>
      <c r="W142" s="16"/>
      <c r="X142" s="16" t="s">
        <v>467</v>
      </c>
      <c r="Y142" s="16" t="n">
        <v>20</v>
      </c>
      <c r="Z142" s="16" t="s">
        <v>81</v>
      </c>
      <c r="AA142" s="15" t="str">
        <f aca="false">IF(AND(ISNUMBER(L142),ISNUMBER(M142)),M142-L142,"")</f>
        <v/>
      </c>
      <c r="AB142" s="15" t="str">
        <f aca="false">IF(AND(ISNUMBER(M142),ISNUMBER(P142)),P142-M142,"")</f>
        <v/>
      </c>
      <c r="AC142" s="15" t="str">
        <f aca="false">IF(AND(ISNUMBER(L142),ISNUMBER(P142)),P142-L142,"")</f>
        <v/>
      </c>
      <c r="AD142" s="15" t="str">
        <f aca="false">IF(AND(ISNUMBER(P142),ISNUMBER(Q142)),Q142-P142,"")</f>
        <v/>
      </c>
      <c r="AE142" s="15" t="n">
        <f aca="false">IF(AND(ISNUMBER(Q142),ISNUMBER(R142)),R142-Q142,IF(ISNUMBER(Y142),Y142,""))</f>
        <v>20</v>
      </c>
      <c r="AF142" s="15" t="str">
        <f aca="false">IF(AND(ISNUMBER(R142),ISNUMBER(S142)),S142-R142,"")</f>
        <v/>
      </c>
      <c r="AG142" s="15" t="str">
        <f aca="false">IF(AND(ISNUMBER(S142),ISNUMBER(T142)),T142-S142,"")</f>
        <v/>
      </c>
      <c r="AH142" s="15" t="str">
        <f aca="false">IF(AND(ISNUMBER(L142),ISNUMBER(T142)),T142-L142,"")</f>
        <v/>
      </c>
      <c r="AI142" s="15" t="n">
        <f aca="false">IF(AND(ISNUMBER(O142),ISNUMBER(Q142)),Q142-O142,"")</f>
        <v>1</v>
      </c>
      <c r="AJ142" s="15" t="str">
        <f aca="false">IF(B142="","",COUNT(L142:M142,P142:T142)&amp;"/7")</f>
        <v>2/7</v>
      </c>
      <c r="AK142" s="15" t="str">
        <f aca="false">IF(B142="","",IF(OR(AND(ISNUMBER(L142),ISNUMBER(M142),M142&lt;L142),AND(ISNUMBER(M142),ISNUMBER(P142),P142&lt;M142),AND(ISNUMBER(P142),ISNUMBER(Q142),Q142&lt;P142),AND(ISNUMBER(Q142),ISNUMBER(R142),R142&lt;Q142),AND(ISNUMBER(R142),ISNUMBER(S142),S142&lt;R142),AND(ISNUMBER(S142),ISNUMBER(T142),T142&lt;S142),AND(ISNUMBER(N142),ISNUMBER(O142),O142&lt;N142)),"Urutan tanggal salah",IF(AND(ISNUMBER(Q142),ISNUMBER(R142),ISNUMBER(Y142),ABS(R142-Q142-Y142)&gt;2),"S tanggal ≠ Sailing tercatat",IF(AND(ISNUMBER(Q142),ISNUMBER(O142),ABS(Q142-O142)&gt;60),"Cek tahun laycan",IF(AND(ISNUMBER(Q142),ISNUMBER(N142),Q142&lt;N142),"Berangkat sebelum laycan",IF(NOT(ISNUMBER(AE142)),"S belum ada","OK"))))))</f>
        <v>OK</v>
      </c>
    </row>
    <row r="143" customFormat="false" ht="15" hidden="false" customHeight="false" outlineLevel="0" collapsed="false">
      <c r="A143" s="16" t="n">
        <f aca="false">IF(B143="","",ROW()-4)</f>
        <v>139</v>
      </c>
      <c r="B143" s="12" t="s">
        <v>415</v>
      </c>
      <c r="C143" s="16" t="s">
        <v>419</v>
      </c>
      <c r="D143" s="16" t="n">
        <v>2023</v>
      </c>
      <c r="E143" s="16" t="s">
        <v>437</v>
      </c>
      <c r="F143" s="16" t="s">
        <v>444</v>
      </c>
      <c r="G143" s="16" t="s">
        <v>77</v>
      </c>
      <c r="H143" s="16" t="s">
        <v>465</v>
      </c>
      <c r="I143" s="16" t="s">
        <v>468</v>
      </c>
      <c r="J143" s="16"/>
      <c r="K143" s="16" t="n">
        <v>36000</v>
      </c>
      <c r="L143" s="13"/>
      <c r="M143" s="13"/>
      <c r="N143" s="13" t="n">
        <v>45220</v>
      </c>
      <c r="O143" s="13" t="n">
        <v>45227</v>
      </c>
      <c r="P143" s="13"/>
      <c r="Q143" s="13" t="n">
        <v>45228</v>
      </c>
      <c r="R143" s="13" t="n">
        <v>45246</v>
      </c>
      <c r="S143" s="13"/>
      <c r="T143" s="13"/>
      <c r="U143" s="12" t="s">
        <v>80</v>
      </c>
      <c r="V143" s="14"/>
      <c r="W143" s="16"/>
      <c r="X143" s="16" t="s">
        <v>469</v>
      </c>
      <c r="Y143" s="16" t="n">
        <v>18</v>
      </c>
      <c r="Z143" s="16" t="s">
        <v>81</v>
      </c>
      <c r="AA143" s="15" t="str">
        <f aca="false">IF(AND(ISNUMBER(L143),ISNUMBER(M143)),M143-L143,"")</f>
        <v/>
      </c>
      <c r="AB143" s="15" t="str">
        <f aca="false">IF(AND(ISNUMBER(M143),ISNUMBER(P143)),P143-M143,"")</f>
        <v/>
      </c>
      <c r="AC143" s="15" t="str">
        <f aca="false">IF(AND(ISNUMBER(L143),ISNUMBER(P143)),P143-L143,"")</f>
        <v/>
      </c>
      <c r="AD143" s="15" t="str">
        <f aca="false">IF(AND(ISNUMBER(P143),ISNUMBER(Q143)),Q143-P143,"")</f>
        <v/>
      </c>
      <c r="AE143" s="15" t="n">
        <f aca="false">IF(AND(ISNUMBER(Q143),ISNUMBER(R143)),R143-Q143,IF(ISNUMBER(Y143),Y143,""))</f>
        <v>18</v>
      </c>
      <c r="AF143" s="15" t="str">
        <f aca="false">IF(AND(ISNUMBER(R143),ISNUMBER(S143)),S143-R143,"")</f>
        <v/>
      </c>
      <c r="AG143" s="15" t="str">
        <f aca="false">IF(AND(ISNUMBER(S143),ISNUMBER(T143)),T143-S143,"")</f>
        <v/>
      </c>
      <c r="AH143" s="15" t="str">
        <f aca="false">IF(AND(ISNUMBER(L143),ISNUMBER(T143)),T143-L143,"")</f>
        <v/>
      </c>
      <c r="AI143" s="15" t="n">
        <f aca="false">IF(AND(ISNUMBER(O143),ISNUMBER(Q143)),Q143-O143,"")</f>
        <v>1</v>
      </c>
      <c r="AJ143" s="15" t="str">
        <f aca="false">IF(B143="","",COUNT(L143:M143,P143:T143)&amp;"/7")</f>
        <v>2/7</v>
      </c>
      <c r="AK143" s="15" t="str">
        <f aca="false">IF(B143="","",IF(OR(AND(ISNUMBER(L143),ISNUMBER(M143),M143&lt;L143),AND(ISNUMBER(M143),ISNUMBER(P143),P143&lt;M143),AND(ISNUMBER(P143),ISNUMBER(Q143),Q143&lt;P143),AND(ISNUMBER(Q143),ISNUMBER(R143),R143&lt;Q143),AND(ISNUMBER(R143),ISNUMBER(S143),S143&lt;R143),AND(ISNUMBER(S143),ISNUMBER(T143),T143&lt;S143),AND(ISNUMBER(N143),ISNUMBER(O143),O143&lt;N143)),"Urutan tanggal salah",IF(AND(ISNUMBER(Q143),ISNUMBER(R143),ISNUMBER(Y143),ABS(R143-Q143-Y143)&gt;2),"S tanggal ≠ Sailing tercatat",IF(AND(ISNUMBER(Q143),ISNUMBER(O143),ABS(Q143-O143)&gt;60),"Cek tahun laycan",IF(AND(ISNUMBER(Q143),ISNUMBER(N143),Q143&lt;N143),"Berangkat sebelum laycan",IF(NOT(ISNUMBER(AE143)),"S belum ada","OK"))))))</f>
        <v>OK</v>
      </c>
    </row>
    <row r="144" customFormat="false" ht="15" hidden="false" customHeight="false" outlineLevel="0" collapsed="false">
      <c r="A144" s="16" t="n">
        <f aca="false">IF(B144="","",ROW()-4)</f>
        <v>140</v>
      </c>
      <c r="B144" s="12" t="s">
        <v>415</v>
      </c>
      <c r="C144" s="16" t="s">
        <v>416</v>
      </c>
      <c r="D144" s="16" t="n">
        <v>2023</v>
      </c>
      <c r="E144" s="16" t="s">
        <v>94</v>
      </c>
      <c r="F144" s="16" t="s">
        <v>95</v>
      </c>
      <c r="G144" s="16" t="s">
        <v>77</v>
      </c>
      <c r="H144" s="16" t="s">
        <v>417</v>
      </c>
      <c r="I144" s="16" t="s">
        <v>470</v>
      </c>
      <c r="J144" s="16"/>
      <c r="K144" s="16" t="n">
        <v>43660</v>
      </c>
      <c r="L144" s="13"/>
      <c r="M144" s="13"/>
      <c r="N144" s="13" t="n">
        <v>45213</v>
      </c>
      <c r="O144" s="13" t="n">
        <v>45220</v>
      </c>
      <c r="P144" s="13"/>
      <c r="Q144" s="13" t="n">
        <v>45221</v>
      </c>
      <c r="R144" s="13" t="n">
        <v>45244</v>
      </c>
      <c r="S144" s="13"/>
      <c r="T144" s="13"/>
      <c r="U144" s="12" t="s">
        <v>80</v>
      </c>
      <c r="V144" s="14"/>
      <c r="W144" s="16" t="s">
        <v>471</v>
      </c>
      <c r="X144" s="16" t="s">
        <v>472</v>
      </c>
      <c r="Y144" s="16" t="n">
        <v>23</v>
      </c>
      <c r="Z144" s="16" t="s">
        <v>81</v>
      </c>
      <c r="AA144" s="15" t="str">
        <f aca="false">IF(AND(ISNUMBER(L144),ISNUMBER(M144)),M144-L144,"")</f>
        <v/>
      </c>
      <c r="AB144" s="15" t="str">
        <f aca="false">IF(AND(ISNUMBER(M144),ISNUMBER(P144)),P144-M144,"")</f>
        <v/>
      </c>
      <c r="AC144" s="15" t="str">
        <f aca="false">IF(AND(ISNUMBER(L144),ISNUMBER(P144)),P144-L144,"")</f>
        <v/>
      </c>
      <c r="AD144" s="15" t="str">
        <f aca="false">IF(AND(ISNUMBER(P144),ISNUMBER(Q144)),Q144-P144,"")</f>
        <v/>
      </c>
      <c r="AE144" s="15" t="n">
        <f aca="false">IF(AND(ISNUMBER(Q144),ISNUMBER(R144)),R144-Q144,IF(ISNUMBER(Y144),Y144,""))</f>
        <v>23</v>
      </c>
      <c r="AF144" s="15" t="str">
        <f aca="false">IF(AND(ISNUMBER(R144),ISNUMBER(S144)),S144-R144,"")</f>
        <v/>
      </c>
      <c r="AG144" s="15" t="str">
        <f aca="false">IF(AND(ISNUMBER(S144),ISNUMBER(T144)),T144-S144,"")</f>
        <v/>
      </c>
      <c r="AH144" s="15" t="str">
        <f aca="false">IF(AND(ISNUMBER(L144),ISNUMBER(T144)),T144-L144,"")</f>
        <v/>
      </c>
      <c r="AI144" s="15" t="n">
        <f aca="false">IF(AND(ISNUMBER(O144),ISNUMBER(Q144)),Q144-O144,"")</f>
        <v>1</v>
      </c>
      <c r="AJ144" s="15" t="str">
        <f aca="false">IF(B144="","",COUNT(L144:M144,P144:T144)&amp;"/7")</f>
        <v>2/7</v>
      </c>
      <c r="AK144" s="15" t="str">
        <f aca="false">IF(B144="","",IF(OR(AND(ISNUMBER(L144),ISNUMBER(M144),M144&lt;L144),AND(ISNUMBER(M144),ISNUMBER(P144),P144&lt;M144),AND(ISNUMBER(P144),ISNUMBER(Q144),Q144&lt;P144),AND(ISNUMBER(Q144),ISNUMBER(R144),R144&lt;Q144),AND(ISNUMBER(R144),ISNUMBER(S144),S144&lt;R144),AND(ISNUMBER(S144),ISNUMBER(T144),T144&lt;S144),AND(ISNUMBER(N144),ISNUMBER(O144),O144&lt;N144)),"Urutan tanggal salah",IF(AND(ISNUMBER(Q144),ISNUMBER(R144),ISNUMBER(Y144),ABS(R144-Q144-Y144)&gt;2),"S tanggal ≠ Sailing tercatat",IF(AND(ISNUMBER(Q144),ISNUMBER(O144),ABS(Q144-O144)&gt;60),"Cek tahun laycan",IF(AND(ISNUMBER(Q144),ISNUMBER(N144),Q144&lt;N144),"Berangkat sebelum laycan",IF(NOT(ISNUMBER(AE144)),"S belum ada","OK"))))))</f>
        <v>OK</v>
      </c>
    </row>
    <row r="145" customFormat="false" ht="15" hidden="false" customHeight="false" outlineLevel="0" collapsed="false">
      <c r="A145" s="16" t="n">
        <f aca="false">IF(B145="","",ROW()-4)</f>
        <v>141</v>
      </c>
      <c r="B145" s="12" t="s">
        <v>415</v>
      </c>
      <c r="C145" s="16" t="s">
        <v>419</v>
      </c>
      <c r="D145" s="16" t="n">
        <v>2023</v>
      </c>
      <c r="E145" s="16" t="s">
        <v>94</v>
      </c>
      <c r="F145" s="16" t="s">
        <v>95</v>
      </c>
      <c r="G145" s="16" t="s">
        <v>77</v>
      </c>
      <c r="H145" s="16" t="s">
        <v>417</v>
      </c>
      <c r="I145" s="16" t="s">
        <v>473</v>
      </c>
      <c r="J145" s="16"/>
      <c r="K145" s="16" t="n">
        <v>41810</v>
      </c>
      <c r="L145" s="13"/>
      <c r="M145" s="13"/>
      <c r="N145" s="13" t="n">
        <v>45246</v>
      </c>
      <c r="O145" s="13" t="n">
        <v>45251</v>
      </c>
      <c r="P145" s="13"/>
      <c r="Q145" s="13" t="n">
        <v>45252</v>
      </c>
      <c r="R145" s="13" t="n">
        <v>45272</v>
      </c>
      <c r="S145" s="13"/>
      <c r="T145" s="13"/>
      <c r="U145" s="12" t="s">
        <v>80</v>
      </c>
      <c r="V145" s="14"/>
      <c r="W145" s="16" t="s">
        <v>474</v>
      </c>
      <c r="X145" s="16" t="s">
        <v>475</v>
      </c>
      <c r="Y145" s="16" t="n">
        <v>20</v>
      </c>
      <c r="Z145" s="16" t="s">
        <v>81</v>
      </c>
      <c r="AA145" s="15" t="str">
        <f aca="false">IF(AND(ISNUMBER(L145),ISNUMBER(M145)),M145-L145,"")</f>
        <v/>
      </c>
      <c r="AB145" s="15" t="str">
        <f aca="false">IF(AND(ISNUMBER(M145),ISNUMBER(P145)),P145-M145,"")</f>
        <v/>
      </c>
      <c r="AC145" s="15" t="str">
        <f aca="false">IF(AND(ISNUMBER(L145),ISNUMBER(P145)),P145-L145,"")</f>
        <v/>
      </c>
      <c r="AD145" s="15" t="str">
        <f aca="false">IF(AND(ISNUMBER(P145),ISNUMBER(Q145)),Q145-P145,"")</f>
        <v/>
      </c>
      <c r="AE145" s="15" t="n">
        <f aca="false">IF(AND(ISNUMBER(Q145),ISNUMBER(R145)),R145-Q145,IF(ISNUMBER(Y145),Y145,""))</f>
        <v>20</v>
      </c>
      <c r="AF145" s="15" t="str">
        <f aca="false">IF(AND(ISNUMBER(R145),ISNUMBER(S145)),S145-R145,"")</f>
        <v/>
      </c>
      <c r="AG145" s="15" t="str">
        <f aca="false">IF(AND(ISNUMBER(S145),ISNUMBER(T145)),T145-S145,"")</f>
        <v/>
      </c>
      <c r="AH145" s="15" t="str">
        <f aca="false">IF(AND(ISNUMBER(L145),ISNUMBER(T145)),T145-L145,"")</f>
        <v/>
      </c>
      <c r="AI145" s="15" t="n">
        <f aca="false">IF(AND(ISNUMBER(O145),ISNUMBER(Q145)),Q145-O145,"")</f>
        <v>1</v>
      </c>
      <c r="AJ145" s="15" t="str">
        <f aca="false">IF(B145="","",COUNT(L145:M145,P145:T145)&amp;"/7")</f>
        <v>2/7</v>
      </c>
      <c r="AK145" s="15" t="str">
        <f aca="false">IF(B145="","",IF(OR(AND(ISNUMBER(L145),ISNUMBER(M145),M145&lt;L145),AND(ISNUMBER(M145),ISNUMBER(P145),P145&lt;M145),AND(ISNUMBER(P145),ISNUMBER(Q145),Q145&lt;P145),AND(ISNUMBER(Q145),ISNUMBER(R145),R145&lt;Q145),AND(ISNUMBER(R145),ISNUMBER(S145),S145&lt;R145),AND(ISNUMBER(S145),ISNUMBER(T145),T145&lt;S145),AND(ISNUMBER(N145),ISNUMBER(O145),O145&lt;N145)),"Urutan tanggal salah",IF(AND(ISNUMBER(Q145),ISNUMBER(R145),ISNUMBER(Y145),ABS(R145-Q145-Y145)&gt;2),"S tanggal ≠ Sailing tercatat",IF(AND(ISNUMBER(Q145),ISNUMBER(O145),ABS(Q145-O145)&gt;60),"Cek tahun laycan",IF(AND(ISNUMBER(Q145),ISNUMBER(N145),Q145&lt;N145),"Berangkat sebelum laycan",IF(NOT(ISNUMBER(AE145)),"S belum ada","OK"))))))</f>
        <v>OK</v>
      </c>
    </row>
    <row r="146" customFormat="false" ht="15" hidden="false" customHeight="false" outlineLevel="0" collapsed="false">
      <c r="A146" s="16" t="n">
        <f aca="false">IF(B146="","",ROW()-4)</f>
        <v>142</v>
      </c>
      <c r="B146" s="12" t="s">
        <v>415</v>
      </c>
      <c r="C146" s="16" t="s">
        <v>416</v>
      </c>
      <c r="D146" s="16" t="n">
        <v>2024</v>
      </c>
      <c r="E146" s="16" t="s">
        <v>94</v>
      </c>
      <c r="F146" s="16" t="s">
        <v>95</v>
      </c>
      <c r="G146" s="16" t="s">
        <v>77</v>
      </c>
      <c r="H146" s="16" t="s">
        <v>417</v>
      </c>
      <c r="I146" s="16" t="s">
        <v>476</v>
      </c>
      <c r="J146" s="16"/>
      <c r="K146" s="16" t="n">
        <v>38742</v>
      </c>
      <c r="L146" s="13"/>
      <c r="M146" s="13"/>
      <c r="N146" s="13" t="n">
        <v>45270</v>
      </c>
      <c r="O146" s="13" t="n">
        <v>45274</v>
      </c>
      <c r="P146" s="13"/>
      <c r="Q146" s="13" t="n">
        <v>45275</v>
      </c>
      <c r="R146" s="13" t="n">
        <v>45336</v>
      </c>
      <c r="S146" s="13"/>
      <c r="T146" s="13"/>
      <c r="U146" s="12" t="s">
        <v>80</v>
      </c>
      <c r="V146" s="14"/>
      <c r="W146" s="16" t="s">
        <v>477</v>
      </c>
      <c r="X146" s="16" t="s">
        <v>478</v>
      </c>
      <c r="Y146" s="16" t="n">
        <v>61</v>
      </c>
      <c r="Z146" s="16" t="s">
        <v>81</v>
      </c>
      <c r="AA146" s="15" t="str">
        <f aca="false">IF(AND(ISNUMBER(L146),ISNUMBER(M146)),M146-L146,"")</f>
        <v/>
      </c>
      <c r="AB146" s="15" t="str">
        <f aca="false">IF(AND(ISNUMBER(M146),ISNUMBER(P146)),P146-M146,"")</f>
        <v/>
      </c>
      <c r="AC146" s="15" t="str">
        <f aca="false">IF(AND(ISNUMBER(L146),ISNUMBER(P146)),P146-L146,"")</f>
        <v/>
      </c>
      <c r="AD146" s="15" t="str">
        <f aca="false">IF(AND(ISNUMBER(P146),ISNUMBER(Q146)),Q146-P146,"")</f>
        <v/>
      </c>
      <c r="AE146" s="15" t="n">
        <f aca="false">IF(AND(ISNUMBER(Q146),ISNUMBER(R146)),R146-Q146,IF(ISNUMBER(Y146),Y146,""))</f>
        <v>61</v>
      </c>
      <c r="AF146" s="15" t="str">
        <f aca="false">IF(AND(ISNUMBER(R146),ISNUMBER(S146)),S146-R146,"")</f>
        <v/>
      </c>
      <c r="AG146" s="15" t="str">
        <f aca="false">IF(AND(ISNUMBER(S146),ISNUMBER(T146)),T146-S146,"")</f>
        <v/>
      </c>
      <c r="AH146" s="15" t="str">
        <f aca="false">IF(AND(ISNUMBER(L146),ISNUMBER(T146)),T146-L146,"")</f>
        <v/>
      </c>
      <c r="AI146" s="15" t="n">
        <f aca="false">IF(AND(ISNUMBER(O146),ISNUMBER(Q146)),Q146-O146,"")</f>
        <v>1</v>
      </c>
      <c r="AJ146" s="15" t="str">
        <f aca="false">IF(B146="","",COUNT(L146:M146,P146:T146)&amp;"/7")</f>
        <v>2/7</v>
      </c>
      <c r="AK146" s="15" t="str">
        <f aca="false">IF(B146="","",IF(OR(AND(ISNUMBER(L146),ISNUMBER(M146),M146&lt;L146),AND(ISNUMBER(M146),ISNUMBER(P146),P146&lt;M146),AND(ISNUMBER(P146),ISNUMBER(Q146),Q146&lt;P146),AND(ISNUMBER(Q146),ISNUMBER(R146),R146&lt;Q146),AND(ISNUMBER(R146),ISNUMBER(S146),S146&lt;R146),AND(ISNUMBER(S146),ISNUMBER(T146),T146&lt;S146),AND(ISNUMBER(N146),ISNUMBER(O146),O146&lt;N146)),"Urutan tanggal salah",IF(AND(ISNUMBER(Q146),ISNUMBER(R146),ISNUMBER(Y146),ABS(R146-Q146-Y146)&gt;2),"S tanggal ≠ Sailing tercatat",IF(AND(ISNUMBER(Q146),ISNUMBER(O146),ABS(Q146-O146)&gt;60),"Cek tahun laycan",IF(AND(ISNUMBER(Q146),ISNUMBER(N146),Q146&lt;N146),"Berangkat sebelum laycan",IF(NOT(ISNUMBER(AE146)),"S belum ada","OK"))))))</f>
        <v>OK</v>
      </c>
    </row>
    <row r="147" customFormat="false" ht="15" hidden="false" customHeight="false" outlineLevel="0" collapsed="false">
      <c r="A147" s="16" t="n">
        <f aca="false">IF(B147="","",ROW()-4)</f>
        <v>143</v>
      </c>
      <c r="B147" s="12" t="s">
        <v>415</v>
      </c>
      <c r="C147" s="16" t="s">
        <v>419</v>
      </c>
      <c r="D147" s="16" t="n">
        <v>2024</v>
      </c>
      <c r="E147" s="16" t="s">
        <v>94</v>
      </c>
      <c r="F147" s="16" t="s">
        <v>95</v>
      </c>
      <c r="G147" s="16" t="s">
        <v>77</v>
      </c>
      <c r="H147" s="16" t="s">
        <v>417</v>
      </c>
      <c r="I147" s="16" t="s">
        <v>479</v>
      </c>
      <c r="J147" s="16"/>
      <c r="K147" s="16" t="n">
        <v>38000</v>
      </c>
      <c r="L147" s="13"/>
      <c r="M147" s="13"/>
      <c r="N147" s="13" t="n">
        <v>45286</v>
      </c>
      <c r="O147" s="13" t="n">
        <v>45292</v>
      </c>
      <c r="P147" s="13"/>
      <c r="Q147" s="13" t="n">
        <v>45293</v>
      </c>
      <c r="R147" s="13" t="n">
        <v>45314</v>
      </c>
      <c r="S147" s="13"/>
      <c r="T147" s="13"/>
      <c r="U147" s="12" t="s">
        <v>80</v>
      </c>
      <c r="V147" s="14"/>
      <c r="W147" s="16" t="s">
        <v>480</v>
      </c>
      <c r="X147" s="16" t="s">
        <v>481</v>
      </c>
      <c r="Y147" s="16" t="n">
        <v>21</v>
      </c>
      <c r="Z147" s="16" t="s">
        <v>81</v>
      </c>
      <c r="AA147" s="15" t="str">
        <f aca="false">IF(AND(ISNUMBER(L147),ISNUMBER(M147)),M147-L147,"")</f>
        <v/>
      </c>
      <c r="AB147" s="15" t="str">
        <f aca="false">IF(AND(ISNUMBER(M147),ISNUMBER(P147)),P147-M147,"")</f>
        <v/>
      </c>
      <c r="AC147" s="15" t="str">
        <f aca="false">IF(AND(ISNUMBER(L147),ISNUMBER(P147)),P147-L147,"")</f>
        <v/>
      </c>
      <c r="AD147" s="15" t="str">
        <f aca="false">IF(AND(ISNUMBER(P147),ISNUMBER(Q147)),Q147-P147,"")</f>
        <v/>
      </c>
      <c r="AE147" s="15" t="n">
        <f aca="false">IF(AND(ISNUMBER(Q147),ISNUMBER(R147)),R147-Q147,IF(ISNUMBER(Y147),Y147,""))</f>
        <v>21</v>
      </c>
      <c r="AF147" s="15" t="str">
        <f aca="false">IF(AND(ISNUMBER(R147),ISNUMBER(S147)),S147-R147,"")</f>
        <v/>
      </c>
      <c r="AG147" s="15" t="str">
        <f aca="false">IF(AND(ISNUMBER(S147),ISNUMBER(T147)),T147-S147,"")</f>
        <v/>
      </c>
      <c r="AH147" s="15" t="str">
        <f aca="false">IF(AND(ISNUMBER(L147),ISNUMBER(T147)),T147-L147,"")</f>
        <v/>
      </c>
      <c r="AI147" s="15" t="n">
        <f aca="false">IF(AND(ISNUMBER(O147),ISNUMBER(Q147)),Q147-O147,"")</f>
        <v>1</v>
      </c>
      <c r="AJ147" s="15" t="str">
        <f aca="false">IF(B147="","",COUNT(L147:M147,P147:T147)&amp;"/7")</f>
        <v>2/7</v>
      </c>
      <c r="AK147" s="15" t="str">
        <f aca="false">IF(B147="","",IF(OR(AND(ISNUMBER(L147),ISNUMBER(M147),M147&lt;L147),AND(ISNUMBER(M147),ISNUMBER(P147),P147&lt;M147),AND(ISNUMBER(P147),ISNUMBER(Q147),Q147&lt;P147),AND(ISNUMBER(Q147),ISNUMBER(R147),R147&lt;Q147),AND(ISNUMBER(R147),ISNUMBER(S147),S147&lt;R147),AND(ISNUMBER(S147),ISNUMBER(T147),T147&lt;S147),AND(ISNUMBER(N147),ISNUMBER(O147),O147&lt;N147)),"Urutan tanggal salah",IF(AND(ISNUMBER(Q147),ISNUMBER(R147),ISNUMBER(Y147),ABS(R147-Q147-Y147)&gt;2),"S tanggal ≠ Sailing tercatat",IF(AND(ISNUMBER(Q147),ISNUMBER(O147),ABS(Q147-O147)&gt;60),"Cek tahun laycan",IF(AND(ISNUMBER(Q147),ISNUMBER(N147),Q147&lt;N147),"Berangkat sebelum laycan",IF(NOT(ISNUMBER(AE147)),"S belum ada","OK"))))))</f>
        <v>OK</v>
      </c>
    </row>
    <row r="148" customFormat="false" ht="15" hidden="false" customHeight="false" outlineLevel="0" collapsed="false">
      <c r="A148" s="16" t="n">
        <f aca="false">IF(B148="","",ROW()-4)</f>
        <v>144</v>
      </c>
      <c r="B148" s="12" t="s">
        <v>415</v>
      </c>
      <c r="C148" s="16" t="s">
        <v>421</v>
      </c>
      <c r="D148" s="16" t="n">
        <v>2024</v>
      </c>
      <c r="E148" s="16" t="s">
        <v>94</v>
      </c>
      <c r="F148" s="16" t="s">
        <v>95</v>
      </c>
      <c r="G148" s="16" t="s">
        <v>77</v>
      </c>
      <c r="H148" s="16" t="s">
        <v>417</v>
      </c>
      <c r="I148" s="16" t="s">
        <v>482</v>
      </c>
      <c r="J148" s="16"/>
      <c r="K148" s="16" t="n">
        <v>38000</v>
      </c>
      <c r="L148" s="13"/>
      <c r="M148" s="13"/>
      <c r="N148" s="13" t="n">
        <v>45326</v>
      </c>
      <c r="O148" s="13" t="n">
        <v>45332</v>
      </c>
      <c r="P148" s="13"/>
      <c r="Q148" s="13" t="n">
        <v>45333</v>
      </c>
      <c r="R148" s="13" t="n">
        <v>45353</v>
      </c>
      <c r="S148" s="13"/>
      <c r="T148" s="13"/>
      <c r="U148" s="12" t="s">
        <v>80</v>
      </c>
      <c r="V148" s="14"/>
      <c r="W148" s="16" t="s">
        <v>483</v>
      </c>
      <c r="X148" s="16" t="s">
        <v>484</v>
      </c>
      <c r="Y148" s="16" t="n">
        <v>20</v>
      </c>
      <c r="Z148" s="16" t="s">
        <v>81</v>
      </c>
      <c r="AA148" s="15" t="str">
        <f aca="false">IF(AND(ISNUMBER(L148),ISNUMBER(M148)),M148-L148,"")</f>
        <v/>
      </c>
      <c r="AB148" s="15" t="str">
        <f aca="false">IF(AND(ISNUMBER(M148),ISNUMBER(P148)),P148-M148,"")</f>
        <v/>
      </c>
      <c r="AC148" s="15" t="str">
        <f aca="false">IF(AND(ISNUMBER(L148),ISNUMBER(P148)),P148-L148,"")</f>
        <v/>
      </c>
      <c r="AD148" s="15" t="str">
        <f aca="false">IF(AND(ISNUMBER(P148),ISNUMBER(Q148)),Q148-P148,"")</f>
        <v/>
      </c>
      <c r="AE148" s="15" t="n">
        <f aca="false">IF(AND(ISNUMBER(Q148),ISNUMBER(R148)),R148-Q148,IF(ISNUMBER(Y148),Y148,""))</f>
        <v>20</v>
      </c>
      <c r="AF148" s="15" t="str">
        <f aca="false">IF(AND(ISNUMBER(R148),ISNUMBER(S148)),S148-R148,"")</f>
        <v/>
      </c>
      <c r="AG148" s="15" t="str">
        <f aca="false">IF(AND(ISNUMBER(S148),ISNUMBER(T148)),T148-S148,"")</f>
        <v/>
      </c>
      <c r="AH148" s="15" t="str">
        <f aca="false">IF(AND(ISNUMBER(L148),ISNUMBER(T148)),T148-L148,"")</f>
        <v/>
      </c>
      <c r="AI148" s="15" t="n">
        <f aca="false">IF(AND(ISNUMBER(O148),ISNUMBER(Q148)),Q148-O148,"")</f>
        <v>1</v>
      </c>
      <c r="AJ148" s="15" t="str">
        <f aca="false">IF(B148="","",COUNT(L148:M148,P148:T148)&amp;"/7")</f>
        <v>2/7</v>
      </c>
      <c r="AK148" s="15" t="str">
        <f aca="false">IF(B148="","",IF(OR(AND(ISNUMBER(L148),ISNUMBER(M148),M148&lt;L148),AND(ISNUMBER(M148),ISNUMBER(P148),P148&lt;M148),AND(ISNUMBER(P148),ISNUMBER(Q148),Q148&lt;P148),AND(ISNUMBER(Q148),ISNUMBER(R148),R148&lt;Q148),AND(ISNUMBER(R148),ISNUMBER(S148),S148&lt;R148),AND(ISNUMBER(S148),ISNUMBER(T148),T148&lt;S148),AND(ISNUMBER(N148),ISNUMBER(O148),O148&lt;N148)),"Urutan tanggal salah",IF(AND(ISNUMBER(Q148),ISNUMBER(R148),ISNUMBER(Y148),ABS(R148-Q148-Y148)&gt;2),"S tanggal ≠ Sailing tercatat",IF(AND(ISNUMBER(Q148),ISNUMBER(O148),ABS(Q148-O148)&gt;60),"Cek tahun laycan",IF(AND(ISNUMBER(Q148),ISNUMBER(N148),Q148&lt;N148),"Berangkat sebelum laycan",IF(NOT(ISNUMBER(AE148)),"S belum ada","OK"))))))</f>
        <v>OK</v>
      </c>
    </row>
    <row r="149" customFormat="false" ht="15" hidden="false" customHeight="false" outlineLevel="0" collapsed="false">
      <c r="A149" s="16" t="n">
        <f aca="false">IF(B149="","",ROW()-4)</f>
        <v>145</v>
      </c>
      <c r="B149" s="12" t="s">
        <v>415</v>
      </c>
      <c r="C149" s="16" t="s">
        <v>423</v>
      </c>
      <c r="D149" s="16" t="n">
        <v>2024</v>
      </c>
      <c r="E149" s="16" t="s">
        <v>94</v>
      </c>
      <c r="F149" s="16" t="s">
        <v>95</v>
      </c>
      <c r="G149" s="16" t="s">
        <v>77</v>
      </c>
      <c r="H149" s="16" t="s">
        <v>417</v>
      </c>
      <c r="I149" s="16" t="s">
        <v>485</v>
      </c>
      <c r="J149" s="16"/>
      <c r="K149" s="16" t="n">
        <v>41000</v>
      </c>
      <c r="L149" s="13"/>
      <c r="M149" s="13"/>
      <c r="N149" s="13" t="n">
        <v>44999</v>
      </c>
      <c r="O149" s="13" t="n">
        <v>45004</v>
      </c>
      <c r="P149" s="13"/>
      <c r="Q149" s="13" t="n">
        <v>45371</v>
      </c>
      <c r="R149" s="13" t="n">
        <v>45390</v>
      </c>
      <c r="S149" s="13"/>
      <c r="T149" s="13"/>
      <c r="U149" s="12" t="s">
        <v>80</v>
      </c>
      <c r="V149" s="14"/>
      <c r="W149" s="16" t="s">
        <v>192</v>
      </c>
      <c r="X149" s="16" t="s">
        <v>486</v>
      </c>
      <c r="Y149" s="16" t="n">
        <v>19</v>
      </c>
      <c r="Z149" s="16" t="s">
        <v>81</v>
      </c>
      <c r="AA149" s="15" t="str">
        <f aca="false">IF(AND(ISNUMBER(L149),ISNUMBER(M149)),M149-L149,"")</f>
        <v/>
      </c>
      <c r="AB149" s="15" t="str">
        <f aca="false">IF(AND(ISNUMBER(M149),ISNUMBER(P149)),P149-M149,"")</f>
        <v/>
      </c>
      <c r="AC149" s="15" t="str">
        <f aca="false">IF(AND(ISNUMBER(L149),ISNUMBER(P149)),P149-L149,"")</f>
        <v/>
      </c>
      <c r="AD149" s="15" t="str">
        <f aca="false">IF(AND(ISNUMBER(P149),ISNUMBER(Q149)),Q149-P149,"")</f>
        <v/>
      </c>
      <c r="AE149" s="15" t="n">
        <f aca="false">IF(AND(ISNUMBER(Q149),ISNUMBER(R149)),R149-Q149,IF(ISNUMBER(Y149),Y149,""))</f>
        <v>19</v>
      </c>
      <c r="AF149" s="15" t="str">
        <f aca="false">IF(AND(ISNUMBER(R149),ISNUMBER(S149)),S149-R149,"")</f>
        <v/>
      </c>
      <c r="AG149" s="15" t="str">
        <f aca="false">IF(AND(ISNUMBER(S149),ISNUMBER(T149)),T149-S149,"")</f>
        <v/>
      </c>
      <c r="AH149" s="15" t="str">
        <f aca="false">IF(AND(ISNUMBER(L149),ISNUMBER(T149)),T149-L149,"")</f>
        <v/>
      </c>
      <c r="AI149" s="15" t="n">
        <f aca="false">IF(AND(ISNUMBER(O149),ISNUMBER(Q149)),Q149-O149,"")</f>
        <v>367</v>
      </c>
      <c r="AJ149" s="15" t="str">
        <f aca="false">IF(B149="","",COUNT(L149:M149,P149:T149)&amp;"/7")</f>
        <v>2/7</v>
      </c>
      <c r="AK149" s="15" t="str">
        <f aca="false">IF(B149="","",IF(OR(AND(ISNUMBER(L149),ISNUMBER(M149),M149&lt;L149),AND(ISNUMBER(M149),ISNUMBER(P149),P149&lt;M149),AND(ISNUMBER(P149),ISNUMBER(Q149),Q149&lt;P149),AND(ISNUMBER(Q149),ISNUMBER(R149),R149&lt;Q149),AND(ISNUMBER(R149),ISNUMBER(S149),S149&lt;R149),AND(ISNUMBER(S149),ISNUMBER(T149),T149&lt;S149),AND(ISNUMBER(N149),ISNUMBER(O149),O149&lt;N149)),"Urutan tanggal salah",IF(AND(ISNUMBER(Q149),ISNUMBER(R149),ISNUMBER(Y149),ABS(R149-Q149-Y149)&gt;2),"S tanggal ≠ Sailing tercatat",IF(AND(ISNUMBER(Q149),ISNUMBER(O149),ABS(Q149-O149)&gt;60),"Cek tahun laycan",IF(AND(ISNUMBER(Q149),ISNUMBER(N149),Q149&lt;N149),"Berangkat sebelum laycan",IF(NOT(ISNUMBER(AE149)),"S belum ada","OK"))))))</f>
        <v>Cek tahun laycan</v>
      </c>
    </row>
    <row r="150" customFormat="false" ht="15" hidden="false" customHeight="false" outlineLevel="0" collapsed="false">
      <c r="A150" s="16" t="n">
        <f aca="false">IF(B150="","",ROW()-4)</f>
        <v>146</v>
      </c>
      <c r="B150" s="12" t="s">
        <v>415</v>
      </c>
      <c r="C150" s="16" t="s">
        <v>416</v>
      </c>
      <c r="D150" s="16" t="n">
        <v>2024</v>
      </c>
      <c r="E150" s="16" t="s">
        <v>437</v>
      </c>
      <c r="F150" s="16" t="s">
        <v>444</v>
      </c>
      <c r="G150" s="16" t="s">
        <v>77</v>
      </c>
      <c r="H150" s="16" t="s">
        <v>465</v>
      </c>
      <c r="I150" s="16" t="s">
        <v>487</v>
      </c>
      <c r="J150" s="16"/>
      <c r="K150" s="16" t="n">
        <v>44300</v>
      </c>
      <c r="L150" s="13"/>
      <c r="M150" s="13"/>
      <c r="N150" s="13" t="n">
        <v>45344</v>
      </c>
      <c r="O150" s="13" t="n">
        <v>45351</v>
      </c>
      <c r="P150" s="13"/>
      <c r="Q150" s="13" t="n">
        <v>45352</v>
      </c>
      <c r="R150" s="13" t="n">
        <v>45372</v>
      </c>
      <c r="S150" s="13"/>
      <c r="T150" s="13"/>
      <c r="U150" s="12" t="s">
        <v>80</v>
      </c>
      <c r="V150" s="14"/>
      <c r="W150" s="16"/>
      <c r="X150" s="16" t="s">
        <v>488</v>
      </c>
      <c r="Y150" s="16" t="n">
        <v>20</v>
      </c>
      <c r="Z150" s="16" t="s">
        <v>81</v>
      </c>
      <c r="AA150" s="15" t="str">
        <f aca="false">IF(AND(ISNUMBER(L150),ISNUMBER(M150)),M150-L150,"")</f>
        <v/>
      </c>
      <c r="AB150" s="15" t="str">
        <f aca="false">IF(AND(ISNUMBER(M150),ISNUMBER(P150)),P150-M150,"")</f>
        <v/>
      </c>
      <c r="AC150" s="15" t="str">
        <f aca="false">IF(AND(ISNUMBER(L150),ISNUMBER(P150)),P150-L150,"")</f>
        <v/>
      </c>
      <c r="AD150" s="15" t="str">
        <f aca="false">IF(AND(ISNUMBER(P150),ISNUMBER(Q150)),Q150-P150,"")</f>
        <v/>
      </c>
      <c r="AE150" s="15" t="n">
        <f aca="false">IF(AND(ISNUMBER(Q150),ISNUMBER(R150)),R150-Q150,IF(ISNUMBER(Y150),Y150,""))</f>
        <v>20</v>
      </c>
      <c r="AF150" s="15" t="str">
        <f aca="false">IF(AND(ISNUMBER(R150),ISNUMBER(S150)),S150-R150,"")</f>
        <v/>
      </c>
      <c r="AG150" s="15" t="str">
        <f aca="false">IF(AND(ISNUMBER(S150),ISNUMBER(T150)),T150-S150,"")</f>
        <v/>
      </c>
      <c r="AH150" s="15" t="str">
        <f aca="false">IF(AND(ISNUMBER(L150),ISNUMBER(T150)),T150-L150,"")</f>
        <v/>
      </c>
      <c r="AI150" s="15" t="n">
        <f aca="false">IF(AND(ISNUMBER(O150),ISNUMBER(Q150)),Q150-O150,"")</f>
        <v>1</v>
      </c>
      <c r="AJ150" s="15" t="str">
        <f aca="false">IF(B150="","",COUNT(L150:M150,P150:T150)&amp;"/7")</f>
        <v>2/7</v>
      </c>
      <c r="AK150" s="15" t="str">
        <f aca="false">IF(B150="","",IF(OR(AND(ISNUMBER(L150),ISNUMBER(M150),M150&lt;L150),AND(ISNUMBER(M150),ISNUMBER(P150),P150&lt;M150),AND(ISNUMBER(P150),ISNUMBER(Q150),Q150&lt;P150),AND(ISNUMBER(Q150),ISNUMBER(R150),R150&lt;Q150),AND(ISNUMBER(R150),ISNUMBER(S150),S150&lt;R150),AND(ISNUMBER(S150),ISNUMBER(T150),T150&lt;S150),AND(ISNUMBER(N150),ISNUMBER(O150),O150&lt;N150)),"Urutan tanggal salah",IF(AND(ISNUMBER(Q150),ISNUMBER(R150),ISNUMBER(Y150),ABS(R150-Q150-Y150)&gt;2),"S tanggal ≠ Sailing tercatat",IF(AND(ISNUMBER(Q150),ISNUMBER(O150),ABS(Q150-O150)&gt;60),"Cek tahun laycan",IF(AND(ISNUMBER(Q150),ISNUMBER(N150),Q150&lt;N150),"Berangkat sebelum laycan",IF(NOT(ISNUMBER(AE150)),"S belum ada","OK"))))))</f>
        <v>OK</v>
      </c>
    </row>
    <row r="151" customFormat="false" ht="15" hidden="false" customHeight="false" outlineLevel="0" collapsed="false">
      <c r="A151" s="16" t="n">
        <f aca="false">IF(B151="","",ROW()-4)</f>
        <v>147</v>
      </c>
      <c r="B151" s="12" t="s">
        <v>415</v>
      </c>
      <c r="C151" s="16" t="s">
        <v>419</v>
      </c>
      <c r="D151" s="16" t="n">
        <v>2024</v>
      </c>
      <c r="E151" s="16" t="s">
        <v>437</v>
      </c>
      <c r="F151" s="16" t="s">
        <v>444</v>
      </c>
      <c r="G151" s="16" t="s">
        <v>77</v>
      </c>
      <c r="H151" s="16" t="s">
        <v>465</v>
      </c>
      <c r="I151" s="16" t="s">
        <v>489</v>
      </c>
      <c r="J151" s="16"/>
      <c r="K151" s="16" t="n">
        <v>45000</v>
      </c>
      <c r="L151" s="13"/>
      <c r="M151" s="13"/>
      <c r="N151" s="13" t="n">
        <v>45393</v>
      </c>
      <c r="O151" s="13" t="n">
        <v>45398</v>
      </c>
      <c r="P151" s="13"/>
      <c r="Q151" s="13" t="n">
        <v>45400</v>
      </c>
      <c r="R151" s="13" t="n">
        <v>45425</v>
      </c>
      <c r="S151" s="13"/>
      <c r="T151" s="13"/>
      <c r="U151" s="12" t="s">
        <v>80</v>
      </c>
      <c r="V151" s="14"/>
      <c r="W151" s="16"/>
      <c r="X151" s="16" t="s">
        <v>490</v>
      </c>
      <c r="Y151" s="16" t="n">
        <v>25</v>
      </c>
      <c r="Z151" s="16" t="s">
        <v>81</v>
      </c>
      <c r="AA151" s="15" t="str">
        <f aca="false">IF(AND(ISNUMBER(L151),ISNUMBER(M151)),M151-L151,"")</f>
        <v/>
      </c>
      <c r="AB151" s="15" t="str">
        <f aca="false">IF(AND(ISNUMBER(M151),ISNUMBER(P151)),P151-M151,"")</f>
        <v/>
      </c>
      <c r="AC151" s="15" t="str">
        <f aca="false">IF(AND(ISNUMBER(L151),ISNUMBER(P151)),P151-L151,"")</f>
        <v/>
      </c>
      <c r="AD151" s="15" t="str">
        <f aca="false">IF(AND(ISNUMBER(P151),ISNUMBER(Q151)),Q151-P151,"")</f>
        <v/>
      </c>
      <c r="AE151" s="15" t="n">
        <f aca="false">IF(AND(ISNUMBER(Q151),ISNUMBER(R151)),R151-Q151,IF(ISNUMBER(Y151),Y151,""))</f>
        <v>25</v>
      </c>
      <c r="AF151" s="15" t="str">
        <f aca="false">IF(AND(ISNUMBER(R151),ISNUMBER(S151)),S151-R151,"")</f>
        <v/>
      </c>
      <c r="AG151" s="15" t="str">
        <f aca="false">IF(AND(ISNUMBER(S151),ISNUMBER(T151)),T151-S151,"")</f>
        <v/>
      </c>
      <c r="AH151" s="15" t="str">
        <f aca="false">IF(AND(ISNUMBER(L151),ISNUMBER(T151)),T151-L151,"")</f>
        <v/>
      </c>
      <c r="AI151" s="15" t="n">
        <f aca="false">IF(AND(ISNUMBER(O151),ISNUMBER(Q151)),Q151-O151,"")</f>
        <v>2</v>
      </c>
      <c r="AJ151" s="15" t="str">
        <f aca="false">IF(B151="","",COUNT(L151:M151,P151:T151)&amp;"/7")</f>
        <v>2/7</v>
      </c>
      <c r="AK151" s="15" t="str">
        <f aca="false">IF(B151="","",IF(OR(AND(ISNUMBER(L151),ISNUMBER(M151),M151&lt;L151),AND(ISNUMBER(M151),ISNUMBER(P151),P151&lt;M151),AND(ISNUMBER(P151),ISNUMBER(Q151),Q151&lt;P151),AND(ISNUMBER(Q151),ISNUMBER(R151),R151&lt;Q151),AND(ISNUMBER(R151),ISNUMBER(S151),S151&lt;R151),AND(ISNUMBER(S151),ISNUMBER(T151),T151&lt;S151),AND(ISNUMBER(N151),ISNUMBER(O151),O151&lt;N151)),"Urutan tanggal salah",IF(AND(ISNUMBER(Q151),ISNUMBER(R151),ISNUMBER(Y151),ABS(R151-Q151-Y151)&gt;2),"S tanggal ≠ Sailing tercatat",IF(AND(ISNUMBER(Q151),ISNUMBER(O151),ABS(Q151-O151)&gt;60),"Cek tahun laycan",IF(AND(ISNUMBER(Q151),ISNUMBER(N151),Q151&lt;N151),"Berangkat sebelum laycan",IF(NOT(ISNUMBER(AE151)),"S belum ada","OK"))))))</f>
        <v>OK</v>
      </c>
    </row>
    <row r="152" customFormat="false" ht="15" hidden="false" customHeight="false" outlineLevel="0" collapsed="false">
      <c r="A152" s="16" t="n">
        <f aca="false">IF(B152="","",ROW()-4)</f>
        <v>148</v>
      </c>
      <c r="B152" s="12" t="s">
        <v>415</v>
      </c>
      <c r="C152" s="16" t="s">
        <v>421</v>
      </c>
      <c r="D152" s="16" t="n">
        <v>2024</v>
      </c>
      <c r="E152" s="16" t="s">
        <v>437</v>
      </c>
      <c r="F152" s="16" t="s">
        <v>464</v>
      </c>
      <c r="G152" s="16" t="s">
        <v>77</v>
      </c>
      <c r="H152" s="16" t="s">
        <v>465</v>
      </c>
      <c r="I152" s="16" t="s">
        <v>491</v>
      </c>
      <c r="J152" s="16"/>
      <c r="K152" s="16" t="n">
        <v>42500</v>
      </c>
      <c r="L152" s="13"/>
      <c r="M152" s="13"/>
      <c r="N152" s="13" t="n">
        <v>45429</v>
      </c>
      <c r="O152" s="13" t="n">
        <v>45432</v>
      </c>
      <c r="P152" s="13"/>
      <c r="Q152" s="13" t="n">
        <v>45433</v>
      </c>
      <c r="R152" s="13" t="n">
        <v>45463</v>
      </c>
      <c r="S152" s="13"/>
      <c r="T152" s="13"/>
      <c r="U152" s="12" t="s">
        <v>80</v>
      </c>
      <c r="V152" s="14"/>
      <c r="W152" s="16" t="s">
        <v>492</v>
      </c>
      <c r="X152" s="16" t="s">
        <v>493</v>
      </c>
      <c r="Y152" s="16" t="n">
        <v>30</v>
      </c>
      <c r="Z152" s="16" t="s">
        <v>81</v>
      </c>
      <c r="AA152" s="15" t="str">
        <f aca="false">IF(AND(ISNUMBER(L152),ISNUMBER(M152)),M152-L152,"")</f>
        <v/>
      </c>
      <c r="AB152" s="15" t="str">
        <f aca="false">IF(AND(ISNUMBER(M152),ISNUMBER(P152)),P152-M152,"")</f>
        <v/>
      </c>
      <c r="AC152" s="15" t="str">
        <f aca="false">IF(AND(ISNUMBER(L152),ISNUMBER(P152)),P152-L152,"")</f>
        <v/>
      </c>
      <c r="AD152" s="15" t="str">
        <f aca="false">IF(AND(ISNUMBER(P152),ISNUMBER(Q152)),Q152-P152,"")</f>
        <v/>
      </c>
      <c r="AE152" s="15" t="n">
        <f aca="false">IF(AND(ISNUMBER(Q152),ISNUMBER(R152)),R152-Q152,IF(ISNUMBER(Y152),Y152,""))</f>
        <v>30</v>
      </c>
      <c r="AF152" s="15" t="str">
        <f aca="false">IF(AND(ISNUMBER(R152),ISNUMBER(S152)),S152-R152,"")</f>
        <v/>
      </c>
      <c r="AG152" s="15" t="str">
        <f aca="false">IF(AND(ISNUMBER(S152),ISNUMBER(T152)),T152-S152,"")</f>
        <v/>
      </c>
      <c r="AH152" s="15" t="str">
        <f aca="false">IF(AND(ISNUMBER(L152),ISNUMBER(T152)),T152-L152,"")</f>
        <v/>
      </c>
      <c r="AI152" s="15" t="n">
        <f aca="false">IF(AND(ISNUMBER(O152),ISNUMBER(Q152)),Q152-O152,"")</f>
        <v>1</v>
      </c>
      <c r="AJ152" s="15" t="str">
        <f aca="false">IF(B152="","",COUNT(L152:M152,P152:T152)&amp;"/7")</f>
        <v>2/7</v>
      </c>
      <c r="AK152" s="15" t="str">
        <f aca="false">IF(B152="","",IF(OR(AND(ISNUMBER(L152),ISNUMBER(M152),M152&lt;L152),AND(ISNUMBER(M152),ISNUMBER(P152),P152&lt;M152),AND(ISNUMBER(P152),ISNUMBER(Q152),Q152&lt;P152),AND(ISNUMBER(Q152),ISNUMBER(R152),R152&lt;Q152),AND(ISNUMBER(R152),ISNUMBER(S152),S152&lt;R152),AND(ISNUMBER(S152),ISNUMBER(T152),T152&lt;S152),AND(ISNUMBER(N152),ISNUMBER(O152),O152&lt;N152)),"Urutan tanggal salah",IF(AND(ISNUMBER(Q152),ISNUMBER(R152),ISNUMBER(Y152),ABS(R152-Q152-Y152)&gt;2),"S tanggal ≠ Sailing tercatat",IF(AND(ISNUMBER(Q152),ISNUMBER(O152),ABS(Q152-O152)&gt;60),"Cek tahun laycan",IF(AND(ISNUMBER(Q152),ISNUMBER(N152),Q152&lt;N152),"Berangkat sebelum laycan",IF(NOT(ISNUMBER(AE152)),"S belum ada","OK"))))))</f>
        <v>OK</v>
      </c>
    </row>
    <row r="153" customFormat="false" ht="15" hidden="false" customHeight="false" outlineLevel="0" collapsed="false">
      <c r="A153" s="16" t="n">
        <f aca="false">IF(B153="","",ROW()-4)</f>
        <v>149</v>
      </c>
      <c r="B153" s="12" t="s">
        <v>415</v>
      </c>
      <c r="C153" s="16" t="s">
        <v>494</v>
      </c>
      <c r="D153" s="16" t="n">
        <v>2024</v>
      </c>
      <c r="E153" s="16" t="s">
        <v>459</v>
      </c>
      <c r="F153" s="16" t="s">
        <v>460</v>
      </c>
      <c r="G153" s="16" t="s">
        <v>77</v>
      </c>
      <c r="H153" s="16" t="s">
        <v>461</v>
      </c>
      <c r="I153" s="16" t="s">
        <v>495</v>
      </c>
      <c r="J153" s="16"/>
      <c r="K153" s="16" t="n">
        <v>44024</v>
      </c>
      <c r="L153" s="13"/>
      <c r="M153" s="13"/>
      <c r="N153" s="13" t="n">
        <v>45356</v>
      </c>
      <c r="O153" s="13" t="n">
        <v>45366</v>
      </c>
      <c r="P153" s="13"/>
      <c r="Q153" s="13" t="n">
        <v>45367</v>
      </c>
      <c r="R153" s="13" t="n">
        <v>45389</v>
      </c>
      <c r="S153" s="13"/>
      <c r="T153" s="13"/>
      <c r="U153" s="12" t="s">
        <v>80</v>
      </c>
      <c r="V153" s="14"/>
      <c r="W153" s="16"/>
      <c r="X153" s="16" t="s">
        <v>496</v>
      </c>
      <c r="Y153" s="16" t="n">
        <v>22</v>
      </c>
      <c r="Z153" s="16" t="s">
        <v>81</v>
      </c>
      <c r="AA153" s="15" t="str">
        <f aca="false">IF(AND(ISNUMBER(L153),ISNUMBER(M153)),M153-L153,"")</f>
        <v/>
      </c>
      <c r="AB153" s="15" t="str">
        <f aca="false">IF(AND(ISNUMBER(M153),ISNUMBER(P153)),P153-M153,"")</f>
        <v/>
      </c>
      <c r="AC153" s="15" t="str">
        <f aca="false">IF(AND(ISNUMBER(L153),ISNUMBER(P153)),P153-L153,"")</f>
        <v/>
      </c>
      <c r="AD153" s="15" t="str">
        <f aca="false">IF(AND(ISNUMBER(P153),ISNUMBER(Q153)),Q153-P153,"")</f>
        <v/>
      </c>
      <c r="AE153" s="15" t="n">
        <f aca="false">IF(AND(ISNUMBER(Q153),ISNUMBER(R153)),R153-Q153,IF(ISNUMBER(Y153),Y153,""))</f>
        <v>22</v>
      </c>
      <c r="AF153" s="15" t="str">
        <f aca="false">IF(AND(ISNUMBER(R153),ISNUMBER(S153)),S153-R153,"")</f>
        <v/>
      </c>
      <c r="AG153" s="15" t="str">
        <f aca="false">IF(AND(ISNUMBER(S153),ISNUMBER(T153)),T153-S153,"")</f>
        <v/>
      </c>
      <c r="AH153" s="15" t="str">
        <f aca="false">IF(AND(ISNUMBER(L153),ISNUMBER(T153)),T153-L153,"")</f>
        <v/>
      </c>
      <c r="AI153" s="15" t="n">
        <f aca="false">IF(AND(ISNUMBER(O153),ISNUMBER(Q153)),Q153-O153,"")</f>
        <v>1</v>
      </c>
      <c r="AJ153" s="15" t="str">
        <f aca="false">IF(B153="","",COUNT(L153:M153,P153:T153)&amp;"/7")</f>
        <v>2/7</v>
      </c>
      <c r="AK153" s="15" t="str">
        <f aca="false">IF(B153="","",IF(OR(AND(ISNUMBER(L153),ISNUMBER(M153),M153&lt;L153),AND(ISNUMBER(M153),ISNUMBER(P153),P153&lt;M153),AND(ISNUMBER(P153),ISNUMBER(Q153),Q153&lt;P153),AND(ISNUMBER(Q153),ISNUMBER(R153),R153&lt;Q153),AND(ISNUMBER(R153),ISNUMBER(S153),S153&lt;R153),AND(ISNUMBER(S153),ISNUMBER(T153),T153&lt;S153),AND(ISNUMBER(N153),ISNUMBER(O153),O153&lt;N153)),"Urutan tanggal salah",IF(AND(ISNUMBER(Q153),ISNUMBER(R153),ISNUMBER(Y153),ABS(R153-Q153-Y153)&gt;2),"S tanggal ≠ Sailing tercatat",IF(AND(ISNUMBER(Q153),ISNUMBER(O153),ABS(Q153-O153)&gt;60),"Cek tahun laycan",IF(AND(ISNUMBER(Q153),ISNUMBER(N153),Q153&lt;N153),"Berangkat sebelum laycan",IF(NOT(ISNUMBER(AE153)),"S belum ada","OK"))))))</f>
        <v>OK</v>
      </c>
    </row>
    <row r="154" customFormat="false" ht="15" hidden="false" customHeight="false" outlineLevel="0" collapsed="false">
      <c r="A154" s="16" t="n">
        <f aca="false">IF(B154="","",ROW()-4)</f>
        <v>150</v>
      </c>
      <c r="B154" s="12" t="s">
        <v>415</v>
      </c>
      <c r="C154" s="16" t="s">
        <v>497</v>
      </c>
      <c r="D154" s="16" t="n">
        <v>2024</v>
      </c>
      <c r="E154" s="16" t="s">
        <v>459</v>
      </c>
      <c r="F154" s="16" t="s">
        <v>460</v>
      </c>
      <c r="G154" s="16" t="s">
        <v>77</v>
      </c>
      <c r="H154" s="16" t="s">
        <v>461</v>
      </c>
      <c r="I154" s="16" t="s">
        <v>498</v>
      </c>
      <c r="J154" s="16"/>
      <c r="K154" s="16" t="n">
        <v>42500</v>
      </c>
      <c r="L154" s="13"/>
      <c r="M154" s="13"/>
      <c r="N154" s="13" t="n">
        <v>45390</v>
      </c>
      <c r="O154" s="13" t="n">
        <v>45394</v>
      </c>
      <c r="P154" s="13"/>
      <c r="Q154" s="13" t="n">
        <v>45395</v>
      </c>
      <c r="R154" s="13" t="n">
        <v>45449</v>
      </c>
      <c r="S154" s="13"/>
      <c r="T154" s="13"/>
      <c r="U154" s="12" t="s">
        <v>80</v>
      </c>
      <c r="V154" s="14"/>
      <c r="W154" s="16" t="s">
        <v>499</v>
      </c>
      <c r="X154" s="16" t="s">
        <v>500</v>
      </c>
      <c r="Y154" s="16" t="n">
        <v>54</v>
      </c>
      <c r="Z154" s="16" t="s">
        <v>81</v>
      </c>
      <c r="AA154" s="15" t="str">
        <f aca="false">IF(AND(ISNUMBER(L154),ISNUMBER(M154)),M154-L154,"")</f>
        <v/>
      </c>
      <c r="AB154" s="15" t="str">
        <f aca="false">IF(AND(ISNUMBER(M154),ISNUMBER(P154)),P154-M154,"")</f>
        <v/>
      </c>
      <c r="AC154" s="15" t="str">
        <f aca="false">IF(AND(ISNUMBER(L154),ISNUMBER(P154)),P154-L154,"")</f>
        <v/>
      </c>
      <c r="AD154" s="15" t="str">
        <f aca="false">IF(AND(ISNUMBER(P154),ISNUMBER(Q154)),Q154-P154,"")</f>
        <v/>
      </c>
      <c r="AE154" s="15" t="n">
        <f aca="false">IF(AND(ISNUMBER(Q154),ISNUMBER(R154)),R154-Q154,IF(ISNUMBER(Y154),Y154,""))</f>
        <v>54</v>
      </c>
      <c r="AF154" s="15" t="str">
        <f aca="false">IF(AND(ISNUMBER(R154),ISNUMBER(S154)),S154-R154,"")</f>
        <v/>
      </c>
      <c r="AG154" s="15" t="str">
        <f aca="false">IF(AND(ISNUMBER(S154),ISNUMBER(T154)),T154-S154,"")</f>
        <v/>
      </c>
      <c r="AH154" s="15" t="str">
        <f aca="false">IF(AND(ISNUMBER(L154),ISNUMBER(T154)),T154-L154,"")</f>
        <v/>
      </c>
      <c r="AI154" s="15" t="n">
        <f aca="false">IF(AND(ISNUMBER(O154),ISNUMBER(Q154)),Q154-O154,"")</f>
        <v>1</v>
      </c>
      <c r="AJ154" s="15" t="str">
        <f aca="false">IF(B154="","",COUNT(L154:M154,P154:T154)&amp;"/7")</f>
        <v>2/7</v>
      </c>
      <c r="AK154" s="15" t="str">
        <f aca="false">IF(B154="","",IF(OR(AND(ISNUMBER(L154),ISNUMBER(M154),M154&lt;L154),AND(ISNUMBER(M154),ISNUMBER(P154),P154&lt;M154),AND(ISNUMBER(P154),ISNUMBER(Q154),Q154&lt;P154),AND(ISNUMBER(Q154),ISNUMBER(R154),R154&lt;Q154),AND(ISNUMBER(R154),ISNUMBER(S154),S154&lt;R154),AND(ISNUMBER(S154),ISNUMBER(T154),T154&lt;S154),AND(ISNUMBER(N154),ISNUMBER(O154),O154&lt;N154)),"Urutan tanggal salah",IF(AND(ISNUMBER(Q154),ISNUMBER(R154),ISNUMBER(Y154),ABS(R154-Q154-Y154)&gt;2),"S tanggal ≠ Sailing tercatat",IF(AND(ISNUMBER(Q154),ISNUMBER(O154),ABS(Q154-O154)&gt;60),"Cek tahun laycan",IF(AND(ISNUMBER(Q154),ISNUMBER(N154),Q154&lt;N154),"Berangkat sebelum laycan",IF(NOT(ISNUMBER(AE154)),"S belum ada","OK"))))))</f>
        <v>OK</v>
      </c>
    </row>
    <row r="155" customFormat="false" ht="15" hidden="false" customHeight="false" outlineLevel="0" collapsed="false">
      <c r="A155" s="16" t="n">
        <f aca="false">IF(B155="","",ROW()-4)</f>
        <v>151</v>
      </c>
      <c r="B155" s="12" t="s">
        <v>415</v>
      </c>
      <c r="C155" s="16" t="s">
        <v>494</v>
      </c>
      <c r="D155" s="16" t="n">
        <v>2024</v>
      </c>
      <c r="E155" s="16" t="s">
        <v>459</v>
      </c>
      <c r="F155" s="16" t="s">
        <v>460</v>
      </c>
      <c r="G155" s="16" t="s">
        <v>77</v>
      </c>
      <c r="H155" s="16" t="s">
        <v>501</v>
      </c>
      <c r="I155" s="16" t="s">
        <v>502</v>
      </c>
      <c r="J155" s="16"/>
      <c r="K155" s="16" t="n">
        <v>38100</v>
      </c>
      <c r="L155" s="13"/>
      <c r="M155" s="13"/>
      <c r="N155" s="13" t="n">
        <v>45434</v>
      </c>
      <c r="O155" s="13" t="n">
        <v>45443</v>
      </c>
      <c r="P155" s="13"/>
      <c r="Q155" s="13" t="n">
        <v>45444</v>
      </c>
      <c r="R155" s="13" t="n">
        <v>45488</v>
      </c>
      <c r="S155" s="13"/>
      <c r="T155" s="13"/>
      <c r="U155" s="12" t="s">
        <v>80</v>
      </c>
      <c r="V155" s="14"/>
      <c r="W155" s="16"/>
      <c r="X155" s="16" t="s">
        <v>503</v>
      </c>
      <c r="Y155" s="16" t="n">
        <v>44</v>
      </c>
      <c r="Z155" s="16" t="s">
        <v>81</v>
      </c>
      <c r="AA155" s="15" t="str">
        <f aca="false">IF(AND(ISNUMBER(L155),ISNUMBER(M155)),M155-L155,"")</f>
        <v/>
      </c>
      <c r="AB155" s="15" t="str">
        <f aca="false">IF(AND(ISNUMBER(M155),ISNUMBER(P155)),P155-M155,"")</f>
        <v/>
      </c>
      <c r="AC155" s="15" t="str">
        <f aca="false">IF(AND(ISNUMBER(L155),ISNUMBER(P155)),P155-L155,"")</f>
        <v/>
      </c>
      <c r="AD155" s="15" t="str">
        <f aca="false">IF(AND(ISNUMBER(P155),ISNUMBER(Q155)),Q155-P155,"")</f>
        <v/>
      </c>
      <c r="AE155" s="15" t="n">
        <f aca="false">IF(AND(ISNUMBER(Q155),ISNUMBER(R155)),R155-Q155,IF(ISNUMBER(Y155),Y155,""))</f>
        <v>44</v>
      </c>
      <c r="AF155" s="15" t="str">
        <f aca="false">IF(AND(ISNUMBER(R155),ISNUMBER(S155)),S155-R155,"")</f>
        <v/>
      </c>
      <c r="AG155" s="15" t="str">
        <f aca="false">IF(AND(ISNUMBER(S155),ISNUMBER(T155)),T155-S155,"")</f>
        <v/>
      </c>
      <c r="AH155" s="15" t="str">
        <f aca="false">IF(AND(ISNUMBER(L155),ISNUMBER(T155)),T155-L155,"")</f>
        <v/>
      </c>
      <c r="AI155" s="15" t="n">
        <f aca="false">IF(AND(ISNUMBER(O155),ISNUMBER(Q155)),Q155-O155,"")</f>
        <v>1</v>
      </c>
      <c r="AJ155" s="15" t="str">
        <f aca="false">IF(B155="","",COUNT(L155:M155,P155:T155)&amp;"/7")</f>
        <v>2/7</v>
      </c>
      <c r="AK155" s="15" t="str">
        <f aca="false">IF(B155="","",IF(OR(AND(ISNUMBER(L155),ISNUMBER(M155),M155&lt;L155),AND(ISNUMBER(M155),ISNUMBER(P155),P155&lt;M155),AND(ISNUMBER(P155),ISNUMBER(Q155),Q155&lt;P155),AND(ISNUMBER(Q155),ISNUMBER(R155),R155&lt;Q155),AND(ISNUMBER(R155),ISNUMBER(S155),S155&lt;R155),AND(ISNUMBER(S155),ISNUMBER(T155),T155&lt;S155),AND(ISNUMBER(N155),ISNUMBER(O155),O155&lt;N155)),"Urutan tanggal salah",IF(AND(ISNUMBER(Q155),ISNUMBER(R155),ISNUMBER(Y155),ABS(R155-Q155-Y155)&gt;2),"S tanggal ≠ Sailing tercatat",IF(AND(ISNUMBER(Q155),ISNUMBER(O155),ABS(Q155-O155)&gt;60),"Cek tahun laycan",IF(AND(ISNUMBER(Q155),ISNUMBER(N155),Q155&lt;N155),"Berangkat sebelum laycan",IF(NOT(ISNUMBER(AE155)),"S belum ada","OK"))))))</f>
        <v>OK</v>
      </c>
    </row>
    <row r="156" customFormat="false" ht="15" hidden="false" customHeight="false" outlineLevel="0" collapsed="false">
      <c r="A156" s="16" t="n">
        <f aca="false">IF(B156="","",ROW()-4)</f>
        <v>152</v>
      </c>
      <c r="B156" s="12" t="s">
        <v>415</v>
      </c>
      <c r="C156" s="16" t="s">
        <v>497</v>
      </c>
      <c r="D156" s="16" t="n">
        <v>2024</v>
      </c>
      <c r="E156" s="16" t="s">
        <v>459</v>
      </c>
      <c r="F156" s="16" t="s">
        <v>460</v>
      </c>
      <c r="G156" s="16" t="s">
        <v>77</v>
      </c>
      <c r="H156" s="16" t="s">
        <v>501</v>
      </c>
      <c r="I156" s="16" t="s">
        <v>504</v>
      </c>
      <c r="J156" s="16"/>
      <c r="K156" s="16" t="n">
        <v>44000</v>
      </c>
      <c r="L156" s="13"/>
      <c r="M156" s="13"/>
      <c r="N156" s="13" t="n">
        <v>45458</v>
      </c>
      <c r="O156" s="13" t="n">
        <v>45463</v>
      </c>
      <c r="P156" s="13"/>
      <c r="Q156" s="13" t="n">
        <v>45464</v>
      </c>
      <c r="R156" s="13" t="n">
        <v>45495</v>
      </c>
      <c r="S156" s="13"/>
      <c r="T156" s="13"/>
      <c r="U156" s="12" t="s">
        <v>80</v>
      </c>
      <c r="V156" s="14"/>
      <c r="W156" s="16"/>
      <c r="X156" s="16" t="s">
        <v>505</v>
      </c>
      <c r="Y156" s="16" t="n">
        <v>31</v>
      </c>
      <c r="Z156" s="16" t="s">
        <v>81</v>
      </c>
      <c r="AA156" s="15" t="str">
        <f aca="false">IF(AND(ISNUMBER(L156),ISNUMBER(M156)),M156-L156,"")</f>
        <v/>
      </c>
      <c r="AB156" s="15" t="str">
        <f aca="false">IF(AND(ISNUMBER(M156),ISNUMBER(P156)),P156-M156,"")</f>
        <v/>
      </c>
      <c r="AC156" s="15" t="str">
        <f aca="false">IF(AND(ISNUMBER(L156),ISNUMBER(P156)),P156-L156,"")</f>
        <v/>
      </c>
      <c r="AD156" s="15" t="str">
        <f aca="false">IF(AND(ISNUMBER(P156),ISNUMBER(Q156)),Q156-P156,"")</f>
        <v/>
      </c>
      <c r="AE156" s="15" t="n">
        <f aca="false">IF(AND(ISNUMBER(Q156),ISNUMBER(R156)),R156-Q156,IF(ISNUMBER(Y156),Y156,""))</f>
        <v>31</v>
      </c>
      <c r="AF156" s="15" t="str">
        <f aca="false">IF(AND(ISNUMBER(R156),ISNUMBER(S156)),S156-R156,"")</f>
        <v/>
      </c>
      <c r="AG156" s="15" t="str">
        <f aca="false">IF(AND(ISNUMBER(S156),ISNUMBER(T156)),T156-S156,"")</f>
        <v/>
      </c>
      <c r="AH156" s="15" t="str">
        <f aca="false">IF(AND(ISNUMBER(L156),ISNUMBER(T156)),T156-L156,"")</f>
        <v/>
      </c>
      <c r="AI156" s="15" t="n">
        <f aca="false">IF(AND(ISNUMBER(O156),ISNUMBER(Q156)),Q156-O156,"")</f>
        <v>1</v>
      </c>
      <c r="AJ156" s="15" t="str">
        <f aca="false">IF(B156="","",COUNT(L156:M156,P156:T156)&amp;"/7")</f>
        <v>2/7</v>
      </c>
      <c r="AK156" s="15" t="str">
        <f aca="false">IF(B156="","",IF(OR(AND(ISNUMBER(L156),ISNUMBER(M156),M156&lt;L156),AND(ISNUMBER(M156),ISNUMBER(P156),P156&lt;M156),AND(ISNUMBER(P156),ISNUMBER(Q156),Q156&lt;P156),AND(ISNUMBER(Q156),ISNUMBER(R156),R156&lt;Q156),AND(ISNUMBER(R156),ISNUMBER(S156),S156&lt;R156),AND(ISNUMBER(S156),ISNUMBER(T156),T156&lt;S156),AND(ISNUMBER(N156),ISNUMBER(O156),O156&lt;N156)),"Urutan tanggal salah",IF(AND(ISNUMBER(Q156),ISNUMBER(R156),ISNUMBER(Y156),ABS(R156-Q156-Y156)&gt;2),"S tanggal ≠ Sailing tercatat",IF(AND(ISNUMBER(Q156),ISNUMBER(O156),ABS(Q156-O156)&gt;60),"Cek tahun laycan",IF(AND(ISNUMBER(Q156),ISNUMBER(N156),Q156&lt;N156),"Berangkat sebelum laycan",IF(NOT(ISNUMBER(AE156)),"S belum ada","OK"))))))</f>
        <v>OK</v>
      </c>
    </row>
    <row r="157" customFormat="false" ht="15" hidden="false" customHeight="false" outlineLevel="0" collapsed="false">
      <c r="A157" s="16" t="n">
        <f aca="false">IF(B157="","",ROW()-4)</f>
        <v>153</v>
      </c>
      <c r="B157" s="12" t="s">
        <v>415</v>
      </c>
      <c r="C157" s="16" t="s">
        <v>494</v>
      </c>
      <c r="D157" s="16" t="n">
        <v>2024</v>
      </c>
      <c r="E157" s="16" t="s">
        <v>94</v>
      </c>
      <c r="F157" s="16" t="s">
        <v>95</v>
      </c>
      <c r="G157" s="16" t="s">
        <v>77</v>
      </c>
      <c r="H157" s="16" t="s">
        <v>417</v>
      </c>
      <c r="I157" s="16" t="s">
        <v>506</v>
      </c>
      <c r="J157" s="16"/>
      <c r="K157" s="16" t="n">
        <v>40000</v>
      </c>
      <c r="L157" s="13"/>
      <c r="M157" s="13"/>
      <c r="N157" s="13" t="n">
        <v>45413</v>
      </c>
      <c r="O157" s="13" t="n">
        <v>45415</v>
      </c>
      <c r="P157" s="13"/>
      <c r="Q157" s="13" t="n">
        <v>45416</v>
      </c>
      <c r="R157" s="13" t="n">
        <v>45435</v>
      </c>
      <c r="S157" s="13"/>
      <c r="T157" s="13"/>
      <c r="U157" s="12" t="s">
        <v>80</v>
      </c>
      <c r="V157" s="14"/>
      <c r="W157" s="16"/>
      <c r="X157" s="16" t="s">
        <v>507</v>
      </c>
      <c r="Y157" s="16" t="n">
        <v>19</v>
      </c>
      <c r="Z157" s="16" t="s">
        <v>81</v>
      </c>
      <c r="AA157" s="15" t="str">
        <f aca="false">IF(AND(ISNUMBER(L157),ISNUMBER(M157)),M157-L157,"")</f>
        <v/>
      </c>
      <c r="AB157" s="15" t="str">
        <f aca="false">IF(AND(ISNUMBER(M157),ISNUMBER(P157)),P157-M157,"")</f>
        <v/>
      </c>
      <c r="AC157" s="15" t="str">
        <f aca="false">IF(AND(ISNUMBER(L157),ISNUMBER(P157)),P157-L157,"")</f>
        <v/>
      </c>
      <c r="AD157" s="15" t="str">
        <f aca="false">IF(AND(ISNUMBER(P157),ISNUMBER(Q157)),Q157-P157,"")</f>
        <v/>
      </c>
      <c r="AE157" s="15" t="n">
        <f aca="false">IF(AND(ISNUMBER(Q157),ISNUMBER(R157)),R157-Q157,IF(ISNUMBER(Y157),Y157,""))</f>
        <v>19</v>
      </c>
      <c r="AF157" s="15" t="str">
        <f aca="false">IF(AND(ISNUMBER(R157),ISNUMBER(S157)),S157-R157,"")</f>
        <v/>
      </c>
      <c r="AG157" s="15" t="str">
        <f aca="false">IF(AND(ISNUMBER(S157),ISNUMBER(T157)),T157-S157,"")</f>
        <v/>
      </c>
      <c r="AH157" s="15" t="str">
        <f aca="false">IF(AND(ISNUMBER(L157),ISNUMBER(T157)),T157-L157,"")</f>
        <v/>
      </c>
      <c r="AI157" s="15" t="n">
        <f aca="false">IF(AND(ISNUMBER(O157),ISNUMBER(Q157)),Q157-O157,"")</f>
        <v>1</v>
      </c>
      <c r="AJ157" s="15" t="str">
        <f aca="false">IF(B157="","",COUNT(L157:M157,P157:T157)&amp;"/7")</f>
        <v>2/7</v>
      </c>
      <c r="AK157" s="15" t="str">
        <f aca="false">IF(B157="","",IF(OR(AND(ISNUMBER(L157),ISNUMBER(M157),M157&lt;L157),AND(ISNUMBER(M157),ISNUMBER(P157),P157&lt;M157),AND(ISNUMBER(P157),ISNUMBER(Q157),Q157&lt;P157),AND(ISNUMBER(Q157),ISNUMBER(R157),R157&lt;Q157),AND(ISNUMBER(R157),ISNUMBER(S157),S157&lt;R157),AND(ISNUMBER(S157),ISNUMBER(T157),T157&lt;S157),AND(ISNUMBER(N157),ISNUMBER(O157),O157&lt;N157)),"Urutan tanggal salah",IF(AND(ISNUMBER(Q157),ISNUMBER(R157),ISNUMBER(Y157),ABS(R157-Q157-Y157)&gt;2),"S tanggal ≠ Sailing tercatat",IF(AND(ISNUMBER(Q157),ISNUMBER(O157),ABS(Q157-O157)&gt;60),"Cek tahun laycan",IF(AND(ISNUMBER(Q157),ISNUMBER(N157),Q157&lt;N157),"Berangkat sebelum laycan",IF(NOT(ISNUMBER(AE157)),"S belum ada","OK"))))))</f>
        <v>OK</v>
      </c>
    </row>
    <row r="158" customFormat="false" ht="15" hidden="false" customHeight="false" outlineLevel="0" collapsed="false">
      <c r="A158" s="16" t="n">
        <f aca="false">IF(B158="","",ROW()-4)</f>
        <v>154</v>
      </c>
      <c r="B158" s="12" t="s">
        <v>415</v>
      </c>
      <c r="C158" s="16" t="s">
        <v>497</v>
      </c>
      <c r="D158" s="16" t="n">
        <v>2024</v>
      </c>
      <c r="E158" s="16" t="s">
        <v>94</v>
      </c>
      <c r="F158" s="16" t="s">
        <v>95</v>
      </c>
      <c r="G158" s="16" t="s">
        <v>77</v>
      </c>
      <c r="H158" s="16" t="s">
        <v>417</v>
      </c>
      <c r="I158" s="16" t="s">
        <v>479</v>
      </c>
      <c r="J158" s="16"/>
      <c r="K158" s="16" t="n">
        <v>37010</v>
      </c>
      <c r="L158" s="13"/>
      <c r="M158" s="13"/>
      <c r="N158" s="13" t="n">
        <v>45449</v>
      </c>
      <c r="O158" s="13" t="n">
        <v>45450</v>
      </c>
      <c r="P158" s="13"/>
      <c r="Q158" s="13" t="n">
        <v>45451</v>
      </c>
      <c r="R158" s="13" t="n">
        <v>45474</v>
      </c>
      <c r="S158" s="13"/>
      <c r="T158" s="13"/>
      <c r="U158" s="12" t="s">
        <v>80</v>
      </c>
      <c r="V158" s="14"/>
      <c r="W158" s="16"/>
      <c r="X158" s="16" t="s">
        <v>508</v>
      </c>
      <c r="Y158" s="16" t="n">
        <v>23</v>
      </c>
      <c r="Z158" s="16" t="s">
        <v>81</v>
      </c>
      <c r="AA158" s="15" t="str">
        <f aca="false">IF(AND(ISNUMBER(L158),ISNUMBER(M158)),M158-L158,"")</f>
        <v/>
      </c>
      <c r="AB158" s="15" t="str">
        <f aca="false">IF(AND(ISNUMBER(M158),ISNUMBER(P158)),P158-M158,"")</f>
        <v/>
      </c>
      <c r="AC158" s="15" t="str">
        <f aca="false">IF(AND(ISNUMBER(L158),ISNUMBER(P158)),P158-L158,"")</f>
        <v/>
      </c>
      <c r="AD158" s="15" t="str">
        <f aca="false">IF(AND(ISNUMBER(P158),ISNUMBER(Q158)),Q158-P158,"")</f>
        <v/>
      </c>
      <c r="AE158" s="15" t="n">
        <f aca="false">IF(AND(ISNUMBER(Q158),ISNUMBER(R158)),R158-Q158,IF(ISNUMBER(Y158),Y158,""))</f>
        <v>23</v>
      </c>
      <c r="AF158" s="15" t="str">
        <f aca="false">IF(AND(ISNUMBER(R158),ISNUMBER(S158)),S158-R158,"")</f>
        <v/>
      </c>
      <c r="AG158" s="15" t="str">
        <f aca="false">IF(AND(ISNUMBER(S158),ISNUMBER(T158)),T158-S158,"")</f>
        <v/>
      </c>
      <c r="AH158" s="15" t="str">
        <f aca="false">IF(AND(ISNUMBER(L158),ISNUMBER(T158)),T158-L158,"")</f>
        <v/>
      </c>
      <c r="AI158" s="15" t="n">
        <f aca="false">IF(AND(ISNUMBER(O158),ISNUMBER(Q158)),Q158-O158,"")</f>
        <v>1</v>
      </c>
      <c r="AJ158" s="15" t="str">
        <f aca="false">IF(B158="","",COUNT(L158:M158,P158:T158)&amp;"/7")</f>
        <v>2/7</v>
      </c>
      <c r="AK158" s="15" t="str">
        <f aca="false">IF(B158="","",IF(OR(AND(ISNUMBER(L158),ISNUMBER(M158),M158&lt;L158),AND(ISNUMBER(M158),ISNUMBER(P158),P158&lt;M158),AND(ISNUMBER(P158),ISNUMBER(Q158),Q158&lt;P158),AND(ISNUMBER(Q158),ISNUMBER(R158),R158&lt;Q158),AND(ISNUMBER(R158),ISNUMBER(S158),S158&lt;R158),AND(ISNUMBER(S158),ISNUMBER(T158),T158&lt;S158),AND(ISNUMBER(N158),ISNUMBER(O158),O158&lt;N158)),"Urutan tanggal salah",IF(AND(ISNUMBER(Q158),ISNUMBER(R158),ISNUMBER(Y158),ABS(R158-Q158-Y158)&gt;2),"S tanggal ≠ Sailing tercatat",IF(AND(ISNUMBER(Q158),ISNUMBER(O158),ABS(Q158-O158)&gt;60),"Cek tahun laycan",IF(AND(ISNUMBER(Q158),ISNUMBER(N158),Q158&lt;N158),"Berangkat sebelum laycan",IF(NOT(ISNUMBER(AE158)),"S belum ada","OK"))))))</f>
        <v>OK</v>
      </c>
    </row>
    <row r="159" customFormat="false" ht="15" hidden="false" customHeight="false" outlineLevel="0" collapsed="false">
      <c r="A159" s="16" t="n">
        <f aca="false">IF(B159="","",ROW()-4)</f>
        <v>155</v>
      </c>
      <c r="B159" s="12" t="s">
        <v>415</v>
      </c>
      <c r="C159" s="16" t="s">
        <v>509</v>
      </c>
      <c r="D159" s="16" t="n">
        <v>2024</v>
      </c>
      <c r="E159" s="16" t="s">
        <v>94</v>
      </c>
      <c r="F159" s="16" t="s">
        <v>95</v>
      </c>
      <c r="G159" s="16" t="s">
        <v>77</v>
      </c>
      <c r="H159" s="16" t="s">
        <v>417</v>
      </c>
      <c r="I159" s="16" t="s">
        <v>510</v>
      </c>
      <c r="J159" s="16"/>
      <c r="K159" s="16" t="n">
        <v>35400</v>
      </c>
      <c r="L159" s="13"/>
      <c r="M159" s="13"/>
      <c r="N159" s="13" t="n">
        <v>45556</v>
      </c>
      <c r="O159" s="13" t="n">
        <v>45562</v>
      </c>
      <c r="P159" s="13"/>
      <c r="Q159" s="13" t="n">
        <v>45563</v>
      </c>
      <c r="R159" s="13" t="n">
        <v>45586</v>
      </c>
      <c r="S159" s="13"/>
      <c r="T159" s="13"/>
      <c r="U159" s="12" t="s">
        <v>220</v>
      </c>
      <c r="V159" s="14"/>
      <c r="W159" s="16" t="s">
        <v>511</v>
      </c>
      <c r="X159" s="16" t="s">
        <v>512</v>
      </c>
      <c r="Y159" s="16" t="n">
        <v>23</v>
      </c>
      <c r="Z159" s="16" t="s">
        <v>81</v>
      </c>
      <c r="AA159" s="15" t="str">
        <f aca="false">IF(AND(ISNUMBER(L159),ISNUMBER(M159)),M159-L159,"")</f>
        <v/>
      </c>
      <c r="AB159" s="15" t="str">
        <f aca="false">IF(AND(ISNUMBER(M159),ISNUMBER(P159)),P159-M159,"")</f>
        <v/>
      </c>
      <c r="AC159" s="15" t="str">
        <f aca="false">IF(AND(ISNUMBER(L159),ISNUMBER(P159)),P159-L159,"")</f>
        <v/>
      </c>
      <c r="AD159" s="15" t="str">
        <f aca="false">IF(AND(ISNUMBER(P159),ISNUMBER(Q159)),Q159-P159,"")</f>
        <v/>
      </c>
      <c r="AE159" s="15" t="n">
        <f aca="false">IF(AND(ISNUMBER(Q159),ISNUMBER(R159)),R159-Q159,IF(ISNUMBER(Y159),Y159,""))</f>
        <v>23</v>
      </c>
      <c r="AF159" s="15" t="str">
        <f aca="false">IF(AND(ISNUMBER(R159),ISNUMBER(S159)),S159-R159,"")</f>
        <v/>
      </c>
      <c r="AG159" s="15" t="str">
        <f aca="false">IF(AND(ISNUMBER(S159),ISNUMBER(T159)),T159-S159,"")</f>
        <v/>
      </c>
      <c r="AH159" s="15" t="str">
        <f aca="false">IF(AND(ISNUMBER(L159),ISNUMBER(T159)),T159-L159,"")</f>
        <v/>
      </c>
      <c r="AI159" s="15" t="n">
        <f aca="false">IF(AND(ISNUMBER(O159),ISNUMBER(Q159)),Q159-O159,"")</f>
        <v>1</v>
      </c>
      <c r="AJ159" s="15" t="str">
        <f aca="false">IF(B159="","",COUNT(L159:M159,P159:T159)&amp;"/7")</f>
        <v>2/7</v>
      </c>
      <c r="AK159" s="15" t="str">
        <f aca="false">IF(B159="","",IF(OR(AND(ISNUMBER(L159),ISNUMBER(M159),M159&lt;L159),AND(ISNUMBER(M159),ISNUMBER(P159),P159&lt;M159),AND(ISNUMBER(P159),ISNUMBER(Q159),Q159&lt;P159),AND(ISNUMBER(Q159),ISNUMBER(R159),R159&lt;Q159),AND(ISNUMBER(R159),ISNUMBER(S159),S159&lt;R159),AND(ISNUMBER(S159),ISNUMBER(T159),T159&lt;S159),AND(ISNUMBER(N159),ISNUMBER(O159),O159&lt;N159)),"Urutan tanggal salah",IF(AND(ISNUMBER(Q159),ISNUMBER(R159),ISNUMBER(Y159),ABS(R159-Q159-Y159)&gt;2),"S tanggal ≠ Sailing tercatat",IF(AND(ISNUMBER(Q159),ISNUMBER(O159),ABS(Q159-O159)&gt;60),"Cek tahun laycan",IF(AND(ISNUMBER(Q159),ISNUMBER(N159),Q159&lt;N159),"Berangkat sebelum laycan",IF(NOT(ISNUMBER(AE159)),"S belum ada","OK"))))))</f>
        <v>OK</v>
      </c>
    </row>
    <row r="160" customFormat="false" ht="15" hidden="false" customHeight="false" outlineLevel="0" collapsed="false">
      <c r="A160" s="16" t="n">
        <f aca="false">IF(B160="","",ROW()-4)</f>
        <v>156</v>
      </c>
      <c r="B160" s="12" t="s">
        <v>415</v>
      </c>
      <c r="C160" s="16" t="s">
        <v>434</v>
      </c>
      <c r="D160" s="16" t="n">
        <v>2024</v>
      </c>
      <c r="E160" s="16" t="s">
        <v>94</v>
      </c>
      <c r="F160" s="16" t="s">
        <v>95</v>
      </c>
      <c r="G160" s="16" t="s">
        <v>77</v>
      </c>
      <c r="H160" s="16" t="s">
        <v>513</v>
      </c>
      <c r="I160" s="16" t="s">
        <v>514</v>
      </c>
      <c r="J160" s="16"/>
      <c r="K160" s="16" t="n">
        <v>40000</v>
      </c>
      <c r="L160" s="13"/>
      <c r="M160" s="13"/>
      <c r="N160" s="13" t="n">
        <v>45575</v>
      </c>
      <c r="O160" s="13" t="n">
        <v>45580</v>
      </c>
      <c r="P160" s="13"/>
      <c r="Q160" s="13" t="n">
        <v>45581</v>
      </c>
      <c r="R160" s="13" t="n">
        <v>45606</v>
      </c>
      <c r="S160" s="13"/>
      <c r="T160" s="13"/>
      <c r="U160" s="12" t="s">
        <v>224</v>
      </c>
      <c r="V160" s="14"/>
      <c r="W160" s="16"/>
      <c r="X160" s="16" t="s">
        <v>515</v>
      </c>
      <c r="Y160" s="16" t="n">
        <v>25</v>
      </c>
      <c r="Z160" s="16" t="s">
        <v>81</v>
      </c>
      <c r="AA160" s="15" t="str">
        <f aca="false">IF(AND(ISNUMBER(L160),ISNUMBER(M160)),M160-L160,"")</f>
        <v/>
      </c>
      <c r="AB160" s="15" t="str">
        <f aca="false">IF(AND(ISNUMBER(M160),ISNUMBER(P160)),P160-M160,"")</f>
        <v/>
      </c>
      <c r="AC160" s="15" t="str">
        <f aca="false">IF(AND(ISNUMBER(L160),ISNUMBER(P160)),P160-L160,"")</f>
        <v/>
      </c>
      <c r="AD160" s="15" t="str">
        <f aca="false">IF(AND(ISNUMBER(P160),ISNUMBER(Q160)),Q160-P160,"")</f>
        <v/>
      </c>
      <c r="AE160" s="15" t="n">
        <f aca="false">IF(AND(ISNUMBER(Q160),ISNUMBER(R160)),R160-Q160,IF(ISNUMBER(Y160),Y160,""))</f>
        <v>25</v>
      </c>
      <c r="AF160" s="15" t="str">
        <f aca="false">IF(AND(ISNUMBER(R160),ISNUMBER(S160)),S160-R160,"")</f>
        <v/>
      </c>
      <c r="AG160" s="15" t="str">
        <f aca="false">IF(AND(ISNUMBER(S160),ISNUMBER(T160)),T160-S160,"")</f>
        <v/>
      </c>
      <c r="AH160" s="15" t="str">
        <f aca="false">IF(AND(ISNUMBER(L160),ISNUMBER(T160)),T160-L160,"")</f>
        <v/>
      </c>
      <c r="AI160" s="15" t="n">
        <f aca="false">IF(AND(ISNUMBER(O160),ISNUMBER(Q160)),Q160-O160,"")</f>
        <v>1</v>
      </c>
      <c r="AJ160" s="15" t="str">
        <f aca="false">IF(B160="","",COUNT(L160:M160,P160:T160)&amp;"/7")</f>
        <v>2/7</v>
      </c>
      <c r="AK160" s="15" t="str">
        <f aca="false">IF(B160="","",IF(OR(AND(ISNUMBER(L160),ISNUMBER(M160),M160&lt;L160),AND(ISNUMBER(M160),ISNUMBER(P160),P160&lt;M160),AND(ISNUMBER(P160),ISNUMBER(Q160),Q160&lt;P160),AND(ISNUMBER(Q160),ISNUMBER(R160),R160&lt;Q160),AND(ISNUMBER(R160),ISNUMBER(S160),S160&lt;R160),AND(ISNUMBER(S160),ISNUMBER(T160),T160&lt;S160),AND(ISNUMBER(N160),ISNUMBER(O160),O160&lt;N160)),"Urutan tanggal salah",IF(AND(ISNUMBER(Q160),ISNUMBER(R160),ISNUMBER(Y160),ABS(R160-Q160-Y160)&gt;2),"S tanggal ≠ Sailing tercatat",IF(AND(ISNUMBER(Q160),ISNUMBER(O160),ABS(Q160-O160)&gt;60),"Cek tahun laycan",IF(AND(ISNUMBER(Q160),ISNUMBER(N160),Q160&lt;N160),"Berangkat sebelum laycan",IF(NOT(ISNUMBER(AE160)),"S belum ada","OK"))))))</f>
        <v>OK</v>
      </c>
    </row>
    <row r="161" customFormat="false" ht="15" hidden="false" customHeight="false" outlineLevel="0" collapsed="false">
      <c r="A161" s="16" t="n">
        <f aca="false">IF(B161="","",ROW()-4)</f>
        <v>157</v>
      </c>
      <c r="B161" s="12" t="s">
        <v>415</v>
      </c>
      <c r="C161" s="16" t="s">
        <v>434</v>
      </c>
      <c r="D161" s="16" t="n">
        <v>2024</v>
      </c>
      <c r="E161" s="16" t="s">
        <v>437</v>
      </c>
      <c r="F161" s="16" t="s">
        <v>444</v>
      </c>
      <c r="G161" s="16" t="s">
        <v>77</v>
      </c>
      <c r="H161" s="16" t="s">
        <v>516</v>
      </c>
      <c r="I161" s="16" t="s">
        <v>517</v>
      </c>
      <c r="J161" s="16"/>
      <c r="K161" s="16" t="n">
        <v>40000</v>
      </c>
      <c r="L161" s="13"/>
      <c r="M161" s="13"/>
      <c r="N161" s="13" t="n">
        <v>45586</v>
      </c>
      <c r="O161" s="13" t="n">
        <v>45590</v>
      </c>
      <c r="P161" s="13"/>
      <c r="Q161" s="13" t="n">
        <v>45591</v>
      </c>
      <c r="R161" s="13" t="n">
        <v>45616</v>
      </c>
      <c r="S161" s="13"/>
      <c r="T161" s="13"/>
      <c r="U161" s="12" t="s">
        <v>224</v>
      </c>
      <c r="V161" s="14"/>
      <c r="W161" s="16"/>
      <c r="X161" s="16" t="s">
        <v>518</v>
      </c>
      <c r="Y161" s="16" t="n">
        <v>25</v>
      </c>
      <c r="Z161" s="16" t="s">
        <v>81</v>
      </c>
      <c r="AA161" s="15" t="str">
        <f aca="false">IF(AND(ISNUMBER(L161),ISNUMBER(M161)),M161-L161,"")</f>
        <v/>
      </c>
      <c r="AB161" s="15" t="str">
        <f aca="false">IF(AND(ISNUMBER(M161),ISNUMBER(P161)),P161-M161,"")</f>
        <v/>
      </c>
      <c r="AC161" s="15" t="str">
        <f aca="false">IF(AND(ISNUMBER(L161),ISNUMBER(P161)),P161-L161,"")</f>
        <v/>
      </c>
      <c r="AD161" s="15" t="str">
        <f aca="false">IF(AND(ISNUMBER(P161),ISNUMBER(Q161)),Q161-P161,"")</f>
        <v/>
      </c>
      <c r="AE161" s="15" t="n">
        <f aca="false">IF(AND(ISNUMBER(Q161),ISNUMBER(R161)),R161-Q161,IF(ISNUMBER(Y161),Y161,""))</f>
        <v>25</v>
      </c>
      <c r="AF161" s="15" t="str">
        <f aca="false">IF(AND(ISNUMBER(R161),ISNUMBER(S161)),S161-R161,"")</f>
        <v/>
      </c>
      <c r="AG161" s="15" t="str">
        <f aca="false">IF(AND(ISNUMBER(S161),ISNUMBER(T161)),T161-S161,"")</f>
        <v/>
      </c>
      <c r="AH161" s="15" t="str">
        <f aca="false">IF(AND(ISNUMBER(L161),ISNUMBER(T161)),T161-L161,"")</f>
        <v/>
      </c>
      <c r="AI161" s="15" t="n">
        <f aca="false">IF(AND(ISNUMBER(O161),ISNUMBER(Q161)),Q161-O161,"")</f>
        <v>1</v>
      </c>
      <c r="AJ161" s="15" t="str">
        <f aca="false">IF(B161="","",COUNT(L161:M161,P161:T161)&amp;"/7")</f>
        <v>2/7</v>
      </c>
      <c r="AK161" s="15" t="str">
        <f aca="false">IF(B161="","",IF(OR(AND(ISNUMBER(L161),ISNUMBER(M161),M161&lt;L161),AND(ISNUMBER(M161),ISNUMBER(P161),P161&lt;M161),AND(ISNUMBER(P161),ISNUMBER(Q161),Q161&lt;P161),AND(ISNUMBER(Q161),ISNUMBER(R161),R161&lt;Q161),AND(ISNUMBER(R161),ISNUMBER(S161),S161&lt;R161),AND(ISNUMBER(S161),ISNUMBER(T161),T161&lt;S161),AND(ISNUMBER(N161),ISNUMBER(O161),O161&lt;N161)),"Urutan tanggal salah",IF(AND(ISNUMBER(Q161),ISNUMBER(R161),ISNUMBER(Y161),ABS(R161-Q161-Y161)&gt;2),"S tanggal ≠ Sailing tercatat",IF(AND(ISNUMBER(Q161),ISNUMBER(O161),ABS(Q161-O161)&gt;60),"Cek tahun laycan",IF(AND(ISNUMBER(Q161),ISNUMBER(N161),Q161&lt;N161),"Berangkat sebelum laycan",IF(NOT(ISNUMBER(AE161)),"S belum ada","OK"))))))</f>
        <v>OK</v>
      </c>
    </row>
    <row r="162" customFormat="false" ht="15" hidden="false" customHeight="false" outlineLevel="0" collapsed="false">
      <c r="A162" s="16" t="n">
        <f aca="false">IF(B162="","",ROW()-4)</f>
        <v>158</v>
      </c>
      <c r="B162" s="12" t="s">
        <v>415</v>
      </c>
      <c r="C162" s="16" t="s">
        <v>434</v>
      </c>
      <c r="D162" s="16" t="n">
        <v>2024</v>
      </c>
      <c r="E162" s="16" t="s">
        <v>437</v>
      </c>
      <c r="F162" s="16" t="s">
        <v>444</v>
      </c>
      <c r="G162" s="16" t="s">
        <v>77</v>
      </c>
      <c r="H162" s="16" t="s">
        <v>445</v>
      </c>
      <c r="I162" s="16" t="s">
        <v>519</v>
      </c>
      <c r="J162" s="16"/>
      <c r="K162" s="16" t="n">
        <v>40000</v>
      </c>
      <c r="L162" s="13"/>
      <c r="M162" s="13"/>
      <c r="N162" s="13" t="n">
        <v>45566</v>
      </c>
      <c r="O162" s="13" t="n">
        <v>45580</v>
      </c>
      <c r="P162" s="13"/>
      <c r="Q162" s="13" t="n">
        <v>45581</v>
      </c>
      <c r="R162" s="13" t="n">
        <v>45606</v>
      </c>
      <c r="S162" s="13"/>
      <c r="T162" s="13"/>
      <c r="U162" s="12" t="s">
        <v>224</v>
      </c>
      <c r="V162" s="14"/>
      <c r="W162" s="16"/>
      <c r="X162" s="16" t="s">
        <v>520</v>
      </c>
      <c r="Y162" s="16" t="n">
        <v>25</v>
      </c>
      <c r="Z162" s="16" t="s">
        <v>81</v>
      </c>
      <c r="AA162" s="15" t="str">
        <f aca="false">IF(AND(ISNUMBER(L162),ISNUMBER(M162)),M162-L162,"")</f>
        <v/>
      </c>
      <c r="AB162" s="15" t="str">
        <f aca="false">IF(AND(ISNUMBER(M162),ISNUMBER(P162)),P162-M162,"")</f>
        <v/>
      </c>
      <c r="AC162" s="15" t="str">
        <f aca="false">IF(AND(ISNUMBER(L162),ISNUMBER(P162)),P162-L162,"")</f>
        <v/>
      </c>
      <c r="AD162" s="15" t="str">
        <f aca="false">IF(AND(ISNUMBER(P162),ISNUMBER(Q162)),Q162-P162,"")</f>
        <v/>
      </c>
      <c r="AE162" s="15" t="n">
        <f aca="false">IF(AND(ISNUMBER(Q162),ISNUMBER(R162)),R162-Q162,IF(ISNUMBER(Y162),Y162,""))</f>
        <v>25</v>
      </c>
      <c r="AF162" s="15" t="str">
        <f aca="false">IF(AND(ISNUMBER(R162),ISNUMBER(S162)),S162-R162,"")</f>
        <v/>
      </c>
      <c r="AG162" s="15" t="str">
        <f aca="false">IF(AND(ISNUMBER(S162),ISNUMBER(T162)),T162-S162,"")</f>
        <v/>
      </c>
      <c r="AH162" s="15" t="str">
        <f aca="false">IF(AND(ISNUMBER(L162),ISNUMBER(T162)),T162-L162,"")</f>
        <v/>
      </c>
      <c r="AI162" s="15" t="n">
        <f aca="false">IF(AND(ISNUMBER(O162),ISNUMBER(Q162)),Q162-O162,"")</f>
        <v>1</v>
      </c>
      <c r="AJ162" s="15" t="str">
        <f aca="false">IF(B162="","",COUNT(L162:M162,P162:T162)&amp;"/7")</f>
        <v>2/7</v>
      </c>
      <c r="AK162" s="15" t="str">
        <f aca="false">IF(B162="","",IF(OR(AND(ISNUMBER(L162),ISNUMBER(M162),M162&lt;L162),AND(ISNUMBER(M162),ISNUMBER(P162),P162&lt;M162),AND(ISNUMBER(P162),ISNUMBER(Q162),Q162&lt;P162),AND(ISNUMBER(Q162),ISNUMBER(R162),R162&lt;Q162),AND(ISNUMBER(R162),ISNUMBER(S162),S162&lt;R162),AND(ISNUMBER(S162),ISNUMBER(T162),T162&lt;S162),AND(ISNUMBER(N162),ISNUMBER(O162),O162&lt;N162)),"Urutan tanggal salah",IF(AND(ISNUMBER(Q162),ISNUMBER(R162),ISNUMBER(Y162),ABS(R162-Q162-Y162)&gt;2),"S tanggal ≠ Sailing tercatat",IF(AND(ISNUMBER(Q162),ISNUMBER(O162),ABS(Q162-O162)&gt;60),"Cek tahun laycan",IF(AND(ISNUMBER(Q162),ISNUMBER(N162),Q162&lt;N162),"Berangkat sebelum laycan",IF(NOT(ISNUMBER(AE162)),"S belum ada","OK"))))))</f>
        <v>OK</v>
      </c>
    </row>
    <row r="163" customFormat="false" ht="15" hidden="false" customHeight="false" outlineLevel="0" collapsed="false">
      <c r="A163" s="16" t="n">
        <f aca="false">IF(B163="","",ROW()-4)</f>
        <v>159</v>
      </c>
      <c r="B163" s="12" t="s">
        <v>415</v>
      </c>
      <c r="C163" s="16" t="s">
        <v>441</v>
      </c>
      <c r="D163" s="16" t="n">
        <v>2024</v>
      </c>
      <c r="E163" s="16" t="s">
        <v>521</v>
      </c>
      <c r="F163" s="16"/>
      <c r="G163" s="16" t="s">
        <v>77</v>
      </c>
      <c r="H163" s="16" t="s">
        <v>501</v>
      </c>
      <c r="I163" s="16"/>
      <c r="J163" s="16"/>
      <c r="K163" s="16" t="n">
        <v>30000</v>
      </c>
      <c r="L163" s="13"/>
      <c r="M163" s="13"/>
      <c r="N163" s="13"/>
      <c r="O163" s="13"/>
      <c r="P163" s="13"/>
      <c r="Q163" s="13"/>
      <c r="R163" s="13"/>
      <c r="S163" s="13"/>
      <c r="T163" s="13"/>
      <c r="U163" s="12"/>
      <c r="V163" s="14"/>
      <c r="W163" s="16" t="s">
        <v>522</v>
      </c>
      <c r="X163" s="16"/>
      <c r="Y163" s="16"/>
      <c r="Z163" s="16" t="s">
        <v>81</v>
      </c>
      <c r="AA163" s="15" t="str">
        <f aca="false">IF(AND(ISNUMBER(L163),ISNUMBER(M163)),M163-L163,"")</f>
        <v/>
      </c>
      <c r="AB163" s="15" t="str">
        <f aca="false">IF(AND(ISNUMBER(M163),ISNUMBER(P163)),P163-M163,"")</f>
        <v/>
      </c>
      <c r="AC163" s="15" t="str">
        <f aca="false">IF(AND(ISNUMBER(L163),ISNUMBER(P163)),P163-L163,"")</f>
        <v/>
      </c>
      <c r="AD163" s="15" t="str">
        <f aca="false">IF(AND(ISNUMBER(P163),ISNUMBER(Q163)),Q163-P163,"")</f>
        <v/>
      </c>
      <c r="AE163" s="15" t="str">
        <f aca="false">IF(AND(ISNUMBER(Q163),ISNUMBER(R163)),R163-Q163,IF(ISNUMBER(Y163),Y163,""))</f>
        <v/>
      </c>
      <c r="AF163" s="15" t="str">
        <f aca="false">IF(AND(ISNUMBER(R163),ISNUMBER(S163)),S163-R163,"")</f>
        <v/>
      </c>
      <c r="AG163" s="15" t="str">
        <f aca="false">IF(AND(ISNUMBER(S163),ISNUMBER(T163)),T163-S163,"")</f>
        <v/>
      </c>
      <c r="AH163" s="15" t="str">
        <f aca="false">IF(AND(ISNUMBER(L163),ISNUMBER(T163)),T163-L163,"")</f>
        <v/>
      </c>
      <c r="AI163" s="15" t="str">
        <f aca="false">IF(AND(ISNUMBER(O163),ISNUMBER(Q163)),Q163-O163,"")</f>
        <v/>
      </c>
      <c r="AJ163" s="15" t="str">
        <f aca="false">IF(B163="","",COUNT(L163:M163,P163:T163)&amp;"/7")</f>
        <v>0/7</v>
      </c>
      <c r="AK163" s="15" t="str">
        <f aca="false">IF(B163="","",IF(OR(AND(ISNUMBER(L163),ISNUMBER(M163),M163&lt;L163),AND(ISNUMBER(M163),ISNUMBER(P163),P163&lt;M163),AND(ISNUMBER(P163),ISNUMBER(Q163),Q163&lt;P163),AND(ISNUMBER(Q163),ISNUMBER(R163),R163&lt;Q163),AND(ISNUMBER(R163),ISNUMBER(S163),S163&lt;R163),AND(ISNUMBER(S163),ISNUMBER(T163),T163&lt;S163),AND(ISNUMBER(N163),ISNUMBER(O163),O163&lt;N163)),"Urutan tanggal salah",IF(AND(ISNUMBER(Q163),ISNUMBER(R163),ISNUMBER(Y163),ABS(R163-Q163-Y163)&gt;2),"S tanggal ≠ Sailing tercatat",IF(AND(ISNUMBER(Q163),ISNUMBER(O163),ABS(Q163-O163)&gt;60),"Cek tahun laycan",IF(AND(ISNUMBER(Q163),ISNUMBER(N163),Q163&lt;N163),"Berangkat sebelum laycan",IF(NOT(ISNUMBER(AE163)),"S belum ada","OK"))))))</f>
        <v>S belum ada</v>
      </c>
    </row>
    <row r="164" customFormat="false" ht="15" hidden="false" customHeight="false" outlineLevel="0" collapsed="false">
      <c r="A164" s="16" t="n">
        <f aca="false">IF(B164="","",ROW()-4)</f>
        <v>160</v>
      </c>
      <c r="B164" s="12" t="s">
        <v>523</v>
      </c>
      <c r="C164" s="16" t="s">
        <v>523</v>
      </c>
      <c r="D164" s="16" t="n">
        <v>2022</v>
      </c>
      <c r="E164" s="16" t="s">
        <v>524</v>
      </c>
      <c r="F164" s="16" t="s">
        <v>525</v>
      </c>
      <c r="G164" s="16" t="s">
        <v>77</v>
      </c>
      <c r="H164" s="16" t="s">
        <v>526</v>
      </c>
      <c r="I164" s="16" t="s">
        <v>527</v>
      </c>
      <c r="J164" s="16"/>
      <c r="K164" s="16" t="n">
        <v>22001.987</v>
      </c>
      <c r="L164" s="13"/>
      <c r="M164" s="13"/>
      <c r="N164" s="13" t="n">
        <v>44637</v>
      </c>
      <c r="O164" s="13" t="n">
        <v>44637</v>
      </c>
      <c r="P164" s="13"/>
      <c r="Q164" s="13" t="n">
        <v>44646</v>
      </c>
      <c r="R164" s="13" t="n">
        <v>44663</v>
      </c>
      <c r="S164" s="13"/>
      <c r="T164" s="13"/>
      <c r="U164" s="12" t="s">
        <v>80</v>
      </c>
      <c r="V164" s="14"/>
      <c r="W164" s="16"/>
      <c r="X164" s="16"/>
      <c r="Y164" s="16" t="n">
        <v>17</v>
      </c>
      <c r="Z164" s="16" t="s">
        <v>81</v>
      </c>
      <c r="AA164" s="15" t="str">
        <f aca="false">IF(AND(ISNUMBER(L164),ISNUMBER(M164)),M164-L164,"")</f>
        <v/>
      </c>
      <c r="AB164" s="15" t="str">
        <f aca="false">IF(AND(ISNUMBER(M164),ISNUMBER(P164)),P164-M164,"")</f>
        <v/>
      </c>
      <c r="AC164" s="15" t="str">
        <f aca="false">IF(AND(ISNUMBER(L164),ISNUMBER(P164)),P164-L164,"")</f>
        <v/>
      </c>
      <c r="AD164" s="15" t="str">
        <f aca="false">IF(AND(ISNUMBER(P164),ISNUMBER(Q164)),Q164-P164,"")</f>
        <v/>
      </c>
      <c r="AE164" s="15" t="n">
        <f aca="false">IF(AND(ISNUMBER(Q164),ISNUMBER(R164)),R164-Q164,IF(ISNUMBER(Y164),Y164,""))</f>
        <v>17</v>
      </c>
      <c r="AF164" s="15" t="str">
        <f aca="false">IF(AND(ISNUMBER(R164),ISNUMBER(S164)),S164-R164,"")</f>
        <v/>
      </c>
      <c r="AG164" s="15" t="str">
        <f aca="false">IF(AND(ISNUMBER(S164),ISNUMBER(T164)),T164-S164,"")</f>
        <v/>
      </c>
      <c r="AH164" s="15" t="str">
        <f aca="false">IF(AND(ISNUMBER(L164),ISNUMBER(T164)),T164-L164,"")</f>
        <v/>
      </c>
      <c r="AI164" s="15" t="n">
        <f aca="false">IF(AND(ISNUMBER(O164),ISNUMBER(Q164)),Q164-O164,"")</f>
        <v>9</v>
      </c>
      <c r="AJ164" s="15" t="str">
        <f aca="false">IF(B164="","",COUNT(L164:M164,P164:T164)&amp;"/7")</f>
        <v>2/7</v>
      </c>
      <c r="AK164" s="15" t="str">
        <f aca="false">IF(B164="","",IF(OR(AND(ISNUMBER(L164),ISNUMBER(M164),M164&lt;L164),AND(ISNUMBER(M164),ISNUMBER(P164),P164&lt;M164),AND(ISNUMBER(P164),ISNUMBER(Q164),Q164&lt;P164),AND(ISNUMBER(Q164),ISNUMBER(R164),R164&lt;Q164),AND(ISNUMBER(R164),ISNUMBER(S164),S164&lt;R164),AND(ISNUMBER(S164),ISNUMBER(T164),T164&lt;S164),AND(ISNUMBER(N164),ISNUMBER(O164),O164&lt;N164)),"Urutan tanggal salah",IF(AND(ISNUMBER(Q164),ISNUMBER(R164),ISNUMBER(Y164),ABS(R164-Q164-Y164)&gt;2),"S tanggal ≠ Sailing tercatat",IF(AND(ISNUMBER(Q164),ISNUMBER(O164),ABS(Q164-O164)&gt;60),"Cek tahun laycan",IF(AND(ISNUMBER(Q164),ISNUMBER(N164),Q164&lt;N164),"Berangkat sebelum laycan",IF(NOT(ISNUMBER(AE164)),"S belum ada","OK"))))))</f>
        <v>OK</v>
      </c>
    </row>
    <row r="165" customFormat="false" ht="15" hidden="false" customHeight="false" outlineLevel="0" collapsed="false">
      <c r="A165" s="16" t="n">
        <f aca="false">IF(B165="","",ROW()-4)</f>
        <v>161</v>
      </c>
      <c r="B165" s="12" t="s">
        <v>523</v>
      </c>
      <c r="C165" s="16" t="s">
        <v>523</v>
      </c>
      <c r="D165" s="16" t="n">
        <v>2022</v>
      </c>
      <c r="E165" s="16" t="s">
        <v>528</v>
      </c>
      <c r="F165" s="16" t="s">
        <v>529</v>
      </c>
      <c r="G165" s="16" t="s">
        <v>77</v>
      </c>
      <c r="H165" s="16" t="s">
        <v>263</v>
      </c>
      <c r="I165" s="16" t="s">
        <v>530</v>
      </c>
      <c r="J165" s="16"/>
      <c r="K165" s="16" t="n">
        <v>7600.227</v>
      </c>
      <c r="L165" s="13"/>
      <c r="M165" s="13"/>
      <c r="N165" s="13" t="n">
        <v>44638</v>
      </c>
      <c r="O165" s="13" t="n">
        <v>44638</v>
      </c>
      <c r="P165" s="13"/>
      <c r="Q165" s="13" t="n">
        <v>44645</v>
      </c>
      <c r="R165" s="13" t="n">
        <v>44655</v>
      </c>
      <c r="S165" s="13"/>
      <c r="T165" s="13"/>
      <c r="U165" s="12" t="s">
        <v>80</v>
      </c>
      <c r="V165" s="14"/>
      <c r="W165" s="16"/>
      <c r="X165" s="16"/>
      <c r="Y165" s="16" t="n">
        <v>10</v>
      </c>
      <c r="Z165" s="16" t="s">
        <v>81</v>
      </c>
      <c r="AA165" s="15" t="str">
        <f aca="false">IF(AND(ISNUMBER(L165),ISNUMBER(M165)),M165-L165,"")</f>
        <v/>
      </c>
      <c r="AB165" s="15" t="str">
        <f aca="false">IF(AND(ISNUMBER(M165),ISNUMBER(P165)),P165-M165,"")</f>
        <v/>
      </c>
      <c r="AC165" s="15" t="str">
        <f aca="false">IF(AND(ISNUMBER(L165),ISNUMBER(P165)),P165-L165,"")</f>
        <v/>
      </c>
      <c r="AD165" s="15" t="str">
        <f aca="false">IF(AND(ISNUMBER(P165),ISNUMBER(Q165)),Q165-P165,"")</f>
        <v/>
      </c>
      <c r="AE165" s="15" t="n">
        <f aca="false">IF(AND(ISNUMBER(Q165),ISNUMBER(R165)),R165-Q165,IF(ISNUMBER(Y165),Y165,""))</f>
        <v>10</v>
      </c>
      <c r="AF165" s="15" t="str">
        <f aca="false">IF(AND(ISNUMBER(R165),ISNUMBER(S165)),S165-R165,"")</f>
        <v/>
      </c>
      <c r="AG165" s="15" t="str">
        <f aca="false">IF(AND(ISNUMBER(S165),ISNUMBER(T165)),T165-S165,"")</f>
        <v/>
      </c>
      <c r="AH165" s="15" t="str">
        <f aca="false">IF(AND(ISNUMBER(L165),ISNUMBER(T165)),T165-L165,"")</f>
        <v/>
      </c>
      <c r="AI165" s="15" t="n">
        <f aca="false">IF(AND(ISNUMBER(O165),ISNUMBER(Q165)),Q165-O165,"")</f>
        <v>7</v>
      </c>
      <c r="AJ165" s="15" t="str">
        <f aca="false">IF(B165="","",COUNT(L165:M165,P165:T165)&amp;"/7")</f>
        <v>2/7</v>
      </c>
      <c r="AK165" s="15" t="str">
        <f aca="false">IF(B165="","",IF(OR(AND(ISNUMBER(L165),ISNUMBER(M165),M165&lt;L165),AND(ISNUMBER(M165),ISNUMBER(P165),P165&lt;M165),AND(ISNUMBER(P165),ISNUMBER(Q165),Q165&lt;P165),AND(ISNUMBER(Q165),ISNUMBER(R165),R165&lt;Q165),AND(ISNUMBER(R165),ISNUMBER(S165),S165&lt;R165),AND(ISNUMBER(S165),ISNUMBER(T165),T165&lt;S165),AND(ISNUMBER(N165),ISNUMBER(O165),O165&lt;N165)),"Urutan tanggal salah",IF(AND(ISNUMBER(Q165),ISNUMBER(R165),ISNUMBER(Y165),ABS(R165-Q165-Y165)&gt;2),"S tanggal ≠ Sailing tercatat",IF(AND(ISNUMBER(Q165),ISNUMBER(O165),ABS(Q165-O165)&gt;60),"Cek tahun laycan",IF(AND(ISNUMBER(Q165),ISNUMBER(N165),Q165&lt;N165),"Berangkat sebelum laycan",IF(NOT(ISNUMBER(AE165)),"S belum ada","OK"))))))</f>
        <v>OK</v>
      </c>
    </row>
    <row r="166" customFormat="false" ht="15" hidden="false" customHeight="false" outlineLevel="0" collapsed="false">
      <c r="A166" s="16" t="n">
        <f aca="false">IF(B166="","",ROW()-4)</f>
        <v>162</v>
      </c>
      <c r="B166" s="12" t="s">
        <v>523</v>
      </c>
      <c r="C166" s="16" t="s">
        <v>523</v>
      </c>
      <c r="D166" s="16" t="n">
        <v>2022</v>
      </c>
      <c r="E166" s="16" t="s">
        <v>261</v>
      </c>
      <c r="F166" s="16" t="s">
        <v>531</v>
      </c>
      <c r="G166" s="16" t="s">
        <v>77</v>
      </c>
      <c r="H166" s="16" t="s">
        <v>532</v>
      </c>
      <c r="I166" s="16" t="s">
        <v>533</v>
      </c>
      <c r="J166" s="16"/>
      <c r="K166" s="16" t="n">
        <v>8565.476</v>
      </c>
      <c r="L166" s="13"/>
      <c r="M166" s="13"/>
      <c r="N166" s="13" t="n">
        <v>44673</v>
      </c>
      <c r="O166" s="13" t="n">
        <v>44681</v>
      </c>
      <c r="P166" s="13"/>
      <c r="Q166" s="13" t="n">
        <v>44682</v>
      </c>
      <c r="R166" s="13" t="n">
        <v>44694</v>
      </c>
      <c r="S166" s="13"/>
      <c r="T166" s="13"/>
      <c r="U166" s="12" t="s">
        <v>80</v>
      </c>
      <c r="V166" s="14"/>
      <c r="W166" s="16"/>
      <c r="X166" s="16" t="s">
        <v>534</v>
      </c>
      <c r="Y166" s="16" t="n">
        <v>12</v>
      </c>
      <c r="Z166" s="16" t="s">
        <v>81</v>
      </c>
      <c r="AA166" s="15" t="str">
        <f aca="false">IF(AND(ISNUMBER(L166),ISNUMBER(M166)),M166-L166,"")</f>
        <v/>
      </c>
      <c r="AB166" s="15" t="str">
        <f aca="false">IF(AND(ISNUMBER(M166),ISNUMBER(P166)),P166-M166,"")</f>
        <v/>
      </c>
      <c r="AC166" s="15" t="str">
        <f aca="false">IF(AND(ISNUMBER(L166),ISNUMBER(P166)),P166-L166,"")</f>
        <v/>
      </c>
      <c r="AD166" s="15" t="str">
        <f aca="false">IF(AND(ISNUMBER(P166),ISNUMBER(Q166)),Q166-P166,"")</f>
        <v/>
      </c>
      <c r="AE166" s="15" t="n">
        <f aca="false">IF(AND(ISNUMBER(Q166),ISNUMBER(R166)),R166-Q166,IF(ISNUMBER(Y166),Y166,""))</f>
        <v>12</v>
      </c>
      <c r="AF166" s="15" t="str">
        <f aca="false">IF(AND(ISNUMBER(R166),ISNUMBER(S166)),S166-R166,"")</f>
        <v/>
      </c>
      <c r="AG166" s="15" t="str">
        <f aca="false">IF(AND(ISNUMBER(S166),ISNUMBER(T166)),T166-S166,"")</f>
        <v/>
      </c>
      <c r="AH166" s="15" t="str">
        <f aca="false">IF(AND(ISNUMBER(L166),ISNUMBER(T166)),T166-L166,"")</f>
        <v/>
      </c>
      <c r="AI166" s="15" t="n">
        <f aca="false">IF(AND(ISNUMBER(O166),ISNUMBER(Q166)),Q166-O166,"")</f>
        <v>1</v>
      </c>
      <c r="AJ166" s="15" t="str">
        <f aca="false">IF(B166="","",COUNT(L166:M166,P166:T166)&amp;"/7")</f>
        <v>2/7</v>
      </c>
      <c r="AK166" s="15" t="str">
        <f aca="false">IF(B166="","",IF(OR(AND(ISNUMBER(L166),ISNUMBER(M166),M166&lt;L166),AND(ISNUMBER(M166),ISNUMBER(P166),P166&lt;M166),AND(ISNUMBER(P166),ISNUMBER(Q166),Q166&lt;P166),AND(ISNUMBER(Q166),ISNUMBER(R166),R166&lt;Q166),AND(ISNUMBER(R166),ISNUMBER(S166),S166&lt;R166),AND(ISNUMBER(S166),ISNUMBER(T166),T166&lt;S166),AND(ISNUMBER(N166),ISNUMBER(O166),O166&lt;N166)),"Urutan tanggal salah",IF(AND(ISNUMBER(Q166),ISNUMBER(R166),ISNUMBER(Y166),ABS(R166-Q166-Y166)&gt;2),"S tanggal ≠ Sailing tercatat",IF(AND(ISNUMBER(Q166),ISNUMBER(O166),ABS(Q166-O166)&gt;60),"Cek tahun laycan",IF(AND(ISNUMBER(Q166),ISNUMBER(N166),Q166&lt;N166),"Berangkat sebelum laycan",IF(NOT(ISNUMBER(AE166)),"S belum ada","OK"))))))</f>
        <v>OK</v>
      </c>
    </row>
    <row r="167" customFormat="false" ht="15" hidden="false" customHeight="false" outlineLevel="0" collapsed="false">
      <c r="A167" s="16" t="n">
        <f aca="false">IF(B167="","",ROW()-4)</f>
        <v>163</v>
      </c>
      <c r="B167" s="12" t="s">
        <v>523</v>
      </c>
      <c r="C167" s="16" t="s">
        <v>523</v>
      </c>
      <c r="D167" s="16" t="n">
        <v>2022</v>
      </c>
      <c r="E167" s="16" t="s">
        <v>528</v>
      </c>
      <c r="F167" s="16" t="s">
        <v>535</v>
      </c>
      <c r="G167" s="16" t="s">
        <v>77</v>
      </c>
      <c r="H167" s="16" t="s">
        <v>263</v>
      </c>
      <c r="I167" s="16" t="s">
        <v>536</v>
      </c>
      <c r="J167" s="16"/>
      <c r="K167" s="16" t="n">
        <v>7600.778</v>
      </c>
      <c r="L167" s="13"/>
      <c r="M167" s="13"/>
      <c r="N167" s="13" t="n">
        <v>44683</v>
      </c>
      <c r="O167" s="13" t="n">
        <v>44683</v>
      </c>
      <c r="P167" s="13"/>
      <c r="Q167" s="13" t="n">
        <v>44689</v>
      </c>
      <c r="R167" s="13" t="n">
        <v>44701</v>
      </c>
      <c r="S167" s="13"/>
      <c r="T167" s="13"/>
      <c r="U167" s="12" t="s">
        <v>80</v>
      </c>
      <c r="V167" s="14"/>
      <c r="W167" s="16"/>
      <c r="X167" s="16"/>
      <c r="Y167" s="16" t="n">
        <v>12</v>
      </c>
      <c r="Z167" s="16" t="s">
        <v>81</v>
      </c>
      <c r="AA167" s="15" t="str">
        <f aca="false">IF(AND(ISNUMBER(L167),ISNUMBER(M167)),M167-L167,"")</f>
        <v/>
      </c>
      <c r="AB167" s="15" t="str">
        <f aca="false">IF(AND(ISNUMBER(M167),ISNUMBER(P167)),P167-M167,"")</f>
        <v/>
      </c>
      <c r="AC167" s="15" t="str">
        <f aca="false">IF(AND(ISNUMBER(L167),ISNUMBER(P167)),P167-L167,"")</f>
        <v/>
      </c>
      <c r="AD167" s="15" t="str">
        <f aca="false">IF(AND(ISNUMBER(P167),ISNUMBER(Q167)),Q167-P167,"")</f>
        <v/>
      </c>
      <c r="AE167" s="15" t="n">
        <f aca="false">IF(AND(ISNUMBER(Q167),ISNUMBER(R167)),R167-Q167,IF(ISNUMBER(Y167),Y167,""))</f>
        <v>12</v>
      </c>
      <c r="AF167" s="15" t="str">
        <f aca="false">IF(AND(ISNUMBER(R167),ISNUMBER(S167)),S167-R167,"")</f>
        <v/>
      </c>
      <c r="AG167" s="15" t="str">
        <f aca="false">IF(AND(ISNUMBER(S167),ISNUMBER(T167)),T167-S167,"")</f>
        <v/>
      </c>
      <c r="AH167" s="15" t="str">
        <f aca="false">IF(AND(ISNUMBER(L167),ISNUMBER(T167)),T167-L167,"")</f>
        <v/>
      </c>
      <c r="AI167" s="15" t="n">
        <f aca="false">IF(AND(ISNUMBER(O167),ISNUMBER(Q167)),Q167-O167,"")</f>
        <v>6</v>
      </c>
      <c r="AJ167" s="15" t="str">
        <f aca="false">IF(B167="","",COUNT(L167:M167,P167:T167)&amp;"/7")</f>
        <v>2/7</v>
      </c>
      <c r="AK167" s="15" t="str">
        <f aca="false">IF(B167="","",IF(OR(AND(ISNUMBER(L167),ISNUMBER(M167),M167&lt;L167),AND(ISNUMBER(M167),ISNUMBER(P167),P167&lt;M167),AND(ISNUMBER(P167),ISNUMBER(Q167),Q167&lt;P167),AND(ISNUMBER(Q167),ISNUMBER(R167),R167&lt;Q167),AND(ISNUMBER(R167),ISNUMBER(S167),S167&lt;R167),AND(ISNUMBER(S167),ISNUMBER(T167),T167&lt;S167),AND(ISNUMBER(N167),ISNUMBER(O167),O167&lt;N167)),"Urutan tanggal salah",IF(AND(ISNUMBER(Q167),ISNUMBER(R167),ISNUMBER(Y167),ABS(R167-Q167-Y167)&gt;2),"S tanggal ≠ Sailing tercatat",IF(AND(ISNUMBER(Q167),ISNUMBER(O167),ABS(Q167-O167)&gt;60),"Cek tahun laycan",IF(AND(ISNUMBER(Q167),ISNUMBER(N167),Q167&lt;N167),"Berangkat sebelum laycan",IF(NOT(ISNUMBER(AE167)),"S belum ada","OK"))))))</f>
        <v>OK</v>
      </c>
    </row>
    <row r="168" customFormat="false" ht="15" hidden="false" customHeight="false" outlineLevel="0" collapsed="false">
      <c r="A168" s="16" t="n">
        <f aca="false">IF(B168="","",ROW()-4)</f>
        <v>164</v>
      </c>
      <c r="B168" s="12" t="s">
        <v>523</v>
      </c>
      <c r="C168" s="16" t="s">
        <v>523</v>
      </c>
      <c r="D168" s="16" t="n">
        <v>2022</v>
      </c>
      <c r="E168" s="16" t="s">
        <v>537</v>
      </c>
      <c r="F168" s="16" t="s">
        <v>538</v>
      </c>
      <c r="G168" s="16" t="s">
        <v>77</v>
      </c>
      <c r="H168" s="16" t="s">
        <v>461</v>
      </c>
      <c r="I168" s="16" t="s">
        <v>539</v>
      </c>
      <c r="J168" s="16"/>
      <c r="K168" s="16" t="n">
        <v>8030.045</v>
      </c>
      <c r="L168" s="13"/>
      <c r="M168" s="13"/>
      <c r="N168" s="13" t="n">
        <v>44843</v>
      </c>
      <c r="O168" s="13" t="n">
        <v>44843</v>
      </c>
      <c r="P168" s="13"/>
      <c r="Q168" s="13" t="n">
        <v>44844</v>
      </c>
      <c r="R168" s="13" t="n">
        <v>44852</v>
      </c>
      <c r="S168" s="13"/>
      <c r="T168" s="13"/>
      <c r="U168" s="12" t="s">
        <v>80</v>
      </c>
      <c r="V168" s="14"/>
      <c r="W168" s="16"/>
      <c r="X168" s="16"/>
      <c r="Y168" s="16" t="n">
        <v>8</v>
      </c>
      <c r="Z168" s="16" t="s">
        <v>81</v>
      </c>
      <c r="AA168" s="15" t="str">
        <f aca="false">IF(AND(ISNUMBER(L168),ISNUMBER(M168)),M168-L168,"")</f>
        <v/>
      </c>
      <c r="AB168" s="15" t="str">
        <f aca="false">IF(AND(ISNUMBER(M168),ISNUMBER(P168)),P168-M168,"")</f>
        <v/>
      </c>
      <c r="AC168" s="15" t="str">
        <f aca="false">IF(AND(ISNUMBER(L168),ISNUMBER(P168)),P168-L168,"")</f>
        <v/>
      </c>
      <c r="AD168" s="15" t="str">
        <f aca="false">IF(AND(ISNUMBER(P168),ISNUMBER(Q168)),Q168-P168,"")</f>
        <v/>
      </c>
      <c r="AE168" s="15" t="n">
        <f aca="false">IF(AND(ISNUMBER(Q168),ISNUMBER(R168)),R168-Q168,IF(ISNUMBER(Y168),Y168,""))</f>
        <v>8</v>
      </c>
      <c r="AF168" s="15" t="str">
        <f aca="false">IF(AND(ISNUMBER(R168),ISNUMBER(S168)),S168-R168,"")</f>
        <v/>
      </c>
      <c r="AG168" s="15" t="str">
        <f aca="false">IF(AND(ISNUMBER(S168),ISNUMBER(T168)),T168-S168,"")</f>
        <v/>
      </c>
      <c r="AH168" s="15" t="str">
        <f aca="false">IF(AND(ISNUMBER(L168),ISNUMBER(T168)),T168-L168,"")</f>
        <v/>
      </c>
      <c r="AI168" s="15" t="n">
        <f aca="false">IF(AND(ISNUMBER(O168),ISNUMBER(Q168)),Q168-O168,"")</f>
        <v>1</v>
      </c>
      <c r="AJ168" s="15" t="str">
        <f aca="false">IF(B168="","",COUNT(L168:M168,P168:T168)&amp;"/7")</f>
        <v>2/7</v>
      </c>
      <c r="AK168" s="15" t="str">
        <f aca="false">IF(B168="","",IF(OR(AND(ISNUMBER(L168),ISNUMBER(M168),M168&lt;L168),AND(ISNUMBER(M168),ISNUMBER(P168),P168&lt;M168),AND(ISNUMBER(P168),ISNUMBER(Q168),Q168&lt;P168),AND(ISNUMBER(Q168),ISNUMBER(R168),R168&lt;Q168),AND(ISNUMBER(R168),ISNUMBER(S168),S168&lt;R168),AND(ISNUMBER(S168),ISNUMBER(T168),T168&lt;S168),AND(ISNUMBER(N168),ISNUMBER(O168),O168&lt;N168)),"Urutan tanggal salah",IF(AND(ISNUMBER(Q168),ISNUMBER(R168),ISNUMBER(Y168),ABS(R168-Q168-Y168)&gt;2),"S tanggal ≠ Sailing tercatat",IF(AND(ISNUMBER(Q168),ISNUMBER(O168),ABS(Q168-O168)&gt;60),"Cek tahun laycan",IF(AND(ISNUMBER(Q168),ISNUMBER(N168),Q168&lt;N168),"Berangkat sebelum laycan",IF(NOT(ISNUMBER(AE168)),"S belum ada","OK"))))))</f>
        <v>OK</v>
      </c>
    </row>
    <row r="169" customFormat="false" ht="15" hidden="false" customHeight="false" outlineLevel="0" collapsed="false">
      <c r="A169" s="16" t="n">
        <f aca="false">IF(B169="","",ROW()-4)</f>
        <v>165</v>
      </c>
      <c r="B169" s="12" t="s">
        <v>523</v>
      </c>
      <c r="C169" s="16" t="s">
        <v>523</v>
      </c>
      <c r="D169" s="16" t="n">
        <v>2022</v>
      </c>
      <c r="E169" s="16" t="s">
        <v>540</v>
      </c>
      <c r="F169" s="16" t="s">
        <v>541</v>
      </c>
      <c r="G169" s="16" t="s">
        <v>77</v>
      </c>
      <c r="H169" s="16" t="s">
        <v>542</v>
      </c>
      <c r="I169" s="16" t="s">
        <v>543</v>
      </c>
      <c r="J169" s="16"/>
      <c r="K169" s="16" t="n">
        <v>19000</v>
      </c>
      <c r="L169" s="13"/>
      <c r="M169" s="13"/>
      <c r="N169" s="13" t="n">
        <v>44844</v>
      </c>
      <c r="O169" s="13" t="n">
        <v>44844</v>
      </c>
      <c r="P169" s="13"/>
      <c r="Q169" s="13" t="n">
        <v>44845</v>
      </c>
      <c r="R169" s="13" t="n">
        <v>44850</v>
      </c>
      <c r="S169" s="13"/>
      <c r="T169" s="13"/>
      <c r="U169" s="12" t="s">
        <v>80</v>
      </c>
      <c r="V169" s="14"/>
      <c r="W169" s="16"/>
      <c r="X169" s="16"/>
      <c r="Y169" s="16" t="n">
        <v>5</v>
      </c>
      <c r="Z169" s="16" t="s">
        <v>81</v>
      </c>
      <c r="AA169" s="15" t="str">
        <f aca="false">IF(AND(ISNUMBER(L169),ISNUMBER(M169)),M169-L169,"")</f>
        <v/>
      </c>
      <c r="AB169" s="15" t="str">
        <f aca="false">IF(AND(ISNUMBER(M169),ISNUMBER(P169)),P169-M169,"")</f>
        <v/>
      </c>
      <c r="AC169" s="15" t="str">
        <f aca="false">IF(AND(ISNUMBER(L169),ISNUMBER(P169)),P169-L169,"")</f>
        <v/>
      </c>
      <c r="AD169" s="15" t="str">
        <f aca="false">IF(AND(ISNUMBER(P169),ISNUMBER(Q169)),Q169-P169,"")</f>
        <v/>
      </c>
      <c r="AE169" s="15" t="n">
        <f aca="false">IF(AND(ISNUMBER(Q169),ISNUMBER(R169)),R169-Q169,IF(ISNUMBER(Y169),Y169,""))</f>
        <v>5</v>
      </c>
      <c r="AF169" s="15" t="str">
        <f aca="false">IF(AND(ISNUMBER(R169),ISNUMBER(S169)),S169-R169,"")</f>
        <v/>
      </c>
      <c r="AG169" s="15" t="str">
        <f aca="false">IF(AND(ISNUMBER(S169),ISNUMBER(T169)),T169-S169,"")</f>
        <v/>
      </c>
      <c r="AH169" s="15" t="str">
        <f aca="false">IF(AND(ISNUMBER(L169),ISNUMBER(T169)),T169-L169,"")</f>
        <v/>
      </c>
      <c r="AI169" s="15" t="n">
        <f aca="false">IF(AND(ISNUMBER(O169),ISNUMBER(Q169)),Q169-O169,"")</f>
        <v>1</v>
      </c>
      <c r="AJ169" s="15" t="str">
        <f aca="false">IF(B169="","",COUNT(L169:M169,P169:T169)&amp;"/7")</f>
        <v>2/7</v>
      </c>
      <c r="AK169" s="15" t="str">
        <f aca="false">IF(B169="","",IF(OR(AND(ISNUMBER(L169),ISNUMBER(M169),M169&lt;L169),AND(ISNUMBER(M169),ISNUMBER(P169),P169&lt;M169),AND(ISNUMBER(P169),ISNUMBER(Q169),Q169&lt;P169),AND(ISNUMBER(Q169),ISNUMBER(R169),R169&lt;Q169),AND(ISNUMBER(R169),ISNUMBER(S169),S169&lt;R169),AND(ISNUMBER(S169),ISNUMBER(T169),T169&lt;S169),AND(ISNUMBER(N169),ISNUMBER(O169),O169&lt;N169)),"Urutan tanggal salah",IF(AND(ISNUMBER(Q169),ISNUMBER(R169),ISNUMBER(Y169),ABS(R169-Q169-Y169)&gt;2),"S tanggal ≠ Sailing tercatat",IF(AND(ISNUMBER(Q169),ISNUMBER(O169),ABS(Q169-O169)&gt;60),"Cek tahun laycan",IF(AND(ISNUMBER(Q169),ISNUMBER(N169),Q169&lt;N169),"Berangkat sebelum laycan",IF(NOT(ISNUMBER(AE169)),"S belum ada","OK"))))))</f>
        <v>OK</v>
      </c>
    </row>
    <row r="170" customFormat="false" ht="15" hidden="false" customHeight="false" outlineLevel="0" collapsed="false">
      <c r="A170" s="16" t="n">
        <f aca="false">IF(B170="","",ROW()-4)</f>
        <v>166</v>
      </c>
      <c r="B170" s="12" t="s">
        <v>523</v>
      </c>
      <c r="C170" s="16" t="s">
        <v>523</v>
      </c>
      <c r="D170" s="16" t="n">
        <v>2022</v>
      </c>
      <c r="E170" s="16" t="s">
        <v>528</v>
      </c>
      <c r="F170" s="16" t="s">
        <v>544</v>
      </c>
      <c r="G170" s="16" t="s">
        <v>77</v>
      </c>
      <c r="H170" s="16" t="s">
        <v>545</v>
      </c>
      <c r="I170" s="16" t="s">
        <v>546</v>
      </c>
      <c r="J170" s="16"/>
      <c r="K170" s="16" t="n">
        <v>11500</v>
      </c>
      <c r="L170" s="13"/>
      <c r="M170" s="13"/>
      <c r="N170" s="13" t="n">
        <v>44864</v>
      </c>
      <c r="O170" s="13" t="n">
        <v>44864</v>
      </c>
      <c r="P170" s="13"/>
      <c r="Q170" s="13" t="n">
        <v>44866</v>
      </c>
      <c r="R170" s="13" t="n">
        <v>44875</v>
      </c>
      <c r="S170" s="13"/>
      <c r="T170" s="13"/>
      <c r="U170" s="12" t="s">
        <v>80</v>
      </c>
      <c r="V170" s="14"/>
      <c r="W170" s="16"/>
      <c r="X170" s="16"/>
      <c r="Y170" s="16" t="n">
        <v>9</v>
      </c>
      <c r="Z170" s="16" t="s">
        <v>81</v>
      </c>
      <c r="AA170" s="15" t="str">
        <f aca="false">IF(AND(ISNUMBER(L170),ISNUMBER(M170)),M170-L170,"")</f>
        <v/>
      </c>
      <c r="AB170" s="15" t="str">
        <f aca="false">IF(AND(ISNUMBER(M170),ISNUMBER(P170)),P170-M170,"")</f>
        <v/>
      </c>
      <c r="AC170" s="15" t="str">
        <f aca="false">IF(AND(ISNUMBER(L170),ISNUMBER(P170)),P170-L170,"")</f>
        <v/>
      </c>
      <c r="AD170" s="15" t="str">
        <f aca="false">IF(AND(ISNUMBER(P170),ISNUMBER(Q170)),Q170-P170,"")</f>
        <v/>
      </c>
      <c r="AE170" s="15" t="n">
        <f aca="false">IF(AND(ISNUMBER(Q170),ISNUMBER(R170)),R170-Q170,IF(ISNUMBER(Y170),Y170,""))</f>
        <v>9</v>
      </c>
      <c r="AF170" s="15" t="str">
        <f aca="false">IF(AND(ISNUMBER(R170),ISNUMBER(S170)),S170-R170,"")</f>
        <v/>
      </c>
      <c r="AG170" s="15" t="str">
        <f aca="false">IF(AND(ISNUMBER(S170),ISNUMBER(T170)),T170-S170,"")</f>
        <v/>
      </c>
      <c r="AH170" s="15" t="str">
        <f aca="false">IF(AND(ISNUMBER(L170),ISNUMBER(T170)),T170-L170,"")</f>
        <v/>
      </c>
      <c r="AI170" s="15" t="n">
        <f aca="false">IF(AND(ISNUMBER(O170),ISNUMBER(Q170)),Q170-O170,"")</f>
        <v>2</v>
      </c>
      <c r="AJ170" s="15" t="str">
        <f aca="false">IF(B170="","",COUNT(L170:M170,P170:T170)&amp;"/7")</f>
        <v>2/7</v>
      </c>
      <c r="AK170" s="15" t="str">
        <f aca="false">IF(B170="","",IF(OR(AND(ISNUMBER(L170),ISNUMBER(M170),M170&lt;L170),AND(ISNUMBER(M170),ISNUMBER(P170),P170&lt;M170),AND(ISNUMBER(P170),ISNUMBER(Q170),Q170&lt;P170),AND(ISNUMBER(Q170),ISNUMBER(R170),R170&lt;Q170),AND(ISNUMBER(R170),ISNUMBER(S170),S170&lt;R170),AND(ISNUMBER(S170),ISNUMBER(T170),T170&lt;S170),AND(ISNUMBER(N170),ISNUMBER(O170),O170&lt;N170)),"Urutan tanggal salah",IF(AND(ISNUMBER(Q170),ISNUMBER(R170),ISNUMBER(Y170),ABS(R170-Q170-Y170)&gt;2),"S tanggal ≠ Sailing tercatat",IF(AND(ISNUMBER(Q170),ISNUMBER(O170),ABS(Q170-O170)&gt;60),"Cek tahun laycan",IF(AND(ISNUMBER(Q170),ISNUMBER(N170),Q170&lt;N170),"Berangkat sebelum laycan",IF(NOT(ISNUMBER(AE170)),"S belum ada","OK"))))))</f>
        <v>OK</v>
      </c>
    </row>
    <row r="171" customFormat="false" ht="15" hidden="false" customHeight="false" outlineLevel="0" collapsed="false">
      <c r="A171" s="16" t="n">
        <f aca="false">IF(B171="","",ROW()-4)</f>
        <v>167</v>
      </c>
      <c r="B171" s="12" t="s">
        <v>523</v>
      </c>
      <c r="C171" s="16" t="s">
        <v>523</v>
      </c>
      <c r="D171" s="16" t="n">
        <v>2022</v>
      </c>
      <c r="E171" s="16" t="s">
        <v>528</v>
      </c>
      <c r="F171" s="16" t="s">
        <v>544</v>
      </c>
      <c r="G171" s="16" t="s">
        <v>77</v>
      </c>
      <c r="H171" s="16" t="s">
        <v>547</v>
      </c>
      <c r="I171" s="16" t="s">
        <v>546</v>
      </c>
      <c r="J171" s="16"/>
      <c r="K171" s="16" t="n">
        <v>8001</v>
      </c>
      <c r="L171" s="13"/>
      <c r="M171" s="13"/>
      <c r="N171" s="13" t="n">
        <v>44872</v>
      </c>
      <c r="O171" s="13" t="n">
        <v>44872</v>
      </c>
      <c r="P171" s="13"/>
      <c r="Q171" s="13" t="n">
        <v>44873</v>
      </c>
      <c r="R171" s="13" t="n">
        <v>44883</v>
      </c>
      <c r="S171" s="13"/>
      <c r="T171" s="13"/>
      <c r="U171" s="12" t="s">
        <v>80</v>
      </c>
      <c r="V171" s="14"/>
      <c r="W171" s="16"/>
      <c r="X171" s="16"/>
      <c r="Y171" s="16" t="n">
        <v>10</v>
      </c>
      <c r="Z171" s="16" t="s">
        <v>81</v>
      </c>
      <c r="AA171" s="15" t="str">
        <f aca="false">IF(AND(ISNUMBER(L171),ISNUMBER(M171)),M171-L171,"")</f>
        <v/>
      </c>
      <c r="AB171" s="15" t="str">
        <f aca="false">IF(AND(ISNUMBER(M171),ISNUMBER(P171)),P171-M171,"")</f>
        <v/>
      </c>
      <c r="AC171" s="15" t="str">
        <f aca="false">IF(AND(ISNUMBER(L171),ISNUMBER(P171)),P171-L171,"")</f>
        <v/>
      </c>
      <c r="AD171" s="15" t="str">
        <f aca="false">IF(AND(ISNUMBER(P171),ISNUMBER(Q171)),Q171-P171,"")</f>
        <v/>
      </c>
      <c r="AE171" s="15" t="n">
        <f aca="false">IF(AND(ISNUMBER(Q171),ISNUMBER(R171)),R171-Q171,IF(ISNUMBER(Y171),Y171,""))</f>
        <v>10</v>
      </c>
      <c r="AF171" s="15" t="str">
        <f aca="false">IF(AND(ISNUMBER(R171),ISNUMBER(S171)),S171-R171,"")</f>
        <v/>
      </c>
      <c r="AG171" s="15" t="str">
        <f aca="false">IF(AND(ISNUMBER(S171),ISNUMBER(T171)),T171-S171,"")</f>
        <v/>
      </c>
      <c r="AH171" s="15" t="str">
        <f aca="false">IF(AND(ISNUMBER(L171),ISNUMBER(T171)),T171-L171,"")</f>
        <v/>
      </c>
      <c r="AI171" s="15" t="n">
        <f aca="false">IF(AND(ISNUMBER(O171),ISNUMBER(Q171)),Q171-O171,"")</f>
        <v>1</v>
      </c>
      <c r="AJ171" s="15" t="str">
        <f aca="false">IF(B171="","",COUNT(L171:M171,P171:T171)&amp;"/7")</f>
        <v>2/7</v>
      </c>
      <c r="AK171" s="15" t="str">
        <f aca="false">IF(B171="","",IF(OR(AND(ISNUMBER(L171),ISNUMBER(M171),M171&lt;L171),AND(ISNUMBER(M171),ISNUMBER(P171),P171&lt;M171),AND(ISNUMBER(P171),ISNUMBER(Q171),Q171&lt;P171),AND(ISNUMBER(Q171),ISNUMBER(R171),R171&lt;Q171),AND(ISNUMBER(R171),ISNUMBER(S171),S171&lt;R171),AND(ISNUMBER(S171),ISNUMBER(T171),T171&lt;S171),AND(ISNUMBER(N171),ISNUMBER(O171),O171&lt;N171)),"Urutan tanggal salah",IF(AND(ISNUMBER(Q171),ISNUMBER(R171),ISNUMBER(Y171),ABS(R171-Q171-Y171)&gt;2),"S tanggal ≠ Sailing tercatat",IF(AND(ISNUMBER(Q171),ISNUMBER(O171),ABS(Q171-O171)&gt;60),"Cek tahun laycan",IF(AND(ISNUMBER(Q171),ISNUMBER(N171),Q171&lt;N171),"Berangkat sebelum laycan",IF(NOT(ISNUMBER(AE171)),"S belum ada","OK"))))))</f>
        <v>OK</v>
      </c>
    </row>
    <row r="172" customFormat="false" ht="15" hidden="false" customHeight="false" outlineLevel="0" collapsed="false">
      <c r="A172" s="16" t="n">
        <f aca="false">IF(B172="","",ROW()-4)</f>
        <v>168</v>
      </c>
      <c r="B172" s="12" t="s">
        <v>523</v>
      </c>
      <c r="C172" s="16" t="s">
        <v>523</v>
      </c>
      <c r="D172" s="16" t="n">
        <v>2023</v>
      </c>
      <c r="E172" s="16" t="s">
        <v>548</v>
      </c>
      <c r="F172" s="16" t="s">
        <v>549</v>
      </c>
      <c r="G172" s="16" t="s">
        <v>77</v>
      </c>
      <c r="H172" s="16" t="s">
        <v>550</v>
      </c>
      <c r="I172" s="16" t="s">
        <v>551</v>
      </c>
      <c r="J172" s="16"/>
      <c r="K172" s="16" t="n">
        <v>18655</v>
      </c>
      <c r="L172" s="13"/>
      <c r="M172" s="13"/>
      <c r="N172" s="13" t="n">
        <v>45013</v>
      </c>
      <c r="O172" s="13" t="n">
        <v>45049</v>
      </c>
      <c r="P172" s="13"/>
      <c r="Q172" s="13" t="n">
        <v>45053</v>
      </c>
      <c r="R172" s="13" t="n">
        <v>45067</v>
      </c>
      <c r="S172" s="13"/>
      <c r="T172" s="13"/>
      <c r="U172" s="12" t="s">
        <v>80</v>
      </c>
      <c r="V172" s="14"/>
      <c r="W172" s="16"/>
      <c r="X172" s="16" t="s">
        <v>552</v>
      </c>
      <c r="Y172" s="16" t="n">
        <v>14</v>
      </c>
      <c r="Z172" s="16" t="s">
        <v>81</v>
      </c>
      <c r="AA172" s="15" t="str">
        <f aca="false">IF(AND(ISNUMBER(L172),ISNUMBER(M172)),M172-L172,"")</f>
        <v/>
      </c>
      <c r="AB172" s="15" t="str">
        <f aca="false">IF(AND(ISNUMBER(M172),ISNUMBER(P172)),P172-M172,"")</f>
        <v/>
      </c>
      <c r="AC172" s="15" t="str">
        <f aca="false">IF(AND(ISNUMBER(L172),ISNUMBER(P172)),P172-L172,"")</f>
        <v/>
      </c>
      <c r="AD172" s="15" t="str">
        <f aca="false">IF(AND(ISNUMBER(P172),ISNUMBER(Q172)),Q172-P172,"")</f>
        <v/>
      </c>
      <c r="AE172" s="15" t="n">
        <f aca="false">IF(AND(ISNUMBER(Q172),ISNUMBER(R172)),R172-Q172,IF(ISNUMBER(Y172),Y172,""))</f>
        <v>14</v>
      </c>
      <c r="AF172" s="15" t="str">
        <f aca="false">IF(AND(ISNUMBER(R172),ISNUMBER(S172)),S172-R172,"")</f>
        <v/>
      </c>
      <c r="AG172" s="15" t="str">
        <f aca="false">IF(AND(ISNUMBER(S172),ISNUMBER(T172)),T172-S172,"")</f>
        <v/>
      </c>
      <c r="AH172" s="15" t="str">
        <f aca="false">IF(AND(ISNUMBER(L172),ISNUMBER(T172)),T172-L172,"")</f>
        <v/>
      </c>
      <c r="AI172" s="15" t="n">
        <f aca="false">IF(AND(ISNUMBER(O172),ISNUMBER(Q172)),Q172-O172,"")</f>
        <v>4</v>
      </c>
      <c r="AJ172" s="15" t="str">
        <f aca="false">IF(B172="","",COUNT(L172:M172,P172:T172)&amp;"/7")</f>
        <v>2/7</v>
      </c>
      <c r="AK172" s="15" t="str">
        <f aca="false">IF(B172="","",IF(OR(AND(ISNUMBER(L172),ISNUMBER(M172),M172&lt;L172),AND(ISNUMBER(M172),ISNUMBER(P172),P172&lt;M172),AND(ISNUMBER(P172),ISNUMBER(Q172),Q172&lt;P172),AND(ISNUMBER(Q172),ISNUMBER(R172),R172&lt;Q172),AND(ISNUMBER(R172),ISNUMBER(S172),S172&lt;R172),AND(ISNUMBER(S172),ISNUMBER(T172),T172&lt;S172),AND(ISNUMBER(N172),ISNUMBER(O172),O172&lt;N172)),"Urutan tanggal salah",IF(AND(ISNUMBER(Q172),ISNUMBER(R172),ISNUMBER(Y172),ABS(R172-Q172-Y172)&gt;2),"S tanggal ≠ Sailing tercatat",IF(AND(ISNUMBER(Q172),ISNUMBER(O172),ABS(Q172-O172)&gt;60),"Cek tahun laycan",IF(AND(ISNUMBER(Q172),ISNUMBER(N172),Q172&lt;N172),"Berangkat sebelum laycan",IF(NOT(ISNUMBER(AE172)),"S belum ada","OK"))))))</f>
        <v>OK</v>
      </c>
    </row>
    <row r="173" customFormat="false" ht="15" hidden="false" customHeight="false" outlineLevel="0" collapsed="false">
      <c r="A173" s="16" t="n">
        <f aca="false">IF(B173="","",ROW()-4)</f>
        <v>169</v>
      </c>
      <c r="B173" s="12" t="s">
        <v>523</v>
      </c>
      <c r="C173" s="16" t="s">
        <v>523</v>
      </c>
      <c r="D173" s="16" t="n">
        <v>2023</v>
      </c>
      <c r="E173" s="16" t="s">
        <v>261</v>
      </c>
      <c r="F173" s="16" t="s">
        <v>553</v>
      </c>
      <c r="G173" s="16" t="s">
        <v>77</v>
      </c>
      <c r="H173" s="16" t="s">
        <v>554</v>
      </c>
      <c r="I173" s="16" t="s">
        <v>555</v>
      </c>
      <c r="J173" s="16"/>
      <c r="K173" s="16" t="n">
        <v>18999.765</v>
      </c>
      <c r="L173" s="13"/>
      <c r="M173" s="13"/>
      <c r="N173" s="13" t="n">
        <v>45085</v>
      </c>
      <c r="O173" s="13" t="n">
        <v>45085</v>
      </c>
      <c r="P173" s="13"/>
      <c r="Q173" s="13" t="n">
        <v>45086</v>
      </c>
      <c r="R173" s="13" t="n">
        <v>45096</v>
      </c>
      <c r="S173" s="13"/>
      <c r="T173" s="13"/>
      <c r="U173" s="12" t="s">
        <v>80</v>
      </c>
      <c r="V173" s="14"/>
      <c r="W173" s="16"/>
      <c r="X173" s="16" t="s">
        <v>556</v>
      </c>
      <c r="Y173" s="16" t="n">
        <v>10</v>
      </c>
      <c r="Z173" s="16" t="s">
        <v>81</v>
      </c>
      <c r="AA173" s="15" t="str">
        <f aca="false">IF(AND(ISNUMBER(L173),ISNUMBER(M173)),M173-L173,"")</f>
        <v/>
      </c>
      <c r="AB173" s="15" t="str">
        <f aca="false">IF(AND(ISNUMBER(M173),ISNUMBER(P173)),P173-M173,"")</f>
        <v/>
      </c>
      <c r="AC173" s="15" t="str">
        <f aca="false">IF(AND(ISNUMBER(L173),ISNUMBER(P173)),P173-L173,"")</f>
        <v/>
      </c>
      <c r="AD173" s="15" t="str">
        <f aca="false">IF(AND(ISNUMBER(P173),ISNUMBER(Q173)),Q173-P173,"")</f>
        <v/>
      </c>
      <c r="AE173" s="15" t="n">
        <f aca="false">IF(AND(ISNUMBER(Q173),ISNUMBER(R173)),R173-Q173,IF(ISNUMBER(Y173),Y173,""))</f>
        <v>10</v>
      </c>
      <c r="AF173" s="15" t="str">
        <f aca="false">IF(AND(ISNUMBER(R173),ISNUMBER(S173)),S173-R173,"")</f>
        <v/>
      </c>
      <c r="AG173" s="15" t="str">
        <f aca="false">IF(AND(ISNUMBER(S173),ISNUMBER(T173)),T173-S173,"")</f>
        <v/>
      </c>
      <c r="AH173" s="15" t="str">
        <f aca="false">IF(AND(ISNUMBER(L173),ISNUMBER(T173)),T173-L173,"")</f>
        <v/>
      </c>
      <c r="AI173" s="15" t="n">
        <f aca="false">IF(AND(ISNUMBER(O173),ISNUMBER(Q173)),Q173-O173,"")</f>
        <v>1</v>
      </c>
      <c r="AJ173" s="15" t="str">
        <f aca="false">IF(B173="","",COUNT(L173:M173,P173:T173)&amp;"/7")</f>
        <v>2/7</v>
      </c>
      <c r="AK173" s="15" t="str">
        <f aca="false">IF(B173="","",IF(OR(AND(ISNUMBER(L173),ISNUMBER(M173),M173&lt;L173),AND(ISNUMBER(M173),ISNUMBER(P173),P173&lt;M173),AND(ISNUMBER(P173),ISNUMBER(Q173),Q173&lt;P173),AND(ISNUMBER(Q173),ISNUMBER(R173),R173&lt;Q173),AND(ISNUMBER(R173),ISNUMBER(S173),S173&lt;R173),AND(ISNUMBER(S173),ISNUMBER(T173),T173&lt;S173),AND(ISNUMBER(N173),ISNUMBER(O173),O173&lt;N173)),"Urutan tanggal salah",IF(AND(ISNUMBER(Q173),ISNUMBER(R173),ISNUMBER(Y173),ABS(R173-Q173-Y173)&gt;2),"S tanggal ≠ Sailing tercatat",IF(AND(ISNUMBER(Q173),ISNUMBER(O173),ABS(Q173-O173)&gt;60),"Cek tahun laycan",IF(AND(ISNUMBER(Q173),ISNUMBER(N173),Q173&lt;N173),"Berangkat sebelum laycan",IF(NOT(ISNUMBER(AE173)),"S belum ada","OK"))))))</f>
        <v>OK</v>
      </c>
    </row>
    <row r="174" customFormat="false" ht="15" hidden="false" customHeight="false" outlineLevel="0" collapsed="false">
      <c r="A174" s="16" t="n">
        <f aca="false">IF(B174="","",ROW()-4)</f>
        <v>170</v>
      </c>
      <c r="B174" s="12" t="s">
        <v>523</v>
      </c>
      <c r="C174" s="16" t="s">
        <v>523</v>
      </c>
      <c r="D174" s="16" t="n">
        <v>2023</v>
      </c>
      <c r="E174" s="16" t="s">
        <v>528</v>
      </c>
      <c r="F174" s="16" t="s">
        <v>557</v>
      </c>
      <c r="G174" s="16" t="s">
        <v>77</v>
      </c>
      <c r="H174" s="16" t="s">
        <v>550</v>
      </c>
      <c r="I174" s="16" t="s">
        <v>558</v>
      </c>
      <c r="J174" s="16"/>
      <c r="K174" s="16" t="n">
        <v>19910</v>
      </c>
      <c r="L174" s="13"/>
      <c r="M174" s="13"/>
      <c r="N174" s="13" t="n">
        <v>45075</v>
      </c>
      <c r="O174" s="13" t="n">
        <v>45077</v>
      </c>
      <c r="P174" s="13"/>
      <c r="Q174" s="13" t="n">
        <v>45080</v>
      </c>
      <c r="R174" s="13" t="n">
        <v>45097</v>
      </c>
      <c r="S174" s="13"/>
      <c r="T174" s="13"/>
      <c r="U174" s="12" t="s">
        <v>80</v>
      </c>
      <c r="V174" s="14"/>
      <c r="W174" s="16"/>
      <c r="X174" s="16" t="s">
        <v>559</v>
      </c>
      <c r="Y174" s="16" t="n">
        <v>17</v>
      </c>
      <c r="Z174" s="16" t="s">
        <v>81</v>
      </c>
      <c r="AA174" s="15" t="str">
        <f aca="false">IF(AND(ISNUMBER(L174),ISNUMBER(M174)),M174-L174,"")</f>
        <v/>
      </c>
      <c r="AB174" s="15" t="str">
        <f aca="false">IF(AND(ISNUMBER(M174),ISNUMBER(P174)),P174-M174,"")</f>
        <v/>
      </c>
      <c r="AC174" s="15" t="str">
        <f aca="false">IF(AND(ISNUMBER(L174),ISNUMBER(P174)),P174-L174,"")</f>
        <v/>
      </c>
      <c r="AD174" s="15" t="str">
        <f aca="false">IF(AND(ISNUMBER(P174),ISNUMBER(Q174)),Q174-P174,"")</f>
        <v/>
      </c>
      <c r="AE174" s="15" t="n">
        <f aca="false">IF(AND(ISNUMBER(Q174),ISNUMBER(R174)),R174-Q174,IF(ISNUMBER(Y174),Y174,""))</f>
        <v>17</v>
      </c>
      <c r="AF174" s="15" t="str">
        <f aca="false">IF(AND(ISNUMBER(R174),ISNUMBER(S174)),S174-R174,"")</f>
        <v/>
      </c>
      <c r="AG174" s="15" t="str">
        <f aca="false">IF(AND(ISNUMBER(S174),ISNUMBER(T174)),T174-S174,"")</f>
        <v/>
      </c>
      <c r="AH174" s="15" t="str">
        <f aca="false">IF(AND(ISNUMBER(L174),ISNUMBER(T174)),T174-L174,"")</f>
        <v/>
      </c>
      <c r="AI174" s="15" t="n">
        <f aca="false">IF(AND(ISNUMBER(O174),ISNUMBER(Q174)),Q174-O174,"")</f>
        <v>3</v>
      </c>
      <c r="AJ174" s="15" t="str">
        <f aca="false">IF(B174="","",COUNT(L174:M174,P174:T174)&amp;"/7")</f>
        <v>2/7</v>
      </c>
      <c r="AK174" s="15" t="str">
        <f aca="false">IF(B174="","",IF(OR(AND(ISNUMBER(L174),ISNUMBER(M174),M174&lt;L174),AND(ISNUMBER(M174),ISNUMBER(P174),P174&lt;M174),AND(ISNUMBER(P174),ISNUMBER(Q174),Q174&lt;P174),AND(ISNUMBER(Q174),ISNUMBER(R174),R174&lt;Q174),AND(ISNUMBER(R174),ISNUMBER(S174),S174&lt;R174),AND(ISNUMBER(S174),ISNUMBER(T174),T174&lt;S174),AND(ISNUMBER(N174),ISNUMBER(O174),O174&lt;N174)),"Urutan tanggal salah",IF(AND(ISNUMBER(Q174),ISNUMBER(R174),ISNUMBER(Y174),ABS(R174-Q174-Y174)&gt;2),"S tanggal ≠ Sailing tercatat",IF(AND(ISNUMBER(Q174),ISNUMBER(O174),ABS(Q174-O174)&gt;60),"Cek tahun laycan",IF(AND(ISNUMBER(Q174),ISNUMBER(N174),Q174&lt;N174),"Berangkat sebelum laycan",IF(NOT(ISNUMBER(AE174)),"S belum ada","OK"))))))</f>
        <v>OK</v>
      </c>
    </row>
    <row r="175" customFormat="false" ht="15" hidden="false" customHeight="false" outlineLevel="0" collapsed="false">
      <c r="A175" s="16" t="n">
        <f aca="false">IF(B175="","",ROW()-4)</f>
        <v>171</v>
      </c>
      <c r="B175" s="12" t="s">
        <v>523</v>
      </c>
      <c r="C175" s="16" t="s">
        <v>523</v>
      </c>
      <c r="D175" s="16" t="n">
        <v>2023</v>
      </c>
      <c r="E175" s="16"/>
      <c r="F175" s="16" t="s">
        <v>560</v>
      </c>
      <c r="G175" s="16" t="s">
        <v>77</v>
      </c>
      <c r="H175" s="16" t="s">
        <v>561</v>
      </c>
      <c r="I175" s="16" t="s">
        <v>562</v>
      </c>
      <c r="J175" s="16"/>
      <c r="K175" s="16" t="n">
        <v>18528.298</v>
      </c>
      <c r="L175" s="13"/>
      <c r="M175" s="13"/>
      <c r="N175" s="13" t="n">
        <v>45091</v>
      </c>
      <c r="O175" s="13" t="n">
        <v>45093</v>
      </c>
      <c r="P175" s="13"/>
      <c r="Q175" s="13" t="n">
        <v>45094</v>
      </c>
      <c r="R175" s="13" t="n">
        <v>45104</v>
      </c>
      <c r="S175" s="13"/>
      <c r="T175" s="13"/>
      <c r="U175" s="12" t="s">
        <v>80</v>
      </c>
      <c r="V175" s="14"/>
      <c r="W175" s="16"/>
      <c r="X175" s="16" t="s">
        <v>563</v>
      </c>
      <c r="Y175" s="16" t="n">
        <v>10</v>
      </c>
      <c r="Z175" s="16" t="s">
        <v>81</v>
      </c>
      <c r="AA175" s="15" t="str">
        <f aca="false">IF(AND(ISNUMBER(L175),ISNUMBER(M175)),M175-L175,"")</f>
        <v/>
      </c>
      <c r="AB175" s="15" t="str">
        <f aca="false">IF(AND(ISNUMBER(M175),ISNUMBER(P175)),P175-M175,"")</f>
        <v/>
      </c>
      <c r="AC175" s="15" t="str">
        <f aca="false">IF(AND(ISNUMBER(L175),ISNUMBER(P175)),P175-L175,"")</f>
        <v/>
      </c>
      <c r="AD175" s="15" t="str">
        <f aca="false">IF(AND(ISNUMBER(P175),ISNUMBER(Q175)),Q175-P175,"")</f>
        <v/>
      </c>
      <c r="AE175" s="15" t="n">
        <f aca="false">IF(AND(ISNUMBER(Q175),ISNUMBER(R175)),R175-Q175,IF(ISNUMBER(Y175),Y175,""))</f>
        <v>10</v>
      </c>
      <c r="AF175" s="15" t="str">
        <f aca="false">IF(AND(ISNUMBER(R175),ISNUMBER(S175)),S175-R175,"")</f>
        <v/>
      </c>
      <c r="AG175" s="15" t="str">
        <f aca="false">IF(AND(ISNUMBER(S175),ISNUMBER(T175)),T175-S175,"")</f>
        <v/>
      </c>
      <c r="AH175" s="15" t="str">
        <f aca="false">IF(AND(ISNUMBER(L175),ISNUMBER(T175)),T175-L175,"")</f>
        <v/>
      </c>
      <c r="AI175" s="15" t="n">
        <f aca="false">IF(AND(ISNUMBER(O175),ISNUMBER(Q175)),Q175-O175,"")</f>
        <v>1</v>
      </c>
      <c r="AJ175" s="15" t="str">
        <f aca="false">IF(B175="","",COUNT(L175:M175,P175:T175)&amp;"/7")</f>
        <v>2/7</v>
      </c>
      <c r="AK175" s="15" t="str">
        <f aca="false">IF(B175="","",IF(OR(AND(ISNUMBER(L175),ISNUMBER(M175),M175&lt;L175),AND(ISNUMBER(M175),ISNUMBER(P175),P175&lt;M175),AND(ISNUMBER(P175),ISNUMBER(Q175),Q175&lt;P175),AND(ISNUMBER(Q175),ISNUMBER(R175),R175&lt;Q175),AND(ISNUMBER(R175),ISNUMBER(S175),S175&lt;R175),AND(ISNUMBER(S175),ISNUMBER(T175),T175&lt;S175),AND(ISNUMBER(N175),ISNUMBER(O175),O175&lt;N175)),"Urutan tanggal salah",IF(AND(ISNUMBER(Q175),ISNUMBER(R175),ISNUMBER(Y175),ABS(R175-Q175-Y175)&gt;2),"S tanggal ≠ Sailing tercatat",IF(AND(ISNUMBER(Q175),ISNUMBER(O175),ABS(Q175-O175)&gt;60),"Cek tahun laycan",IF(AND(ISNUMBER(Q175),ISNUMBER(N175),Q175&lt;N175),"Berangkat sebelum laycan",IF(NOT(ISNUMBER(AE175)),"S belum ada","OK"))))))</f>
        <v>OK</v>
      </c>
    </row>
    <row r="176" customFormat="false" ht="15" hidden="false" customHeight="false" outlineLevel="0" collapsed="false">
      <c r="A176" s="16" t="n">
        <f aca="false">IF(B176="","",ROW()-4)</f>
        <v>172</v>
      </c>
      <c r="B176" s="12" t="s">
        <v>523</v>
      </c>
      <c r="C176" s="16" t="s">
        <v>523</v>
      </c>
      <c r="D176" s="16" t="n">
        <v>2023</v>
      </c>
      <c r="E176" s="16" t="s">
        <v>540</v>
      </c>
      <c r="F176" s="16" t="s">
        <v>541</v>
      </c>
      <c r="G176" s="16" t="s">
        <v>77</v>
      </c>
      <c r="H176" s="16" t="s">
        <v>564</v>
      </c>
      <c r="I176" s="16" t="s">
        <v>565</v>
      </c>
      <c r="J176" s="16"/>
      <c r="K176" s="16" t="n">
        <v>20000</v>
      </c>
      <c r="L176" s="13"/>
      <c r="M176" s="13"/>
      <c r="N176" s="13" t="n">
        <v>45100</v>
      </c>
      <c r="O176" s="13" t="n">
        <v>45107</v>
      </c>
      <c r="P176" s="13"/>
      <c r="Q176" s="13" t="n">
        <v>45108</v>
      </c>
      <c r="R176" s="13" t="n">
        <v>45109</v>
      </c>
      <c r="S176" s="13"/>
      <c r="T176" s="13"/>
      <c r="U176" s="12" t="s">
        <v>80</v>
      </c>
      <c r="V176" s="14"/>
      <c r="W176" s="16"/>
      <c r="X176" s="16" t="s">
        <v>566</v>
      </c>
      <c r="Y176" s="16" t="n">
        <v>5</v>
      </c>
      <c r="Z176" s="16" t="s">
        <v>81</v>
      </c>
      <c r="AA176" s="15" t="str">
        <f aca="false">IF(AND(ISNUMBER(L176),ISNUMBER(M176)),M176-L176,"")</f>
        <v/>
      </c>
      <c r="AB176" s="15" t="str">
        <f aca="false">IF(AND(ISNUMBER(M176),ISNUMBER(P176)),P176-M176,"")</f>
        <v/>
      </c>
      <c r="AC176" s="15" t="str">
        <f aca="false">IF(AND(ISNUMBER(L176),ISNUMBER(P176)),P176-L176,"")</f>
        <v/>
      </c>
      <c r="AD176" s="15" t="str">
        <f aca="false">IF(AND(ISNUMBER(P176),ISNUMBER(Q176)),Q176-P176,"")</f>
        <v/>
      </c>
      <c r="AE176" s="15" t="n">
        <f aca="false">IF(AND(ISNUMBER(Q176),ISNUMBER(R176)),R176-Q176,IF(ISNUMBER(Y176),Y176,""))</f>
        <v>1</v>
      </c>
      <c r="AF176" s="15" t="str">
        <f aca="false">IF(AND(ISNUMBER(R176),ISNUMBER(S176)),S176-R176,"")</f>
        <v/>
      </c>
      <c r="AG176" s="15" t="str">
        <f aca="false">IF(AND(ISNUMBER(S176),ISNUMBER(T176)),T176-S176,"")</f>
        <v/>
      </c>
      <c r="AH176" s="15" t="str">
        <f aca="false">IF(AND(ISNUMBER(L176),ISNUMBER(T176)),T176-L176,"")</f>
        <v/>
      </c>
      <c r="AI176" s="15" t="n">
        <f aca="false">IF(AND(ISNUMBER(O176),ISNUMBER(Q176)),Q176-O176,"")</f>
        <v>1</v>
      </c>
      <c r="AJ176" s="15" t="str">
        <f aca="false">IF(B176="","",COUNT(L176:M176,P176:T176)&amp;"/7")</f>
        <v>2/7</v>
      </c>
      <c r="AK176" s="15" t="str">
        <f aca="false">IF(B176="","",IF(OR(AND(ISNUMBER(L176),ISNUMBER(M176),M176&lt;L176),AND(ISNUMBER(M176),ISNUMBER(P176),P176&lt;M176),AND(ISNUMBER(P176),ISNUMBER(Q176),Q176&lt;P176),AND(ISNUMBER(Q176),ISNUMBER(R176),R176&lt;Q176),AND(ISNUMBER(R176),ISNUMBER(S176),S176&lt;R176),AND(ISNUMBER(S176),ISNUMBER(T176),T176&lt;S176),AND(ISNUMBER(N176),ISNUMBER(O176),O176&lt;N176)),"Urutan tanggal salah",IF(AND(ISNUMBER(Q176),ISNUMBER(R176),ISNUMBER(Y176),ABS(R176-Q176-Y176)&gt;2),"S tanggal ≠ Sailing tercatat",IF(AND(ISNUMBER(Q176),ISNUMBER(O176),ABS(Q176-O176)&gt;60),"Cek tahun laycan",IF(AND(ISNUMBER(Q176),ISNUMBER(N176),Q176&lt;N176),"Berangkat sebelum laycan",IF(NOT(ISNUMBER(AE176)),"S belum ada","OK"))))))</f>
        <v>S tanggal ≠ Sailing tercatat</v>
      </c>
    </row>
    <row r="177" customFormat="false" ht="15" hidden="false" customHeight="false" outlineLevel="0" collapsed="false">
      <c r="A177" s="16" t="n">
        <f aca="false">IF(B177="","",ROW()-4)</f>
        <v>173</v>
      </c>
      <c r="B177" s="12" t="s">
        <v>523</v>
      </c>
      <c r="C177" s="16" t="s">
        <v>523</v>
      </c>
      <c r="D177" s="16" t="n">
        <v>2023</v>
      </c>
      <c r="E177" s="16" t="s">
        <v>261</v>
      </c>
      <c r="F177" s="16" t="s">
        <v>261</v>
      </c>
      <c r="G177" s="16" t="s">
        <v>77</v>
      </c>
      <c r="H177" s="16" t="s">
        <v>258</v>
      </c>
      <c r="I177" s="16" t="s">
        <v>567</v>
      </c>
      <c r="J177" s="16"/>
      <c r="K177" s="16" t="n">
        <v>20821.974</v>
      </c>
      <c r="L177" s="13"/>
      <c r="M177" s="13"/>
      <c r="N177" s="13" t="n">
        <v>45102</v>
      </c>
      <c r="O177" s="13" t="n">
        <v>45109</v>
      </c>
      <c r="P177" s="13"/>
      <c r="Q177" s="13" t="n">
        <v>45109</v>
      </c>
      <c r="R177" s="13" t="n">
        <v>45114</v>
      </c>
      <c r="S177" s="13"/>
      <c r="T177" s="13"/>
      <c r="U177" s="12" t="s">
        <v>80</v>
      </c>
      <c r="V177" s="14"/>
      <c r="W177" s="16"/>
      <c r="X177" s="16" t="s">
        <v>568</v>
      </c>
      <c r="Y177" s="16" t="n">
        <v>5</v>
      </c>
      <c r="Z177" s="16" t="s">
        <v>81</v>
      </c>
      <c r="AA177" s="15" t="str">
        <f aca="false">IF(AND(ISNUMBER(L177),ISNUMBER(M177)),M177-L177,"")</f>
        <v/>
      </c>
      <c r="AB177" s="15" t="str">
        <f aca="false">IF(AND(ISNUMBER(M177),ISNUMBER(P177)),P177-M177,"")</f>
        <v/>
      </c>
      <c r="AC177" s="15" t="str">
        <f aca="false">IF(AND(ISNUMBER(L177),ISNUMBER(P177)),P177-L177,"")</f>
        <v/>
      </c>
      <c r="AD177" s="15" t="str">
        <f aca="false">IF(AND(ISNUMBER(P177),ISNUMBER(Q177)),Q177-P177,"")</f>
        <v/>
      </c>
      <c r="AE177" s="15" t="n">
        <f aca="false">IF(AND(ISNUMBER(Q177),ISNUMBER(R177)),R177-Q177,IF(ISNUMBER(Y177),Y177,""))</f>
        <v>5</v>
      </c>
      <c r="AF177" s="15" t="str">
        <f aca="false">IF(AND(ISNUMBER(R177),ISNUMBER(S177)),S177-R177,"")</f>
        <v/>
      </c>
      <c r="AG177" s="15" t="str">
        <f aca="false">IF(AND(ISNUMBER(S177),ISNUMBER(T177)),T177-S177,"")</f>
        <v/>
      </c>
      <c r="AH177" s="15" t="str">
        <f aca="false">IF(AND(ISNUMBER(L177),ISNUMBER(T177)),T177-L177,"")</f>
        <v/>
      </c>
      <c r="AI177" s="15" t="n">
        <f aca="false">IF(AND(ISNUMBER(O177),ISNUMBER(Q177)),Q177-O177,"")</f>
        <v>0</v>
      </c>
      <c r="AJ177" s="15" t="str">
        <f aca="false">IF(B177="","",COUNT(L177:M177,P177:T177)&amp;"/7")</f>
        <v>2/7</v>
      </c>
      <c r="AK177" s="15" t="str">
        <f aca="false">IF(B177="","",IF(OR(AND(ISNUMBER(L177),ISNUMBER(M177),M177&lt;L177),AND(ISNUMBER(M177),ISNUMBER(P177),P177&lt;M177),AND(ISNUMBER(P177),ISNUMBER(Q177),Q177&lt;P177),AND(ISNUMBER(Q177),ISNUMBER(R177),R177&lt;Q177),AND(ISNUMBER(R177),ISNUMBER(S177),S177&lt;R177),AND(ISNUMBER(S177),ISNUMBER(T177),T177&lt;S177),AND(ISNUMBER(N177),ISNUMBER(O177),O177&lt;N177)),"Urutan tanggal salah",IF(AND(ISNUMBER(Q177),ISNUMBER(R177),ISNUMBER(Y177),ABS(R177-Q177-Y177)&gt;2),"S tanggal ≠ Sailing tercatat",IF(AND(ISNUMBER(Q177),ISNUMBER(O177),ABS(Q177-O177)&gt;60),"Cek tahun laycan",IF(AND(ISNUMBER(Q177),ISNUMBER(N177),Q177&lt;N177),"Berangkat sebelum laycan",IF(NOT(ISNUMBER(AE177)),"S belum ada","OK"))))))</f>
        <v>OK</v>
      </c>
    </row>
    <row r="178" customFormat="false" ht="15" hidden="false" customHeight="false" outlineLevel="0" collapsed="false">
      <c r="A178" s="16" t="n">
        <f aca="false">IF(B178="","",ROW()-4)</f>
        <v>174</v>
      </c>
      <c r="B178" s="12" t="s">
        <v>523</v>
      </c>
      <c r="C178" s="16" t="s">
        <v>523</v>
      </c>
      <c r="D178" s="16" t="n">
        <v>2023</v>
      </c>
      <c r="E178" s="16" t="s">
        <v>540</v>
      </c>
      <c r="F178" s="16" t="s">
        <v>541</v>
      </c>
      <c r="G178" s="16" t="s">
        <v>77</v>
      </c>
      <c r="H178" s="16" t="s">
        <v>569</v>
      </c>
      <c r="I178" s="16" t="s">
        <v>570</v>
      </c>
      <c r="J178" s="16"/>
      <c r="K178" s="16" t="n">
        <v>18400.587</v>
      </c>
      <c r="L178" s="13"/>
      <c r="M178" s="13"/>
      <c r="N178" s="13" t="n">
        <v>45117</v>
      </c>
      <c r="O178" s="13" t="n">
        <v>45121</v>
      </c>
      <c r="P178" s="13"/>
      <c r="Q178" s="13" t="n">
        <v>45122</v>
      </c>
      <c r="R178" s="13" t="n">
        <v>45127</v>
      </c>
      <c r="S178" s="13"/>
      <c r="T178" s="13"/>
      <c r="U178" s="12" t="s">
        <v>80</v>
      </c>
      <c r="V178" s="14"/>
      <c r="W178" s="16"/>
      <c r="X178" s="16" t="s">
        <v>571</v>
      </c>
      <c r="Y178" s="16" t="n">
        <v>5</v>
      </c>
      <c r="Z178" s="16" t="s">
        <v>81</v>
      </c>
      <c r="AA178" s="15" t="str">
        <f aca="false">IF(AND(ISNUMBER(L178),ISNUMBER(M178)),M178-L178,"")</f>
        <v/>
      </c>
      <c r="AB178" s="15" t="str">
        <f aca="false">IF(AND(ISNUMBER(M178),ISNUMBER(P178)),P178-M178,"")</f>
        <v/>
      </c>
      <c r="AC178" s="15" t="str">
        <f aca="false">IF(AND(ISNUMBER(L178),ISNUMBER(P178)),P178-L178,"")</f>
        <v/>
      </c>
      <c r="AD178" s="15" t="str">
        <f aca="false">IF(AND(ISNUMBER(P178),ISNUMBER(Q178)),Q178-P178,"")</f>
        <v/>
      </c>
      <c r="AE178" s="15" t="n">
        <f aca="false">IF(AND(ISNUMBER(Q178),ISNUMBER(R178)),R178-Q178,IF(ISNUMBER(Y178),Y178,""))</f>
        <v>5</v>
      </c>
      <c r="AF178" s="15" t="str">
        <f aca="false">IF(AND(ISNUMBER(R178),ISNUMBER(S178)),S178-R178,"")</f>
        <v/>
      </c>
      <c r="AG178" s="15" t="str">
        <f aca="false">IF(AND(ISNUMBER(S178),ISNUMBER(T178)),T178-S178,"")</f>
        <v/>
      </c>
      <c r="AH178" s="15" t="str">
        <f aca="false">IF(AND(ISNUMBER(L178),ISNUMBER(T178)),T178-L178,"")</f>
        <v/>
      </c>
      <c r="AI178" s="15" t="n">
        <f aca="false">IF(AND(ISNUMBER(O178),ISNUMBER(Q178)),Q178-O178,"")</f>
        <v>1</v>
      </c>
      <c r="AJ178" s="15" t="str">
        <f aca="false">IF(B178="","",COUNT(L178:M178,P178:T178)&amp;"/7")</f>
        <v>2/7</v>
      </c>
      <c r="AK178" s="15" t="str">
        <f aca="false">IF(B178="","",IF(OR(AND(ISNUMBER(L178),ISNUMBER(M178),M178&lt;L178),AND(ISNUMBER(M178),ISNUMBER(P178),P178&lt;M178),AND(ISNUMBER(P178),ISNUMBER(Q178),Q178&lt;P178),AND(ISNUMBER(Q178),ISNUMBER(R178),R178&lt;Q178),AND(ISNUMBER(R178),ISNUMBER(S178),S178&lt;R178),AND(ISNUMBER(S178),ISNUMBER(T178),T178&lt;S178),AND(ISNUMBER(N178),ISNUMBER(O178),O178&lt;N178)),"Urutan tanggal salah",IF(AND(ISNUMBER(Q178),ISNUMBER(R178),ISNUMBER(Y178),ABS(R178-Q178-Y178)&gt;2),"S tanggal ≠ Sailing tercatat",IF(AND(ISNUMBER(Q178),ISNUMBER(O178),ABS(Q178-O178)&gt;60),"Cek tahun laycan",IF(AND(ISNUMBER(Q178),ISNUMBER(N178),Q178&lt;N178),"Berangkat sebelum laycan",IF(NOT(ISNUMBER(AE178)),"S belum ada","OK"))))))</f>
        <v>OK</v>
      </c>
    </row>
    <row r="179" customFormat="false" ht="15" hidden="false" customHeight="false" outlineLevel="0" collapsed="false">
      <c r="A179" s="16" t="n">
        <f aca="false">IF(B179="","",ROW()-4)</f>
        <v>175</v>
      </c>
      <c r="B179" s="12" t="s">
        <v>523</v>
      </c>
      <c r="C179" s="16" t="s">
        <v>523</v>
      </c>
      <c r="D179" s="16" t="n">
        <v>2024</v>
      </c>
      <c r="E179" s="16" t="s">
        <v>261</v>
      </c>
      <c r="F179" s="16" t="s">
        <v>572</v>
      </c>
      <c r="G179" s="16" t="s">
        <v>77</v>
      </c>
      <c r="H179" s="16" t="s">
        <v>295</v>
      </c>
      <c r="I179" s="16" t="s">
        <v>573</v>
      </c>
      <c r="J179" s="16"/>
      <c r="K179" s="16" t="n">
        <v>19000</v>
      </c>
      <c r="L179" s="13"/>
      <c r="M179" s="13"/>
      <c r="N179" s="13" t="n">
        <v>45506</v>
      </c>
      <c r="O179" s="13" t="n">
        <v>45509</v>
      </c>
      <c r="P179" s="13"/>
      <c r="Q179" s="13" t="n">
        <v>45510</v>
      </c>
      <c r="R179" s="13" t="n">
        <v>45519</v>
      </c>
      <c r="S179" s="13"/>
      <c r="T179" s="13"/>
      <c r="U179" s="12" t="s">
        <v>80</v>
      </c>
      <c r="V179" s="14"/>
      <c r="W179" s="16" t="s">
        <v>574</v>
      </c>
      <c r="X179" s="16" t="s">
        <v>575</v>
      </c>
      <c r="Y179" s="16" t="n">
        <v>9</v>
      </c>
      <c r="Z179" s="16" t="s">
        <v>81</v>
      </c>
      <c r="AA179" s="15" t="str">
        <f aca="false">IF(AND(ISNUMBER(L179),ISNUMBER(M179)),M179-L179,"")</f>
        <v/>
      </c>
      <c r="AB179" s="15" t="str">
        <f aca="false">IF(AND(ISNUMBER(M179),ISNUMBER(P179)),P179-M179,"")</f>
        <v/>
      </c>
      <c r="AC179" s="15" t="str">
        <f aca="false">IF(AND(ISNUMBER(L179),ISNUMBER(P179)),P179-L179,"")</f>
        <v/>
      </c>
      <c r="AD179" s="15" t="str">
        <f aca="false">IF(AND(ISNUMBER(P179),ISNUMBER(Q179)),Q179-P179,"")</f>
        <v/>
      </c>
      <c r="AE179" s="15" t="n">
        <f aca="false">IF(AND(ISNUMBER(Q179),ISNUMBER(R179)),R179-Q179,IF(ISNUMBER(Y179),Y179,""))</f>
        <v>9</v>
      </c>
      <c r="AF179" s="15" t="str">
        <f aca="false">IF(AND(ISNUMBER(R179),ISNUMBER(S179)),S179-R179,"")</f>
        <v/>
      </c>
      <c r="AG179" s="15" t="str">
        <f aca="false">IF(AND(ISNUMBER(S179),ISNUMBER(T179)),T179-S179,"")</f>
        <v/>
      </c>
      <c r="AH179" s="15" t="str">
        <f aca="false">IF(AND(ISNUMBER(L179),ISNUMBER(T179)),T179-L179,"")</f>
        <v/>
      </c>
      <c r="AI179" s="15" t="n">
        <f aca="false">IF(AND(ISNUMBER(O179),ISNUMBER(Q179)),Q179-O179,"")</f>
        <v>1</v>
      </c>
      <c r="AJ179" s="15" t="str">
        <f aca="false">IF(B179="","",COUNT(L179:M179,P179:T179)&amp;"/7")</f>
        <v>2/7</v>
      </c>
      <c r="AK179" s="15" t="str">
        <f aca="false">IF(B179="","",IF(OR(AND(ISNUMBER(L179),ISNUMBER(M179),M179&lt;L179),AND(ISNUMBER(M179),ISNUMBER(P179),P179&lt;M179),AND(ISNUMBER(P179),ISNUMBER(Q179),Q179&lt;P179),AND(ISNUMBER(Q179),ISNUMBER(R179),R179&lt;Q179),AND(ISNUMBER(R179),ISNUMBER(S179),S179&lt;R179),AND(ISNUMBER(S179),ISNUMBER(T179),T179&lt;S179),AND(ISNUMBER(N179),ISNUMBER(O179),O179&lt;N179)),"Urutan tanggal salah",IF(AND(ISNUMBER(Q179),ISNUMBER(R179),ISNUMBER(Y179),ABS(R179-Q179-Y179)&gt;2),"S tanggal ≠ Sailing tercatat",IF(AND(ISNUMBER(Q179),ISNUMBER(O179),ABS(Q179-O179)&gt;60),"Cek tahun laycan",IF(AND(ISNUMBER(Q179),ISNUMBER(N179),Q179&lt;N179),"Berangkat sebelum laycan",IF(NOT(ISNUMBER(AE179)),"S belum ada","OK"))))))</f>
        <v>OK</v>
      </c>
    </row>
    <row r="180" customFormat="false" ht="15" hidden="false" customHeight="false" outlineLevel="0" collapsed="false">
      <c r="A180" s="16" t="n">
        <f aca="false">IF(B180="","",ROW()-4)</f>
        <v>176</v>
      </c>
      <c r="B180" s="12" t="s">
        <v>523</v>
      </c>
      <c r="C180" s="16" t="s">
        <v>523</v>
      </c>
      <c r="D180" s="16" t="n">
        <v>2024</v>
      </c>
      <c r="E180" s="16" t="s">
        <v>261</v>
      </c>
      <c r="F180" s="16" t="s">
        <v>576</v>
      </c>
      <c r="G180" s="16" t="s">
        <v>77</v>
      </c>
      <c r="H180" s="16" t="s">
        <v>295</v>
      </c>
      <c r="I180" s="16" t="s">
        <v>577</v>
      </c>
      <c r="J180" s="16"/>
      <c r="K180" s="16" t="n">
        <v>20000</v>
      </c>
      <c r="L180" s="13"/>
      <c r="M180" s="13"/>
      <c r="N180" s="13" t="n">
        <v>45524</v>
      </c>
      <c r="O180" s="13" t="n">
        <v>45529</v>
      </c>
      <c r="P180" s="13"/>
      <c r="Q180" s="13" t="n">
        <v>45530</v>
      </c>
      <c r="R180" s="13" t="n">
        <v>45544</v>
      </c>
      <c r="S180" s="13"/>
      <c r="T180" s="13"/>
      <c r="U180" s="12" t="s">
        <v>80</v>
      </c>
      <c r="V180" s="14"/>
      <c r="W180" s="16" t="s">
        <v>578</v>
      </c>
      <c r="X180" s="16" t="s">
        <v>579</v>
      </c>
      <c r="Y180" s="16" t="n">
        <v>14</v>
      </c>
      <c r="Z180" s="16" t="s">
        <v>81</v>
      </c>
      <c r="AA180" s="15" t="str">
        <f aca="false">IF(AND(ISNUMBER(L180),ISNUMBER(M180)),M180-L180,"")</f>
        <v/>
      </c>
      <c r="AB180" s="15" t="str">
        <f aca="false">IF(AND(ISNUMBER(M180),ISNUMBER(P180)),P180-M180,"")</f>
        <v/>
      </c>
      <c r="AC180" s="15" t="str">
        <f aca="false">IF(AND(ISNUMBER(L180),ISNUMBER(P180)),P180-L180,"")</f>
        <v/>
      </c>
      <c r="AD180" s="15" t="str">
        <f aca="false">IF(AND(ISNUMBER(P180),ISNUMBER(Q180)),Q180-P180,"")</f>
        <v/>
      </c>
      <c r="AE180" s="15" t="n">
        <f aca="false">IF(AND(ISNUMBER(Q180),ISNUMBER(R180)),R180-Q180,IF(ISNUMBER(Y180),Y180,""))</f>
        <v>14</v>
      </c>
      <c r="AF180" s="15" t="str">
        <f aca="false">IF(AND(ISNUMBER(R180),ISNUMBER(S180)),S180-R180,"")</f>
        <v/>
      </c>
      <c r="AG180" s="15" t="str">
        <f aca="false">IF(AND(ISNUMBER(S180),ISNUMBER(T180)),T180-S180,"")</f>
        <v/>
      </c>
      <c r="AH180" s="15" t="str">
        <f aca="false">IF(AND(ISNUMBER(L180),ISNUMBER(T180)),T180-L180,"")</f>
        <v/>
      </c>
      <c r="AI180" s="15" t="n">
        <f aca="false">IF(AND(ISNUMBER(O180),ISNUMBER(Q180)),Q180-O180,"")</f>
        <v>1</v>
      </c>
      <c r="AJ180" s="15" t="str">
        <f aca="false">IF(B180="","",COUNT(L180:M180,P180:T180)&amp;"/7")</f>
        <v>2/7</v>
      </c>
      <c r="AK180" s="15" t="str">
        <f aca="false">IF(B180="","",IF(OR(AND(ISNUMBER(L180),ISNUMBER(M180),M180&lt;L180),AND(ISNUMBER(M180),ISNUMBER(P180),P180&lt;M180),AND(ISNUMBER(P180),ISNUMBER(Q180),Q180&lt;P180),AND(ISNUMBER(Q180),ISNUMBER(R180),R180&lt;Q180),AND(ISNUMBER(R180),ISNUMBER(S180),S180&lt;R180),AND(ISNUMBER(S180),ISNUMBER(T180),T180&lt;S180),AND(ISNUMBER(N180),ISNUMBER(O180),O180&lt;N180)),"Urutan tanggal salah",IF(AND(ISNUMBER(Q180),ISNUMBER(R180),ISNUMBER(Y180),ABS(R180-Q180-Y180)&gt;2),"S tanggal ≠ Sailing tercatat",IF(AND(ISNUMBER(Q180),ISNUMBER(O180),ABS(Q180-O180)&gt;60),"Cek tahun laycan",IF(AND(ISNUMBER(Q180),ISNUMBER(N180),Q180&lt;N180),"Berangkat sebelum laycan",IF(NOT(ISNUMBER(AE180)),"S belum ada","OK"))))))</f>
        <v>OK</v>
      </c>
    </row>
    <row r="181" customFormat="false" ht="15" hidden="false" customHeight="false" outlineLevel="0" collapsed="false">
      <c r="A181" s="16" t="n">
        <f aca="false">IF(B181="","",ROW()-4)</f>
        <v>177</v>
      </c>
      <c r="B181" s="12" t="s">
        <v>523</v>
      </c>
      <c r="C181" s="16" t="s">
        <v>523</v>
      </c>
      <c r="D181" s="16" t="n">
        <v>2024</v>
      </c>
      <c r="E181" s="16" t="s">
        <v>548</v>
      </c>
      <c r="F181" s="16" t="s">
        <v>580</v>
      </c>
      <c r="G181" s="16" t="s">
        <v>77</v>
      </c>
      <c r="H181" s="16" t="s">
        <v>581</v>
      </c>
      <c r="I181" s="16" t="s">
        <v>582</v>
      </c>
      <c r="J181" s="16"/>
      <c r="K181" s="16" t="n">
        <v>20000</v>
      </c>
      <c r="L181" s="13"/>
      <c r="M181" s="13"/>
      <c r="N181" s="13" t="n">
        <v>45515</v>
      </c>
      <c r="O181" s="13" t="n">
        <v>45518</v>
      </c>
      <c r="P181" s="13"/>
      <c r="Q181" s="13" t="n">
        <v>45519</v>
      </c>
      <c r="R181" s="13" t="n">
        <v>45528</v>
      </c>
      <c r="S181" s="13"/>
      <c r="T181" s="13"/>
      <c r="U181" s="12" t="s">
        <v>80</v>
      </c>
      <c r="V181" s="14"/>
      <c r="W181" s="16" t="s">
        <v>583</v>
      </c>
      <c r="X181" s="16" t="s">
        <v>584</v>
      </c>
      <c r="Y181" s="16" t="n">
        <v>9</v>
      </c>
      <c r="Z181" s="16" t="s">
        <v>81</v>
      </c>
      <c r="AA181" s="15" t="str">
        <f aca="false">IF(AND(ISNUMBER(L181),ISNUMBER(M181)),M181-L181,"")</f>
        <v/>
      </c>
      <c r="AB181" s="15" t="str">
        <f aca="false">IF(AND(ISNUMBER(M181),ISNUMBER(P181)),P181-M181,"")</f>
        <v/>
      </c>
      <c r="AC181" s="15" t="str">
        <f aca="false">IF(AND(ISNUMBER(L181),ISNUMBER(P181)),P181-L181,"")</f>
        <v/>
      </c>
      <c r="AD181" s="15" t="str">
        <f aca="false">IF(AND(ISNUMBER(P181),ISNUMBER(Q181)),Q181-P181,"")</f>
        <v/>
      </c>
      <c r="AE181" s="15" t="n">
        <f aca="false">IF(AND(ISNUMBER(Q181),ISNUMBER(R181)),R181-Q181,IF(ISNUMBER(Y181),Y181,""))</f>
        <v>9</v>
      </c>
      <c r="AF181" s="15" t="str">
        <f aca="false">IF(AND(ISNUMBER(R181),ISNUMBER(S181)),S181-R181,"")</f>
        <v/>
      </c>
      <c r="AG181" s="15" t="str">
        <f aca="false">IF(AND(ISNUMBER(S181),ISNUMBER(T181)),T181-S181,"")</f>
        <v/>
      </c>
      <c r="AH181" s="15" t="str">
        <f aca="false">IF(AND(ISNUMBER(L181),ISNUMBER(T181)),T181-L181,"")</f>
        <v/>
      </c>
      <c r="AI181" s="15" t="n">
        <f aca="false">IF(AND(ISNUMBER(O181),ISNUMBER(Q181)),Q181-O181,"")</f>
        <v>1</v>
      </c>
      <c r="AJ181" s="15" t="str">
        <f aca="false">IF(B181="","",COUNT(L181:M181,P181:T181)&amp;"/7")</f>
        <v>2/7</v>
      </c>
      <c r="AK181" s="15" t="str">
        <f aca="false">IF(B181="","",IF(OR(AND(ISNUMBER(L181),ISNUMBER(M181),M181&lt;L181),AND(ISNUMBER(M181),ISNUMBER(P181),P181&lt;M181),AND(ISNUMBER(P181),ISNUMBER(Q181),Q181&lt;P181),AND(ISNUMBER(Q181),ISNUMBER(R181),R181&lt;Q181),AND(ISNUMBER(R181),ISNUMBER(S181),S181&lt;R181),AND(ISNUMBER(S181),ISNUMBER(T181),T181&lt;S181),AND(ISNUMBER(N181),ISNUMBER(O181),O181&lt;N181)),"Urutan tanggal salah",IF(AND(ISNUMBER(Q181),ISNUMBER(R181),ISNUMBER(Y181),ABS(R181-Q181-Y181)&gt;2),"S tanggal ≠ Sailing tercatat",IF(AND(ISNUMBER(Q181),ISNUMBER(O181),ABS(Q181-O181)&gt;60),"Cek tahun laycan",IF(AND(ISNUMBER(Q181),ISNUMBER(N181),Q181&lt;N181),"Berangkat sebelum laycan",IF(NOT(ISNUMBER(AE181)),"S belum ada","OK"))))))</f>
        <v>OK</v>
      </c>
    </row>
    <row r="182" customFormat="false" ht="15" hidden="false" customHeight="false" outlineLevel="0" collapsed="false">
      <c r="A182" s="16" t="n">
        <f aca="false">IF(B182="","",ROW()-4)</f>
        <v>178</v>
      </c>
      <c r="B182" s="12" t="s">
        <v>523</v>
      </c>
      <c r="C182" s="16" t="s">
        <v>523</v>
      </c>
      <c r="D182" s="16" t="n">
        <v>2024</v>
      </c>
      <c r="E182" s="16" t="s">
        <v>261</v>
      </c>
      <c r="F182" s="16" t="s">
        <v>585</v>
      </c>
      <c r="G182" s="16" t="s">
        <v>77</v>
      </c>
      <c r="H182" s="16" t="s">
        <v>586</v>
      </c>
      <c r="I182" s="16" t="s">
        <v>587</v>
      </c>
      <c r="J182" s="16"/>
      <c r="K182" s="16" t="n">
        <v>18805.729</v>
      </c>
      <c r="L182" s="13"/>
      <c r="M182" s="13"/>
      <c r="N182" s="13" t="n">
        <v>45484</v>
      </c>
      <c r="O182" s="13" t="n">
        <v>45488</v>
      </c>
      <c r="P182" s="13"/>
      <c r="Q182" s="13" t="n">
        <v>45489</v>
      </c>
      <c r="R182" s="13" t="n">
        <v>45497</v>
      </c>
      <c r="S182" s="13"/>
      <c r="T182" s="13"/>
      <c r="U182" s="12" t="s">
        <v>80</v>
      </c>
      <c r="V182" s="14"/>
      <c r="W182" s="16"/>
      <c r="X182" s="16" t="s">
        <v>588</v>
      </c>
      <c r="Y182" s="16" t="n">
        <v>8</v>
      </c>
      <c r="Z182" s="16" t="s">
        <v>81</v>
      </c>
      <c r="AA182" s="15" t="str">
        <f aca="false">IF(AND(ISNUMBER(L182),ISNUMBER(M182)),M182-L182,"")</f>
        <v/>
      </c>
      <c r="AB182" s="15" t="str">
        <f aca="false">IF(AND(ISNUMBER(M182),ISNUMBER(P182)),P182-M182,"")</f>
        <v/>
      </c>
      <c r="AC182" s="15" t="str">
        <f aca="false">IF(AND(ISNUMBER(L182),ISNUMBER(P182)),P182-L182,"")</f>
        <v/>
      </c>
      <c r="AD182" s="15" t="str">
        <f aca="false">IF(AND(ISNUMBER(P182),ISNUMBER(Q182)),Q182-P182,"")</f>
        <v/>
      </c>
      <c r="AE182" s="15" t="n">
        <f aca="false">IF(AND(ISNUMBER(Q182),ISNUMBER(R182)),R182-Q182,IF(ISNUMBER(Y182),Y182,""))</f>
        <v>8</v>
      </c>
      <c r="AF182" s="15" t="str">
        <f aca="false">IF(AND(ISNUMBER(R182),ISNUMBER(S182)),S182-R182,"")</f>
        <v/>
      </c>
      <c r="AG182" s="15" t="str">
        <f aca="false">IF(AND(ISNUMBER(S182),ISNUMBER(T182)),T182-S182,"")</f>
        <v/>
      </c>
      <c r="AH182" s="15" t="str">
        <f aca="false">IF(AND(ISNUMBER(L182),ISNUMBER(T182)),T182-L182,"")</f>
        <v/>
      </c>
      <c r="AI182" s="15" t="n">
        <f aca="false">IF(AND(ISNUMBER(O182),ISNUMBER(Q182)),Q182-O182,"")</f>
        <v>1</v>
      </c>
      <c r="AJ182" s="15" t="str">
        <f aca="false">IF(B182="","",COUNT(L182:M182,P182:T182)&amp;"/7")</f>
        <v>2/7</v>
      </c>
      <c r="AK182" s="15" t="str">
        <f aca="false">IF(B182="","",IF(OR(AND(ISNUMBER(L182),ISNUMBER(M182),M182&lt;L182),AND(ISNUMBER(M182),ISNUMBER(P182),P182&lt;M182),AND(ISNUMBER(P182),ISNUMBER(Q182),Q182&lt;P182),AND(ISNUMBER(Q182),ISNUMBER(R182),R182&lt;Q182),AND(ISNUMBER(R182),ISNUMBER(S182),S182&lt;R182),AND(ISNUMBER(S182),ISNUMBER(T182),T182&lt;S182),AND(ISNUMBER(N182),ISNUMBER(O182),O182&lt;N182)),"Urutan tanggal salah",IF(AND(ISNUMBER(Q182),ISNUMBER(R182),ISNUMBER(Y182),ABS(R182-Q182-Y182)&gt;2),"S tanggal ≠ Sailing tercatat",IF(AND(ISNUMBER(Q182),ISNUMBER(O182),ABS(Q182-O182)&gt;60),"Cek tahun laycan",IF(AND(ISNUMBER(Q182),ISNUMBER(N182),Q182&lt;N182),"Berangkat sebelum laycan",IF(NOT(ISNUMBER(AE182)),"S belum ada","OK"))))))</f>
        <v>OK</v>
      </c>
    </row>
    <row r="183" customFormat="false" ht="15" hidden="false" customHeight="false" outlineLevel="0" collapsed="false">
      <c r="A183" s="16" t="n">
        <f aca="false">IF(B183="","",ROW()-4)</f>
        <v>179</v>
      </c>
      <c r="B183" s="12" t="s">
        <v>523</v>
      </c>
      <c r="C183" s="16" t="s">
        <v>523</v>
      </c>
      <c r="D183" s="16" t="n">
        <v>2024</v>
      </c>
      <c r="E183" s="16" t="s">
        <v>261</v>
      </c>
      <c r="F183" s="16" t="s">
        <v>589</v>
      </c>
      <c r="G183" s="16" t="s">
        <v>77</v>
      </c>
      <c r="H183" s="16" t="s">
        <v>554</v>
      </c>
      <c r="I183" s="16" t="s">
        <v>590</v>
      </c>
      <c r="J183" s="16"/>
      <c r="K183" s="16" t="n">
        <v>19445.19</v>
      </c>
      <c r="L183" s="13"/>
      <c r="M183" s="13"/>
      <c r="N183" s="13" t="n">
        <v>45536</v>
      </c>
      <c r="O183" s="13" t="n">
        <v>45540</v>
      </c>
      <c r="P183" s="13"/>
      <c r="Q183" s="13" t="n">
        <v>45541</v>
      </c>
      <c r="R183" s="13" t="n">
        <v>45552</v>
      </c>
      <c r="S183" s="13"/>
      <c r="T183" s="13"/>
      <c r="U183" s="12" t="s">
        <v>80</v>
      </c>
      <c r="V183" s="14"/>
      <c r="W183" s="16" t="s">
        <v>591</v>
      </c>
      <c r="X183" s="16" t="s">
        <v>592</v>
      </c>
      <c r="Y183" s="16" t="n">
        <v>11</v>
      </c>
      <c r="Z183" s="16" t="s">
        <v>81</v>
      </c>
      <c r="AA183" s="15" t="str">
        <f aca="false">IF(AND(ISNUMBER(L183),ISNUMBER(M183)),M183-L183,"")</f>
        <v/>
      </c>
      <c r="AB183" s="15" t="str">
        <f aca="false">IF(AND(ISNUMBER(M183),ISNUMBER(P183)),P183-M183,"")</f>
        <v/>
      </c>
      <c r="AC183" s="15" t="str">
        <f aca="false">IF(AND(ISNUMBER(L183),ISNUMBER(P183)),P183-L183,"")</f>
        <v/>
      </c>
      <c r="AD183" s="15" t="str">
        <f aca="false">IF(AND(ISNUMBER(P183),ISNUMBER(Q183)),Q183-P183,"")</f>
        <v/>
      </c>
      <c r="AE183" s="15" t="n">
        <f aca="false">IF(AND(ISNUMBER(Q183),ISNUMBER(R183)),R183-Q183,IF(ISNUMBER(Y183),Y183,""))</f>
        <v>11</v>
      </c>
      <c r="AF183" s="15" t="str">
        <f aca="false">IF(AND(ISNUMBER(R183),ISNUMBER(S183)),S183-R183,"")</f>
        <v/>
      </c>
      <c r="AG183" s="15" t="str">
        <f aca="false">IF(AND(ISNUMBER(S183),ISNUMBER(T183)),T183-S183,"")</f>
        <v/>
      </c>
      <c r="AH183" s="15" t="str">
        <f aca="false">IF(AND(ISNUMBER(L183),ISNUMBER(T183)),T183-L183,"")</f>
        <v/>
      </c>
      <c r="AI183" s="15" t="n">
        <f aca="false">IF(AND(ISNUMBER(O183),ISNUMBER(Q183)),Q183-O183,"")</f>
        <v>1</v>
      </c>
      <c r="AJ183" s="15" t="str">
        <f aca="false">IF(B183="","",COUNT(L183:M183,P183:T183)&amp;"/7")</f>
        <v>2/7</v>
      </c>
      <c r="AK183" s="15" t="str">
        <f aca="false">IF(B183="","",IF(OR(AND(ISNUMBER(L183),ISNUMBER(M183),M183&lt;L183),AND(ISNUMBER(M183),ISNUMBER(P183),P183&lt;M183),AND(ISNUMBER(P183),ISNUMBER(Q183),Q183&lt;P183),AND(ISNUMBER(Q183),ISNUMBER(R183),R183&lt;Q183),AND(ISNUMBER(R183),ISNUMBER(S183),S183&lt;R183),AND(ISNUMBER(S183),ISNUMBER(T183),T183&lt;S183),AND(ISNUMBER(N183),ISNUMBER(O183),O183&lt;N183)),"Urutan tanggal salah",IF(AND(ISNUMBER(Q183),ISNUMBER(R183),ISNUMBER(Y183),ABS(R183-Q183-Y183)&gt;2),"S tanggal ≠ Sailing tercatat",IF(AND(ISNUMBER(Q183),ISNUMBER(O183),ABS(Q183-O183)&gt;60),"Cek tahun laycan",IF(AND(ISNUMBER(Q183),ISNUMBER(N183),Q183&lt;N183),"Berangkat sebelum laycan",IF(NOT(ISNUMBER(AE183)),"S belum ada","OK"))))))</f>
        <v>OK</v>
      </c>
    </row>
    <row r="184" customFormat="false" ht="15" hidden="false" customHeight="false" outlineLevel="0" collapsed="false">
      <c r="A184" s="16" t="n">
        <f aca="false">IF(B184="","",ROW()-4)</f>
        <v>180</v>
      </c>
      <c r="B184" s="12" t="s">
        <v>523</v>
      </c>
      <c r="C184" s="16" t="s">
        <v>523</v>
      </c>
      <c r="D184" s="16" t="n">
        <v>2024</v>
      </c>
      <c r="E184" s="16" t="s">
        <v>261</v>
      </c>
      <c r="F184" s="16" t="s">
        <v>589</v>
      </c>
      <c r="G184" s="16" t="s">
        <v>77</v>
      </c>
      <c r="H184" s="16" t="s">
        <v>554</v>
      </c>
      <c r="I184" s="16" t="s">
        <v>593</v>
      </c>
      <c r="J184" s="16"/>
      <c r="K184" s="16" t="n">
        <v>19997.528</v>
      </c>
      <c r="L184" s="13"/>
      <c r="M184" s="13"/>
      <c r="N184" s="13" t="n">
        <v>45564</v>
      </c>
      <c r="O184" s="13" t="n">
        <v>45565</v>
      </c>
      <c r="P184" s="13"/>
      <c r="Q184" s="13" t="n">
        <v>45566</v>
      </c>
      <c r="R184" s="13" t="n">
        <v>45580</v>
      </c>
      <c r="S184" s="13"/>
      <c r="T184" s="13"/>
      <c r="U184" s="12" t="s">
        <v>220</v>
      </c>
      <c r="V184" s="14"/>
      <c r="W184" s="16" t="s">
        <v>594</v>
      </c>
      <c r="X184" s="16" t="s">
        <v>595</v>
      </c>
      <c r="Y184" s="16" t="n">
        <v>14</v>
      </c>
      <c r="Z184" s="16" t="s">
        <v>81</v>
      </c>
      <c r="AA184" s="15" t="str">
        <f aca="false">IF(AND(ISNUMBER(L184),ISNUMBER(M184)),M184-L184,"")</f>
        <v/>
      </c>
      <c r="AB184" s="15" t="str">
        <f aca="false">IF(AND(ISNUMBER(M184),ISNUMBER(P184)),P184-M184,"")</f>
        <v/>
      </c>
      <c r="AC184" s="15" t="str">
        <f aca="false">IF(AND(ISNUMBER(L184),ISNUMBER(P184)),P184-L184,"")</f>
        <v/>
      </c>
      <c r="AD184" s="15" t="str">
        <f aca="false">IF(AND(ISNUMBER(P184),ISNUMBER(Q184)),Q184-P184,"")</f>
        <v/>
      </c>
      <c r="AE184" s="15" t="n">
        <f aca="false">IF(AND(ISNUMBER(Q184),ISNUMBER(R184)),R184-Q184,IF(ISNUMBER(Y184),Y184,""))</f>
        <v>14</v>
      </c>
      <c r="AF184" s="15" t="str">
        <f aca="false">IF(AND(ISNUMBER(R184),ISNUMBER(S184)),S184-R184,"")</f>
        <v/>
      </c>
      <c r="AG184" s="15" t="str">
        <f aca="false">IF(AND(ISNUMBER(S184),ISNUMBER(T184)),T184-S184,"")</f>
        <v/>
      </c>
      <c r="AH184" s="15" t="str">
        <f aca="false">IF(AND(ISNUMBER(L184),ISNUMBER(T184)),T184-L184,"")</f>
        <v/>
      </c>
      <c r="AI184" s="15" t="n">
        <f aca="false">IF(AND(ISNUMBER(O184),ISNUMBER(Q184)),Q184-O184,"")</f>
        <v>1</v>
      </c>
      <c r="AJ184" s="15" t="str">
        <f aca="false">IF(B184="","",COUNT(L184:M184,P184:T184)&amp;"/7")</f>
        <v>2/7</v>
      </c>
      <c r="AK184" s="15" t="str">
        <f aca="false">IF(B184="","",IF(OR(AND(ISNUMBER(L184),ISNUMBER(M184),M184&lt;L184),AND(ISNUMBER(M184),ISNUMBER(P184),P184&lt;M184),AND(ISNUMBER(P184),ISNUMBER(Q184),Q184&lt;P184),AND(ISNUMBER(Q184),ISNUMBER(R184),R184&lt;Q184),AND(ISNUMBER(R184),ISNUMBER(S184),S184&lt;R184),AND(ISNUMBER(S184),ISNUMBER(T184),T184&lt;S184),AND(ISNUMBER(N184),ISNUMBER(O184),O184&lt;N184)),"Urutan tanggal salah",IF(AND(ISNUMBER(Q184),ISNUMBER(R184),ISNUMBER(Y184),ABS(R184-Q184-Y184)&gt;2),"S tanggal ≠ Sailing tercatat",IF(AND(ISNUMBER(Q184),ISNUMBER(O184),ABS(Q184-O184)&gt;60),"Cek tahun laycan",IF(AND(ISNUMBER(Q184),ISNUMBER(N184),Q184&lt;N184),"Berangkat sebelum laycan",IF(NOT(ISNUMBER(AE184)),"S belum ada","OK"))))))</f>
        <v>OK</v>
      </c>
    </row>
    <row r="185" customFormat="false" ht="15" hidden="false" customHeight="false" outlineLevel="0" collapsed="false">
      <c r="A185" s="16" t="n">
        <f aca="false">IF(B185="","",ROW()-4)</f>
        <v>181</v>
      </c>
      <c r="B185" s="12" t="s">
        <v>523</v>
      </c>
      <c r="C185" s="16" t="s">
        <v>523</v>
      </c>
      <c r="D185" s="16" t="n">
        <v>2024</v>
      </c>
      <c r="E185" s="16"/>
      <c r="F185" s="16" t="s">
        <v>589</v>
      </c>
      <c r="G185" s="16" t="s">
        <v>77</v>
      </c>
      <c r="H185" s="16" t="s">
        <v>554</v>
      </c>
      <c r="I185" s="16" t="s">
        <v>596</v>
      </c>
      <c r="J185" s="16"/>
      <c r="K185" s="16" t="n">
        <v>19000</v>
      </c>
      <c r="L185" s="13"/>
      <c r="M185" s="13"/>
      <c r="N185" s="13" t="n">
        <v>45586</v>
      </c>
      <c r="O185" s="13" t="n">
        <v>45595</v>
      </c>
      <c r="P185" s="13"/>
      <c r="Q185" s="13" t="n">
        <v>45596</v>
      </c>
      <c r="R185" s="13" t="n">
        <v>45607</v>
      </c>
      <c r="S185" s="13"/>
      <c r="T185" s="13"/>
      <c r="U185" s="12" t="s">
        <v>224</v>
      </c>
      <c r="V185" s="14"/>
      <c r="W185" s="16" t="s">
        <v>597</v>
      </c>
      <c r="X185" s="16" t="s">
        <v>598</v>
      </c>
      <c r="Y185" s="16" t="n">
        <v>11</v>
      </c>
      <c r="Z185" s="16" t="s">
        <v>81</v>
      </c>
      <c r="AA185" s="15" t="str">
        <f aca="false">IF(AND(ISNUMBER(L185),ISNUMBER(M185)),M185-L185,"")</f>
        <v/>
      </c>
      <c r="AB185" s="15" t="str">
        <f aca="false">IF(AND(ISNUMBER(M185),ISNUMBER(P185)),P185-M185,"")</f>
        <v/>
      </c>
      <c r="AC185" s="15" t="str">
        <f aca="false">IF(AND(ISNUMBER(L185),ISNUMBER(P185)),P185-L185,"")</f>
        <v/>
      </c>
      <c r="AD185" s="15" t="str">
        <f aca="false">IF(AND(ISNUMBER(P185),ISNUMBER(Q185)),Q185-P185,"")</f>
        <v/>
      </c>
      <c r="AE185" s="15" t="n">
        <f aca="false">IF(AND(ISNUMBER(Q185),ISNUMBER(R185)),R185-Q185,IF(ISNUMBER(Y185),Y185,""))</f>
        <v>11</v>
      </c>
      <c r="AF185" s="15" t="str">
        <f aca="false">IF(AND(ISNUMBER(R185),ISNUMBER(S185)),S185-R185,"")</f>
        <v/>
      </c>
      <c r="AG185" s="15" t="str">
        <f aca="false">IF(AND(ISNUMBER(S185),ISNUMBER(T185)),T185-S185,"")</f>
        <v/>
      </c>
      <c r="AH185" s="15" t="str">
        <f aca="false">IF(AND(ISNUMBER(L185),ISNUMBER(T185)),T185-L185,"")</f>
        <v/>
      </c>
      <c r="AI185" s="15" t="n">
        <f aca="false">IF(AND(ISNUMBER(O185),ISNUMBER(Q185)),Q185-O185,"")</f>
        <v>1</v>
      </c>
      <c r="AJ185" s="15" t="str">
        <f aca="false">IF(B185="","",COUNT(L185:M185,P185:T185)&amp;"/7")</f>
        <v>2/7</v>
      </c>
      <c r="AK185" s="15" t="str">
        <f aca="false">IF(B185="","",IF(OR(AND(ISNUMBER(L185),ISNUMBER(M185),M185&lt;L185),AND(ISNUMBER(M185),ISNUMBER(P185),P185&lt;M185),AND(ISNUMBER(P185),ISNUMBER(Q185),Q185&lt;P185),AND(ISNUMBER(Q185),ISNUMBER(R185),R185&lt;Q185),AND(ISNUMBER(R185),ISNUMBER(S185),S185&lt;R185),AND(ISNUMBER(S185),ISNUMBER(T185),T185&lt;S185),AND(ISNUMBER(N185),ISNUMBER(O185),O185&lt;N185)),"Urutan tanggal salah",IF(AND(ISNUMBER(Q185),ISNUMBER(R185),ISNUMBER(Y185),ABS(R185-Q185-Y185)&gt;2),"S tanggal ≠ Sailing tercatat",IF(AND(ISNUMBER(Q185),ISNUMBER(O185),ABS(Q185-O185)&gt;60),"Cek tahun laycan",IF(AND(ISNUMBER(Q185),ISNUMBER(N185),Q185&lt;N185),"Berangkat sebelum laycan",IF(NOT(ISNUMBER(AE185)),"S belum ada","OK"))))))</f>
        <v>OK</v>
      </c>
    </row>
    <row r="186" customFormat="false" ht="15" hidden="false" customHeight="false" outlineLevel="0" collapsed="false">
      <c r="A186" s="16" t="n">
        <f aca="false">IF(B186="","",ROW()-4)</f>
        <v>182</v>
      </c>
      <c r="B186" s="12" t="s">
        <v>599</v>
      </c>
      <c r="C186" s="16" t="s">
        <v>600</v>
      </c>
      <c r="D186" s="16" t="n">
        <v>2022</v>
      </c>
      <c r="E186" s="16" t="s">
        <v>601</v>
      </c>
      <c r="F186" s="16" t="s">
        <v>601</v>
      </c>
      <c r="G186" s="16" t="s">
        <v>77</v>
      </c>
      <c r="H186" s="16" t="s">
        <v>602</v>
      </c>
      <c r="I186" s="16" t="s">
        <v>603</v>
      </c>
      <c r="J186" s="16"/>
      <c r="K186" s="16" t="n">
        <v>32110.92</v>
      </c>
      <c r="L186" s="13"/>
      <c r="M186" s="13"/>
      <c r="N186" s="13"/>
      <c r="O186" s="13"/>
      <c r="P186" s="13"/>
      <c r="Q186" s="13"/>
      <c r="R186" s="13" t="n">
        <v>44573</v>
      </c>
      <c r="S186" s="13"/>
      <c r="T186" s="13"/>
      <c r="U186" s="12" t="s">
        <v>80</v>
      </c>
      <c r="V186" s="14"/>
      <c r="W186" s="16"/>
      <c r="X186" s="16"/>
      <c r="Y186" s="16" t="n">
        <v>20</v>
      </c>
      <c r="Z186" s="16" t="s">
        <v>81</v>
      </c>
      <c r="AA186" s="15" t="str">
        <f aca="false">IF(AND(ISNUMBER(L186),ISNUMBER(M186)),M186-L186,"")</f>
        <v/>
      </c>
      <c r="AB186" s="15" t="str">
        <f aca="false">IF(AND(ISNUMBER(M186),ISNUMBER(P186)),P186-M186,"")</f>
        <v/>
      </c>
      <c r="AC186" s="15" t="str">
        <f aca="false">IF(AND(ISNUMBER(L186),ISNUMBER(P186)),P186-L186,"")</f>
        <v/>
      </c>
      <c r="AD186" s="15" t="str">
        <f aca="false">IF(AND(ISNUMBER(P186),ISNUMBER(Q186)),Q186-P186,"")</f>
        <v/>
      </c>
      <c r="AE186" s="15" t="n">
        <f aca="false">IF(AND(ISNUMBER(Q186),ISNUMBER(R186)),R186-Q186,IF(ISNUMBER(Y186),Y186,""))</f>
        <v>20</v>
      </c>
      <c r="AF186" s="15" t="str">
        <f aca="false">IF(AND(ISNUMBER(R186),ISNUMBER(S186)),S186-R186,"")</f>
        <v/>
      </c>
      <c r="AG186" s="15" t="str">
        <f aca="false">IF(AND(ISNUMBER(S186),ISNUMBER(T186)),T186-S186,"")</f>
        <v/>
      </c>
      <c r="AH186" s="15" t="str">
        <f aca="false">IF(AND(ISNUMBER(L186),ISNUMBER(T186)),T186-L186,"")</f>
        <v/>
      </c>
      <c r="AI186" s="15" t="str">
        <f aca="false">IF(AND(ISNUMBER(O186),ISNUMBER(Q186)),Q186-O186,"")</f>
        <v/>
      </c>
      <c r="AJ186" s="15" t="str">
        <f aca="false">IF(B186="","",COUNT(L186:M186,P186:T186)&amp;"/7")</f>
        <v>1/7</v>
      </c>
      <c r="AK186" s="15" t="str">
        <f aca="false">IF(B186="","",IF(OR(AND(ISNUMBER(L186),ISNUMBER(M186),M186&lt;L186),AND(ISNUMBER(M186),ISNUMBER(P186),P186&lt;M186),AND(ISNUMBER(P186),ISNUMBER(Q186),Q186&lt;P186),AND(ISNUMBER(Q186),ISNUMBER(R186),R186&lt;Q186),AND(ISNUMBER(R186),ISNUMBER(S186),S186&lt;R186),AND(ISNUMBER(S186),ISNUMBER(T186),T186&lt;S186),AND(ISNUMBER(N186),ISNUMBER(O186),O186&lt;N186)),"Urutan tanggal salah",IF(AND(ISNUMBER(Q186),ISNUMBER(R186),ISNUMBER(Y186),ABS(R186-Q186-Y186)&gt;2),"S tanggal ≠ Sailing tercatat",IF(AND(ISNUMBER(Q186),ISNUMBER(O186),ABS(Q186-O186)&gt;60),"Cek tahun laycan",IF(AND(ISNUMBER(Q186),ISNUMBER(N186),Q186&lt;N186),"Berangkat sebelum laycan",IF(NOT(ISNUMBER(AE186)),"S belum ada","OK"))))))</f>
        <v>OK</v>
      </c>
    </row>
    <row r="187" customFormat="false" ht="15" hidden="false" customHeight="false" outlineLevel="0" collapsed="false">
      <c r="A187" s="16" t="n">
        <f aca="false">IF(B187="","",ROW()-4)</f>
        <v>183</v>
      </c>
      <c r="B187" s="12" t="s">
        <v>599</v>
      </c>
      <c r="C187" s="16" t="s">
        <v>600</v>
      </c>
      <c r="D187" s="16" t="n">
        <v>2022</v>
      </c>
      <c r="E187" s="16" t="s">
        <v>601</v>
      </c>
      <c r="F187" s="16" t="s">
        <v>601</v>
      </c>
      <c r="G187" s="16" t="s">
        <v>77</v>
      </c>
      <c r="H187" s="16" t="s">
        <v>266</v>
      </c>
      <c r="I187" s="16" t="s">
        <v>604</v>
      </c>
      <c r="J187" s="16"/>
      <c r="K187" s="16" t="n">
        <v>30040</v>
      </c>
      <c r="L187" s="13"/>
      <c r="M187" s="13"/>
      <c r="N187" s="13"/>
      <c r="O187" s="13"/>
      <c r="P187" s="13"/>
      <c r="Q187" s="13"/>
      <c r="R187" s="13" t="n">
        <v>44749</v>
      </c>
      <c r="S187" s="13"/>
      <c r="T187" s="13"/>
      <c r="U187" s="12" t="s">
        <v>80</v>
      </c>
      <c r="V187" s="14"/>
      <c r="W187" s="16"/>
      <c r="X187" s="16"/>
      <c r="Y187" s="16" t="n">
        <v>20</v>
      </c>
      <c r="Z187" s="16" t="s">
        <v>81</v>
      </c>
      <c r="AA187" s="15" t="str">
        <f aca="false">IF(AND(ISNUMBER(L187),ISNUMBER(M187)),M187-L187,"")</f>
        <v/>
      </c>
      <c r="AB187" s="15" t="str">
        <f aca="false">IF(AND(ISNUMBER(M187),ISNUMBER(P187)),P187-M187,"")</f>
        <v/>
      </c>
      <c r="AC187" s="15" t="str">
        <f aca="false">IF(AND(ISNUMBER(L187),ISNUMBER(P187)),P187-L187,"")</f>
        <v/>
      </c>
      <c r="AD187" s="15" t="str">
        <f aca="false">IF(AND(ISNUMBER(P187),ISNUMBER(Q187)),Q187-P187,"")</f>
        <v/>
      </c>
      <c r="AE187" s="15" t="n">
        <f aca="false">IF(AND(ISNUMBER(Q187),ISNUMBER(R187)),R187-Q187,IF(ISNUMBER(Y187),Y187,""))</f>
        <v>20</v>
      </c>
      <c r="AF187" s="15" t="str">
        <f aca="false">IF(AND(ISNUMBER(R187),ISNUMBER(S187)),S187-R187,"")</f>
        <v/>
      </c>
      <c r="AG187" s="15" t="str">
        <f aca="false">IF(AND(ISNUMBER(S187),ISNUMBER(T187)),T187-S187,"")</f>
        <v/>
      </c>
      <c r="AH187" s="15" t="str">
        <f aca="false">IF(AND(ISNUMBER(L187),ISNUMBER(T187)),T187-L187,"")</f>
        <v/>
      </c>
      <c r="AI187" s="15" t="str">
        <f aca="false">IF(AND(ISNUMBER(O187),ISNUMBER(Q187)),Q187-O187,"")</f>
        <v/>
      </c>
      <c r="AJ187" s="15" t="str">
        <f aca="false">IF(B187="","",COUNT(L187:M187,P187:T187)&amp;"/7")</f>
        <v>1/7</v>
      </c>
      <c r="AK187" s="15" t="str">
        <f aca="false">IF(B187="","",IF(OR(AND(ISNUMBER(L187),ISNUMBER(M187),M187&lt;L187),AND(ISNUMBER(M187),ISNUMBER(P187),P187&lt;M187),AND(ISNUMBER(P187),ISNUMBER(Q187),Q187&lt;P187),AND(ISNUMBER(Q187),ISNUMBER(R187),R187&lt;Q187),AND(ISNUMBER(R187),ISNUMBER(S187),S187&lt;R187),AND(ISNUMBER(S187),ISNUMBER(T187),T187&lt;S187),AND(ISNUMBER(N187),ISNUMBER(O187),O187&lt;N187)),"Urutan tanggal salah",IF(AND(ISNUMBER(Q187),ISNUMBER(R187),ISNUMBER(Y187),ABS(R187-Q187-Y187)&gt;2),"S tanggal ≠ Sailing tercatat",IF(AND(ISNUMBER(Q187),ISNUMBER(O187),ABS(Q187-O187)&gt;60),"Cek tahun laycan",IF(AND(ISNUMBER(Q187),ISNUMBER(N187),Q187&lt;N187),"Berangkat sebelum laycan",IF(NOT(ISNUMBER(AE187)),"S belum ada","OK"))))))</f>
        <v>OK</v>
      </c>
    </row>
    <row r="188" customFormat="false" ht="15" hidden="false" customHeight="false" outlineLevel="0" collapsed="false">
      <c r="A188" s="16" t="n">
        <f aca="false">IF(B188="","",ROW()-4)</f>
        <v>184</v>
      </c>
      <c r="B188" s="12" t="s">
        <v>599</v>
      </c>
      <c r="C188" s="16" t="s">
        <v>600</v>
      </c>
      <c r="D188" s="16" t="n">
        <v>2022</v>
      </c>
      <c r="E188" s="16" t="s">
        <v>605</v>
      </c>
      <c r="F188" s="16" t="s">
        <v>606</v>
      </c>
      <c r="G188" s="16" t="s">
        <v>77</v>
      </c>
      <c r="H188" s="16" t="s">
        <v>607</v>
      </c>
      <c r="I188" s="16" t="s">
        <v>608</v>
      </c>
      <c r="J188" s="16"/>
      <c r="K188" s="16" t="n">
        <v>30457.446</v>
      </c>
      <c r="L188" s="13"/>
      <c r="M188" s="13"/>
      <c r="N188" s="13"/>
      <c r="O188" s="13"/>
      <c r="P188" s="13"/>
      <c r="Q188" s="13"/>
      <c r="R188" s="13" t="n">
        <v>44737</v>
      </c>
      <c r="S188" s="13"/>
      <c r="T188" s="13"/>
      <c r="U188" s="12" t="s">
        <v>80</v>
      </c>
      <c r="V188" s="14"/>
      <c r="W188" s="16"/>
      <c r="X188" s="16"/>
      <c r="Y188" s="16" t="n">
        <v>20</v>
      </c>
      <c r="Z188" s="16" t="s">
        <v>81</v>
      </c>
      <c r="AA188" s="15" t="str">
        <f aca="false">IF(AND(ISNUMBER(L188),ISNUMBER(M188)),M188-L188,"")</f>
        <v/>
      </c>
      <c r="AB188" s="15" t="str">
        <f aca="false">IF(AND(ISNUMBER(M188),ISNUMBER(P188)),P188-M188,"")</f>
        <v/>
      </c>
      <c r="AC188" s="15" t="str">
        <f aca="false">IF(AND(ISNUMBER(L188),ISNUMBER(P188)),P188-L188,"")</f>
        <v/>
      </c>
      <c r="AD188" s="15" t="str">
        <f aca="false">IF(AND(ISNUMBER(P188),ISNUMBER(Q188)),Q188-P188,"")</f>
        <v/>
      </c>
      <c r="AE188" s="15" t="n">
        <f aca="false">IF(AND(ISNUMBER(Q188),ISNUMBER(R188)),R188-Q188,IF(ISNUMBER(Y188),Y188,""))</f>
        <v>20</v>
      </c>
      <c r="AF188" s="15" t="str">
        <f aca="false">IF(AND(ISNUMBER(R188),ISNUMBER(S188)),S188-R188,"")</f>
        <v/>
      </c>
      <c r="AG188" s="15" t="str">
        <f aca="false">IF(AND(ISNUMBER(S188),ISNUMBER(T188)),T188-S188,"")</f>
        <v/>
      </c>
      <c r="AH188" s="15" t="str">
        <f aca="false">IF(AND(ISNUMBER(L188),ISNUMBER(T188)),T188-L188,"")</f>
        <v/>
      </c>
      <c r="AI188" s="15" t="str">
        <f aca="false">IF(AND(ISNUMBER(O188),ISNUMBER(Q188)),Q188-O188,"")</f>
        <v/>
      </c>
      <c r="AJ188" s="15" t="str">
        <f aca="false">IF(B188="","",COUNT(L188:M188,P188:T188)&amp;"/7")</f>
        <v>1/7</v>
      </c>
      <c r="AK188" s="15" t="str">
        <f aca="false">IF(B188="","",IF(OR(AND(ISNUMBER(L188),ISNUMBER(M188),M188&lt;L188),AND(ISNUMBER(M188),ISNUMBER(P188),P188&lt;M188),AND(ISNUMBER(P188),ISNUMBER(Q188),Q188&lt;P188),AND(ISNUMBER(Q188),ISNUMBER(R188),R188&lt;Q188),AND(ISNUMBER(R188),ISNUMBER(S188),S188&lt;R188),AND(ISNUMBER(S188),ISNUMBER(T188),T188&lt;S188),AND(ISNUMBER(N188),ISNUMBER(O188),O188&lt;N188)),"Urutan tanggal salah",IF(AND(ISNUMBER(Q188),ISNUMBER(R188),ISNUMBER(Y188),ABS(R188-Q188-Y188)&gt;2),"S tanggal ≠ Sailing tercatat",IF(AND(ISNUMBER(Q188),ISNUMBER(O188),ABS(Q188-O188)&gt;60),"Cek tahun laycan",IF(AND(ISNUMBER(Q188),ISNUMBER(N188),Q188&lt;N188),"Berangkat sebelum laycan",IF(NOT(ISNUMBER(AE188)),"S belum ada","OK"))))))</f>
        <v>OK</v>
      </c>
    </row>
    <row r="189" customFormat="false" ht="15" hidden="false" customHeight="false" outlineLevel="0" collapsed="false">
      <c r="A189" s="16" t="n">
        <f aca="false">IF(B189="","",ROW()-4)</f>
        <v>185</v>
      </c>
      <c r="B189" s="12" t="s">
        <v>599</v>
      </c>
      <c r="C189" s="16" t="s">
        <v>600</v>
      </c>
      <c r="D189" s="16" t="n">
        <v>2022</v>
      </c>
      <c r="E189" s="16" t="s">
        <v>605</v>
      </c>
      <c r="F189" s="16" t="s">
        <v>606</v>
      </c>
      <c r="G189" s="16" t="s">
        <v>77</v>
      </c>
      <c r="H189" s="16" t="s">
        <v>609</v>
      </c>
      <c r="I189" s="16" t="s">
        <v>610</v>
      </c>
      <c r="J189" s="16"/>
      <c r="K189" s="16" t="n">
        <v>36749.012</v>
      </c>
      <c r="L189" s="13"/>
      <c r="M189" s="13"/>
      <c r="N189" s="13"/>
      <c r="O189" s="13"/>
      <c r="P189" s="13"/>
      <c r="Q189" s="13"/>
      <c r="R189" s="13" t="n">
        <v>44877</v>
      </c>
      <c r="S189" s="13"/>
      <c r="T189" s="13"/>
      <c r="U189" s="12" t="s">
        <v>80</v>
      </c>
      <c r="V189" s="14"/>
      <c r="W189" s="16"/>
      <c r="X189" s="16"/>
      <c r="Y189" s="16" t="n">
        <v>20</v>
      </c>
      <c r="Z189" s="16" t="s">
        <v>81</v>
      </c>
      <c r="AA189" s="15" t="str">
        <f aca="false">IF(AND(ISNUMBER(L189),ISNUMBER(M189)),M189-L189,"")</f>
        <v/>
      </c>
      <c r="AB189" s="15" t="str">
        <f aca="false">IF(AND(ISNUMBER(M189),ISNUMBER(P189)),P189-M189,"")</f>
        <v/>
      </c>
      <c r="AC189" s="15" t="str">
        <f aca="false">IF(AND(ISNUMBER(L189),ISNUMBER(P189)),P189-L189,"")</f>
        <v/>
      </c>
      <c r="AD189" s="15" t="str">
        <f aca="false">IF(AND(ISNUMBER(P189),ISNUMBER(Q189)),Q189-P189,"")</f>
        <v/>
      </c>
      <c r="AE189" s="15" t="n">
        <f aca="false">IF(AND(ISNUMBER(Q189),ISNUMBER(R189)),R189-Q189,IF(ISNUMBER(Y189),Y189,""))</f>
        <v>20</v>
      </c>
      <c r="AF189" s="15" t="str">
        <f aca="false">IF(AND(ISNUMBER(R189),ISNUMBER(S189)),S189-R189,"")</f>
        <v/>
      </c>
      <c r="AG189" s="15" t="str">
        <f aca="false">IF(AND(ISNUMBER(S189),ISNUMBER(T189)),T189-S189,"")</f>
        <v/>
      </c>
      <c r="AH189" s="15" t="str">
        <f aca="false">IF(AND(ISNUMBER(L189),ISNUMBER(T189)),T189-L189,"")</f>
        <v/>
      </c>
      <c r="AI189" s="15" t="str">
        <f aca="false">IF(AND(ISNUMBER(O189),ISNUMBER(Q189)),Q189-O189,"")</f>
        <v/>
      </c>
      <c r="AJ189" s="15" t="str">
        <f aca="false">IF(B189="","",COUNT(L189:M189,P189:T189)&amp;"/7")</f>
        <v>1/7</v>
      </c>
      <c r="AK189" s="15" t="str">
        <f aca="false">IF(B189="","",IF(OR(AND(ISNUMBER(L189),ISNUMBER(M189),M189&lt;L189),AND(ISNUMBER(M189),ISNUMBER(P189),P189&lt;M189),AND(ISNUMBER(P189),ISNUMBER(Q189),Q189&lt;P189),AND(ISNUMBER(Q189),ISNUMBER(R189),R189&lt;Q189),AND(ISNUMBER(R189),ISNUMBER(S189),S189&lt;R189),AND(ISNUMBER(S189),ISNUMBER(T189),T189&lt;S189),AND(ISNUMBER(N189),ISNUMBER(O189),O189&lt;N189)),"Urutan tanggal salah",IF(AND(ISNUMBER(Q189),ISNUMBER(R189),ISNUMBER(Y189),ABS(R189-Q189-Y189)&gt;2),"S tanggal ≠ Sailing tercatat",IF(AND(ISNUMBER(Q189),ISNUMBER(O189),ABS(Q189-O189)&gt;60),"Cek tahun laycan",IF(AND(ISNUMBER(Q189),ISNUMBER(N189),Q189&lt;N189),"Berangkat sebelum laycan",IF(NOT(ISNUMBER(AE189)),"S belum ada","OK"))))))</f>
        <v>OK</v>
      </c>
    </row>
    <row r="190" customFormat="false" ht="15" hidden="false" customHeight="false" outlineLevel="0" collapsed="false">
      <c r="A190" s="16" t="n">
        <f aca="false">IF(B190="","",ROW()-4)</f>
        <v>186</v>
      </c>
      <c r="B190" s="12" t="s">
        <v>599</v>
      </c>
      <c r="C190" s="16" t="s">
        <v>600</v>
      </c>
      <c r="D190" s="16" t="n">
        <v>2023</v>
      </c>
      <c r="E190" s="16" t="s">
        <v>611</v>
      </c>
      <c r="F190" s="16" t="s">
        <v>611</v>
      </c>
      <c r="G190" s="16" t="s">
        <v>77</v>
      </c>
      <c r="H190" s="16" t="s">
        <v>612</v>
      </c>
      <c r="I190" s="16" t="s">
        <v>613</v>
      </c>
      <c r="J190" s="16"/>
      <c r="K190" s="16" t="n">
        <v>31500</v>
      </c>
      <c r="L190" s="13"/>
      <c r="M190" s="13"/>
      <c r="N190" s="13"/>
      <c r="O190" s="13"/>
      <c r="P190" s="13"/>
      <c r="Q190" s="13"/>
      <c r="R190" s="13" t="n">
        <v>45003</v>
      </c>
      <c r="S190" s="13"/>
      <c r="T190" s="13"/>
      <c r="U190" s="12" t="s">
        <v>80</v>
      </c>
      <c r="V190" s="14"/>
      <c r="W190" s="16"/>
      <c r="X190" s="16"/>
      <c r="Y190" s="16" t="n">
        <v>20</v>
      </c>
      <c r="Z190" s="16" t="s">
        <v>81</v>
      </c>
      <c r="AA190" s="15" t="str">
        <f aca="false">IF(AND(ISNUMBER(L190),ISNUMBER(M190)),M190-L190,"")</f>
        <v/>
      </c>
      <c r="AB190" s="15" t="str">
        <f aca="false">IF(AND(ISNUMBER(M190),ISNUMBER(P190)),P190-M190,"")</f>
        <v/>
      </c>
      <c r="AC190" s="15" t="str">
        <f aca="false">IF(AND(ISNUMBER(L190),ISNUMBER(P190)),P190-L190,"")</f>
        <v/>
      </c>
      <c r="AD190" s="15" t="str">
        <f aca="false">IF(AND(ISNUMBER(P190),ISNUMBER(Q190)),Q190-P190,"")</f>
        <v/>
      </c>
      <c r="AE190" s="15" t="n">
        <f aca="false">IF(AND(ISNUMBER(Q190),ISNUMBER(R190)),R190-Q190,IF(ISNUMBER(Y190),Y190,""))</f>
        <v>20</v>
      </c>
      <c r="AF190" s="15" t="str">
        <f aca="false">IF(AND(ISNUMBER(R190),ISNUMBER(S190)),S190-R190,"")</f>
        <v/>
      </c>
      <c r="AG190" s="15" t="str">
        <f aca="false">IF(AND(ISNUMBER(S190),ISNUMBER(T190)),T190-S190,"")</f>
        <v/>
      </c>
      <c r="AH190" s="15" t="str">
        <f aca="false">IF(AND(ISNUMBER(L190),ISNUMBER(T190)),T190-L190,"")</f>
        <v/>
      </c>
      <c r="AI190" s="15" t="str">
        <f aca="false">IF(AND(ISNUMBER(O190),ISNUMBER(Q190)),Q190-O190,"")</f>
        <v/>
      </c>
      <c r="AJ190" s="15" t="str">
        <f aca="false">IF(B190="","",COUNT(L190:M190,P190:T190)&amp;"/7")</f>
        <v>1/7</v>
      </c>
      <c r="AK190" s="15" t="str">
        <f aca="false">IF(B190="","",IF(OR(AND(ISNUMBER(L190),ISNUMBER(M190),M190&lt;L190),AND(ISNUMBER(M190),ISNUMBER(P190),P190&lt;M190),AND(ISNUMBER(P190),ISNUMBER(Q190),Q190&lt;P190),AND(ISNUMBER(Q190),ISNUMBER(R190),R190&lt;Q190),AND(ISNUMBER(R190),ISNUMBER(S190),S190&lt;R190),AND(ISNUMBER(S190),ISNUMBER(T190),T190&lt;S190),AND(ISNUMBER(N190),ISNUMBER(O190),O190&lt;N190)),"Urutan tanggal salah",IF(AND(ISNUMBER(Q190),ISNUMBER(R190),ISNUMBER(Y190),ABS(R190-Q190-Y190)&gt;2),"S tanggal ≠ Sailing tercatat",IF(AND(ISNUMBER(Q190),ISNUMBER(O190),ABS(Q190-O190)&gt;60),"Cek tahun laycan",IF(AND(ISNUMBER(Q190),ISNUMBER(N190),Q190&lt;N190),"Berangkat sebelum laycan",IF(NOT(ISNUMBER(AE190)),"S belum ada","OK"))))))</f>
        <v>OK</v>
      </c>
    </row>
    <row r="191" customFormat="false" ht="15" hidden="false" customHeight="false" outlineLevel="0" collapsed="false">
      <c r="A191" s="16" t="n">
        <f aca="false">IF(B191="","",ROW()-4)</f>
        <v>187</v>
      </c>
      <c r="B191" s="12" t="s">
        <v>599</v>
      </c>
      <c r="C191" s="16" t="s">
        <v>600</v>
      </c>
      <c r="D191" s="16" t="n">
        <v>2022</v>
      </c>
      <c r="E191" s="16" t="s">
        <v>601</v>
      </c>
      <c r="F191" s="16" t="s">
        <v>601</v>
      </c>
      <c r="G191" s="16" t="s">
        <v>77</v>
      </c>
      <c r="H191" s="16" t="s">
        <v>614</v>
      </c>
      <c r="I191" s="16" t="s">
        <v>615</v>
      </c>
      <c r="J191" s="16"/>
      <c r="K191" s="16" t="n">
        <v>20000</v>
      </c>
      <c r="L191" s="13"/>
      <c r="M191" s="13"/>
      <c r="N191" s="13"/>
      <c r="O191" s="13"/>
      <c r="P191" s="13"/>
      <c r="Q191" s="13"/>
      <c r="R191" s="13" t="n">
        <v>44647</v>
      </c>
      <c r="S191" s="13"/>
      <c r="T191" s="13"/>
      <c r="U191" s="12" t="s">
        <v>80</v>
      </c>
      <c r="V191" s="14"/>
      <c r="W191" s="16"/>
      <c r="X191" s="16"/>
      <c r="Y191" s="16" t="n">
        <v>20</v>
      </c>
      <c r="Z191" s="16" t="s">
        <v>81</v>
      </c>
      <c r="AA191" s="15" t="str">
        <f aca="false">IF(AND(ISNUMBER(L191),ISNUMBER(M191)),M191-L191,"")</f>
        <v/>
      </c>
      <c r="AB191" s="15" t="str">
        <f aca="false">IF(AND(ISNUMBER(M191),ISNUMBER(P191)),P191-M191,"")</f>
        <v/>
      </c>
      <c r="AC191" s="15" t="str">
        <f aca="false">IF(AND(ISNUMBER(L191),ISNUMBER(P191)),P191-L191,"")</f>
        <v/>
      </c>
      <c r="AD191" s="15" t="str">
        <f aca="false">IF(AND(ISNUMBER(P191),ISNUMBER(Q191)),Q191-P191,"")</f>
        <v/>
      </c>
      <c r="AE191" s="15" t="n">
        <f aca="false">IF(AND(ISNUMBER(Q191),ISNUMBER(R191)),R191-Q191,IF(ISNUMBER(Y191),Y191,""))</f>
        <v>20</v>
      </c>
      <c r="AF191" s="15" t="str">
        <f aca="false">IF(AND(ISNUMBER(R191),ISNUMBER(S191)),S191-R191,"")</f>
        <v/>
      </c>
      <c r="AG191" s="15" t="str">
        <f aca="false">IF(AND(ISNUMBER(S191),ISNUMBER(T191)),T191-S191,"")</f>
        <v/>
      </c>
      <c r="AH191" s="15" t="str">
        <f aca="false">IF(AND(ISNUMBER(L191),ISNUMBER(T191)),T191-L191,"")</f>
        <v/>
      </c>
      <c r="AI191" s="15" t="str">
        <f aca="false">IF(AND(ISNUMBER(O191),ISNUMBER(Q191)),Q191-O191,"")</f>
        <v/>
      </c>
      <c r="AJ191" s="15" t="str">
        <f aca="false">IF(B191="","",COUNT(L191:M191,P191:T191)&amp;"/7")</f>
        <v>1/7</v>
      </c>
      <c r="AK191" s="15" t="str">
        <f aca="false">IF(B191="","",IF(OR(AND(ISNUMBER(L191),ISNUMBER(M191),M191&lt;L191),AND(ISNUMBER(M191),ISNUMBER(P191),P191&lt;M191),AND(ISNUMBER(P191),ISNUMBER(Q191),Q191&lt;P191),AND(ISNUMBER(Q191),ISNUMBER(R191),R191&lt;Q191),AND(ISNUMBER(R191),ISNUMBER(S191),S191&lt;R191),AND(ISNUMBER(S191),ISNUMBER(T191),T191&lt;S191),AND(ISNUMBER(N191),ISNUMBER(O191),O191&lt;N191)),"Urutan tanggal salah",IF(AND(ISNUMBER(Q191),ISNUMBER(R191),ISNUMBER(Y191),ABS(R191-Q191-Y191)&gt;2),"S tanggal ≠ Sailing tercatat",IF(AND(ISNUMBER(Q191),ISNUMBER(O191),ABS(Q191-O191)&gt;60),"Cek tahun laycan",IF(AND(ISNUMBER(Q191),ISNUMBER(N191),Q191&lt;N191),"Berangkat sebelum laycan",IF(NOT(ISNUMBER(AE191)),"S belum ada","OK"))))))</f>
        <v>OK</v>
      </c>
    </row>
    <row r="192" customFormat="false" ht="15" hidden="false" customHeight="false" outlineLevel="0" collapsed="false">
      <c r="A192" s="16" t="n">
        <f aca="false">IF(B192="","",ROW()-4)</f>
        <v>188</v>
      </c>
      <c r="B192" s="12" t="s">
        <v>599</v>
      </c>
      <c r="C192" s="16" t="s">
        <v>600</v>
      </c>
      <c r="D192" s="16" t="n">
        <v>2022</v>
      </c>
      <c r="E192" s="16" t="s">
        <v>601</v>
      </c>
      <c r="F192" s="16" t="s">
        <v>601</v>
      </c>
      <c r="G192" s="16" t="s">
        <v>77</v>
      </c>
      <c r="H192" s="16" t="s">
        <v>616</v>
      </c>
      <c r="I192" s="16" t="s">
        <v>617</v>
      </c>
      <c r="J192" s="16"/>
      <c r="K192" s="16" t="n">
        <v>28001</v>
      </c>
      <c r="L192" s="13"/>
      <c r="M192" s="13"/>
      <c r="N192" s="13"/>
      <c r="O192" s="13"/>
      <c r="P192" s="13"/>
      <c r="Q192" s="13"/>
      <c r="R192" s="13" t="n">
        <v>44685</v>
      </c>
      <c r="S192" s="13"/>
      <c r="T192" s="13"/>
      <c r="U192" s="12" t="s">
        <v>80</v>
      </c>
      <c r="V192" s="14"/>
      <c r="W192" s="16"/>
      <c r="X192" s="16"/>
      <c r="Y192" s="16" t="n">
        <v>20</v>
      </c>
      <c r="Z192" s="16" t="s">
        <v>81</v>
      </c>
      <c r="AA192" s="15" t="str">
        <f aca="false">IF(AND(ISNUMBER(L192),ISNUMBER(M192)),M192-L192,"")</f>
        <v/>
      </c>
      <c r="AB192" s="15" t="str">
        <f aca="false">IF(AND(ISNUMBER(M192),ISNUMBER(P192)),P192-M192,"")</f>
        <v/>
      </c>
      <c r="AC192" s="15" t="str">
        <f aca="false">IF(AND(ISNUMBER(L192),ISNUMBER(P192)),P192-L192,"")</f>
        <v/>
      </c>
      <c r="AD192" s="15" t="str">
        <f aca="false">IF(AND(ISNUMBER(P192),ISNUMBER(Q192)),Q192-P192,"")</f>
        <v/>
      </c>
      <c r="AE192" s="15" t="n">
        <f aca="false">IF(AND(ISNUMBER(Q192),ISNUMBER(R192)),R192-Q192,IF(ISNUMBER(Y192),Y192,""))</f>
        <v>20</v>
      </c>
      <c r="AF192" s="15" t="str">
        <f aca="false">IF(AND(ISNUMBER(R192),ISNUMBER(S192)),S192-R192,"")</f>
        <v/>
      </c>
      <c r="AG192" s="15" t="str">
        <f aca="false">IF(AND(ISNUMBER(S192),ISNUMBER(T192)),T192-S192,"")</f>
        <v/>
      </c>
      <c r="AH192" s="15" t="str">
        <f aca="false">IF(AND(ISNUMBER(L192),ISNUMBER(T192)),T192-L192,"")</f>
        <v/>
      </c>
      <c r="AI192" s="15" t="str">
        <f aca="false">IF(AND(ISNUMBER(O192),ISNUMBER(Q192)),Q192-O192,"")</f>
        <v/>
      </c>
      <c r="AJ192" s="15" t="str">
        <f aca="false">IF(B192="","",COUNT(L192:M192,P192:T192)&amp;"/7")</f>
        <v>1/7</v>
      </c>
      <c r="AK192" s="15" t="str">
        <f aca="false">IF(B192="","",IF(OR(AND(ISNUMBER(L192),ISNUMBER(M192),M192&lt;L192),AND(ISNUMBER(M192),ISNUMBER(P192),P192&lt;M192),AND(ISNUMBER(P192),ISNUMBER(Q192),Q192&lt;P192),AND(ISNUMBER(Q192),ISNUMBER(R192),R192&lt;Q192),AND(ISNUMBER(R192),ISNUMBER(S192),S192&lt;R192),AND(ISNUMBER(S192),ISNUMBER(T192),T192&lt;S192),AND(ISNUMBER(N192),ISNUMBER(O192),O192&lt;N192)),"Urutan tanggal salah",IF(AND(ISNUMBER(Q192),ISNUMBER(R192),ISNUMBER(Y192),ABS(R192-Q192-Y192)&gt;2),"S tanggal ≠ Sailing tercatat",IF(AND(ISNUMBER(Q192),ISNUMBER(O192),ABS(Q192-O192)&gt;60),"Cek tahun laycan",IF(AND(ISNUMBER(Q192),ISNUMBER(N192),Q192&lt;N192),"Berangkat sebelum laycan",IF(NOT(ISNUMBER(AE192)),"S belum ada","OK"))))))</f>
        <v>OK</v>
      </c>
    </row>
    <row r="193" customFormat="false" ht="15" hidden="false" customHeight="false" outlineLevel="0" collapsed="false">
      <c r="A193" s="16" t="n">
        <f aca="false">IF(B193="","",ROW()-4)</f>
        <v>189</v>
      </c>
      <c r="B193" s="12" t="s">
        <v>599</v>
      </c>
      <c r="C193" s="16" t="s">
        <v>600</v>
      </c>
      <c r="D193" s="16" t="n">
        <v>2022</v>
      </c>
      <c r="E193" s="16" t="s">
        <v>601</v>
      </c>
      <c r="F193" s="16" t="s">
        <v>601</v>
      </c>
      <c r="G193" s="16" t="s">
        <v>77</v>
      </c>
      <c r="H193" s="16" t="s">
        <v>618</v>
      </c>
      <c r="I193" s="16" t="s">
        <v>619</v>
      </c>
      <c r="J193" s="16"/>
      <c r="K193" s="16" t="n">
        <v>33001</v>
      </c>
      <c r="L193" s="13"/>
      <c r="M193" s="13"/>
      <c r="N193" s="13"/>
      <c r="O193" s="13"/>
      <c r="P193" s="13"/>
      <c r="Q193" s="13"/>
      <c r="R193" s="13" t="n">
        <v>44715</v>
      </c>
      <c r="S193" s="13"/>
      <c r="T193" s="13"/>
      <c r="U193" s="12" t="s">
        <v>80</v>
      </c>
      <c r="V193" s="14"/>
      <c r="W193" s="16"/>
      <c r="X193" s="16"/>
      <c r="Y193" s="16" t="n">
        <v>20</v>
      </c>
      <c r="Z193" s="16" t="s">
        <v>81</v>
      </c>
      <c r="AA193" s="15" t="str">
        <f aca="false">IF(AND(ISNUMBER(L193),ISNUMBER(M193)),M193-L193,"")</f>
        <v/>
      </c>
      <c r="AB193" s="15" t="str">
        <f aca="false">IF(AND(ISNUMBER(M193),ISNUMBER(P193)),P193-M193,"")</f>
        <v/>
      </c>
      <c r="AC193" s="15" t="str">
        <f aca="false">IF(AND(ISNUMBER(L193),ISNUMBER(P193)),P193-L193,"")</f>
        <v/>
      </c>
      <c r="AD193" s="15" t="str">
        <f aca="false">IF(AND(ISNUMBER(P193),ISNUMBER(Q193)),Q193-P193,"")</f>
        <v/>
      </c>
      <c r="AE193" s="15" t="n">
        <f aca="false">IF(AND(ISNUMBER(Q193),ISNUMBER(R193)),R193-Q193,IF(ISNUMBER(Y193),Y193,""))</f>
        <v>20</v>
      </c>
      <c r="AF193" s="15" t="str">
        <f aca="false">IF(AND(ISNUMBER(R193),ISNUMBER(S193)),S193-R193,"")</f>
        <v/>
      </c>
      <c r="AG193" s="15" t="str">
        <f aca="false">IF(AND(ISNUMBER(S193),ISNUMBER(T193)),T193-S193,"")</f>
        <v/>
      </c>
      <c r="AH193" s="15" t="str">
        <f aca="false">IF(AND(ISNUMBER(L193),ISNUMBER(T193)),T193-L193,"")</f>
        <v/>
      </c>
      <c r="AI193" s="15" t="str">
        <f aca="false">IF(AND(ISNUMBER(O193),ISNUMBER(Q193)),Q193-O193,"")</f>
        <v/>
      </c>
      <c r="AJ193" s="15" t="str">
        <f aca="false">IF(B193="","",COUNT(L193:M193,P193:T193)&amp;"/7")</f>
        <v>1/7</v>
      </c>
      <c r="AK193" s="15" t="str">
        <f aca="false">IF(B193="","",IF(OR(AND(ISNUMBER(L193),ISNUMBER(M193),M193&lt;L193),AND(ISNUMBER(M193),ISNUMBER(P193),P193&lt;M193),AND(ISNUMBER(P193),ISNUMBER(Q193),Q193&lt;P193),AND(ISNUMBER(Q193),ISNUMBER(R193),R193&lt;Q193),AND(ISNUMBER(R193),ISNUMBER(S193),S193&lt;R193),AND(ISNUMBER(S193),ISNUMBER(T193),T193&lt;S193),AND(ISNUMBER(N193),ISNUMBER(O193),O193&lt;N193)),"Urutan tanggal salah",IF(AND(ISNUMBER(Q193),ISNUMBER(R193),ISNUMBER(Y193),ABS(R193-Q193-Y193)&gt;2),"S tanggal ≠ Sailing tercatat",IF(AND(ISNUMBER(Q193),ISNUMBER(O193),ABS(Q193-O193)&gt;60),"Cek tahun laycan",IF(AND(ISNUMBER(Q193),ISNUMBER(N193),Q193&lt;N193),"Berangkat sebelum laycan",IF(NOT(ISNUMBER(AE193)),"S belum ada","OK"))))))</f>
        <v>OK</v>
      </c>
    </row>
    <row r="194" customFormat="false" ht="15" hidden="false" customHeight="false" outlineLevel="0" collapsed="false">
      <c r="A194" s="16" t="n">
        <f aca="false">IF(B194="","",ROW()-4)</f>
        <v>190</v>
      </c>
      <c r="B194" s="12" t="s">
        <v>599</v>
      </c>
      <c r="C194" s="16" t="s">
        <v>600</v>
      </c>
      <c r="D194" s="16" t="n">
        <v>2022</v>
      </c>
      <c r="E194" s="16" t="s">
        <v>605</v>
      </c>
      <c r="F194" s="16" t="s">
        <v>606</v>
      </c>
      <c r="G194" s="16" t="s">
        <v>77</v>
      </c>
      <c r="H194" s="16" t="s">
        <v>620</v>
      </c>
      <c r="I194" s="16" t="s">
        <v>621</v>
      </c>
      <c r="J194" s="16"/>
      <c r="K194" s="16" t="n">
        <v>33001</v>
      </c>
      <c r="L194" s="13"/>
      <c r="M194" s="13"/>
      <c r="N194" s="13"/>
      <c r="O194" s="13"/>
      <c r="P194" s="13"/>
      <c r="Q194" s="13"/>
      <c r="R194" s="13" t="n">
        <v>44795</v>
      </c>
      <c r="S194" s="13"/>
      <c r="T194" s="13"/>
      <c r="U194" s="12" t="s">
        <v>80</v>
      </c>
      <c r="V194" s="14"/>
      <c r="W194" s="16"/>
      <c r="X194" s="16"/>
      <c r="Y194" s="16" t="n">
        <v>20</v>
      </c>
      <c r="Z194" s="16" t="s">
        <v>81</v>
      </c>
      <c r="AA194" s="15" t="str">
        <f aca="false">IF(AND(ISNUMBER(L194),ISNUMBER(M194)),M194-L194,"")</f>
        <v/>
      </c>
      <c r="AB194" s="15" t="str">
        <f aca="false">IF(AND(ISNUMBER(M194),ISNUMBER(P194)),P194-M194,"")</f>
        <v/>
      </c>
      <c r="AC194" s="15" t="str">
        <f aca="false">IF(AND(ISNUMBER(L194),ISNUMBER(P194)),P194-L194,"")</f>
        <v/>
      </c>
      <c r="AD194" s="15" t="str">
        <f aca="false">IF(AND(ISNUMBER(P194),ISNUMBER(Q194)),Q194-P194,"")</f>
        <v/>
      </c>
      <c r="AE194" s="15" t="n">
        <f aca="false">IF(AND(ISNUMBER(Q194),ISNUMBER(R194)),R194-Q194,IF(ISNUMBER(Y194),Y194,""))</f>
        <v>20</v>
      </c>
      <c r="AF194" s="15" t="str">
        <f aca="false">IF(AND(ISNUMBER(R194),ISNUMBER(S194)),S194-R194,"")</f>
        <v/>
      </c>
      <c r="AG194" s="15" t="str">
        <f aca="false">IF(AND(ISNUMBER(S194),ISNUMBER(T194)),T194-S194,"")</f>
        <v/>
      </c>
      <c r="AH194" s="15" t="str">
        <f aca="false">IF(AND(ISNUMBER(L194),ISNUMBER(T194)),T194-L194,"")</f>
        <v/>
      </c>
      <c r="AI194" s="15" t="str">
        <f aca="false">IF(AND(ISNUMBER(O194),ISNUMBER(Q194)),Q194-O194,"")</f>
        <v/>
      </c>
      <c r="AJ194" s="15" t="str">
        <f aca="false">IF(B194="","",COUNT(L194:M194,P194:T194)&amp;"/7")</f>
        <v>1/7</v>
      </c>
      <c r="AK194" s="15" t="str">
        <f aca="false">IF(B194="","",IF(OR(AND(ISNUMBER(L194),ISNUMBER(M194),M194&lt;L194),AND(ISNUMBER(M194),ISNUMBER(P194),P194&lt;M194),AND(ISNUMBER(P194),ISNUMBER(Q194),Q194&lt;P194),AND(ISNUMBER(Q194),ISNUMBER(R194),R194&lt;Q194),AND(ISNUMBER(R194),ISNUMBER(S194),S194&lt;R194),AND(ISNUMBER(S194),ISNUMBER(T194),T194&lt;S194),AND(ISNUMBER(N194),ISNUMBER(O194),O194&lt;N194)),"Urutan tanggal salah",IF(AND(ISNUMBER(Q194),ISNUMBER(R194),ISNUMBER(Y194),ABS(R194-Q194-Y194)&gt;2),"S tanggal ≠ Sailing tercatat",IF(AND(ISNUMBER(Q194),ISNUMBER(O194),ABS(Q194-O194)&gt;60),"Cek tahun laycan",IF(AND(ISNUMBER(Q194),ISNUMBER(N194),Q194&lt;N194),"Berangkat sebelum laycan",IF(NOT(ISNUMBER(AE194)),"S belum ada","OK"))))))</f>
        <v>OK</v>
      </c>
    </row>
    <row r="195" customFormat="false" ht="15" hidden="false" customHeight="false" outlineLevel="0" collapsed="false">
      <c r="A195" s="16" t="n">
        <f aca="false">IF(B195="","",ROW()-4)</f>
        <v>191</v>
      </c>
      <c r="B195" s="12" t="s">
        <v>599</v>
      </c>
      <c r="C195" s="16" t="s">
        <v>600</v>
      </c>
      <c r="D195" s="16" t="n">
        <v>2023</v>
      </c>
      <c r="E195" s="16" t="s">
        <v>601</v>
      </c>
      <c r="F195" s="16" t="s">
        <v>601</v>
      </c>
      <c r="G195" s="16" t="s">
        <v>77</v>
      </c>
      <c r="H195" s="16" t="s">
        <v>622</v>
      </c>
      <c r="I195" s="16" t="s">
        <v>623</v>
      </c>
      <c r="J195" s="16"/>
      <c r="K195" s="16" t="n">
        <v>38499.99</v>
      </c>
      <c r="L195" s="13"/>
      <c r="M195" s="13"/>
      <c r="N195" s="13"/>
      <c r="O195" s="13"/>
      <c r="P195" s="13"/>
      <c r="Q195" s="13"/>
      <c r="R195" s="13" t="n">
        <v>44946</v>
      </c>
      <c r="S195" s="13"/>
      <c r="T195" s="13"/>
      <c r="U195" s="12" t="s">
        <v>80</v>
      </c>
      <c r="V195" s="14"/>
      <c r="W195" s="16"/>
      <c r="X195" s="16"/>
      <c r="Y195" s="16" t="n">
        <v>20</v>
      </c>
      <c r="Z195" s="16" t="s">
        <v>81</v>
      </c>
      <c r="AA195" s="15" t="str">
        <f aca="false">IF(AND(ISNUMBER(L195),ISNUMBER(M195)),M195-L195,"")</f>
        <v/>
      </c>
      <c r="AB195" s="15" t="str">
        <f aca="false">IF(AND(ISNUMBER(M195),ISNUMBER(P195)),P195-M195,"")</f>
        <v/>
      </c>
      <c r="AC195" s="15" t="str">
        <f aca="false">IF(AND(ISNUMBER(L195),ISNUMBER(P195)),P195-L195,"")</f>
        <v/>
      </c>
      <c r="AD195" s="15" t="str">
        <f aca="false">IF(AND(ISNUMBER(P195),ISNUMBER(Q195)),Q195-P195,"")</f>
        <v/>
      </c>
      <c r="AE195" s="15" t="n">
        <f aca="false">IF(AND(ISNUMBER(Q195),ISNUMBER(R195)),R195-Q195,IF(ISNUMBER(Y195),Y195,""))</f>
        <v>20</v>
      </c>
      <c r="AF195" s="15" t="str">
        <f aca="false">IF(AND(ISNUMBER(R195),ISNUMBER(S195)),S195-R195,"")</f>
        <v/>
      </c>
      <c r="AG195" s="15" t="str">
        <f aca="false">IF(AND(ISNUMBER(S195),ISNUMBER(T195)),T195-S195,"")</f>
        <v/>
      </c>
      <c r="AH195" s="15" t="str">
        <f aca="false">IF(AND(ISNUMBER(L195),ISNUMBER(T195)),T195-L195,"")</f>
        <v/>
      </c>
      <c r="AI195" s="15" t="str">
        <f aca="false">IF(AND(ISNUMBER(O195),ISNUMBER(Q195)),Q195-O195,"")</f>
        <v/>
      </c>
      <c r="AJ195" s="15" t="str">
        <f aca="false">IF(B195="","",COUNT(L195:M195,P195:T195)&amp;"/7")</f>
        <v>1/7</v>
      </c>
      <c r="AK195" s="15" t="str">
        <f aca="false">IF(B195="","",IF(OR(AND(ISNUMBER(L195),ISNUMBER(M195),M195&lt;L195),AND(ISNUMBER(M195),ISNUMBER(P195),P195&lt;M195),AND(ISNUMBER(P195),ISNUMBER(Q195),Q195&lt;P195),AND(ISNUMBER(Q195),ISNUMBER(R195),R195&lt;Q195),AND(ISNUMBER(R195),ISNUMBER(S195),S195&lt;R195),AND(ISNUMBER(S195),ISNUMBER(T195),T195&lt;S195),AND(ISNUMBER(N195),ISNUMBER(O195),O195&lt;N195)),"Urutan tanggal salah",IF(AND(ISNUMBER(Q195),ISNUMBER(R195),ISNUMBER(Y195),ABS(R195-Q195-Y195)&gt;2),"S tanggal ≠ Sailing tercatat",IF(AND(ISNUMBER(Q195),ISNUMBER(O195),ABS(Q195-O195)&gt;60),"Cek tahun laycan",IF(AND(ISNUMBER(Q195),ISNUMBER(N195),Q195&lt;N195),"Berangkat sebelum laycan",IF(NOT(ISNUMBER(AE195)),"S belum ada","OK"))))))</f>
        <v>OK</v>
      </c>
    </row>
    <row r="196" customFormat="false" ht="15" hidden="false" customHeight="false" outlineLevel="0" collapsed="false">
      <c r="A196" s="16" t="n">
        <f aca="false">IF(B196="","",ROW()-4)</f>
        <v>192</v>
      </c>
      <c r="B196" s="12" t="s">
        <v>599</v>
      </c>
      <c r="C196" s="16" t="s">
        <v>600</v>
      </c>
      <c r="D196" s="16" t="n">
        <v>2023</v>
      </c>
      <c r="E196" s="16" t="s">
        <v>269</v>
      </c>
      <c r="F196" s="16" t="s">
        <v>269</v>
      </c>
      <c r="G196" s="16" t="s">
        <v>77</v>
      </c>
      <c r="H196" s="16" t="s">
        <v>624</v>
      </c>
      <c r="I196" s="16" t="s">
        <v>625</v>
      </c>
      <c r="J196" s="16"/>
      <c r="K196" s="16" t="n">
        <v>8244.56</v>
      </c>
      <c r="L196" s="13"/>
      <c r="M196" s="13"/>
      <c r="N196" s="13"/>
      <c r="O196" s="13"/>
      <c r="P196" s="13"/>
      <c r="Q196" s="13"/>
      <c r="R196" s="13" t="n">
        <v>44988</v>
      </c>
      <c r="S196" s="13"/>
      <c r="T196" s="13"/>
      <c r="U196" s="12" t="s">
        <v>80</v>
      </c>
      <c r="V196" s="14"/>
      <c r="W196" s="16" t="s">
        <v>626</v>
      </c>
      <c r="X196" s="16"/>
      <c r="Y196" s="16" t="n">
        <v>7</v>
      </c>
      <c r="Z196" s="16" t="s">
        <v>81</v>
      </c>
      <c r="AA196" s="15" t="str">
        <f aca="false">IF(AND(ISNUMBER(L196),ISNUMBER(M196)),M196-L196,"")</f>
        <v/>
      </c>
      <c r="AB196" s="15" t="str">
        <f aca="false">IF(AND(ISNUMBER(M196),ISNUMBER(P196)),P196-M196,"")</f>
        <v/>
      </c>
      <c r="AC196" s="15" t="str">
        <f aca="false">IF(AND(ISNUMBER(L196),ISNUMBER(P196)),P196-L196,"")</f>
        <v/>
      </c>
      <c r="AD196" s="15" t="str">
        <f aca="false">IF(AND(ISNUMBER(P196),ISNUMBER(Q196)),Q196-P196,"")</f>
        <v/>
      </c>
      <c r="AE196" s="15" t="n">
        <f aca="false">IF(AND(ISNUMBER(Q196),ISNUMBER(R196)),R196-Q196,IF(ISNUMBER(Y196),Y196,""))</f>
        <v>7</v>
      </c>
      <c r="AF196" s="15" t="str">
        <f aca="false">IF(AND(ISNUMBER(R196),ISNUMBER(S196)),S196-R196,"")</f>
        <v/>
      </c>
      <c r="AG196" s="15" t="str">
        <f aca="false">IF(AND(ISNUMBER(S196),ISNUMBER(T196)),T196-S196,"")</f>
        <v/>
      </c>
      <c r="AH196" s="15" t="str">
        <f aca="false">IF(AND(ISNUMBER(L196),ISNUMBER(T196)),T196-L196,"")</f>
        <v/>
      </c>
      <c r="AI196" s="15" t="str">
        <f aca="false">IF(AND(ISNUMBER(O196),ISNUMBER(Q196)),Q196-O196,"")</f>
        <v/>
      </c>
      <c r="AJ196" s="15" t="str">
        <f aca="false">IF(B196="","",COUNT(L196:M196,P196:T196)&amp;"/7")</f>
        <v>1/7</v>
      </c>
      <c r="AK196" s="15" t="str">
        <f aca="false">IF(B196="","",IF(OR(AND(ISNUMBER(L196),ISNUMBER(M196),M196&lt;L196),AND(ISNUMBER(M196),ISNUMBER(P196),P196&lt;M196),AND(ISNUMBER(P196),ISNUMBER(Q196),Q196&lt;P196),AND(ISNUMBER(Q196),ISNUMBER(R196),R196&lt;Q196),AND(ISNUMBER(R196),ISNUMBER(S196),S196&lt;R196),AND(ISNUMBER(S196),ISNUMBER(T196),T196&lt;S196),AND(ISNUMBER(N196),ISNUMBER(O196),O196&lt;N196)),"Urutan tanggal salah",IF(AND(ISNUMBER(Q196),ISNUMBER(R196),ISNUMBER(Y196),ABS(R196-Q196-Y196)&gt;2),"S tanggal ≠ Sailing tercatat",IF(AND(ISNUMBER(Q196),ISNUMBER(O196),ABS(Q196-O196)&gt;60),"Cek tahun laycan",IF(AND(ISNUMBER(Q196),ISNUMBER(N196),Q196&lt;N196),"Berangkat sebelum laycan",IF(NOT(ISNUMBER(AE196)),"S belum ada","OK"))))))</f>
        <v>OK</v>
      </c>
    </row>
    <row r="197" customFormat="false" ht="15" hidden="false" customHeight="false" outlineLevel="0" collapsed="false">
      <c r="A197" s="16" t="n">
        <f aca="false">IF(B197="","",ROW()-4)</f>
        <v>193</v>
      </c>
      <c r="B197" s="12" t="s">
        <v>599</v>
      </c>
      <c r="C197" s="16" t="s">
        <v>600</v>
      </c>
      <c r="D197" s="16" t="n">
        <v>2023</v>
      </c>
      <c r="E197" s="16" t="s">
        <v>601</v>
      </c>
      <c r="F197" s="16" t="s">
        <v>601</v>
      </c>
      <c r="G197" s="16" t="s">
        <v>77</v>
      </c>
      <c r="H197" s="16" t="s">
        <v>627</v>
      </c>
      <c r="I197" s="16" t="s">
        <v>628</v>
      </c>
      <c r="J197" s="16"/>
      <c r="K197" s="16" t="n">
        <v>16499.92</v>
      </c>
      <c r="L197" s="13"/>
      <c r="M197" s="13"/>
      <c r="N197" s="13"/>
      <c r="O197" s="13"/>
      <c r="P197" s="13"/>
      <c r="Q197" s="13"/>
      <c r="R197" s="13" t="n">
        <v>44987</v>
      </c>
      <c r="S197" s="13"/>
      <c r="T197" s="13"/>
      <c r="U197" s="12" t="s">
        <v>80</v>
      </c>
      <c r="V197" s="14"/>
      <c r="W197" s="16" t="s">
        <v>626</v>
      </c>
      <c r="X197" s="16"/>
      <c r="Y197" s="16" t="n">
        <v>20</v>
      </c>
      <c r="Z197" s="16" t="s">
        <v>81</v>
      </c>
      <c r="AA197" s="15" t="str">
        <f aca="false">IF(AND(ISNUMBER(L197),ISNUMBER(M197)),M197-L197,"")</f>
        <v/>
      </c>
      <c r="AB197" s="15" t="str">
        <f aca="false">IF(AND(ISNUMBER(M197),ISNUMBER(P197)),P197-M197,"")</f>
        <v/>
      </c>
      <c r="AC197" s="15" t="str">
        <f aca="false">IF(AND(ISNUMBER(L197),ISNUMBER(P197)),P197-L197,"")</f>
        <v/>
      </c>
      <c r="AD197" s="15" t="str">
        <f aca="false">IF(AND(ISNUMBER(P197),ISNUMBER(Q197)),Q197-P197,"")</f>
        <v/>
      </c>
      <c r="AE197" s="15" t="n">
        <f aca="false">IF(AND(ISNUMBER(Q197),ISNUMBER(R197)),R197-Q197,IF(ISNUMBER(Y197),Y197,""))</f>
        <v>20</v>
      </c>
      <c r="AF197" s="15" t="str">
        <f aca="false">IF(AND(ISNUMBER(R197),ISNUMBER(S197)),S197-R197,"")</f>
        <v/>
      </c>
      <c r="AG197" s="15" t="str">
        <f aca="false">IF(AND(ISNUMBER(S197),ISNUMBER(T197)),T197-S197,"")</f>
        <v/>
      </c>
      <c r="AH197" s="15" t="str">
        <f aca="false">IF(AND(ISNUMBER(L197),ISNUMBER(T197)),T197-L197,"")</f>
        <v/>
      </c>
      <c r="AI197" s="15" t="str">
        <f aca="false">IF(AND(ISNUMBER(O197),ISNUMBER(Q197)),Q197-O197,"")</f>
        <v/>
      </c>
      <c r="AJ197" s="15" t="str">
        <f aca="false">IF(B197="","",COUNT(L197:M197,P197:T197)&amp;"/7")</f>
        <v>1/7</v>
      </c>
      <c r="AK197" s="15" t="str">
        <f aca="false">IF(B197="","",IF(OR(AND(ISNUMBER(L197),ISNUMBER(M197),M197&lt;L197),AND(ISNUMBER(M197),ISNUMBER(P197),P197&lt;M197),AND(ISNUMBER(P197),ISNUMBER(Q197),Q197&lt;P197),AND(ISNUMBER(Q197),ISNUMBER(R197),R197&lt;Q197),AND(ISNUMBER(R197),ISNUMBER(S197),S197&lt;R197),AND(ISNUMBER(S197),ISNUMBER(T197),T197&lt;S197),AND(ISNUMBER(N197),ISNUMBER(O197),O197&lt;N197)),"Urutan tanggal salah",IF(AND(ISNUMBER(Q197),ISNUMBER(R197),ISNUMBER(Y197),ABS(R197-Q197-Y197)&gt;2),"S tanggal ≠ Sailing tercatat",IF(AND(ISNUMBER(Q197),ISNUMBER(O197),ABS(Q197-O197)&gt;60),"Cek tahun laycan",IF(AND(ISNUMBER(Q197),ISNUMBER(N197),Q197&lt;N197),"Berangkat sebelum laycan",IF(NOT(ISNUMBER(AE197)),"S belum ada","OK"))))))</f>
        <v>OK</v>
      </c>
    </row>
    <row r="198" customFormat="false" ht="15" hidden="false" customHeight="false" outlineLevel="0" collapsed="false">
      <c r="A198" s="16" t="n">
        <f aca="false">IF(B198="","",ROW()-4)</f>
        <v>194</v>
      </c>
      <c r="B198" s="12" t="s">
        <v>599</v>
      </c>
      <c r="C198" s="16" t="s">
        <v>600</v>
      </c>
      <c r="D198" s="16" t="n">
        <v>2023</v>
      </c>
      <c r="E198" s="16" t="s">
        <v>605</v>
      </c>
      <c r="F198" s="16" t="s">
        <v>605</v>
      </c>
      <c r="G198" s="16" t="s">
        <v>77</v>
      </c>
      <c r="H198" s="16" t="s">
        <v>629</v>
      </c>
      <c r="I198" s="16" t="s">
        <v>630</v>
      </c>
      <c r="J198" s="16"/>
      <c r="K198" s="16" t="n">
        <v>15249.94</v>
      </c>
      <c r="L198" s="13"/>
      <c r="M198" s="13"/>
      <c r="N198" s="13"/>
      <c r="O198" s="13"/>
      <c r="P198" s="13"/>
      <c r="Q198" s="13"/>
      <c r="R198" s="13" t="n">
        <v>45031</v>
      </c>
      <c r="S198" s="13"/>
      <c r="T198" s="13"/>
      <c r="U198" s="12" t="s">
        <v>80</v>
      </c>
      <c r="V198" s="14"/>
      <c r="W198" s="16" t="s">
        <v>626</v>
      </c>
      <c r="X198" s="16"/>
      <c r="Y198" s="16" t="n">
        <v>20</v>
      </c>
      <c r="Z198" s="16" t="s">
        <v>81</v>
      </c>
      <c r="AA198" s="15" t="str">
        <f aca="false">IF(AND(ISNUMBER(L198),ISNUMBER(M198)),M198-L198,"")</f>
        <v/>
      </c>
      <c r="AB198" s="15" t="str">
        <f aca="false">IF(AND(ISNUMBER(M198),ISNUMBER(P198)),P198-M198,"")</f>
        <v/>
      </c>
      <c r="AC198" s="15" t="str">
        <f aca="false">IF(AND(ISNUMBER(L198),ISNUMBER(P198)),P198-L198,"")</f>
        <v/>
      </c>
      <c r="AD198" s="15" t="str">
        <f aca="false">IF(AND(ISNUMBER(P198),ISNUMBER(Q198)),Q198-P198,"")</f>
        <v/>
      </c>
      <c r="AE198" s="15" t="n">
        <f aca="false">IF(AND(ISNUMBER(Q198),ISNUMBER(R198)),R198-Q198,IF(ISNUMBER(Y198),Y198,""))</f>
        <v>20</v>
      </c>
      <c r="AF198" s="15" t="str">
        <f aca="false">IF(AND(ISNUMBER(R198),ISNUMBER(S198)),S198-R198,"")</f>
        <v/>
      </c>
      <c r="AG198" s="15" t="str">
        <f aca="false">IF(AND(ISNUMBER(S198),ISNUMBER(T198)),T198-S198,"")</f>
        <v/>
      </c>
      <c r="AH198" s="15" t="str">
        <f aca="false">IF(AND(ISNUMBER(L198),ISNUMBER(T198)),T198-L198,"")</f>
        <v/>
      </c>
      <c r="AI198" s="15" t="str">
        <f aca="false">IF(AND(ISNUMBER(O198),ISNUMBER(Q198)),Q198-O198,"")</f>
        <v/>
      </c>
      <c r="AJ198" s="15" t="str">
        <f aca="false">IF(B198="","",COUNT(L198:M198,P198:T198)&amp;"/7")</f>
        <v>1/7</v>
      </c>
      <c r="AK198" s="15" t="str">
        <f aca="false">IF(B198="","",IF(OR(AND(ISNUMBER(L198),ISNUMBER(M198),M198&lt;L198),AND(ISNUMBER(M198),ISNUMBER(P198),P198&lt;M198),AND(ISNUMBER(P198),ISNUMBER(Q198),Q198&lt;P198),AND(ISNUMBER(Q198),ISNUMBER(R198),R198&lt;Q198),AND(ISNUMBER(R198),ISNUMBER(S198),S198&lt;R198),AND(ISNUMBER(S198),ISNUMBER(T198),T198&lt;S198),AND(ISNUMBER(N198),ISNUMBER(O198),O198&lt;N198)),"Urutan tanggal salah",IF(AND(ISNUMBER(Q198),ISNUMBER(R198),ISNUMBER(Y198),ABS(R198-Q198-Y198)&gt;2),"S tanggal ≠ Sailing tercatat",IF(AND(ISNUMBER(Q198),ISNUMBER(O198),ABS(Q198-O198)&gt;60),"Cek tahun laycan",IF(AND(ISNUMBER(Q198),ISNUMBER(N198),Q198&lt;N198),"Berangkat sebelum laycan",IF(NOT(ISNUMBER(AE198)),"S belum ada","OK"))))))</f>
        <v>OK</v>
      </c>
    </row>
    <row r="199" customFormat="false" ht="15" hidden="false" customHeight="false" outlineLevel="0" collapsed="false">
      <c r="A199" s="16" t="n">
        <f aca="false">IF(B199="","",ROW()-4)</f>
        <v>195</v>
      </c>
      <c r="B199" s="12" t="s">
        <v>599</v>
      </c>
      <c r="C199" s="16" t="s">
        <v>600</v>
      </c>
      <c r="D199" s="16" t="n">
        <v>2023</v>
      </c>
      <c r="E199" s="16" t="s">
        <v>631</v>
      </c>
      <c r="F199" s="16" t="s">
        <v>632</v>
      </c>
      <c r="G199" s="16" t="s">
        <v>77</v>
      </c>
      <c r="H199" s="16" t="s">
        <v>275</v>
      </c>
      <c r="I199" s="16" t="s">
        <v>633</v>
      </c>
      <c r="J199" s="16"/>
      <c r="K199" s="16" t="n">
        <v>38300</v>
      </c>
      <c r="L199" s="13"/>
      <c r="M199" s="13"/>
      <c r="N199" s="13" t="n">
        <v>45032</v>
      </c>
      <c r="O199" s="13" t="n">
        <v>45032</v>
      </c>
      <c r="P199" s="13"/>
      <c r="Q199" s="13" t="n">
        <v>45036</v>
      </c>
      <c r="R199" s="13" t="n">
        <v>45056</v>
      </c>
      <c r="S199" s="13"/>
      <c r="T199" s="13"/>
      <c r="U199" s="12" t="s">
        <v>80</v>
      </c>
      <c r="V199" s="14"/>
      <c r="W199" s="16"/>
      <c r="X199" s="16"/>
      <c r="Y199" s="16" t="n">
        <v>20</v>
      </c>
      <c r="Z199" s="16" t="s">
        <v>81</v>
      </c>
      <c r="AA199" s="15" t="str">
        <f aca="false">IF(AND(ISNUMBER(L199),ISNUMBER(M199)),M199-L199,"")</f>
        <v/>
      </c>
      <c r="AB199" s="15" t="str">
        <f aca="false">IF(AND(ISNUMBER(M199),ISNUMBER(P199)),P199-M199,"")</f>
        <v/>
      </c>
      <c r="AC199" s="15" t="str">
        <f aca="false">IF(AND(ISNUMBER(L199),ISNUMBER(P199)),P199-L199,"")</f>
        <v/>
      </c>
      <c r="AD199" s="15" t="str">
        <f aca="false">IF(AND(ISNUMBER(P199),ISNUMBER(Q199)),Q199-P199,"")</f>
        <v/>
      </c>
      <c r="AE199" s="15" t="n">
        <f aca="false">IF(AND(ISNUMBER(Q199),ISNUMBER(R199)),R199-Q199,IF(ISNUMBER(Y199),Y199,""))</f>
        <v>20</v>
      </c>
      <c r="AF199" s="15" t="str">
        <f aca="false">IF(AND(ISNUMBER(R199),ISNUMBER(S199)),S199-R199,"")</f>
        <v/>
      </c>
      <c r="AG199" s="15" t="str">
        <f aca="false">IF(AND(ISNUMBER(S199),ISNUMBER(T199)),T199-S199,"")</f>
        <v/>
      </c>
      <c r="AH199" s="15" t="str">
        <f aca="false">IF(AND(ISNUMBER(L199),ISNUMBER(T199)),T199-L199,"")</f>
        <v/>
      </c>
      <c r="AI199" s="15" t="n">
        <f aca="false">IF(AND(ISNUMBER(O199),ISNUMBER(Q199)),Q199-O199,"")</f>
        <v>4</v>
      </c>
      <c r="AJ199" s="15" t="str">
        <f aca="false">IF(B199="","",COUNT(L199:M199,P199:T199)&amp;"/7")</f>
        <v>2/7</v>
      </c>
      <c r="AK199" s="15" t="str">
        <f aca="false">IF(B199="","",IF(OR(AND(ISNUMBER(L199),ISNUMBER(M199),M199&lt;L199),AND(ISNUMBER(M199),ISNUMBER(P199),P199&lt;M199),AND(ISNUMBER(P199),ISNUMBER(Q199),Q199&lt;P199),AND(ISNUMBER(Q199),ISNUMBER(R199),R199&lt;Q199),AND(ISNUMBER(R199),ISNUMBER(S199),S199&lt;R199),AND(ISNUMBER(S199),ISNUMBER(T199),T199&lt;S199),AND(ISNUMBER(N199),ISNUMBER(O199),O199&lt;N199)),"Urutan tanggal salah",IF(AND(ISNUMBER(Q199),ISNUMBER(R199),ISNUMBER(Y199),ABS(R199-Q199-Y199)&gt;2),"S tanggal ≠ Sailing tercatat",IF(AND(ISNUMBER(Q199),ISNUMBER(O199),ABS(Q199-O199)&gt;60),"Cek tahun laycan",IF(AND(ISNUMBER(Q199),ISNUMBER(N199),Q199&lt;N199),"Berangkat sebelum laycan",IF(NOT(ISNUMBER(AE199)),"S belum ada","OK"))))))</f>
        <v>OK</v>
      </c>
    </row>
    <row r="200" customFormat="false" ht="15" hidden="false" customHeight="false" outlineLevel="0" collapsed="false">
      <c r="A200" s="16" t="n">
        <f aca="false">IF(B200="","",ROW()-4)</f>
        <v>196</v>
      </c>
      <c r="B200" s="12" t="s">
        <v>599</v>
      </c>
      <c r="C200" s="16" t="s">
        <v>600</v>
      </c>
      <c r="D200" s="16" t="n">
        <v>2023</v>
      </c>
      <c r="E200" s="16" t="s">
        <v>611</v>
      </c>
      <c r="F200" s="16" t="s">
        <v>634</v>
      </c>
      <c r="G200" s="16" t="s">
        <v>77</v>
      </c>
      <c r="H200" s="16" t="s">
        <v>607</v>
      </c>
      <c r="I200" s="16" t="s">
        <v>635</v>
      </c>
      <c r="J200" s="16"/>
      <c r="K200" s="16" t="n">
        <v>31352.65</v>
      </c>
      <c r="L200" s="13"/>
      <c r="M200" s="13"/>
      <c r="N200" s="13"/>
      <c r="O200" s="13"/>
      <c r="P200" s="13"/>
      <c r="Q200" s="13"/>
      <c r="R200" s="13" t="n">
        <v>45129</v>
      </c>
      <c r="S200" s="13"/>
      <c r="T200" s="13"/>
      <c r="U200" s="12" t="s">
        <v>80</v>
      </c>
      <c r="V200" s="14"/>
      <c r="W200" s="16"/>
      <c r="X200" s="16"/>
      <c r="Y200" s="16" t="n">
        <v>20</v>
      </c>
      <c r="Z200" s="16" t="s">
        <v>81</v>
      </c>
      <c r="AA200" s="15" t="str">
        <f aca="false">IF(AND(ISNUMBER(L200),ISNUMBER(M200)),M200-L200,"")</f>
        <v/>
      </c>
      <c r="AB200" s="15" t="str">
        <f aca="false">IF(AND(ISNUMBER(M200),ISNUMBER(P200)),P200-M200,"")</f>
        <v/>
      </c>
      <c r="AC200" s="15" t="str">
        <f aca="false">IF(AND(ISNUMBER(L200),ISNUMBER(P200)),P200-L200,"")</f>
        <v/>
      </c>
      <c r="AD200" s="15" t="str">
        <f aca="false">IF(AND(ISNUMBER(P200),ISNUMBER(Q200)),Q200-P200,"")</f>
        <v/>
      </c>
      <c r="AE200" s="15" t="n">
        <f aca="false">IF(AND(ISNUMBER(Q200),ISNUMBER(R200)),R200-Q200,IF(ISNUMBER(Y200),Y200,""))</f>
        <v>20</v>
      </c>
      <c r="AF200" s="15" t="str">
        <f aca="false">IF(AND(ISNUMBER(R200),ISNUMBER(S200)),S200-R200,"")</f>
        <v/>
      </c>
      <c r="AG200" s="15" t="str">
        <f aca="false">IF(AND(ISNUMBER(S200),ISNUMBER(T200)),T200-S200,"")</f>
        <v/>
      </c>
      <c r="AH200" s="15" t="str">
        <f aca="false">IF(AND(ISNUMBER(L200),ISNUMBER(T200)),T200-L200,"")</f>
        <v/>
      </c>
      <c r="AI200" s="15" t="str">
        <f aca="false">IF(AND(ISNUMBER(O200),ISNUMBER(Q200)),Q200-O200,"")</f>
        <v/>
      </c>
      <c r="AJ200" s="15" t="str">
        <f aca="false">IF(B200="","",COUNT(L200:M200,P200:T200)&amp;"/7")</f>
        <v>1/7</v>
      </c>
      <c r="AK200" s="15" t="str">
        <f aca="false">IF(B200="","",IF(OR(AND(ISNUMBER(L200),ISNUMBER(M200),M200&lt;L200),AND(ISNUMBER(M200),ISNUMBER(P200),P200&lt;M200),AND(ISNUMBER(P200),ISNUMBER(Q200),Q200&lt;P200),AND(ISNUMBER(Q200),ISNUMBER(R200),R200&lt;Q200),AND(ISNUMBER(R200),ISNUMBER(S200),S200&lt;R200),AND(ISNUMBER(S200),ISNUMBER(T200),T200&lt;S200),AND(ISNUMBER(N200),ISNUMBER(O200),O200&lt;N200)),"Urutan tanggal salah",IF(AND(ISNUMBER(Q200),ISNUMBER(R200),ISNUMBER(Y200),ABS(R200-Q200-Y200)&gt;2),"S tanggal ≠ Sailing tercatat",IF(AND(ISNUMBER(Q200),ISNUMBER(O200),ABS(Q200-O200)&gt;60),"Cek tahun laycan",IF(AND(ISNUMBER(Q200),ISNUMBER(N200),Q200&lt;N200),"Berangkat sebelum laycan",IF(NOT(ISNUMBER(AE200)),"S belum ada","OK"))))))</f>
        <v>OK</v>
      </c>
    </row>
    <row r="201" customFormat="false" ht="15" hidden="false" customHeight="false" outlineLevel="0" collapsed="false">
      <c r="A201" s="16" t="n">
        <f aca="false">IF(B201="","",ROW()-4)</f>
        <v>197</v>
      </c>
      <c r="B201" s="12" t="s">
        <v>599</v>
      </c>
      <c r="C201" s="16" t="s">
        <v>600</v>
      </c>
      <c r="D201" s="16" t="n">
        <v>2023</v>
      </c>
      <c r="E201" s="16" t="s">
        <v>605</v>
      </c>
      <c r="F201" s="16" t="s">
        <v>636</v>
      </c>
      <c r="G201" s="16" t="s">
        <v>77</v>
      </c>
      <c r="H201" s="16" t="s">
        <v>609</v>
      </c>
      <c r="I201" s="16" t="s">
        <v>637</v>
      </c>
      <c r="J201" s="16"/>
      <c r="K201" s="16" t="n">
        <v>31499.997</v>
      </c>
      <c r="L201" s="13"/>
      <c r="M201" s="13"/>
      <c r="N201" s="13" t="n">
        <v>45250</v>
      </c>
      <c r="O201" s="13" t="n">
        <v>45254</v>
      </c>
      <c r="P201" s="13"/>
      <c r="Q201" s="13" t="n">
        <v>45254</v>
      </c>
      <c r="R201" s="13" t="n">
        <v>45271</v>
      </c>
      <c r="S201" s="13"/>
      <c r="T201" s="13"/>
      <c r="U201" s="12" t="s">
        <v>80</v>
      </c>
      <c r="V201" s="14"/>
      <c r="W201" s="16" t="s">
        <v>638</v>
      </c>
      <c r="X201" s="16" t="s">
        <v>639</v>
      </c>
      <c r="Y201" s="16" t="n">
        <v>17</v>
      </c>
      <c r="Z201" s="16" t="s">
        <v>81</v>
      </c>
      <c r="AA201" s="15" t="str">
        <f aca="false">IF(AND(ISNUMBER(L201),ISNUMBER(M201)),M201-L201,"")</f>
        <v/>
      </c>
      <c r="AB201" s="15" t="str">
        <f aca="false">IF(AND(ISNUMBER(M201),ISNUMBER(P201)),P201-M201,"")</f>
        <v/>
      </c>
      <c r="AC201" s="15" t="str">
        <f aca="false">IF(AND(ISNUMBER(L201),ISNUMBER(P201)),P201-L201,"")</f>
        <v/>
      </c>
      <c r="AD201" s="15" t="str">
        <f aca="false">IF(AND(ISNUMBER(P201),ISNUMBER(Q201)),Q201-P201,"")</f>
        <v/>
      </c>
      <c r="AE201" s="15" t="n">
        <f aca="false">IF(AND(ISNUMBER(Q201),ISNUMBER(R201)),R201-Q201,IF(ISNUMBER(Y201),Y201,""))</f>
        <v>17</v>
      </c>
      <c r="AF201" s="15" t="str">
        <f aca="false">IF(AND(ISNUMBER(R201),ISNUMBER(S201)),S201-R201,"")</f>
        <v/>
      </c>
      <c r="AG201" s="15" t="str">
        <f aca="false">IF(AND(ISNUMBER(S201),ISNUMBER(T201)),T201-S201,"")</f>
        <v/>
      </c>
      <c r="AH201" s="15" t="str">
        <f aca="false">IF(AND(ISNUMBER(L201),ISNUMBER(T201)),T201-L201,"")</f>
        <v/>
      </c>
      <c r="AI201" s="15" t="n">
        <f aca="false">IF(AND(ISNUMBER(O201),ISNUMBER(Q201)),Q201-O201,"")</f>
        <v>0</v>
      </c>
      <c r="AJ201" s="15" t="str">
        <f aca="false">IF(B201="","",COUNT(L201:M201,P201:T201)&amp;"/7")</f>
        <v>2/7</v>
      </c>
      <c r="AK201" s="15" t="str">
        <f aca="false">IF(B201="","",IF(OR(AND(ISNUMBER(L201),ISNUMBER(M201),M201&lt;L201),AND(ISNUMBER(M201),ISNUMBER(P201),P201&lt;M201),AND(ISNUMBER(P201),ISNUMBER(Q201),Q201&lt;P201),AND(ISNUMBER(Q201),ISNUMBER(R201),R201&lt;Q201),AND(ISNUMBER(R201),ISNUMBER(S201),S201&lt;R201),AND(ISNUMBER(S201),ISNUMBER(T201),T201&lt;S201),AND(ISNUMBER(N201),ISNUMBER(O201),O201&lt;N201)),"Urutan tanggal salah",IF(AND(ISNUMBER(Q201),ISNUMBER(R201),ISNUMBER(Y201),ABS(R201-Q201-Y201)&gt;2),"S tanggal ≠ Sailing tercatat",IF(AND(ISNUMBER(Q201),ISNUMBER(O201),ABS(Q201-O201)&gt;60),"Cek tahun laycan",IF(AND(ISNUMBER(Q201),ISNUMBER(N201),Q201&lt;N201),"Berangkat sebelum laycan",IF(NOT(ISNUMBER(AE201)),"S belum ada","OK"))))))</f>
        <v>OK</v>
      </c>
    </row>
    <row r="202" customFormat="false" ht="15" hidden="false" customHeight="false" outlineLevel="0" collapsed="false">
      <c r="A202" s="16" t="n">
        <f aca="false">IF(B202="","",ROW()-4)</f>
        <v>198</v>
      </c>
      <c r="B202" s="12" t="s">
        <v>599</v>
      </c>
      <c r="C202" s="16" t="s">
        <v>600</v>
      </c>
      <c r="D202" s="16" t="n">
        <v>2023</v>
      </c>
      <c r="E202" s="16" t="s">
        <v>605</v>
      </c>
      <c r="F202" s="16" t="s">
        <v>640</v>
      </c>
      <c r="G202" s="16" t="s">
        <v>77</v>
      </c>
      <c r="H202" s="16" t="s">
        <v>526</v>
      </c>
      <c r="I202" s="16" t="s">
        <v>641</v>
      </c>
      <c r="J202" s="16"/>
      <c r="K202" s="16" t="n">
        <v>32999.995</v>
      </c>
      <c r="L202" s="13"/>
      <c r="M202" s="13"/>
      <c r="N202" s="13" t="n">
        <v>45171</v>
      </c>
      <c r="O202" s="13" t="n">
        <v>45181</v>
      </c>
      <c r="P202" s="13"/>
      <c r="Q202" s="13" t="n">
        <v>45182</v>
      </c>
      <c r="R202" s="13" t="n">
        <v>45198</v>
      </c>
      <c r="S202" s="13"/>
      <c r="T202" s="13"/>
      <c r="U202" s="12" t="s">
        <v>80</v>
      </c>
      <c r="V202" s="14"/>
      <c r="W202" s="16"/>
      <c r="X202" s="16" t="s">
        <v>642</v>
      </c>
      <c r="Y202" s="16" t="n">
        <v>16</v>
      </c>
      <c r="Z202" s="16" t="s">
        <v>81</v>
      </c>
      <c r="AA202" s="15" t="str">
        <f aca="false">IF(AND(ISNUMBER(L202),ISNUMBER(M202)),M202-L202,"")</f>
        <v/>
      </c>
      <c r="AB202" s="15" t="str">
        <f aca="false">IF(AND(ISNUMBER(M202),ISNUMBER(P202)),P202-M202,"")</f>
        <v/>
      </c>
      <c r="AC202" s="15" t="str">
        <f aca="false">IF(AND(ISNUMBER(L202),ISNUMBER(P202)),P202-L202,"")</f>
        <v/>
      </c>
      <c r="AD202" s="15" t="str">
        <f aca="false">IF(AND(ISNUMBER(P202),ISNUMBER(Q202)),Q202-P202,"")</f>
        <v/>
      </c>
      <c r="AE202" s="15" t="n">
        <f aca="false">IF(AND(ISNUMBER(Q202),ISNUMBER(R202)),R202-Q202,IF(ISNUMBER(Y202),Y202,""))</f>
        <v>16</v>
      </c>
      <c r="AF202" s="15" t="str">
        <f aca="false">IF(AND(ISNUMBER(R202),ISNUMBER(S202)),S202-R202,"")</f>
        <v/>
      </c>
      <c r="AG202" s="15" t="str">
        <f aca="false">IF(AND(ISNUMBER(S202),ISNUMBER(T202)),T202-S202,"")</f>
        <v/>
      </c>
      <c r="AH202" s="15" t="str">
        <f aca="false">IF(AND(ISNUMBER(L202),ISNUMBER(T202)),T202-L202,"")</f>
        <v/>
      </c>
      <c r="AI202" s="15" t="n">
        <f aca="false">IF(AND(ISNUMBER(O202),ISNUMBER(Q202)),Q202-O202,"")</f>
        <v>1</v>
      </c>
      <c r="AJ202" s="15" t="str">
        <f aca="false">IF(B202="","",COUNT(L202:M202,P202:T202)&amp;"/7")</f>
        <v>2/7</v>
      </c>
      <c r="AK202" s="15" t="str">
        <f aca="false">IF(B202="","",IF(OR(AND(ISNUMBER(L202),ISNUMBER(M202),M202&lt;L202),AND(ISNUMBER(M202),ISNUMBER(P202),P202&lt;M202),AND(ISNUMBER(P202),ISNUMBER(Q202),Q202&lt;P202),AND(ISNUMBER(Q202),ISNUMBER(R202),R202&lt;Q202),AND(ISNUMBER(R202),ISNUMBER(S202),S202&lt;R202),AND(ISNUMBER(S202),ISNUMBER(T202),T202&lt;S202),AND(ISNUMBER(N202),ISNUMBER(O202),O202&lt;N202)),"Urutan tanggal salah",IF(AND(ISNUMBER(Q202),ISNUMBER(R202),ISNUMBER(Y202),ABS(R202-Q202-Y202)&gt;2),"S tanggal ≠ Sailing tercatat",IF(AND(ISNUMBER(Q202),ISNUMBER(O202),ABS(Q202-O202)&gt;60),"Cek tahun laycan",IF(AND(ISNUMBER(Q202),ISNUMBER(N202),Q202&lt;N202),"Berangkat sebelum laycan",IF(NOT(ISNUMBER(AE202)),"S belum ada","OK"))))))</f>
        <v>OK</v>
      </c>
    </row>
    <row r="203" customFormat="false" ht="15" hidden="false" customHeight="false" outlineLevel="0" collapsed="false">
      <c r="A203" s="16" t="n">
        <f aca="false">IF(B203="","",ROW()-4)</f>
        <v>199</v>
      </c>
      <c r="B203" s="12" t="s">
        <v>599</v>
      </c>
      <c r="C203" s="16" t="s">
        <v>600</v>
      </c>
      <c r="D203" s="16" t="n">
        <v>2023</v>
      </c>
      <c r="E203" s="16" t="s">
        <v>605</v>
      </c>
      <c r="F203" s="16" t="s">
        <v>611</v>
      </c>
      <c r="G203" s="16" t="s">
        <v>77</v>
      </c>
      <c r="H203" s="16" t="s">
        <v>643</v>
      </c>
      <c r="I203" s="16" t="s">
        <v>644</v>
      </c>
      <c r="J203" s="16"/>
      <c r="K203" s="16" t="n">
        <v>43998</v>
      </c>
      <c r="L203" s="13"/>
      <c r="M203" s="13"/>
      <c r="N203" s="13"/>
      <c r="O203" s="13"/>
      <c r="P203" s="13"/>
      <c r="Q203" s="13"/>
      <c r="R203" s="13" t="n">
        <v>45036</v>
      </c>
      <c r="S203" s="13"/>
      <c r="T203" s="13"/>
      <c r="U203" s="12" t="s">
        <v>80</v>
      </c>
      <c r="V203" s="14"/>
      <c r="W203" s="16"/>
      <c r="X203" s="16"/>
      <c r="Y203" s="16" t="n">
        <v>20</v>
      </c>
      <c r="Z203" s="16" t="s">
        <v>81</v>
      </c>
      <c r="AA203" s="15" t="str">
        <f aca="false">IF(AND(ISNUMBER(L203),ISNUMBER(M203)),M203-L203,"")</f>
        <v/>
      </c>
      <c r="AB203" s="15" t="str">
        <f aca="false">IF(AND(ISNUMBER(M203),ISNUMBER(P203)),P203-M203,"")</f>
        <v/>
      </c>
      <c r="AC203" s="15" t="str">
        <f aca="false">IF(AND(ISNUMBER(L203),ISNUMBER(P203)),P203-L203,"")</f>
        <v/>
      </c>
      <c r="AD203" s="15" t="str">
        <f aca="false">IF(AND(ISNUMBER(P203),ISNUMBER(Q203)),Q203-P203,"")</f>
        <v/>
      </c>
      <c r="AE203" s="15" t="n">
        <f aca="false">IF(AND(ISNUMBER(Q203),ISNUMBER(R203)),R203-Q203,IF(ISNUMBER(Y203),Y203,""))</f>
        <v>20</v>
      </c>
      <c r="AF203" s="15" t="str">
        <f aca="false">IF(AND(ISNUMBER(R203),ISNUMBER(S203)),S203-R203,"")</f>
        <v/>
      </c>
      <c r="AG203" s="15" t="str">
        <f aca="false">IF(AND(ISNUMBER(S203),ISNUMBER(T203)),T203-S203,"")</f>
        <v/>
      </c>
      <c r="AH203" s="15" t="str">
        <f aca="false">IF(AND(ISNUMBER(L203),ISNUMBER(T203)),T203-L203,"")</f>
        <v/>
      </c>
      <c r="AI203" s="15" t="str">
        <f aca="false">IF(AND(ISNUMBER(O203),ISNUMBER(Q203)),Q203-O203,"")</f>
        <v/>
      </c>
      <c r="AJ203" s="15" t="str">
        <f aca="false">IF(B203="","",COUNT(L203:M203,P203:T203)&amp;"/7")</f>
        <v>1/7</v>
      </c>
      <c r="AK203" s="15" t="str">
        <f aca="false">IF(B203="","",IF(OR(AND(ISNUMBER(L203),ISNUMBER(M203),M203&lt;L203),AND(ISNUMBER(M203),ISNUMBER(P203),P203&lt;M203),AND(ISNUMBER(P203),ISNUMBER(Q203),Q203&lt;P203),AND(ISNUMBER(Q203),ISNUMBER(R203),R203&lt;Q203),AND(ISNUMBER(R203),ISNUMBER(S203),S203&lt;R203),AND(ISNUMBER(S203),ISNUMBER(T203),T203&lt;S203),AND(ISNUMBER(N203),ISNUMBER(O203),O203&lt;N203)),"Urutan tanggal salah",IF(AND(ISNUMBER(Q203),ISNUMBER(R203),ISNUMBER(Y203),ABS(R203-Q203-Y203)&gt;2),"S tanggal ≠ Sailing tercatat",IF(AND(ISNUMBER(Q203),ISNUMBER(O203),ABS(Q203-O203)&gt;60),"Cek tahun laycan",IF(AND(ISNUMBER(Q203),ISNUMBER(N203),Q203&lt;N203),"Berangkat sebelum laycan",IF(NOT(ISNUMBER(AE203)),"S belum ada","OK"))))))</f>
        <v>OK</v>
      </c>
    </row>
    <row r="204" customFormat="false" ht="15" hidden="false" customHeight="false" outlineLevel="0" collapsed="false">
      <c r="A204" s="16" t="n">
        <f aca="false">IF(B204="","",ROW()-4)</f>
        <v>200</v>
      </c>
      <c r="B204" s="12" t="s">
        <v>599</v>
      </c>
      <c r="C204" s="16" t="s">
        <v>600</v>
      </c>
      <c r="D204" s="16" t="n">
        <v>2023</v>
      </c>
      <c r="E204" s="16" t="s">
        <v>605</v>
      </c>
      <c r="F204" s="16" t="s">
        <v>640</v>
      </c>
      <c r="G204" s="16" t="s">
        <v>77</v>
      </c>
      <c r="H204" s="16" t="s">
        <v>645</v>
      </c>
      <c r="I204" s="16" t="s">
        <v>646</v>
      </c>
      <c r="J204" s="16"/>
      <c r="K204" s="16" t="n">
        <v>34199.996</v>
      </c>
      <c r="L204" s="13"/>
      <c r="M204" s="13"/>
      <c r="N204" s="13" t="n">
        <v>45192</v>
      </c>
      <c r="O204" s="13" t="n">
        <v>45198</v>
      </c>
      <c r="P204" s="13"/>
      <c r="Q204" s="13" t="n">
        <v>45199</v>
      </c>
      <c r="R204" s="13" t="n">
        <v>45217</v>
      </c>
      <c r="S204" s="13"/>
      <c r="T204" s="13"/>
      <c r="U204" s="12" t="s">
        <v>80</v>
      </c>
      <c r="V204" s="14"/>
      <c r="W204" s="16"/>
      <c r="X204" s="16" t="s">
        <v>647</v>
      </c>
      <c r="Y204" s="16" t="n">
        <v>18</v>
      </c>
      <c r="Z204" s="16" t="s">
        <v>81</v>
      </c>
      <c r="AA204" s="15" t="str">
        <f aca="false">IF(AND(ISNUMBER(L204),ISNUMBER(M204)),M204-L204,"")</f>
        <v/>
      </c>
      <c r="AB204" s="15" t="str">
        <f aca="false">IF(AND(ISNUMBER(M204),ISNUMBER(P204)),P204-M204,"")</f>
        <v/>
      </c>
      <c r="AC204" s="15" t="str">
        <f aca="false">IF(AND(ISNUMBER(L204),ISNUMBER(P204)),P204-L204,"")</f>
        <v/>
      </c>
      <c r="AD204" s="15" t="str">
        <f aca="false">IF(AND(ISNUMBER(P204),ISNUMBER(Q204)),Q204-P204,"")</f>
        <v/>
      </c>
      <c r="AE204" s="15" t="n">
        <f aca="false">IF(AND(ISNUMBER(Q204),ISNUMBER(R204)),R204-Q204,IF(ISNUMBER(Y204),Y204,""))</f>
        <v>18</v>
      </c>
      <c r="AF204" s="15" t="str">
        <f aca="false">IF(AND(ISNUMBER(R204),ISNUMBER(S204)),S204-R204,"")</f>
        <v/>
      </c>
      <c r="AG204" s="15" t="str">
        <f aca="false">IF(AND(ISNUMBER(S204),ISNUMBER(T204)),T204-S204,"")</f>
        <v/>
      </c>
      <c r="AH204" s="15" t="str">
        <f aca="false">IF(AND(ISNUMBER(L204),ISNUMBER(T204)),T204-L204,"")</f>
        <v/>
      </c>
      <c r="AI204" s="15" t="n">
        <f aca="false">IF(AND(ISNUMBER(O204),ISNUMBER(Q204)),Q204-O204,"")</f>
        <v>1</v>
      </c>
      <c r="AJ204" s="15" t="str">
        <f aca="false">IF(B204="","",COUNT(L204:M204,P204:T204)&amp;"/7")</f>
        <v>2/7</v>
      </c>
      <c r="AK204" s="15" t="str">
        <f aca="false">IF(B204="","",IF(OR(AND(ISNUMBER(L204),ISNUMBER(M204),M204&lt;L204),AND(ISNUMBER(M204),ISNUMBER(P204),P204&lt;M204),AND(ISNUMBER(P204),ISNUMBER(Q204),Q204&lt;P204),AND(ISNUMBER(Q204),ISNUMBER(R204),R204&lt;Q204),AND(ISNUMBER(R204),ISNUMBER(S204),S204&lt;R204),AND(ISNUMBER(S204),ISNUMBER(T204),T204&lt;S204),AND(ISNUMBER(N204),ISNUMBER(O204),O204&lt;N204)),"Urutan tanggal salah",IF(AND(ISNUMBER(Q204),ISNUMBER(R204),ISNUMBER(Y204),ABS(R204-Q204-Y204)&gt;2),"S tanggal ≠ Sailing tercatat",IF(AND(ISNUMBER(Q204),ISNUMBER(O204),ABS(Q204-O204)&gt;60),"Cek tahun laycan",IF(AND(ISNUMBER(Q204),ISNUMBER(N204),Q204&lt;N204),"Berangkat sebelum laycan",IF(NOT(ISNUMBER(AE204)),"S belum ada","OK"))))))</f>
        <v>OK</v>
      </c>
    </row>
    <row r="205" customFormat="false" ht="15" hidden="false" customHeight="false" outlineLevel="0" collapsed="false">
      <c r="A205" s="16" t="n">
        <f aca="false">IF(B205="","",ROW()-4)</f>
        <v>201</v>
      </c>
      <c r="B205" s="12" t="s">
        <v>599</v>
      </c>
      <c r="C205" s="16" t="s">
        <v>600</v>
      </c>
      <c r="D205" s="16" t="n">
        <v>2024</v>
      </c>
      <c r="E205" s="16" t="s">
        <v>605</v>
      </c>
      <c r="F205" s="16" t="s">
        <v>636</v>
      </c>
      <c r="G205" s="16" t="s">
        <v>77</v>
      </c>
      <c r="H205" s="16" t="s">
        <v>648</v>
      </c>
      <c r="I205" s="16" t="s">
        <v>649</v>
      </c>
      <c r="J205" s="16"/>
      <c r="K205" s="16" t="n">
        <v>32999.718</v>
      </c>
      <c r="L205" s="13"/>
      <c r="M205" s="13"/>
      <c r="N205" s="13" t="n">
        <v>45311</v>
      </c>
      <c r="O205" s="13" t="n">
        <v>45315</v>
      </c>
      <c r="P205" s="13"/>
      <c r="Q205" s="13" t="n">
        <v>45316</v>
      </c>
      <c r="R205" s="13" t="n">
        <v>45336</v>
      </c>
      <c r="S205" s="13"/>
      <c r="T205" s="13"/>
      <c r="U205" s="12" t="s">
        <v>80</v>
      </c>
      <c r="V205" s="14"/>
      <c r="W205" s="16" t="s">
        <v>650</v>
      </c>
      <c r="X205" s="16" t="s">
        <v>651</v>
      </c>
      <c r="Y205" s="16" t="n">
        <v>20</v>
      </c>
      <c r="Z205" s="16" t="s">
        <v>81</v>
      </c>
      <c r="AA205" s="15" t="str">
        <f aca="false">IF(AND(ISNUMBER(L205),ISNUMBER(M205)),M205-L205,"")</f>
        <v/>
      </c>
      <c r="AB205" s="15" t="str">
        <f aca="false">IF(AND(ISNUMBER(M205),ISNUMBER(P205)),P205-M205,"")</f>
        <v/>
      </c>
      <c r="AC205" s="15" t="str">
        <f aca="false">IF(AND(ISNUMBER(L205),ISNUMBER(P205)),P205-L205,"")</f>
        <v/>
      </c>
      <c r="AD205" s="15" t="str">
        <f aca="false">IF(AND(ISNUMBER(P205),ISNUMBER(Q205)),Q205-P205,"")</f>
        <v/>
      </c>
      <c r="AE205" s="15" t="n">
        <f aca="false">IF(AND(ISNUMBER(Q205),ISNUMBER(R205)),R205-Q205,IF(ISNUMBER(Y205),Y205,""))</f>
        <v>20</v>
      </c>
      <c r="AF205" s="15" t="str">
        <f aca="false">IF(AND(ISNUMBER(R205),ISNUMBER(S205)),S205-R205,"")</f>
        <v/>
      </c>
      <c r="AG205" s="15" t="str">
        <f aca="false">IF(AND(ISNUMBER(S205),ISNUMBER(T205)),T205-S205,"")</f>
        <v/>
      </c>
      <c r="AH205" s="15" t="str">
        <f aca="false">IF(AND(ISNUMBER(L205),ISNUMBER(T205)),T205-L205,"")</f>
        <v/>
      </c>
      <c r="AI205" s="15" t="n">
        <f aca="false">IF(AND(ISNUMBER(O205),ISNUMBER(Q205)),Q205-O205,"")</f>
        <v>1</v>
      </c>
      <c r="AJ205" s="15" t="str">
        <f aca="false">IF(B205="","",COUNT(L205:M205,P205:T205)&amp;"/7")</f>
        <v>2/7</v>
      </c>
      <c r="AK205" s="15" t="str">
        <f aca="false">IF(B205="","",IF(OR(AND(ISNUMBER(L205),ISNUMBER(M205),M205&lt;L205),AND(ISNUMBER(M205),ISNUMBER(P205),P205&lt;M205),AND(ISNUMBER(P205),ISNUMBER(Q205),Q205&lt;P205),AND(ISNUMBER(Q205),ISNUMBER(R205),R205&lt;Q205),AND(ISNUMBER(R205),ISNUMBER(S205),S205&lt;R205),AND(ISNUMBER(S205),ISNUMBER(T205),T205&lt;S205),AND(ISNUMBER(N205),ISNUMBER(O205),O205&lt;N205)),"Urutan tanggal salah",IF(AND(ISNUMBER(Q205),ISNUMBER(R205),ISNUMBER(Y205),ABS(R205-Q205-Y205)&gt;2),"S tanggal ≠ Sailing tercatat",IF(AND(ISNUMBER(Q205),ISNUMBER(O205),ABS(Q205-O205)&gt;60),"Cek tahun laycan",IF(AND(ISNUMBER(Q205),ISNUMBER(N205),Q205&lt;N205),"Berangkat sebelum laycan",IF(NOT(ISNUMBER(AE205)),"S belum ada","OK"))))))</f>
        <v>OK</v>
      </c>
    </row>
    <row r="206" customFormat="false" ht="15" hidden="false" customHeight="false" outlineLevel="0" collapsed="false">
      <c r="A206" s="16" t="n">
        <f aca="false">IF(B206="","",ROW()-4)</f>
        <v>202</v>
      </c>
      <c r="B206" s="12" t="s">
        <v>599</v>
      </c>
      <c r="C206" s="16" t="s">
        <v>600</v>
      </c>
      <c r="D206" s="16" t="n">
        <v>2024</v>
      </c>
      <c r="E206" s="16" t="s">
        <v>605</v>
      </c>
      <c r="F206" s="16" t="s">
        <v>636</v>
      </c>
      <c r="G206" s="16" t="s">
        <v>77</v>
      </c>
      <c r="H206" s="16" t="s">
        <v>652</v>
      </c>
      <c r="I206" s="16" t="s">
        <v>653</v>
      </c>
      <c r="J206" s="16"/>
      <c r="K206" s="16" t="n">
        <v>38508.428</v>
      </c>
      <c r="L206" s="13"/>
      <c r="M206" s="13"/>
      <c r="N206" s="13" t="n">
        <v>45373</v>
      </c>
      <c r="O206" s="13" t="n">
        <v>45381</v>
      </c>
      <c r="P206" s="13"/>
      <c r="Q206" s="13" t="n">
        <v>45382</v>
      </c>
      <c r="R206" s="13" t="n">
        <v>45402</v>
      </c>
      <c r="S206" s="13"/>
      <c r="T206" s="13"/>
      <c r="U206" s="12" t="s">
        <v>80</v>
      </c>
      <c r="V206" s="14"/>
      <c r="W206" s="16" t="s">
        <v>654</v>
      </c>
      <c r="X206" s="16" t="s">
        <v>655</v>
      </c>
      <c r="Y206" s="16" t="n">
        <v>20</v>
      </c>
      <c r="Z206" s="16" t="s">
        <v>81</v>
      </c>
      <c r="AA206" s="15" t="str">
        <f aca="false">IF(AND(ISNUMBER(L206),ISNUMBER(M206)),M206-L206,"")</f>
        <v/>
      </c>
      <c r="AB206" s="15" t="str">
        <f aca="false">IF(AND(ISNUMBER(M206),ISNUMBER(P206)),P206-M206,"")</f>
        <v/>
      </c>
      <c r="AC206" s="15" t="str">
        <f aca="false">IF(AND(ISNUMBER(L206),ISNUMBER(P206)),P206-L206,"")</f>
        <v/>
      </c>
      <c r="AD206" s="15" t="str">
        <f aca="false">IF(AND(ISNUMBER(P206),ISNUMBER(Q206)),Q206-P206,"")</f>
        <v/>
      </c>
      <c r="AE206" s="15" t="n">
        <f aca="false">IF(AND(ISNUMBER(Q206),ISNUMBER(R206)),R206-Q206,IF(ISNUMBER(Y206),Y206,""))</f>
        <v>20</v>
      </c>
      <c r="AF206" s="15" t="str">
        <f aca="false">IF(AND(ISNUMBER(R206),ISNUMBER(S206)),S206-R206,"")</f>
        <v/>
      </c>
      <c r="AG206" s="15" t="str">
        <f aca="false">IF(AND(ISNUMBER(S206),ISNUMBER(T206)),T206-S206,"")</f>
        <v/>
      </c>
      <c r="AH206" s="15" t="str">
        <f aca="false">IF(AND(ISNUMBER(L206),ISNUMBER(T206)),T206-L206,"")</f>
        <v/>
      </c>
      <c r="AI206" s="15" t="n">
        <f aca="false">IF(AND(ISNUMBER(O206),ISNUMBER(Q206)),Q206-O206,"")</f>
        <v>1</v>
      </c>
      <c r="AJ206" s="15" t="str">
        <f aca="false">IF(B206="","",COUNT(L206:M206,P206:T206)&amp;"/7")</f>
        <v>2/7</v>
      </c>
      <c r="AK206" s="15" t="str">
        <f aca="false">IF(B206="","",IF(OR(AND(ISNUMBER(L206),ISNUMBER(M206),M206&lt;L206),AND(ISNUMBER(M206),ISNUMBER(P206),P206&lt;M206),AND(ISNUMBER(P206),ISNUMBER(Q206),Q206&lt;P206),AND(ISNUMBER(Q206),ISNUMBER(R206),R206&lt;Q206),AND(ISNUMBER(R206),ISNUMBER(S206),S206&lt;R206),AND(ISNUMBER(S206),ISNUMBER(T206),T206&lt;S206),AND(ISNUMBER(N206),ISNUMBER(O206),O206&lt;N206)),"Urutan tanggal salah",IF(AND(ISNUMBER(Q206),ISNUMBER(R206),ISNUMBER(Y206),ABS(R206-Q206-Y206)&gt;2),"S tanggal ≠ Sailing tercatat",IF(AND(ISNUMBER(Q206),ISNUMBER(O206),ABS(Q206-O206)&gt;60),"Cek tahun laycan",IF(AND(ISNUMBER(Q206),ISNUMBER(N206),Q206&lt;N206),"Berangkat sebelum laycan",IF(NOT(ISNUMBER(AE206)),"S belum ada","OK"))))))</f>
        <v>OK</v>
      </c>
    </row>
    <row r="207" customFormat="false" ht="15" hidden="false" customHeight="false" outlineLevel="0" collapsed="false">
      <c r="A207" s="16" t="n">
        <f aca="false">IF(B207="","",ROW()-4)</f>
        <v>203</v>
      </c>
      <c r="B207" s="12" t="s">
        <v>599</v>
      </c>
      <c r="C207" s="16" t="s">
        <v>656</v>
      </c>
      <c r="D207" s="16" t="n">
        <v>2024</v>
      </c>
      <c r="E207" s="16" t="s">
        <v>605</v>
      </c>
      <c r="F207" s="16" t="s">
        <v>636</v>
      </c>
      <c r="G207" s="16" t="s">
        <v>77</v>
      </c>
      <c r="H207" s="16" t="s">
        <v>516</v>
      </c>
      <c r="I207" s="16" t="s">
        <v>657</v>
      </c>
      <c r="J207" s="16"/>
      <c r="K207" s="16" t="n">
        <v>19100.11</v>
      </c>
      <c r="L207" s="13"/>
      <c r="M207" s="13"/>
      <c r="N207" s="13" t="n">
        <v>45465</v>
      </c>
      <c r="O207" s="13" t="n">
        <v>45471</v>
      </c>
      <c r="P207" s="13"/>
      <c r="Q207" s="13" t="n">
        <v>45471</v>
      </c>
      <c r="R207" s="13" t="n">
        <v>45488</v>
      </c>
      <c r="S207" s="13"/>
      <c r="T207" s="13"/>
      <c r="U207" s="12" t="s">
        <v>80</v>
      </c>
      <c r="V207" s="14"/>
      <c r="W207" s="16" t="s">
        <v>658</v>
      </c>
      <c r="X207" s="16" t="s">
        <v>659</v>
      </c>
      <c r="Y207" s="16" t="n">
        <v>17</v>
      </c>
      <c r="Z207" s="16" t="s">
        <v>81</v>
      </c>
      <c r="AA207" s="15" t="str">
        <f aca="false">IF(AND(ISNUMBER(L207),ISNUMBER(M207)),M207-L207,"")</f>
        <v/>
      </c>
      <c r="AB207" s="15" t="str">
        <f aca="false">IF(AND(ISNUMBER(M207),ISNUMBER(P207)),P207-M207,"")</f>
        <v/>
      </c>
      <c r="AC207" s="15" t="str">
        <f aca="false">IF(AND(ISNUMBER(L207),ISNUMBER(P207)),P207-L207,"")</f>
        <v/>
      </c>
      <c r="AD207" s="15" t="str">
        <f aca="false">IF(AND(ISNUMBER(P207),ISNUMBER(Q207)),Q207-P207,"")</f>
        <v/>
      </c>
      <c r="AE207" s="15" t="n">
        <f aca="false">IF(AND(ISNUMBER(Q207),ISNUMBER(R207)),R207-Q207,IF(ISNUMBER(Y207),Y207,""))</f>
        <v>17</v>
      </c>
      <c r="AF207" s="15" t="str">
        <f aca="false">IF(AND(ISNUMBER(R207),ISNUMBER(S207)),S207-R207,"")</f>
        <v/>
      </c>
      <c r="AG207" s="15" t="str">
        <f aca="false">IF(AND(ISNUMBER(S207),ISNUMBER(T207)),T207-S207,"")</f>
        <v/>
      </c>
      <c r="AH207" s="15" t="str">
        <f aca="false">IF(AND(ISNUMBER(L207),ISNUMBER(T207)),T207-L207,"")</f>
        <v/>
      </c>
      <c r="AI207" s="15" t="n">
        <f aca="false">IF(AND(ISNUMBER(O207),ISNUMBER(Q207)),Q207-O207,"")</f>
        <v>0</v>
      </c>
      <c r="AJ207" s="15" t="str">
        <f aca="false">IF(B207="","",COUNT(L207:M207,P207:T207)&amp;"/7")</f>
        <v>2/7</v>
      </c>
      <c r="AK207" s="15" t="str">
        <f aca="false">IF(B207="","",IF(OR(AND(ISNUMBER(L207),ISNUMBER(M207),M207&lt;L207),AND(ISNUMBER(M207),ISNUMBER(P207),P207&lt;M207),AND(ISNUMBER(P207),ISNUMBER(Q207),Q207&lt;P207),AND(ISNUMBER(Q207),ISNUMBER(R207),R207&lt;Q207),AND(ISNUMBER(R207),ISNUMBER(S207),S207&lt;R207),AND(ISNUMBER(S207),ISNUMBER(T207),T207&lt;S207),AND(ISNUMBER(N207),ISNUMBER(O207),O207&lt;N207)),"Urutan tanggal salah",IF(AND(ISNUMBER(Q207),ISNUMBER(R207),ISNUMBER(Y207),ABS(R207-Q207-Y207)&gt;2),"S tanggal ≠ Sailing tercatat",IF(AND(ISNUMBER(Q207),ISNUMBER(O207),ABS(Q207-O207)&gt;60),"Cek tahun laycan",IF(AND(ISNUMBER(Q207),ISNUMBER(N207),Q207&lt;N207),"Berangkat sebelum laycan",IF(NOT(ISNUMBER(AE207)),"S belum ada","OK"))))))</f>
        <v>OK</v>
      </c>
    </row>
    <row r="208" customFormat="false" ht="15" hidden="false" customHeight="false" outlineLevel="0" collapsed="false">
      <c r="A208" s="16" t="n">
        <f aca="false">IF(B208="","",ROW()-4)</f>
        <v>204</v>
      </c>
      <c r="B208" s="12" t="s">
        <v>599</v>
      </c>
      <c r="C208" s="16" t="s">
        <v>660</v>
      </c>
      <c r="D208" s="16" t="n">
        <v>2024</v>
      </c>
      <c r="E208" s="16" t="s">
        <v>605</v>
      </c>
      <c r="F208" s="16" t="s">
        <v>636</v>
      </c>
      <c r="G208" s="16" t="s">
        <v>77</v>
      </c>
      <c r="H208" s="16" t="s">
        <v>516</v>
      </c>
      <c r="I208" s="16" t="s">
        <v>661</v>
      </c>
      <c r="J208" s="16"/>
      <c r="K208" s="16" t="n">
        <v>21000.392</v>
      </c>
      <c r="L208" s="13"/>
      <c r="M208" s="13"/>
      <c r="N208" s="13" t="n">
        <v>45547</v>
      </c>
      <c r="O208" s="13" t="n">
        <v>45551</v>
      </c>
      <c r="P208" s="13"/>
      <c r="Q208" s="13" t="n">
        <v>45552</v>
      </c>
      <c r="R208" s="13" t="n">
        <v>45568</v>
      </c>
      <c r="S208" s="13"/>
      <c r="T208" s="13"/>
      <c r="U208" s="12" t="s">
        <v>80</v>
      </c>
      <c r="V208" s="14"/>
      <c r="W208" s="16" t="s">
        <v>591</v>
      </c>
      <c r="X208" s="16" t="s">
        <v>249</v>
      </c>
      <c r="Y208" s="16" t="n">
        <v>16</v>
      </c>
      <c r="Z208" s="16" t="s">
        <v>81</v>
      </c>
      <c r="AA208" s="15" t="str">
        <f aca="false">IF(AND(ISNUMBER(L208),ISNUMBER(M208)),M208-L208,"")</f>
        <v/>
      </c>
      <c r="AB208" s="15" t="str">
        <f aca="false">IF(AND(ISNUMBER(M208),ISNUMBER(P208)),P208-M208,"")</f>
        <v/>
      </c>
      <c r="AC208" s="15" t="str">
        <f aca="false">IF(AND(ISNUMBER(L208),ISNUMBER(P208)),P208-L208,"")</f>
        <v/>
      </c>
      <c r="AD208" s="15" t="str">
        <f aca="false">IF(AND(ISNUMBER(P208),ISNUMBER(Q208)),Q208-P208,"")</f>
        <v/>
      </c>
      <c r="AE208" s="15" t="n">
        <f aca="false">IF(AND(ISNUMBER(Q208),ISNUMBER(R208)),R208-Q208,IF(ISNUMBER(Y208),Y208,""))</f>
        <v>16</v>
      </c>
      <c r="AF208" s="15" t="str">
        <f aca="false">IF(AND(ISNUMBER(R208),ISNUMBER(S208)),S208-R208,"")</f>
        <v/>
      </c>
      <c r="AG208" s="15" t="str">
        <f aca="false">IF(AND(ISNUMBER(S208),ISNUMBER(T208)),T208-S208,"")</f>
        <v/>
      </c>
      <c r="AH208" s="15" t="str">
        <f aca="false">IF(AND(ISNUMBER(L208),ISNUMBER(T208)),T208-L208,"")</f>
        <v/>
      </c>
      <c r="AI208" s="15" t="n">
        <f aca="false">IF(AND(ISNUMBER(O208),ISNUMBER(Q208)),Q208-O208,"")</f>
        <v>1</v>
      </c>
      <c r="AJ208" s="15" t="str">
        <f aca="false">IF(B208="","",COUNT(L208:M208,P208:T208)&amp;"/7")</f>
        <v>2/7</v>
      </c>
      <c r="AK208" s="15" t="str">
        <f aca="false">IF(B208="","",IF(OR(AND(ISNUMBER(L208),ISNUMBER(M208),M208&lt;L208),AND(ISNUMBER(M208),ISNUMBER(P208),P208&lt;M208),AND(ISNUMBER(P208),ISNUMBER(Q208),Q208&lt;P208),AND(ISNUMBER(Q208),ISNUMBER(R208),R208&lt;Q208),AND(ISNUMBER(R208),ISNUMBER(S208),S208&lt;R208),AND(ISNUMBER(S208),ISNUMBER(T208),T208&lt;S208),AND(ISNUMBER(N208),ISNUMBER(O208),O208&lt;N208)),"Urutan tanggal salah",IF(AND(ISNUMBER(Q208),ISNUMBER(R208),ISNUMBER(Y208),ABS(R208-Q208-Y208)&gt;2),"S tanggal ≠ Sailing tercatat",IF(AND(ISNUMBER(Q208),ISNUMBER(O208),ABS(Q208-O208)&gt;60),"Cek tahun laycan",IF(AND(ISNUMBER(Q208),ISNUMBER(N208),Q208&lt;N208),"Berangkat sebelum laycan",IF(NOT(ISNUMBER(AE208)),"S belum ada","OK"))))))</f>
        <v>OK</v>
      </c>
    </row>
    <row r="209" customFormat="false" ht="15" hidden="false" customHeight="false" outlineLevel="0" collapsed="false">
      <c r="A209" s="16" t="n">
        <f aca="false">IF(B209="","",ROW()-4)</f>
        <v>205</v>
      </c>
      <c r="B209" s="12" t="s">
        <v>599</v>
      </c>
      <c r="C209" s="16" t="s">
        <v>662</v>
      </c>
      <c r="D209" s="16" t="n">
        <v>2024</v>
      </c>
      <c r="E209" s="16" t="s">
        <v>605</v>
      </c>
      <c r="F209" s="16" t="s">
        <v>636</v>
      </c>
      <c r="G209" s="16" t="s">
        <v>77</v>
      </c>
      <c r="H209" s="16" t="s">
        <v>516</v>
      </c>
      <c r="I209" s="16" t="s">
        <v>663</v>
      </c>
      <c r="J209" s="16"/>
      <c r="K209" s="16" t="n">
        <v>30000</v>
      </c>
      <c r="L209" s="13"/>
      <c r="M209" s="13"/>
      <c r="N209" s="13" t="n">
        <v>45560</v>
      </c>
      <c r="O209" s="13" t="n">
        <v>45563</v>
      </c>
      <c r="P209" s="13"/>
      <c r="Q209" s="13" t="n">
        <v>45563</v>
      </c>
      <c r="R209" s="13" t="n">
        <v>45580</v>
      </c>
      <c r="S209" s="13"/>
      <c r="T209" s="13"/>
      <c r="U209" s="12" t="s">
        <v>220</v>
      </c>
      <c r="V209" s="14"/>
      <c r="W209" s="16" t="s">
        <v>591</v>
      </c>
      <c r="X209" s="16" t="s">
        <v>664</v>
      </c>
      <c r="Y209" s="16" t="n">
        <v>17</v>
      </c>
      <c r="Z209" s="16" t="s">
        <v>81</v>
      </c>
      <c r="AA209" s="15" t="str">
        <f aca="false">IF(AND(ISNUMBER(L209),ISNUMBER(M209)),M209-L209,"")</f>
        <v/>
      </c>
      <c r="AB209" s="15" t="str">
        <f aca="false">IF(AND(ISNUMBER(M209),ISNUMBER(P209)),P209-M209,"")</f>
        <v/>
      </c>
      <c r="AC209" s="15" t="str">
        <f aca="false">IF(AND(ISNUMBER(L209),ISNUMBER(P209)),P209-L209,"")</f>
        <v/>
      </c>
      <c r="AD209" s="15" t="str">
        <f aca="false">IF(AND(ISNUMBER(P209),ISNUMBER(Q209)),Q209-P209,"")</f>
        <v/>
      </c>
      <c r="AE209" s="15" t="n">
        <f aca="false">IF(AND(ISNUMBER(Q209),ISNUMBER(R209)),R209-Q209,IF(ISNUMBER(Y209),Y209,""))</f>
        <v>17</v>
      </c>
      <c r="AF209" s="15" t="str">
        <f aca="false">IF(AND(ISNUMBER(R209),ISNUMBER(S209)),S209-R209,"")</f>
        <v/>
      </c>
      <c r="AG209" s="15" t="str">
        <f aca="false">IF(AND(ISNUMBER(S209),ISNUMBER(T209)),T209-S209,"")</f>
        <v/>
      </c>
      <c r="AH209" s="15" t="str">
        <f aca="false">IF(AND(ISNUMBER(L209),ISNUMBER(T209)),T209-L209,"")</f>
        <v/>
      </c>
      <c r="AI209" s="15" t="n">
        <f aca="false">IF(AND(ISNUMBER(O209),ISNUMBER(Q209)),Q209-O209,"")</f>
        <v>0</v>
      </c>
      <c r="AJ209" s="15" t="str">
        <f aca="false">IF(B209="","",COUNT(L209:M209,P209:T209)&amp;"/7")</f>
        <v>2/7</v>
      </c>
      <c r="AK209" s="15" t="str">
        <f aca="false">IF(B209="","",IF(OR(AND(ISNUMBER(L209),ISNUMBER(M209),M209&lt;L209),AND(ISNUMBER(M209),ISNUMBER(P209),P209&lt;M209),AND(ISNUMBER(P209),ISNUMBER(Q209),Q209&lt;P209),AND(ISNUMBER(Q209),ISNUMBER(R209),R209&lt;Q209),AND(ISNUMBER(R209),ISNUMBER(S209),S209&lt;R209),AND(ISNUMBER(S209),ISNUMBER(T209),T209&lt;S209),AND(ISNUMBER(N209),ISNUMBER(O209),O209&lt;N209)),"Urutan tanggal salah",IF(AND(ISNUMBER(Q209),ISNUMBER(R209),ISNUMBER(Y209),ABS(R209-Q209-Y209)&gt;2),"S tanggal ≠ Sailing tercatat",IF(AND(ISNUMBER(Q209),ISNUMBER(O209),ABS(Q209-O209)&gt;60),"Cek tahun laycan",IF(AND(ISNUMBER(Q209),ISNUMBER(N209),Q209&lt;N209),"Berangkat sebelum laycan",IF(NOT(ISNUMBER(AE209)),"S belum ada","OK"))))))</f>
        <v>OK</v>
      </c>
    </row>
    <row r="210" customFormat="false" ht="15" hidden="false" customHeight="false" outlineLevel="0" collapsed="false">
      <c r="A210" s="16" t="n">
        <f aca="false">IF(B210="","",ROW()-4)</f>
        <v>206</v>
      </c>
      <c r="B210" s="12" t="s">
        <v>665</v>
      </c>
      <c r="C210" s="16" t="s">
        <v>666</v>
      </c>
      <c r="D210" s="16" t="n">
        <v>2022</v>
      </c>
      <c r="E210" s="16" t="s">
        <v>261</v>
      </c>
      <c r="F210" s="16" t="s">
        <v>531</v>
      </c>
      <c r="G210" s="16" t="s">
        <v>77</v>
      </c>
      <c r="H210" s="16" t="s">
        <v>667</v>
      </c>
      <c r="I210" s="16" t="s">
        <v>668</v>
      </c>
      <c r="J210" s="16"/>
      <c r="K210" s="16" t="n">
        <v>4609.2</v>
      </c>
      <c r="L210" s="13"/>
      <c r="M210" s="13"/>
      <c r="N210" s="13" t="n">
        <v>44796</v>
      </c>
      <c r="O210" s="13" t="n">
        <v>44797</v>
      </c>
      <c r="P210" s="13"/>
      <c r="Q210" s="13"/>
      <c r="R210" s="13" t="n">
        <v>44804</v>
      </c>
      <c r="S210" s="13"/>
      <c r="T210" s="13"/>
      <c r="U210" s="12" t="s">
        <v>80</v>
      </c>
      <c r="V210" s="14"/>
      <c r="W210" s="16"/>
      <c r="X210" s="16" t="s">
        <v>669</v>
      </c>
      <c r="Y210" s="16" t="n">
        <v>7</v>
      </c>
      <c r="Z210" s="16" t="s">
        <v>81</v>
      </c>
      <c r="AA210" s="15" t="str">
        <f aca="false">IF(AND(ISNUMBER(L210),ISNUMBER(M210)),M210-L210,"")</f>
        <v/>
      </c>
      <c r="AB210" s="15" t="str">
        <f aca="false">IF(AND(ISNUMBER(M210),ISNUMBER(P210)),P210-M210,"")</f>
        <v/>
      </c>
      <c r="AC210" s="15" t="str">
        <f aca="false">IF(AND(ISNUMBER(L210),ISNUMBER(P210)),P210-L210,"")</f>
        <v/>
      </c>
      <c r="AD210" s="15" t="str">
        <f aca="false">IF(AND(ISNUMBER(P210),ISNUMBER(Q210)),Q210-P210,"")</f>
        <v/>
      </c>
      <c r="AE210" s="15" t="n">
        <f aca="false">IF(AND(ISNUMBER(Q210),ISNUMBER(R210)),R210-Q210,IF(ISNUMBER(Y210),Y210,""))</f>
        <v>7</v>
      </c>
      <c r="AF210" s="15" t="str">
        <f aca="false">IF(AND(ISNUMBER(R210),ISNUMBER(S210)),S210-R210,"")</f>
        <v/>
      </c>
      <c r="AG210" s="15" t="str">
        <f aca="false">IF(AND(ISNUMBER(S210),ISNUMBER(T210)),T210-S210,"")</f>
        <v/>
      </c>
      <c r="AH210" s="15" t="str">
        <f aca="false">IF(AND(ISNUMBER(L210),ISNUMBER(T210)),T210-L210,"")</f>
        <v/>
      </c>
      <c r="AI210" s="15" t="str">
        <f aca="false">IF(AND(ISNUMBER(O210),ISNUMBER(Q210)),Q210-O210,"")</f>
        <v/>
      </c>
      <c r="AJ210" s="15" t="str">
        <f aca="false">IF(B210="","",COUNT(L210:M210,P210:T210)&amp;"/7")</f>
        <v>1/7</v>
      </c>
      <c r="AK210" s="15" t="str">
        <f aca="false">IF(B210="","",IF(OR(AND(ISNUMBER(L210),ISNUMBER(M210),M210&lt;L210),AND(ISNUMBER(M210),ISNUMBER(P210),P210&lt;M210),AND(ISNUMBER(P210),ISNUMBER(Q210),Q210&lt;P210),AND(ISNUMBER(Q210),ISNUMBER(R210),R210&lt;Q210),AND(ISNUMBER(R210),ISNUMBER(S210),S210&lt;R210),AND(ISNUMBER(S210),ISNUMBER(T210),T210&lt;S210),AND(ISNUMBER(N210),ISNUMBER(O210),O210&lt;N210)),"Urutan tanggal salah",IF(AND(ISNUMBER(Q210),ISNUMBER(R210),ISNUMBER(Y210),ABS(R210-Q210-Y210)&gt;2),"S tanggal ≠ Sailing tercatat",IF(AND(ISNUMBER(Q210),ISNUMBER(O210),ABS(Q210-O210)&gt;60),"Cek tahun laycan",IF(AND(ISNUMBER(Q210),ISNUMBER(N210),Q210&lt;N210),"Berangkat sebelum laycan",IF(NOT(ISNUMBER(AE210)),"S belum ada","OK"))))))</f>
        <v>OK</v>
      </c>
    </row>
    <row r="211" customFormat="false" ht="15" hidden="false" customHeight="false" outlineLevel="0" collapsed="false">
      <c r="A211" s="16" t="n">
        <f aca="false">IF(B211="","",ROW()-4)</f>
        <v>207</v>
      </c>
      <c r="B211" s="12" t="s">
        <v>665</v>
      </c>
      <c r="C211" s="16" t="s">
        <v>670</v>
      </c>
      <c r="D211" s="16" t="n">
        <v>2022</v>
      </c>
      <c r="E211" s="16" t="s">
        <v>671</v>
      </c>
      <c r="F211" s="16" t="s">
        <v>672</v>
      </c>
      <c r="G211" s="16" t="s">
        <v>77</v>
      </c>
      <c r="H211" s="16" t="s">
        <v>673</v>
      </c>
      <c r="I211" s="16" t="s">
        <v>674</v>
      </c>
      <c r="J211" s="16"/>
      <c r="K211" s="16" t="n">
        <v>221.638</v>
      </c>
      <c r="L211" s="13"/>
      <c r="M211" s="13"/>
      <c r="N211" s="13" t="n">
        <v>44743</v>
      </c>
      <c r="O211" s="13" t="n">
        <v>44743</v>
      </c>
      <c r="P211" s="13"/>
      <c r="Q211" s="13"/>
      <c r="R211" s="13" t="n">
        <v>44811</v>
      </c>
      <c r="S211" s="13"/>
      <c r="T211" s="13"/>
      <c r="U211" s="12" t="s">
        <v>80</v>
      </c>
      <c r="V211" s="14"/>
      <c r="W211" s="16"/>
      <c r="X211" s="16"/>
      <c r="Y211" s="16" t="n">
        <v>68</v>
      </c>
      <c r="Z211" s="16" t="s">
        <v>81</v>
      </c>
      <c r="AA211" s="15" t="str">
        <f aca="false">IF(AND(ISNUMBER(L211),ISNUMBER(M211)),M211-L211,"")</f>
        <v/>
      </c>
      <c r="AB211" s="15" t="str">
        <f aca="false">IF(AND(ISNUMBER(M211),ISNUMBER(P211)),P211-M211,"")</f>
        <v/>
      </c>
      <c r="AC211" s="15" t="str">
        <f aca="false">IF(AND(ISNUMBER(L211),ISNUMBER(P211)),P211-L211,"")</f>
        <v/>
      </c>
      <c r="AD211" s="15" t="str">
        <f aca="false">IF(AND(ISNUMBER(P211),ISNUMBER(Q211)),Q211-P211,"")</f>
        <v/>
      </c>
      <c r="AE211" s="15" t="n">
        <f aca="false">IF(AND(ISNUMBER(Q211),ISNUMBER(R211)),R211-Q211,IF(ISNUMBER(Y211),Y211,""))</f>
        <v>68</v>
      </c>
      <c r="AF211" s="15" t="str">
        <f aca="false">IF(AND(ISNUMBER(R211),ISNUMBER(S211)),S211-R211,"")</f>
        <v/>
      </c>
      <c r="AG211" s="15" t="str">
        <f aca="false">IF(AND(ISNUMBER(S211),ISNUMBER(T211)),T211-S211,"")</f>
        <v/>
      </c>
      <c r="AH211" s="15" t="str">
        <f aca="false">IF(AND(ISNUMBER(L211),ISNUMBER(T211)),T211-L211,"")</f>
        <v/>
      </c>
      <c r="AI211" s="15" t="str">
        <f aca="false">IF(AND(ISNUMBER(O211),ISNUMBER(Q211)),Q211-O211,"")</f>
        <v/>
      </c>
      <c r="AJ211" s="15" t="str">
        <f aca="false">IF(B211="","",COUNT(L211:M211,P211:T211)&amp;"/7")</f>
        <v>1/7</v>
      </c>
      <c r="AK211" s="15" t="str">
        <f aca="false">IF(B211="","",IF(OR(AND(ISNUMBER(L211),ISNUMBER(M211),M211&lt;L211),AND(ISNUMBER(M211),ISNUMBER(P211),P211&lt;M211),AND(ISNUMBER(P211),ISNUMBER(Q211),Q211&lt;P211),AND(ISNUMBER(Q211),ISNUMBER(R211),R211&lt;Q211),AND(ISNUMBER(R211),ISNUMBER(S211),S211&lt;R211),AND(ISNUMBER(S211),ISNUMBER(T211),T211&lt;S211),AND(ISNUMBER(N211),ISNUMBER(O211),O211&lt;N211)),"Urutan tanggal salah",IF(AND(ISNUMBER(Q211),ISNUMBER(R211),ISNUMBER(Y211),ABS(R211-Q211-Y211)&gt;2),"S tanggal ≠ Sailing tercatat",IF(AND(ISNUMBER(Q211),ISNUMBER(O211),ABS(Q211-O211)&gt;60),"Cek tahun laycan",IF(AND(ISNUMBER(Q211),ISNUMBER(N211),Q211&lt;N211),"Berangkat sebelum laycan",IF(NOT(ISNUMBER(AE211)),"S belum ada","OK"))))))</f>
        <v>OK</v>
      </c>
    </row>
    <row r="212" customFormat="false" ht="15" hidden="false" customHeight="false" outlineLevel="0" collapsed="false">
      <c r="A212" s="16" t="n">
        <f aca="false">IF(B212="","",ROW()-4)</f>
        <v>208</v>
      </c>
      <c r="B212" s="12" t="s">
        <v>665</v>
      </c>
      <c r="C212" s="16" t="s">
        <v>670</v>
      </c>
      <c r="D212" s="16" t="n">
        <v>2023</v>
      </c>
      <c r="E212" s="16" t="s">
        <v>671</v>
      </c>
      <c r="F212" s="16" t="s">
        <v>675</v>
      </c>
      <c r="G212" s="16" t="s">
        <v>676</v>
      </c>
      <c r="H212" s="16" t="s">
        <v>673</v>
      </c>
      <c r="I212" s="16" t="s">
        <v>677</v>
      </c>
      <c r="J212" s="16"/>
      <c r="K212" s="16" t="n">
        <v>130</v>
      </c>
      <c r="L212" s="13"/>
      <c r="M212" s="13"/>
      <c r="N212" s="13"/>
      <c r="O212" s="13"/>
      <c r="P212" s="13"/>
      <c r="Q212" s="13" t="n">
        <v>44901</v>
      </c>
      <c r="R212" s="13" t="n">
        <v>44969</v>
      </c>
      <c r="S212" s="13"/>
      <c r="T212" s="13"/>
      <c r="U212" s="12" t="s">
        <v>80</v>
      </c>
      <c r="V212" s="14"/>
      <c r="W212" s="16" t="s">
        <v>678</v>
      </c>
      <c r="X212" s="16"/>
      <c r="Y212" s="16" t="n">
        <v>68</v>
      </c>
      <c r="Z212" s="16" t="s">
        <v>81</v>
      </c>
      <c r="AA212" s="15" t="str">
        <f aca="false">IF(AND(ISNUMBER(L212),ISNUMBER(M212)),M212-L212,"")</f>
        <v/>
      </c>
      <c r="AB212" s="15" t="str">
        <f aca="false">IF(AND(ISNUMBER(M212),ISNUMBER(P212)),P212-M212,"")</f>
        <v/>
      </c>
      <c r="AC212" s="15" t="str">
        <f aca="false">IF(AND(ISNUMBER(L212),ISNUMBER(P212)),P212-L212,"")</f>
        <v/>
      </c>
      <c r="AD212" s="15" t="str">
        <f aca="false">IF(AND(ISNUMBER(P212),ISNUMBER(Q212)),Q212-P212,"")</f>
        <v/>
      </c>
      <c r="AE212" s="15" t="n">
        <f aca="false">IF(AND(ISNUMBER(Q212),ISNUMBER(R212)),R212-Q212,IF(ISNUMBER(Y212),Y212,""))</f>
        <v>68</v>
      </c>
      <c r="AF212" s="15" t="str">
        <f aca="false">IF(AND(ISNUMBER(R212),ISNUMBER(S212)),S212-R212,"")</f>
        <v/>
      </c>
      <c r="AG212" s="15" t="str">
        <f aca="false">IF(AND(ISNUMBER(S212),ISNUMBER(T212)),T212-S212,"")</f>
        <v/>
      </c>
      <c r="AH212" s="15" t="str">
        <f aca="false">IF(AND(ISNUMBER(L212),ISNUMBER(T212)),T212-L212,"")</f>
        <v/>
      </c>
      <c r="AI212" s="15" t="str">
        <f aca="false">IF(AND(ISNUMBER(O212),ISNUMBER(Q212)),Q212-O212,"")</f>
        <v/>
      </c>
      <c r="AJ212" s="15" t="str">
        <f aca="false">IF(B212="","",COUNT(L212:M212,P212:T212)&amp;"/7")</f>
        <v>2/7</v>
      </c>
      <c r="AK212" s="15" t="str">
        <f aca="false">IF(B212="","",IF(OR(AND(ISNUMBER(L212),ISNUMBER(M212),M212&lt;L212),AND(ISNUMBER(M212),ISNUMBER(P212),P212&lt;M212),AND(ISNUMBER(P212),ISNUMBER(Q212),Q212&lt;P212),AND(ISNUMBER(Q212),ISNUMBER(R212),R212&lt;Q212),AND(ISNUMBER(R212),ISNUMBER(S212),S212&lt;R212),AND(ISNUMBER(S212),ISNUMBER(T212),T212&lt;S212),AND(ISNUMBER(N212),ISNUMBER(O212),O212&lt;N212)),"Urutan tanggal salah",IF(AND(ISNUMBER(Q212),ISNUMBER(R212),ISNUMBER(Y212),ABS(R212-Q212-Y212)&gt;2),"S tanggal ≠ Sailing tercatat",IF(AND(ISNUMBER(Q212),ISNUMBER(O212),ABS(Q212-O212)&gt;60),"Cek tahun laycan",IF(AND(ISNUMBER(Q212),ISNUMBER(N212),Q212&lt;N212),"Berangkat sebelum laycan",IF(NOT(ISNUMBER(AE212)),"S belum ada","OK"))))))</f>
        <v>OK</v>
      </c>
    </row>
    <row r="213" customFormat="false" ht="15" hidden="false" customHeight="false" outlineLevel="0" collapsed="false">
      <c r="A213" s="16" t="n">
        <f aca="false">IF(B213="","",ROW()-4)</f>
        <v>209</v>
      </c>
      <c r="B213" s="12" t="s">
        <v>665</v>
      </c>
      <c r="C213" s="16" t="s">
        <v>670</v>
      </c>
      <c r="D213" s="16" t="n">
        <v>2023</v>
      </c>
      <c r="E213" s="16" t="s">
        <v>671</v>
      </c>
      <c r="F213" s="16" t="s">
        <v>675</v>
      </c>
      <c r="G213" s="16" t="s">
        <v>676</v>
      </c>
      <c r="H213" s="16" t="s">
        <v>673</v>
      </c>
      <c r="I213" s="16" t="s">
        <v>679</v>
      </c>
      <c r="J213" s="16"/>
      <c r="K213" s="16" t="n">
        <v>78</v>
      </c>
      <c r="L213" s="13"/>
      <c r="M213" s="13"/>
      <c r="N213" s="13"/>
      <c r="O213" s="13"/>
      <c r="P213" s="13"/>
      <c r="Q213" s="13" t="n">
        <v>44905</v>
      </c>
      <c r="R213" s="13" t="n">
        <v>44973</v>
      </c>
      <c r="S213" s="13"/>
      <c r="T213" s="13"/>
      <c r="U213" s="12" t="s">
        <v>80</v>
      </c>
      <c r="V213" s="14"/>
      <c r="W213" s="16" t="s">
        <v>678</v>
      </c>
      <c r="X213" s="16"/>
      <c r="Y213" s="16" t="n">
        <v>68</v>
      </c>
      <c r="Z213" s="16" t="s">
        <v>81</v>
      </c>
      <c r="AA213" s="15" t="str">
        <f aca="false">IF(AND(ISNUMBER(L213),ISNUMBER(M213)),M213-L213,"")</f>
        <v/>
      </c>
      <c r="AB213" s="15" t="str">
        <f aca="false">IF(AND(ISNUMBER(M213),ISNUMBER(P213)),P213-M213,"")</f>
        <v/>
      </c>
      <c r="AC213" s="15" t="str">
        <f aca="false">IF(AND(ISNUMBER(L213),ISNUMBER(P213)),P213-L213,"")</f>
        <v/>
      </c>
      <c r="AD213" s="15" t="str">
        <f aca="false">IF(AND(ISNUMBER(P213),ISNUMBER(Q213)),Q213-P213,"")</f>
        <v/>
      </c>
      <c r="AE213" s="15" t="n">
        <f aca="false">IF(AND(ISNUMBER(Q213),ISNUMBER(R213)),R213-Q213,IF(ISNUMBER(Y213),Y213,""))</f>
        <v>68</v>
      </c>
      <c r="AF213" s="15" t="str">
        <f aca="false">IF(AND(ISNUMBER(R213),ISNUMBER(S213)),S213-R213,"")</f>
        <v/>
      </c>
      <c r="AG213" s="15" t="str">
        <f aca="false">IF(AND(ISNUMBER(S213),ISNUMBER(T213)),T213-S213,"")</f>
        <v/>
      </c>
      <c r="AH213" s="15" t="str">
        <f aca="false">IF(AND(ISNUMBER(L213),ISNUMBER(T213)),T213-L213,"")</f>
        <v/>
      </c>
      <c r="AI213" s="15" t="str">
        <f aca="false">IF(AND(ISNUMBER(O213),ISNUMBER(Q213)),Q213-O213,"")</f>
        <v/>
      </c>
      <c r="AJ213" s="15" t="str">
        <f aca="false">IF(B213="","",COUNT(L213:M213,P213:T213)&amp;"/7")</f>
        <v>2/7</v>
      </c>
      <c r="AK213" s="15" t="str">
        <f aca="false">IF(B213="","",IF(OR(AND(ISNUMBER(L213),ISNUMBER(M213),M213&lt;L213),AND(ISNUMBER(M213),ISNUMBER(P213),P213&lt;M213),AND(ISNUMBER(P213),ISNUMBER(Q213),Q213&lt;P213),AND(ISNUMBER(Q213),ISNUMBER(R213),R213&lt;Q213),AND(ISNUMBER(R213),ISNUMBER(S213),S213&lt;R213),AND(ISNUMBER(S213),ISNUMBER(T213),T213&lt;S213),AND(ISNUMBER(N213),ISNUMBER(O213),O213&lt;N213)),"Urutan tanggal salah",IF(AND(ISNUMBER(Q213),ISNUMBER(R213),ISNUMBER(Y213),ABS(R213-Q213-Y213)&gt;2),"S tanggal ≠ Sailing tercatat",IF(AND(ISNUMBER(Q213),ISNUMBER(O213),ABS(Q213-O213)&gt;60),"Cek tahun laycan",IF(AND(ISNUMBER(Q213),ISNUMBER(N213),Q213&lt;N213),"Berangkat sebelum laycan",IF(NOT(ISNUMBER(AE213)),"S belum ada","OK"))))))</f>
        <v>OK</v>
      </c>
    </row>
    <row r="214" customFormat="false" ht="15" hidden="false" customHeight="false" outlineLevel="0" collapsed="false">
      <c r="A214" s="16" t="n">
        <f aca="false">IF(B214="","",ROW()-4)</f>
        <v>210</v>
      </c>
      <c r="B214" s="12" t="s">
        <v>665</v>
      </c>
      <c r="C214" s="16" t="s">
        <v>670</v>
      </c>
      <c r="D214" s="16" t="n">
        <v>2023</v>
      </c>
      <c r="E214" s="16" t="s">
        <v>671</v>
      </c>
      <c r="F214" s="16" t="s">
        <v>675</v>
      </c>
      <c r="G214" s="16" t="s">
        <v>676</v>
      </c>
      <c r="H214" s="16" t="s">
        <v>673</v>
      </c>
      <c r="I214" s="16" t="s">
        <v>680</v>
      </c>
      <c r="J214" s="16"/>
      <c r="K214" s="16" t="n">
        <v>78</v>
      </c>
      <c r="L214" s="13"/>
      <c r="M214" s="13"/>
      <c r="N214" s="13"/>
      <c r="O214" s="13"/>
      <c r="P214" s="13"/>
      <c r="Q214" s="13" t="n">
        <v>44910</v>
      </c>
      <c r="R214" s="13" t="n">
        <v>44978</v>
      </c>
      <c r="S214" s="13"/>
      <c r="T214" s="13"/>
      <c r="U214" s="12" t="s">
        <v>80</v>
      </c>
      <c r="V214" s="14"/>
      <c r="W214" s="16" t="s">
        <v>678</v>
      </c>
      <c r="X214" s="16"/>
      <c r="Y214" s="16" t="n">
        <v>68</v>
      </c>
      <c r="Z214" s="16" t="s">
        <v>81</v>
      </c>
      <c r="AA214" s="15" t="str">
        <f aca="false">IF(AND(ISNUMBER(L214),ISNUMBER(M214)),M214-L214,"")</f>
        <v/>
      </c>
      <c r="AB214" s="15" t="str">
        <f aca="false">IF(AND(ISNUMBER(M214),ISNUMBER(P214)),P214-M214,"")</f>
        <v/>
      </c>
      <c r="AC214" s="15" t="str">
        <f aca="false">IF(AND(ISNUMBER(L214),ISNUMBER(P214)),P214-L214,"")</f>
        <v/>
      </c>
      <c r="AD214" s="15" t="str">
        <f aca="false">IF(AND(ISNUMBER(P214),ISNUMBER(Q214)),Q214-P214,"")</f>
        <v/>
      </c>
      <c r="AE214" s="15" t="n">
        <f aca="false">IF(AND(ISNUMBER(Q214),ISNUMBER(R214)),R214-Q214,IF(ISNUMBER(Y214),Y214,""))</f>
        <v>68</v>
      </c>
      <c r="AF214" s="15" t="str">
        <f aca="false">IF(AND(ISNUMBER(R214),ISNUMBER(S214)),S214-R214,"")</f>
        <v/>
      </c>
      <c r="AG214" s="15" t="str">
        <f aca="false">IF(AND(ISNUMBER(S214),ISNUMBER(T214)),T214-S214,"")</f>
        <v/>
      </c>
      <c r="AH214" s="15" t="str">
        <f aca="false">IF(AND(ISNUMBER(L214),ISNUMBER(T214)),T214-L214,"")</f>
        <v/>
      </c>
      <c r="AI214" s="15" t="str">
        <f aca="false">IF(AND(ISNUMBER(O214),ISNUMBER(Q214)),Q214-O214,"")</f>
        <v/>
      </c>
      <c r="AJ214" s="15" t="str">
        <f aca="false">IF(B214="","",COUNT(L214:M214,P214:T214)&amp;"/7")</f>
        <v>2/7</v>
      </c>
      <c r="AK214" s="15" t="str">
        <f aca="false">IF(B214="","",IF(OR(AND(ISNUMBER(L214),ISNUMBER(M214),M214&lt;L214),AND(ISNUMBER(M214),ISNUMBER(P214),P214&lt;M214),AND(ISNUMBER(P214),ISNUMBER(Q214),Q214&lt;P214),AND(ISNUMBER(Q214),ISNUMBER(R214),R214&lt;Q214),AND(ISNUMBER(R214),ISNUMBER(S214),S214&lt;R214),AND(ISNUMBER(S214),ISNUMBER(T214),T214&lt;S214),AND(ISNUMBER(N214),ISNUMBER(O214),O214&lt;N214)),"Urutan tanggal salah",IF(AND(ISNUMBER(Q214),ISNUMBER(R214),ISNUMBER(Y214),ABS(R214-Q214-Y214)&gt;2),"S tanggal ≠ Sailing tercatat",IF(AND(ISNUMBER(Q214),ISNUMBER(O214),ABS(Q214-O214)&gt;60),"Cek tahun laycan",IF(AND(ISNUMBER(Q214),ISNUMBER(N214),Q214&lt;N214),"Berangkat sebelum laycan",IF(NOT(ISNUMBER(AE214)),"S belum ada","OK"))))))</f>
        <v>OK</v>
      </c>
    </row>
    <row r="215" customFormat="false" ht="15" hidden="false" customHeight="false" outlineLevel="0" collapsed="false">
      <c r="A215" s="16" t="n">
        <f aca="false">IF(B215="","",ROW()-4)</f>
        <v>211</v>
      </c>
      <c r="B215" s="12" t="s">
        <v>665</v>
      </c>
      <c r="C215" s="16" t="s">
        <v>670</v>
      </c>
      <c r="D215" s="16" t="n">
        <v>2023</v>
      </c>
      <c r="E215" s="16" t="s">
        <v>671</v>
      </c>
      <c r="F215" s="16" t="s">
        <v>675</v>
      </c>
      <c r="G215" s="16" t="s">
        <v>676</v>
      </c>
      <c r="H215" s="16" t="s">
        <v>673</v>
      </c>
      <c r="I215" s="16" t="s">
        <v>681</v>
      </c>
      <c r="J215" s="16"/>
      <c r="K215" s="16" t="n">
        <v>182</v>
      </c>
      <c r="L215" s="13"/>
      <c r="M215" s="13"/>
      <c r="N215" s="13"/>
      <c r="O215" s="13"/>
      <c r="P215" s="13"/>
      <c r="Q215" s="13" t="n">
        <v>44919</v>
      </c>
      <c r="R215" s="13" t="n">
        <v>44987</v>
      </c>
      <c r="S215" s="13"/>
      <c r="T215" s="13"/>
      <c r="U215" s="12" t="s">
        <v>80</v>
      </c>
      <c r="V215" s="14"/>
      <c r="W215" s="16" t="s">
        <v>678</v>
      </c>
      <c r="X215" s="16"/>
      <c r="Y215" s="16" t="n">
        <v>68</v>
      </c>
      <c r="Z215" s="16" t="s">
        <v>81</v>
      </c>
      <c r="AA215" s="15" t="str">
        <f aca="false">IF(AND(ISNUMBER(L215),ISNUMBER(M215)),M215-L215,"")</f>
        <v/>
      </c>
      <c r="AB215" s="15" t="str">
        <f aca="false">IF(AND(ISNUMBER(M215),ISNUMBER(P215)),P215-M215,"")</f>
        <v/>
      </c>
      <c r="AC215" s="15" t="str">
        <f aca="false">IF(AND(ISNUMBER(L215),ISNUMBER(P215)),P215-L215,"")</f>
        <v/>
      </c>
      <c r="AD215" s="15" t="str">
        <f aca="false">IF(AND(ISNUMBER(P215),ISNUMBER(Q215)),Q215-P215,"")</f>
        <v/>
      </c>
      <c r="AE215" s="15" t="n">
        <f aca="false">IF(AND(ISNUMBER(Q215),ISNUMBER(R215)),R215-Q215,IF(ISNUMBER(Y215),Y215,""))</f>
        <v>68</v>
      </c>
      <c r="AF215" s="15" t="str">
        <f aca="false">IF(AND(ISNUMBER(R215),ISNUMBER(S215)),S215-R215,"")</f>
        <v/>
      </c>
      <c r="AG215" s="15" t="str">
        <f aca="false">IF(AND(ISNUMBER(S215),ISNUMBER(T215)),T215-S215,"")</f>
        <v/>
      </c>
      <c r="AH215" s="15" t="str">
        <f aca="false">IF(AND(ISNUMBER(L215),ISNUMBER(T215)),T215-L215,"")</f>
        <v/>
      </c>
      <c r="AI215" s="15" t="str">
        <f aca="false">IF(AND(ISNUMBER(O215),ISNUMBER(Q215)),Q215-O215,"")</f>
        <v/>
      </c>
      <c r="AJ215" s="15" t="str">
        <f aca="false">IF(B215="","",COUNT(L215:M215,P215:T215)&amp;"/7")</f>
        <v>2/7</v>
      </c>
      <c r="AK215" s="15" t="str">
        <f aca="false">IF(B215="","",IF(OR(AND(ISNUMBER(L215),ISNUMBER(M215),M215&lt;L215),AND(ISNUMBER(M215),ISNUMBER(P215),P215&lt;M215),AND(ISNUMBER(P215),ISNUMBER(Q215),Q215&lt;P215),AND(ISNUMBER(Q215),ISNUMBER(R215),R215&lt;Q215),AND(ISNUMBER(R215),ISNUMBER(S215),S215&lt;R215),AND(ISNUMBER(S215),ISNUMBER(T215),T215&lt;S215),AND(ISNUMBER(N215),ISNUMBER(O215),O215&lt;N215)),"Urutan tanggal salah",IF(AND(ISNUMBER(Q215),ISNUMBER(R215),ISNUMBER(Y215),ABS(R215-Q215-Y215)&gt;2),"S tanggal ≠ Sailing tercatat",IF(AND(ISNUMBER(Q215),ISNUMBER(O215),ABS(Q215-O215)&gt;60),"Cek tahun laycan",IF(AND(ISNUMBER(Q215),ISNUMBER(N215),Q215&lt;N215),"Berangkat sebelum laycan",IF(NOT(ISNUMBER(AE215)),"S belum ada","OK"))))))</f>
        <v>OK</v>
      </c>
    </row>
    <row r="216" customFormat="false" ht="15" hidden="false" customHeight="false" outlineLevel="0" collapsed="false">
      <c r="A216" s="16" t="n">
        <f aca="false">IF(B216="","",ROW()-4)</f>
        <v>212</v>
      </c>
      <c r="B216" s="12" t="s">
        <v>665</v>
      </c>
      <c r="C216" s="16" t="s">
        <v>670</v>
      </c>
      <c r="D216" s="16" t="n">
        <v>2023</v>
      </c>
      <c r="E216" s="16" t="s">
        <v>671</v>
      </c>
      <c r="F216" s="16" t="s">
        <v>675</v>
      </c>
      <c r="G216" s="16" t="s">
        <v>676</v>
      </c>
      <c r="H216" s="16" t="s">
        <v>673</v>
      </c>
      <c r="I216" s="16" t="s">
        <v>682</v>
      </c>
      <c r="J216" s="16"/>
      <c r="K216" s="16" t="n">
        <v>104</v>
      </c>
      <c r="L216" s="13"/>
      <c r="M216" s="13"/>
      <c r="N216" s="13"/>
      <c r="O216" s="13"/>
      <c r="P216" s="13"/>
      <c r="Q216" s="13" t="n">
        <v>44928</v>
      </c>
      <c r="R216" s="13" t="n">
        <v>44996</v>
      </c>
      <c r="S216" s="13"/>
      <c r="T216" s="13"/>
      <c r="U216" s="12" t="s">
        <v>80</v>
      </c>
      <c r="V216" s="14"/>
      <c r="W216" s="16" t="s">
        <v>678</v>
      </c>
      <c r="X216" s="16"/>
      <c r="Y216" s="16" t="n">
        <v>68</v>
      </c>
      <c r="Z216" s="16" t="s">
        <v>81</v>
      </c>
      <c r="AA216" s="15" t="str">
        <f aca="false">IF(AND(ISNUMBER(L216),ISNUMBER(M216)),M216-L216,"")</f>
        <v/>
      </c>
      <c r="AB216" s="15" t="str">
        <f aca="false">IF(AND(ISNUMBER(M216),ISNUMBER(P216)),P216-M216,"")</f>
        <v/>
      </c>
      <c r="AC216" s="15" t="str">
        <f aca="false">IF(AND(ISNUMBER(L216),ISNUMBER(P216)),P216-L216,"")</f>
        <v/>
      </c>
      <c r="AD216" s="15" t="str">
        <f aca="false">IF(AND(ISNUMBER(P216),ISNUMBER(Q216)),Q216-P216,"")</f>
        <v/>
      </c>
      <c r="AE216" s="15" t="n">
        <f aca="false">IF(AND(ISNUMBER(Q216),ISNUMBER(R216)),R216-Q216,IF(ISNUMBER(Y216),Y216,""))</f>
        <v>68</v>
      </c>
      <c r="AF216" s="15" t="str">
        <f aca="false">IF(AND(ISNUMBER(R216),ISNUMBER(S216)),S216-R216,"")</f>
        <v/>
      </c>
      <c r="AG216" s="15" t="str">
        <f aca="false">IF(AND(ISNUMBER(S216),ISNUMBER(T216)),T216-S216,"")</f>
        <v/>
      </c>
      <c r="AH216" s="15" t="str">
        <f aca="false">IF(AND(ISNUMBER(L216),ISNUMBER(T216)),T216-L216,"")</f>
        <v/>
      </c>
      <c r="AI216" s="15" t="str">
        <f aca="false">IF(AND(ISNUMBER(O216),ISNUMBER(Q216)),Q216-O216,"")</f>
        <v/>
      </c>
      <c r="AJ216" s="15" t="str">
        <f aca="false">IF(B216="","",COUNT(L216:M216,P216:T216)&amp;"/7")</f>
        <v>2/7</v>
      </c>
      <c r="AK216" s="15" t="str">
        <f aca="false">IF(B216="","",IF(OR(AND(ISNUMBER(L216),ISNUMBER(M216),M216&lt;L216),AND(ISNUMBER(M216),ISNUMBER(P216),P216&lt;M216),AND(ISNUMBER(P216),ISNUMBER(Q216),Q216&lt;P216),AND(ISNUMBER(Q216),ISNUMBER(R216),R216&lt;Q216),AND(ISNUMBER(R216),ISNUMBER(S216),S216&lt;R216),AND(ISNUMBER(S216),ISNUMBER(T216),T216&lt;S216),AND(ISNUMBER(N216),ISNUMBER(O216),O216&lt;N216)),"Urutan tanggal salah",IF(AND(ISNUMBER(Q216),ISNUMBER(R216),ISNUMBER(Y216),ABS(R216-Q216-Y216)&gt;2),"S tanggal ≠ Sailing tercatat",IF(AND(ISNUMBER(Q216),ISNUMBER(O216),ABS(Q216-O216)&gt;60),"Cek tahun laycan",IF(AND(ISNUMBER(Q216),ISNUMBER(N216),Q216&lt;N216),"Berangkat sebelum laycan",IF(NOT(ISNUMBER(AE216)),"S belum ada","OK"))))))</f>
        <v>OK</v>
      </c>
    </row>
    <row r="217" customFormat="false" ht="15" hidden="false" customHeight="false" outlineLevel="0" collapsed="false">
      <c r="A217" s="16" t="n">
        <f aca="false">IF(B217="","",ROW()-4)</f>
        <v>213</v>
      </c>
      <c r="B217" s="12" t="s">
        <v>665</v>
      </c>
      <c r="C217" s="16" t="s">
        <v>670</v>
      </c>
      <c r="D217" s="16" t="n">
        <v>2023</v>
      </c>
      <c r="E217" s="16" t="s">
        <v>671</v>
      </c>
      <c r="F217" s="16" t="s">
        <v>675</v>
      </c>
      <c r="G217" s="16" t="s">
        <v>676</v>
      </c>
      <c r="H217" s="16" t="s">
        <v>673</v>
      </c>
      <c r="I217" s="16" t="s">
        <v>683</v>
      </c>
      <c r="J217" s="16"/>
      <c r="K217" s="16" t="n">
        <v>26</v>
      </c>
      <c r="L217" s="13"/>
      <c r="M217" s="13"/>
      <c r="N217" s="13"/>
      <c r="O217" s="13"/>
      <c r="P217" s="13"/>
      <c r="Q217" s="13" t="n">
        <v>44955</v>
      </c>
      <c r="R217" s="13" t="n">
        <v>45023</v>
      </c>
      <c r="S217" s="13"/>
      <c r="T217" s="13"/>
      <c r="U217" s="12" t="s">
        <v>80</v>
      </c>
      <c r="V217" s="14"/>
      <c r="W217" s="16" t="s">
        <v>678</v>
      </c>
      <c r="X217" s="16"/>
      <c r="Y217" s="16" t="n">
        <v>68</v>
      </c>
      <c r="Z217" s="16" t="s">
        <v>81</v>
      </c>
      <c r="AA217" s="15" t="str">
        <f aca="false">IF(AND(ISNUMBER(L217),ISNUMBER(M217)),M217-L217,"")</f>
        <v/>
      </c>
      <c r="AB217" s="15" t="str">
        <f aca="false">IF(AND(ISNUMBER(M217),ISNUMBER(P217)),P217-M217,"")</f>
        <v/>
      </c>
      <c r="AC217" s="15" t="str">
        <f aca="false">IF(AND(ISNUMBER(L217),ISNUMBER(P217)),P217-L217,"")</f>
        <v/>
      </c>
      <c r="AD217" s="15" t="str">
        <f aca="false">IF(AND(ISNUMBER(P217),ISNUMBER(Q217)),Q217-P217,"")</f>
        <v/>
      </c>
      <c r="AE217" s="15" t="n">
        <f aca="false">IF(AND(ISNUMBER(Q217),ISNUMBER(R217)),R217-Q217,IF(ISNUMBER(Y217),Y217,""))</f>
        <v>68</v>
      </c>
      <c r="AF217" s="15" t="str">
        <f aca="false">IF(AND(ISNUMBER(R217),ISNUMBER(S217)),S217-R217,"")</f>
        <v/>
      </c>
      <c r="AG217" s="15" t="str">
        <f aca="false">IF(AND(ISNUMBER(S217),ISNUMBER(T217)),T217-S217,"")</f>
        <v/>
      </c>
      <c r="AH217" s="15" t="str">
        <f aca="false">IF(AND(ISNUMBER(L217),ISNUMBER(T217)),T217-L217,"")</f>
        <v/>
      </c>
      <c r="AI217" s="15" t="str">
        <f aca="false">IF(AND(ISNUMBER(O217),ISNUMBER(Q217)),Q217-O217,"")</f>
        <v/>
      </c>
      <c r="AJ217" s="15" t="str">
        <f aca="false">IF(B217="","",COUNT(L217:M217,P217:T217)&amp;"/7")</f>
        <v>2/7</v>
      </c>
      <c r="AK217" s="15" t="str">
        <f aca="false">IF(B217="","",IF(OR(AND(ISNUMBER(L217),ISNUMBER(M217),M217&lt;L217),AND(ISNUMBER(M217),ISNUMBER(P217),P217&lt;M217),AND(ISNUMBER(P217),ISNUMBER(Q217),Q217&lt;P217),AND(ISNUMBER(Q217),ISNUMBER(R217),R217&lt;Q217),AND(ISNUMBER(R217),ISNUMBER(S217),S217&lt;R217),AND(ISNUMBER(S217),ISNUMBER(T217),T217&lt;S217),AND(ISNUMBER(N217),ISNUMBER(O217),O217&lt;N217)),"Urutan tanggal salah",IF(AND(ISNUMBER(Q217),ISNUMBER(R217),ISNUMBER(Y217),ABS(R217-Q217-Y217)&gt;2),"S tanggal ≠ Sailing tercatat",IF(AND(ISNUMBER(Q217),ISNUMBER(O217),ABS(Q217-O217)&gt;60),"Cek tahun laycan",IF(AND(ISNUMBER(Q217),ISNUMBER(N217),Q217&lt;N217),"Berangkat sebelum laycan",IF(NOT(ISNUMBER(AE217)),"S belum ada","OK"))))))</f>
        <v>OK</v>
      </c>
    </row>
    <row r="218" customFormat="false" ht="15" hidden="false" customHeight="false" outlineLevel="0" collapsed="false">
      <c r="A218" s="16" t="str">
        <f aca="false">IF(B218="","",ROW()-4)</f>
        <v/>
      </c>
      <c r="B218" s="12"/>
      <c r="C218" s="16"/>
      <c r="D218" s="16"/>
      <c r="E218" s="16"/>
      <c r="F218" s="16"/>
      <c r="G218" s="16"/>
      <c r="H218" s="16"/>
      <c r="I218" s="16"/>
      <c r="J218" s="16"/>
      <c r="K218" s="16"/>
      <c r="L218" s="13"/>
      <c r="M218" s="13"/>
      <c r="N218" s="13"/>
      <c r="O218" s="13"/>
      <c r="P218" s="13"/>
      <c r="Q218" s="13"/>
      <c r="R218" s="13"/>
      <c r="S218" s="13"/>
      <c r="T218" s="13"/>
      <c r="U218" s="12"/>
      <c r="V218" s="14"/>
      <c r="W218" s="16"/>
      <c r="X218" s="16"/>
      <c r="Y218" s="16"/>
      <c r="Z218" s="16"/>
      <c r="AA218" s="15" t="str">
        <f aca="false">IF(AND(ISNUMBER(L218),ISNUMBER(M218)),M218-L218,"")</f>
        <v/>
      </c>
      <c r="AB218" s="15" t="str">
        <f aca="false">IF(AND(ISNUMBER(M218),ISNUMBER(P218)),P218-M218,"")</f>
        <v/>
      </c>
      <c r="AC218" s="15" t="str">
        <f aca="false">IF(AND(ISNUMBER(L218),ISNUMBER(P218)),P218-L218,"")</f>
        <v/>
      </c>
      <c r="AD218" s="15" t="str">
        <f aca="false">IF(AND(ISNUMBER(P218),ISNUMBER(Q218)),Q218-P218,"")</f>
        <v/>
      </c>
      <c r="AE218" s="15" t="str">
        <f aca="false">IF(AND(ISNUMBER(Q218),ISNUMBER(R218)),R218-Q218,IF(ISNUMBER(Y218),Y218,""))</f>
        <v/>
      </c>
      <c r="AF218" s="15" t="str">
        <f aca="false">IF(AND(ISNUMBER(R218),ISNUMBER(S218)),S218-R218,"")</f>
        <v/>
      </c>
      <c r="AG218" s="15" t="str">
        <f aca="false">IF(AND(ISNUMBER(S218),ISNUMBER(T218)),T218-S218,"")</f>
        <v/>
      </c>
      <c r="AH218" s="15" t="str">
        <f aca="false">IF(AND(ISNUMBER(L218),ISNUMBER(T218)),T218-L218,"")</f>
        <v/>
      </c>
      <c r="AI218" s="15" t="str">
        <f aca="false">IF(AND(ISNUMBER(O218),ISNUMBER(Q218)),Q218-O218,"")</f>
        <v/>
      </c>
      <c r="AJ218" s="15" t="str">
        <f aca="false">IF(B218="","",COUNT(L218:M218,P218:T218)&amp;"/7")</f>
        <v/>
      </c>
      <c r="AK218" s="15" t="str">
        <f aca="false">IF(B218="","",IF(OR(AND(ISNUMBER(L218),ISNUMBER(M218),M218&lt;L218),AND(ISNUMBER(M218),ISNUMBER(P218),P218&lt;M218),AND(ISNUMBER(P218),ISNUMBER(Q218),Q218&lt;P218),AND(ISNUMBER(Q218),ISNUMBER(R218),R218&lt;Q218),AND(ISNUMBER(R218),ISNUMBER(S218),S218&lt;R218),AND(ISNUMBER(S218),ISNUMBER(T218),T218&lt;S218),AND(ISNUMBER(N218),ISNUMBER(O218),O218&lt;N218)),"Urutan tanggal salah",IF(AND(ISNUMBER(Q218),ISNUMBER(R218),ISNUMBER(Y218),ABS(R218-Q218-Y218)&gt;2),"S tanggal ≠ Sailing tercatat",IF(AND(ISNUMBER(Q218),ISNUMBER(O218),ABS(Q218-O218)&gt;60),"Cek tahun laycan",IF(AND(ISNUMBER(Q218),ISNUMBER(N218),Q218&lt;N218),"Berangkat sebelum laycan",IF(NOT(ISNUMBER(AE218)),"S belum ada","OK"))))))</f>
        <v/>
      </c>
    </row>
    <row r="219" customFormat="false" ht="15" hidden="false" customHeight="false" outlineLevel="0" collapsed="false">
      <c r="A219" s="16" t="str">
        <f aca="false">IF(B219="","",ROW()-4)</f>
        <v/>
      </c>
      <c r="B219" s="12"/>
      <c r="C219" s="16"/>
      <c r="D219" s="16"/>
      <c r="E219" s="16"/>
      <c r="F219" s="16"/>
      <c r="G219" s="16"/>
      <c r="H219" s="16"/>
      <c r="I219" s="16"/>
      <c r="J219" s="16"/>
      <c r="K219" s="16"/>
      <c r="L219" s="13"/>
      <c r="M219" s="13"/>
      <c r="N219" s="13"/>
      <c r="O219" s="13"/>
      <c r="P219" s="13"/>
      <c r="Q219" s="13"/>
      <c r="R219" s="13"/>
      <c r="S219" s="13"/>
      <c r="T219" s="13"/>
      <c r="U219" s="12"/>
      <c r="V219" s="14"/>
      <c r="W219" s="16"/>
      <c r="X219" s="16"/>
      <c r="Y219" s="16"/>
      <c r="Z219" s="16"/>
      <c r="AA219" s="15" t="str">
        <f aca="false">IF(AND(ISNUMBER(L219),ISNUMBER(M219)),M219-L219,"")</f>
        <v/>
      </c>
      <c r="AB219" s="15" t="str">
        <f aca="false">IF(AND(ISNUMBER(M219),ISNUMBER(P219)),P219-M219,"")</f>
        <v/>
      </c>
      <c r="AC219" s="15" t="str">
        <f aca="false">IF(AND(ISNUMBER(L219),ISNUMBER(P219)),P219-L219,"")</f>
        <v/>
      </c>
      <c r="AD219" s="15" t="str">
        <f aca="false">IF(AND(ISNUMBER(P219),ISNUMBER(Q219)),Q219-P219,"")</f>
        <v/>
      </c>
      <c r="AE219" s="15" t="str">
        <f aca="false">IF(AND(ISNUMBER(Q219),ISNUMBER(R219)),R219-Q219,IF(ISNUMBER(Y219),Y219,""))</f>
        <v/>
      </c>
      <c r="AF219" s="15" t="str">
        <f aca="false">IF(AND(ISNUMBER(R219),ISNUMBER(S219)),S219-R219,"")</f>
        <v/>
      </c>
      <c r="AG219" s="15" t="str">
        <f aca="false">IF(AND(ISNUMBER(S219),ISNUMBER(T219)),T219-S219,"")</f>
        <v/>
      </c>
      <c r="AH219" s="15" t="str">
        <f aca="false">IF(AND(ISNUMBER(L219),ISNUMBER(T219)),T219-L219,"")</f>
        <v/>
      </c>
      <c r="AI219" s="15" t="str">
        <f aca="false">IF(AND(ISNUMBER(O219),ISNUMBER(Q219)),Q219-O219,"")</f>
        <v/>
      </c>
      <c r="AJ219" s="15" t="str">
        <f aca="false">IF(B219="","",COUNT(L219:M219,P219:T219)&amp;"/7")</f>
        <v/>
      </c>
      <c r="AK219" s="15" t="str">
        <f aca="false">IF(B219="","",IF(OR(AND(ISNUMBER(L219),ISNUMBER(M219),M219&lt;L219),AND(ISNUMBER(M219),ISNUMBER(P219),P219&lt;M219),AND(ISNUMBER(P219),ISNUMBER(Q219),Q219&lt;P219),AND(ISNUMBER(Q219),ISNUMBER(R219),R219&lt;Q219),AND(ISNUMBER(R219),ISNUMBER(S219),S219&lt;R219),AND(ISNUMBER(S219),ISNUMBER(T219),T219&lt;S219),AND(ISNUMBER(N219),ISNUMBER(O219),O219&lt;N219)),"Urutan tanggal salah",IF(AND(ISNUMBER(Q219),ISNUMBER(R219),ISNUMBER(Y219),ABS(R219-Q219-Y219)&gt;2),"S tanggal ≠ Sailing tercatat",IF(AND(ISNUMBER(Q219),ISNUMBER(O219),ABS(Q219-O219)&gt;60),"Cek tahun laycan",IF(AND(ISNUMBER(Q219),ISNUMBER(N219),Q219&lt;N219),"Berangkat sebelum laycan",IF(NOT(ISNUMBER(AE219)),"S belum ada","OK"))))))</f>
        <v/>
      </c>
    </row>
    <row r="220" customFormat="false" ht="15" hidden="false" customHeight="false" outlineLevel="0" collapsed="false">
      <c r="A220" s="16" t="str">
        <f aca="false">IF(B220="","",ROW()-4)</f>
        <v/>
      </c>
      <c r="B220" s="12"/>
      <c r="C220" s="16"/>
      <c r="D220" s="16"/>
      <c r="E220" s="16"/>
      <c r="F220" s="16"/>
      <c r="G220" s="16"/>
      <c r="H220" s="16"/>
      <c r="I220" s="16"/>
      <c r="J220" s="16"/>
      <c r="K220" s="16"/>
      <c r="L220" s="13"/>
      <c r="M220" s="13"/>
      <c r="N220" s="13"/>
      <c r="O220" s="13"/>
      <c r="P220" s="13"/>
      <c r="Q220" s="13"/>
      <c r="R220" s="13"/>
      <c r="S220" s="13"/>
      <c r="T220" s="13"/>
      <c r="U220" s="12"/>
      <c r="V220" s="14"/>
      <c r="W220" s="16"/>
      <c r="X220" s="16"/>
      <c r="Y220" s="16"/>
      <c r="Z220" s="16"/>
      <c r="AA220" s="15" t="str">
        <f aca="false">IF(AND(ISNUMBER(L220),ISNUMBER(M220)),M220-L220,"")</f>
        <v/>
      </c>
      <c r="AB220" s="15" t="str">
        <f aca="false">IF(AND(ISNUMBER(M220),ISNUMBER(P220)),P220-M220,"")</f>
        <v/>
      </c>
      <c r="AC220" s="15" t="str">
        <f aca="false">IF(AND(ISNUMBER(L220),ISNUMBER(P220)),P220-L220,"")</f>
        <v/>
      </c>
      <c r="AD220" s="15" t="str">
        <f aca="false">IF(AND(ISNUMBER(P220),ISNUMBER(Q220)),Q220-P220,"")</f>
        <v/>
      </c>
      <c r="AE220" s="15" t="str">
        <f aca="false">IF(AND(ISNUMBER(Q220),ISNUMBER(R220)),R220-Q220,IF(ISNUMBER(Y220),Y220,""))</f>
        <v/>
      </c>
      <c r="AF220" s="15" t="str">
        <f aca="false">IF(AND(ISNUMBER(R220),ISNUMBER(S220)),S220-R220,"")</f>
        <v/>
      </c>
      <c r="AG220" s="15" t="str">
        <f aca="false">IF(AND(ISNUMBER(S220),ISNUMBER(T220)),T220-S220,"")</f>
        <v/>
      </c>
      <c r="AH220" s="15" t="str">
        <f aca="false">IF(AND(ISNUMBER(L220),ISNUMBER(T220)),T220-L220,"")</f>
        <v/>
      </c>
      <c r="AI220" s="15" t="str">
        <f aca="false">IF(AND(ISNUMBER(O220),ISNUMBER(Q220)),Q220-O220,"")</f>
        <v/>
      </c>
      <c r="AJ220" s="15" t="str">
        <f aca="false">IF(B220="","",COUNT(L220:M220,P220:T220)&amp;"/7")</f>
        <v/>
      </c>
      <c r="AK220" s="15" t="str">
        <f aca="false">IF(B220="","",IF(OR(AND(ISNUMBER(L220),ISNUMBER(M220),M220&lt;L220),AND(ISNUMBER(M220),ISNUMBER(P220),P220&lt;M220),AND(ISNUMBER(P220),ISNUMBER(Q220),Q220&lt;P220),AND(ISNUMBER(Q220),ISNUMBER(R220),R220&lt;Q220),AND(ISNUMBER(R220),ISNUMBER(S220),S220&lt;R220),AND(ISNUMBER(S220),ISNUMBER(T220),T220&lt;S220),AND(ISNUMBER(N220),ISNUMBER(O220),O220&lt;N220)),"Urutan tanggal salah",IF(AND(ISNUMBER(Q220),ISNUMBER(R220),ISNUMBER(Y220),ABS(R220-Q220-Y220)&gt;2),"S tanggal ≠ Sailing tercatat",IF(AND(ISNUMBER(Q220),ISNUMBER(O220),ABS(Q220-O220)&gt;60),"Cek tahun laycan",IF(AND(ISNUMBER(Q220),ISNUMBER(N220),Q220&lt;N220),"Berangkat sebelum laycan",IF(NOT(ISNUMBER(AE220)),"S belum ada","OK"))))))</f>
        <v/>
      </c>
    </row>
    <row r="221" customFormat="false" ht="15" hidden="false" customHeight="false" outlineLevel="0" collapsed="false">
      <c r="A221" s="16" t="str">
        <f aca="false">IF(B221="","",ROW()-4)</f>
        <v/>
      </c>
      <c r="B221" s="12"/>
      <c r="C221" s="16"/>
      <c r="D221" s="16"/>
      <c r="E221" s="16"/>
      <c r="F221" s="16"/>
      <c r="G221" s="16"/>
      <c r="H221" s="16"/>
      <c r="I221" s="16"/>
      <c r="J221" s="16"/>
      <c r="K221" s="16"/>
      <c r="L221" s="13"/>
      <c r="M221" s="13"/>
      <c r="N221" s="13"/>
      <c r="O221" s="13"/>
      <c r="P221" s="13"/>
      <c r="Q221" s="13"/>
      <c r="R221" s="13"/>
      <c r="S221" s="13"/>
      <c r="T221" s="13"/>
      <c r="U221" s="12"/>
      <c r="V221" s="14"/>
      <c r="W221" s="16"/>
      <c r="X221" s="16"/>
      <c r="Y221" s="16"/>
      <c r="Z221" s="16"/>
      <c r="AA221" s="15" t="str">
        <f aca="false">IF(AND(ISNUMBER(L221),ISNUMBER(M221)),M221-L221,"")</f>
        <v/>
      </c>
      <c r="AB221" s="15" t="str">
        <f aca="false">IF(AND(ISNUMBER(M221),ISNUMBER(P221)),P221-M221,"")</f>
        <v/>
      </c>
      <c r="AC221" s="15" t="str">
        <f aca="false">IF(AND(ISNUMBER(L221),ISNUMBER(P221)),P221-L221,"")</f>
        <v/>
      </c>
      <c r="AD221" s="15" t="str">
        <f aca="false">IF(AND(ISNUMBER(P221),ISNUMBER(Q221)),Q221-P221,"")</f>
        <v/>
      </c>
      <c r="AE221" s="15" t="str">
        <f aca="false">IF(AND(ISNUMBER(Q221),ISNUMBER(R221)),R221-Q221,IF(ISNUMBER(Y221),Y221,""))</f>
        <v/>
      </c>
      <c r="AF221" s="15" t="str">
        <f aca="false">IF(AND(ISNUMBER(R221),ISNUMBER(S221)),S221-R221,"")</f>
        <v/>
      </c>
      <c r="AG221" s="15" t="str">
        <f aca="false">IF(AND(ISNUMBER(S221),ISNUMBER(T221)),T221-S221,"")</f>
        <v/>
      </c>
      <c r="AH221" s="15" t="str">
        <f aca="false">IF(AND(ISNUMBER(L221),ISNUMBER(T221)),T221-L221,"")</f>
        <v/>
      </c>
      <c r="AI221" s="15" t="str">
        <f aca="false">IF(AND(ISNUMBER(O221),ISNUMBER(Q221)),Q221-O221,"")</f>
        <v/>
      </c>
      <c r="AJ221" s="15" t="str">
        <f aca="false">IF(B221="","",COUNT(L221:M221,P221:T221)&amp;"/7")</f>
        <v/>
      </c>
      <c r="AK221" s="15" t="str">
        <f aca="false">IF(B221="","",IF(OR(AND(ISNUMBER(L221),ISNUMBER(M221),M221&lt;L221),AND(ISNUMBER(M221),ISNUMBER(P221),P221&lt;M221),AND(ISNUMBER(P221),ISNUMBER(Q221),Q221&lt;P221),AND(ISNUMBER(Q221),ISNUMBER(R221),R221&lt;Q221),AND(ISNUMBER(R221),ISNUMBER(S221),S221&lt;R221),AND(ISNUMBER(S221),ISNUMBER(T221),T221&lt;S221),AND(ISNUMBER(N221),ISNUMBER(O221),O221&lt;N221)),"Urutan tanggal salah",IF(AND(ISNUMBER(Q221),ISNUMBER(R221),ISNUMBER(Y221),ABS(R221-Q221-Y221)&gt;2),"S tanggal ≠ Sailing tercatat",IF(AND(ISNUMBER(Q221),ISNUMBER(O221),ABS(Q221-O221)&gt;60),"Cek tahun laycan",IF(AND(ISNUMBER(Q221),ISNUMBER(N221),Q221&lt;N221),"Berangkat sebelum laycan",IF(NOT(ISNUMBER(AE221)),"S belum ada","OK"))))))</f>
        <v/>
      </c>
    </row>
    <row r="222" customFormat="false" ht="15" hidden="false" customHeight="false" outlineLevel="0" collapsed="false">
      <c r="A222" s="16" t="str">
        <f aca="false">IF(B222="","",ROW()-4)</f>
        <v/>
      </c>
      <c r="B222" s="12"/>
      <c r="C222" s="16"/>
      <c r="D222" s="16"/>
      <c r="E222" s="16"/>
      <c r="F222" s="16"/>
      <c r="G222" s="16"/>
      <c r="H222" s="16"/>
      <c r="I222" s="16"/>
      <c r="J222" s="16"/>
      <c r="K222" s="16"/>
      <c r="L222" s="13"/>
      <c r="M222" s="13"/>
      <c r="N222" s="13"/>
      <c r="O222" s="13"/>
      <c r="P222" s="13"/>
      <c r="Q222" s="13"/>
      <c r="R222" s="13"/>
      <c r="S222" s="13"/>
      <c r="T222" s="13"/>
      <c r="U222" s="12"/>
      <c r="V222" s="14"/>
      <c r="W222" s="16"/>
      <c r="X222" s="16"/>
      <c r="Y222" s="16"/>
      <c r="Z222" s="16"/>
      <c r="AA222" s="15" t="str">
        <f aca="false">IF(AND(ISNUMBER(L222),ISNUMBER(M222)),M222-L222,"")</f>
        <v/>
      </c>
      <c r="AB222" s="15" t="str">
        <f aca="false">IF(AND(ISNUMBER(M222),ISNUMBER(P222)),P222-M222,"")</f>
        <v/>
      </c>
      <c r="AC222" s="15" t="str">
        <f aca="false">IF(AND(ISNUMBER(L222),ISNUMBER(P222)),P222-L222,"")</f>
        <v/>
      </c>
      <c r="AD222" s="15" t="str">
        <f aca="false">IF(AND(ISNUMBER(P222),ISNUMBER(Q222)),Q222-P222,"")</f>
        <v/>
      </c>
      <c r="AE222" s="15" t="str">
        <f aca="false">IF(AND(ISNUMBER(Q222),ISNUMBER(R222)),R222-Q222,IF(ISNUMBER(Y222),Y222,""))</f>
        <v/>
      </c>
      <c r="AF222" s="15" t="str">
        <f aca="false">IF(AND(ISNUMBER(R222),ISNUMBER(S222)),S222-R222,"")</f>
        <v/>
      </c>
      <c r="AG222" s="15" t="str">
        <f aca="false">IF(AND(ISNUMBER(S222),ISNUMBER(T222)),T222-S222,"")</f>
        <v/>
      </c>
      <c r="AH222" s="15" t="str">
        <f aca="false">IF(AND(ISNUMBER(L222),ISNUMBER(T222)),T222-L222,"")</f>
        <v/>
      </c>
      <c r="AI222" s="15" t="str">
        <f aca="false">IF(AND(ISNUMBER(O222),ISNUMBER(Q222)),Q222-O222,"")</f>
        <v/>
      </c>
      <c r="AJ222" s="15" t="str">
        <f aca="false">IF(B222="","",COUNT(L222:M222,P222:T222)&amp;"/7")</f>
        <v/>
      </c>
      <c r="AK222" s="15" t="str">
        <f aca="false">IF(B222="","",IF(OR(AND(ISNUMBER(L222),ISNUMBER(M222),M222&lt;L222),AND(ISNUMBER(M222),ISNUMBER(P222),P222&lt;M222),AND(ISNUMBER(P222),ISNUMBER(Q222),Q222&lt;P222),AND(ISNUMBER(Q222),ISNUMBER(R222),R222&lt;Q222),AND(ISNUMBER(R222),ISNUMBER(S222),S222&lt;R222),AND(ISNUMBER(S222),ISNUMBER(T222),T222&lt;S222),AND(ISNUMBER(N222),ISNUMBER(O222),O222&lt;N222)),"Urutan tanggal salah",IF(AND(ISNUMBER(Q222),ISNUMBER(R222),ISNUMBER(Y222),ABS(R222-Q222-Y222)&gt;2),"S tanggal ≠ Sailing tercatat",IF(AND(ISNUMBER(Q222),ISNUMBER(O222),ABS(Q222-O222)&gt;60),"Cek tahun laycan",IF(AND(ISNUMBER(Q222),ISNUMBER(N222),Q222&lt;N222),"Berangkat sebelum laycan",IF(NOT(ISNUMBER(AE222)),"S belum ada","OK"))))))</f>
        <v/>
      </c>
    </row>
    <row r="223" customFormat="false" ht="15" hidden="false" customHeight="false" outlineLevel="0" collapsed="false">
      <c r="A223" s="16" t="str">
        <f aca="false">IF(B223="","",ROW()-4)</f>
        <v/>
      </c>
      <c r="B223" s="12"/>
      <c r="C223" s="16"/>
      <c r="D223" s="16"/>
      <c r="E223" s="16"/>
      <c r="F223" s="16"/>
      <c r="G223" s="16"/>
      <c r="H223" s="16"/>
      <c r="I223" s="16"/>
      <c r="J223" s="16"/>
      <c r="K223" s="16"/>
      <c r="L223" s="13"/>
      <c r="M223" s="13"/>
      <c r="N223" s="13"/>
      <c r="O223" s="13"/>
      <c r="P223" s="13"/>
      <c r="Q223" s="13"/>
      <c r="R223" s="13"/>
      <c r="S223" s="13"/>
      <c r="T223" s="13"/>
      <c r="U223" s="12"/>
      <c r="V223" s="14"/>
      <c r="W223" s="16"/>
      <c r="X223" s="16"/>
      <c r="Y223" s="16"/>
      <c r="Z223" s="16"/>
      <c r="AA223" s="15" t="str">
        <f aca="false">IF(AND(ISNUMBER(L223),ISNUMBER(M223)),M223-L223,"")</f>
        <v/>
      </c>
      <c r="AB223" s="15" t="str">
        <f aca="false">IF(AND(ISNUMBER(M223),ISNUMBER(P223)),P223-M223,"")</f>
        <v/>
      </c>
      <c r="AC223" s="15" t="str">
        <f aca="false">IF(AND(ISNUMBER(L223),ISNUMBER(P223)),P223-L223,"")</f>
        <v/>
      </c>
      <c r="AD223" s="15" t="str">
        <f aca="false">IF(AND(ISNUMBER(P223),ISNUMBER(Q223)),Q223-P223,"")</f>
        <v/>
      </c>
      <c r="AE223" s="15" t="str">
        <f aca="false">IF(AND(ISNUMBER(Q223),ISNUMBER(R223)),R223-Q223,IF(ISNUMBER(Y223),Y223,""))</f>
        <v/>
      </c>
      <c r="AF223" s="15" t="str">
        <f aca="false">IF(AND(ISNUMBER(R223),ISNUMBER(S223)),S223-R223,"")</f>
        <v/>
      </c>
      <c r="AG223" s="15" t="str">
        <f aca="false">IF(AND(ISNUMBER(S223),ISNUMBER(T223)),T223-S223,"")</f>
        <v/>
      </c>
      <c r="AH223" s="15" t="str">
        <f aca="false">IF(AND(ISNUMBER(L223),ISNUMBER(T223)),T223-L223,"")</f>
        <v/>
      </c>
      <c r="AI223" s="15" t="str">
        <f aca="false">IF(AND(ISNUMBER(O223),ISNUMBER(Q223)),Q223-O223,"")</f>
        <v/>
      </c>
      <c r="AJ223" s="15" t="str">
        <f aca="false">IF(B223="","",COUNT(L223:M223,P223:T223)&amp;"/7")</f>
        <v/>
      </c>
      <c r="AK223" s="15" t="str">
        <f aca="false">IF(B223="","",IF(OR(AND(ISNUMBER(L223),ISNUMBER(M223),M223&lt;L223),AND(ISNUMBER(M223),ISNUMBER(P223),P223&lt;M223),AND(ISNUMBER(P223),ISNUMBER(Q223),Q223&lt;P223),AND(ISNUMBER(Q223),ISNUMBER(R223),R223&lt;Q223),AND(ISNUMBER(R223),ISNUMBER(S223),S223&lt;R223),AND(ISNUMBER(S223),ISNUMBER(T223),T223&lt;S223),AND(ISNUMBER(N223),ISNUMBER(O223),O223&lt;N223)),"Urutan tanggal salah",IF(AND(ISNUMBER(Q223),ISNUMBER(R223),ISNUMBER(Y223),ABS(R223-Q223-Y223)&gt;2),"S tanggal ≠ Sailing tercatat",IF(AND(ISNUMBER(Q223),ISNUMBER(O223),ABS(Q223-O223)&gt;60),"Cek tahun laycan",IF(AND(ISNUMBER(Q223),ISNUMBER(N223),Q223&lt;N223),"Berangkat sebelum laycan",IF(NOT(ISNUMBER(AE223)),"S belum ada","OK"))))))</f>
        <v/>
      </c>
    </row>
    <row r="224" customFormat="false" ht="15" hidden="false" customHeight="false" outlineLevel="0" collapsed="false">
      <c r="A224" s="16" t="str">
        <f aca="false">IF(B224="","",ROW()-4)</f>
        <v/>
      </c>
      <c r="B224" s="12"/>
      <c r="C224" s="16"/>
      <c r="D224" s="16"/>
      <c r="E224" s="16"/>
      <c r="F224" s="16"/>
      <c r="G224" s="16"/>
      <c r="H224" s="16"/>
      <c r="I224" s="16"/>
      <c r="J224" s="16"/>
      <c r="K224" s="16"/>
      <c r="L224" s="13"/>
      <c r="M224" s="13"/>
      <c r="N224" s="13"/>
      <c r="O224" s="13"/>
      <c r="P224" s="13"/>
      <c r="Q224" s="13"/>
      <c r="R224" s="13"/>
      <c r="S224" s="13"/>
      <c r="T224" s="13"/>
      <c r="U224" s="12"/>
      <c r="V224" s="14"/>
      <c r="W224" s="16"/>
      <c r="X224" s="16"/>
      <c r="Y224" s="16"/>
      <c r="Z224" s="16"/>
      <c r="AA224" s="15" t="str">
        <f aca="false">IF(AND(ISNUMBER(L224),ISNUMBER(M224)),M224-L224,"")</f>
        <v/>
      </c>
      <c r="AB224" s="15" t="str">
        <f aca="false">IF(AND(ISNUMBER(M224),ISNUMBER(P224)),P224-M224,"")</f>
        <v/>
      </c>
      <c r="AC224" s="15" t="str">
        <f aca="false">IF(AND(ISNUMBER(L224),ISNUMBER(P224)),P224-L224,"")</f>
        <v/>
      </c>
      <c r="AD224" s="15" t="str">
        <f aca="false">IF(AND(ISNUMBER(P224),ISNUMBER(Q224)),Q224-P224,"")</f>
        <v/>
      </c>
      <c r="AE224" s="15" t="str">
        <f aca="false">IF(AND(ISNUMBER(Q224),ISNUMBER(R224)),R224-Q224,IF(ISNUMBER(Y224),Y224,""))</f>
        <v/>
      </c>
      <c r="AF224" s="15" t="str">
        <f aca="false">IF(AND(ISNUMBER(R224),ISNUMBER(S224)),S224-R224,"")</f>
        <v/>
      </c>
      <c r="AG224" s="15" t="str">
        <f aca="false">IF(AND(ISNUMBER(S224),ISNUMBER(T224)),T224-S224,"")</f>
        <v/>
      </c>
      <c r="AH224" s="15" t="str">
        <f aca="false">IF(AND(ISNUMBER(L224),ISNUMBER(T224)),T224-L224,"")</f>
        <v/>
      </c>
      <c r="AI224" s="15" t="str">
        <f aca="false">IF(AND(ISNUMBER(O224),ISNUMBER(Q224)),Q224-O224,"")</f>
        <v/>
      </c>
      <c r="AJ224" s="15" t="str">
        <f aca="false">IF(B224="","",COUNT(L224:M224,P224:T224)&amp;"/7")</f>
        <v/>
      </c>
      <c r="AK224" s="15" t="str">
        <f aca="false">IF(B224="","",IF(OR(AND(ISNUMBER(L224),ISNUMBER(M224),M224&lt;L224),AND(ISNUMBER(M224),ISNUMBER(P224),P224&lt;M224),AND(ISNUMBER(P224),ISNUMBER(Q224),Q224&lt;P224),AND(ISNUMBER(Q224),ISNUMBER(R224),R224&lt;Q224),AND(ISNUMBER(R224),ISNUMBER(S224),S224&lt;R224),AND(ISNUMBER(S224),ISNUMBER(T224),T224&lt;S224),AND(ISNUMBER(N224),ISNUMBER(O224),O224&lt;N224)),"Urutan tanggal salah",IF(AND(ISNUMBER(Q224),ISNUMBER(R224),ISNUMBER(Y224),ABS(R224-Q224-Y224)&gt;2),"S tanggal ≠ Sailing tercatat",IF(AND(ISNUMBER(Q224),ISNUMBER(O224),ABS(Q224-O224)&gt;60),"Cek tahun laycan",IF(AND(ISNUMBER(Q224),ISNUMBER(N224),Q224&lt;N224),"Berangkat sebelum laycan",IF(NOT(ISNUMBER(AE224)),"S belum ada","OK"))))))</f>
        <v/>
      </c>
    </row>
    <row r="225" customFormat="false" ht="15" hidden="false" customHeight="false" outlineLevel="0" collapsed="false">
      <c r="A225" s="16" t="str">
        <f aca="false">IF(B225="","",ROW()-4)</f>
        <v/>
      </c>
      <c r="B225" s="12"/>
      <c r="C225" s="16"/>
      <c r="D225" s="16"/>
      <c r="E225" s="16"/>
      <c r="F225" s="16"/>
      <c r="G225" s="16"/>
      <c r="H225" s="16"/>
      <c r="I225" s="16"/>
      <c r="J225" s="16"/>
      <c r="K225" s="16"/>
      <c r="L225" s="13"/>
      <c r="M225" s="13"/>
      <c r="N225" s="13"/>
      <c r="O225" s="13"/>
      <c r="P225" s="13"/>
      <c r="Q225" s="13"/>
      <c r="R225" s="13"/>
      <c r="S225" s="13"/>
      <c r="T225" s="13"/>
      <c r="U225" s="12"/>
      <c r="V225" s="14"/>
      <c r="W225" s="16"/>
      <c r="X225" s="16"/>
      <c r="Y225" s="16"/>
      <c r="Z225" s="16"/>
      <c r="AA225" s="15" t="str">
        <f aca="false">IF(AND(ISNUMBER(L225),ISNUMBER(M225)),M225-L225,"")</f>
        <v/>
      </c>
      <c r="AB225" s="15" t="str">
        <f aca="false">IF(AND(ISNUMBER(M225),ISNUMBER(P225)),P225-M225,"")</f>
        <v/>
      </c>
      <c r="AC225" s="15" t="str">
        <f aca="false">IF(AND(ISNUMBER(L225),ISNUMBER(P225)),P225-L225,"")</f>
        <v/>
      </c>
      <c r="AD225" s="15" t="str">
        <f aca="false">IF(AND(ISNUMBER(P225),ISNUMBER(Q225)),Q225-P225,"")</f>
        <v/>
      </c>
      <c r="AE225" s="15" t="str">
        <f aca="false">IF(AND(ISNUMBER(Q225),ISNUMBER(R225)),R225-Q225,IF(ISNUMBER(Y225),Y225,""))</f>
        <v/>
      </c>
      <c r="AF225" s="15" t="str">
        <f aca="false">IF(AND(ISNUMBER(R225),ISNUMBER(S225)),S225-R225,"")</f>
        <v/>
      </c>
      <c r="AG225" s="15" t="str">
        <f aca="false">IF(AND(ISNUMBER(S225),ISNUMBER(T225)),T225-S225,"")</f>
        <v/>
      </c>
      <c r="AH225" s="15" t="str">
        <f aca="false">IF(AND(ISNUMBER(L225),ISNUMBER(T225)),T225-L225,"")</f>
        <v/>
      </c>
      <c r="AI225" s="15" t="str">
        <f aca="false">IF(AND(ISNUMBER(O225),ISNUMBER(Q225)),Q225-O225,"")</f>
        <v/>
      </c>
      <c r="AJ225" s="15" t="str">
        <f aca="false">IF(B225="","",COUNT(L225:M225,P225:T225)&amp;"/7")</f>
        <v/>
      </c>
      <c r="AK225" s="15" t="str">
        <f aca="false">IF(B225="","",IF(OR(AND(ISNUMBER(L225),ISNUMBER(M225),M225&lt;L225),AND(ISNUMBER(M225),ISNUMBER(P225),P225&lt;M225),AND(ISNUMBER(P225),ISNUMBER(Q225),Q225&lt;P225),AND(ISNUMBER(Q225),ISNUMBER(R225),R225&lt;Q225),AND(ISNUMBER(R225),ISNUMBER(S225),S225&lt;R225),AND(ISNUMBER(S225),ISNUMBER(T225),T225&lt;S225),AND(ISNUMBER(N225),ISNUMBER(O225),O225&lt;N225)),"Urutan tanggal salah",IF(AND(ISNUMBER(Q225),ISNUMBER(R225),ISNUMBER(Y225),ABS(R225-Q225-Y225)&gt;2),"S tanggal ≠ Sailing tercatat",IF(AND(ISNUMBER(Q225),ISNUMBER(O225),ABS(Q225-O225)&gt;60),"Cek tahun laycan",IF(AND(ISNUMBER(Q225),ISNUMBER(N225),Q225&lt;N225),"Berangkat sebelum laycan",IF(NOT(ISNUMBER(AE225)),"S belum ada","OK"))))))</f>
        <v/>
      </c>
    </row>
    <row r="226" customFormat="false" ht="15" hidden="false" customHeight="false" outlineLevel="0" collapsed="false">
      <c r="A226" s="16" t="str">
        <f aca="false">IF(B226="","",ROW()-4)</f>
        <v/>
      </c>
      <c r="B226" s="12"/>
      <c r="C226" s="16"/>
      <c r="D226" s="16"/>
      <c r="E226" s="16"/>
      <c r="F226" s="16"/>
      <c r="G226" s="16"/>
      <c r="H226" s="16"/>
      <c r="I226" s="16"/>
      <c r="J226" s="16"/>
      <c r="K226" s="16"/>
      <c r="L226" s="13"/>
      <c r="M226" s="13"/>
      <c r="N226" s="13"/>
      <c r="O226" s="13"/>
      <c r="P226" s="13"/>
      <c r="Q226" s="13"/>
      <c r="R226" s="13"/>
      <c r="S226" s="13"/>
      <c r="T226" s="13"/>
      <c r="U226" s="12"/>
      <c r="V226" s="14"/>
      <c r="W226" s="16"/>
      <c r="X226" s="16"/>
      <c r="Y226" s="16"/>
      <c r="Z226" s="16"/>
      <c r="AA226" s="15" t="str">
        <f aca="false">IF(AND(ISNUMBER(L226),ISNUMBER(M226)),M226-L226,"")</f>
        <v/>
      </c>
      <c r="AB226" s="15" t="str">
        <f aca="false">IF(AND(ISNUMBER(M226),ISNUMBER(P226)),P226-M226,"")</f>
        <v/>
      </c>
      <c r="AC226" s="15" t="str">
        <f aca="false">IF(AND(ISNUMBER(L226),ISNUMBER(P226)),P226-L226,"")</f>
        <v/>
      </c>
      <c r="AD226" s="15" t="str">
        <f aca="false">IF(AND(ISNUMBER(P226),ISNUMBER(Q226)),Q226-P226,"")</f>
        <v/>
      </c>
      <c r="AE226" s="15" t="str">
        <f aca="false">IF(AND(ISNUMBER(Q226),ISNUMBER(R226)),R226-Q226,IF(ISNUMBER(Y226),Y226,""))</f>
        <v/>
      </c>
      <c r="AF226" s="15" t="str">
        <f aca="false">IF(AND(ISNUMBER(R226),ISNUMBER(S226)),S226-R226,"")</f>
        <v/>
      </c>
      <c r="AG226" s="15" t="str">
        <f aca="false">IF(AND(ISNUMBER(S226),ISNUMBER(T226)),T226-S226,"")</f>
        <v/>
      </c>
      <c r="AH226" s="15" t="str">
        <f aca="false">IF(AND(ISNUMBER(L226),ISNUMBER(T226)),T226-L226,"")</f>
        <v/>
      </c>
      <c r="AI226" s="15" t="str">
        <f aca="false">IF(AND(ISNUMBER(O226),ISNUMBER(Q226)),Q226-O226,"")</f>
        <v/>
      </c>
      <c r="AJ226" s="15" t="str">
        <f aca="false">IF(B226="","",COUNT(L226:M226,P226:T226)&amp;"/7")</f>
        <v/>
      </c>
      <c r="AK226" s="15" t="str">
        <f aca="false">IF(B226="","",IF(OR(AND(ISNUMBER(L226),ISNUMBER(M226),M226&lt;L226),AND(ISNUMBER(M226),ISNUMBER(P226),P226&lt;M226),AND(ISNUMBER(P226),ISNUMBER(Q226),Q226&lt;P226),AND(ISNUMBER(Q226),ISNUMBER(R226),R226&lt;Q226),AND(ISNUMBER(R226),ISNUMBER(S226),S226&lt;R226),AND(ISNUMBER(S226),ISNUMBER(T226),T226&lt;S226),AND(ISNUMBER(N226),ISNUMBER(O226),O226&lt;N226)),"Urutan tanggal salah",IF(AND(ISNUMBER(Q226),ISNUMBER(R226),ISNUMBER(Y226),ABS(R226-Q226-Y226)&gt;2),"S tanggal ≠ Sailing tercatat",IF(AND(ISNUMBER(Q226),ISNUMBER(O226),ABS(Q226-O226)&gt;60),"Cek tahun laycan",IF(AND(ISNUMBER(Q226),ISNUMBER(N226),Q226&lt;N226),"Berangkat sebelum laycan",IF(NOT(ISNUMBER(AE226)),"S belum ada","OK"))))))</f>
        <v/>
      </c>
    </row>
    <row r="227" customFormat="false" ht="15" hidden="false" customHeight="false" outlineLevel="0" collapsed="false">
      <c r="A227" s="16" t="str">
        <f aca="false">IF(B227="","",ROW()-4)</f>
        <v/>
      </c>
      <c r="B227" s="12"/>
      <c r="C227" s="16"/>
      <c r="D227" s="16"/>
      <c r="E227" s="16"/>
      <c r="F227" s="16"/>
      <c r="G227" s="16"/>
      <c r="H227" s="16"/>
      <c r="I227" s="16"/>
      <c r="J227" s="16"/>
      <c r="K227" s="16"/>
      <c r="L227" s="13"/>
      <c r="M227" s="13"/>
      <c r="N227" s="13"/>
      <c r="O227" s="13"/>
      <c r="P227" s="13"/>
      <c r="Q227" s="13"/>
      <c r="R227" s="13"/>
      <c r="S227" s="13"/>
      <c r="T227" s="13"/>
      <c r="U227" s="12"/>
      <c r="V227" s="14"/>
      <c r="W227" s="16"/>
      <c r="X227" s="16"/>
      <c r="Y227" s="16"/>
      <c r="Z227" s="16"/>
      <c r="AA227" s="15" t="str">
        <f aca="false">IF(AND(ISNUMBER(L227),ISNUMBER(M227)),M227-L227,"")</f>
        <v/>
      </c>
      <c r="AB227" s="15" t="str">
        <f aca="false">IF(AND(ISNUMBER(M227),ISNUMBER(P227)),P227-M227,"")</f>
        <v/>
      </c>
      <c r="AC227" s="15" t="str">
        <f aca="false">IF(AND(ISNUMBER(L227),ISNUMBER(P227)),P227-L227,"")</f>
        <v/>
      </c>
      <c r="AD227" s="15" t="str">
        <f aca="false">IF(AND(ISNUMBER(P227),ISNUMBER(Q227)),Q227-P227,"")</f>
        <v/>
      </c>
      <c r="AE227" s="15" t="str">
        <f aca="false">IF(AND(ISNUMBER(Q227),ISNUMBER(R227)),R227-Q227,IF(ISNUMBER(Y227),Y227,""))</f>
        <v/>
      </c>
      <c r="AF227" s="15" t="str">
        <f aca="false">IF(AND(ISNUMBER(R227),ISNUMBER(S227)),S227-R227,"")</f>
        <v/>
      </c>
      <c r="AG227" s="15" t="str">
        <f aca="false">IF(AND(ISNUMBER(S227),ISNUMBER(T227)),T227-S227,"")</f>
        <v/>
      </c>
      <c r="AH227" s="15" t="str">
        <f aca="false">IF(AND(ISNUMBER(L227),ISNUMBER(T227)),T227-L227,"")</f>
        <v/>
      </c>
      <c r="AI227" s="15" t="str">
        <f aca="false">IF(AND(ISNUMBER(O227),ISNUMBER(Q227)),Q227-O227,"")</f>
        <v/>
      </c>
      <c r="AJ227" s="15" t="str">
        <f aca="false">IF(B227="","",COUNT(L227:M227,P227:T227)&amp;"/7")</f>
        <v/>
      </c>
      <c r="AK227" s="15" t="str">
        <f aca="false">IF(B227="","",IF(OR(AND(ISNUMBER(L227),ISNUMBER(M227),M227&lt;L227),AND(ISNUMBER(M227),ISNUMBER(P227),P227&lt;M227),AND(ISNUMBER(P227),ISNUMBER(Q227),Q227&lt;P227),AND(ISNUMBER(Q227),ISNUMBER(R227),R227&lt;Q227),AND(ISNUMBER(R227),ISNUMBER(S227),S227&lt;R227),AND(ISNUMBER(S227),ISNUMBER(T227),T227&lt;S227),AND(ISNUMBER(N227),ISNUMBER(O227),O227&lt;N227)),"Urutan tanggal salah",IF(AND(ISNUMBER(Q227),ISNUMBER(R227),ISNUMBER(Y227),ABS(R227-Q227-Y227)&gt;2),"S tanggal ≠ Sailing tercatat",IF(AND(ISNUMBER(Q227),ISNUMBER(O227),ABS(Q227-O227)&gt;60),"Cek tahun laycan",IF(AND(ISNUMBER(Q227),ISNUMBER(N227),Q227&lt;N227),"Berangkat sebelum laycan",IF(NOT(ISNUMBER(AE227)),"S belum ada","OK"))))))</f>
        <v/>
      </c>
    </row>
    <row r="228" customFormat="false" ht="15" hidden="false" customHeight="false" outlineLevel="0" collapsed="false">
      <c r="A228" s="16" t="str">
        <f aca="false">IF(B228="","",ROW()-4)</f>
        <v/>
      </c>
      <c r="B228" s="12"/>
      <c r="C228" s="16"/>
      <c r="D228" s="16"/>
      <c r="E228" s="16"/>
      <c r="F228" s="16"/>
      <c r="G228" s="16"/>
      <c r="H228" s="16"/>
      <c r="I228" s="16"/>
      <c r="J228" s="16"/>
      <c r="K228" s="16"/>
      <c r="L228" s="13"/>
      <c r="M228" s="13"/>
      <c r="N228" s="13"/>
      <c r="O228" s="13"/>
      <c r="P228" s="13"/>
      <c r="Q228" s="13"/>
      <c r="R228" s="13"/>
      <c r="S228" s="13"/>
      <c r="T228" s="13"/>
      <c r="U228" s="12"/>
      <c r="V228" s="14"/>
      <c r="W228" s="16"/>
      <c r="X228" s="16"/>
      <c r="Y228" s="16"/>
      <c r="Z228" s="16"/>
      <c r="AA228" s="15" t="str">
        <f aca="false">IF(AND(ISNUMBER(L228),ISNUMBER(M228)),M228-L228,"")</f>
        <v/>
      </c>
      <c r="AB228" s="15" t="str">
        <f aca="false">IF(AND(ISNUMBER(M228),ISNUMBER(P228)),P228-M228,"")</f>
        <v/>
      </c>
      <c r="AC228" s="15" t="str">
        <f aca="false">IF(AND(ISNUMBER(L228),ISNUMBER(P228)),P228-L228,"")</f>
        <v/>
      </c>
      <c r="AD228" s="15" t="str">
        <f aca="false">IF(AND(ISNUMBER(P228),ISNUMBER(Q228)),Q228-P228,"")</f>
        <v/>
      </c>
      <c r="AE228" s="15" t="str">
        <f aca="false">IF(AND(ISNUMBER(Q228),ISNUMBER(R228)),R228-Q228,IF(ISNUMBER(Y228),Y228,""))</f>
        <v/>
      </c>
      <c r="AF228" s="15" t="str">
        <f aca="false">IF(AND(ISNUMBER(R228),ISNUMBER(S228)),S228-R228,"")</f>
        <v/>
      </c>
      <c r="AG228" s="15" t="str">
        <f aca="false">IF(AND(ISNUMBER(S228),ISNUMBER(T228)),T228-S228,"")</f>
        <v/>
      </c>
      <c r="AH228" s="15" t="str">
        <f aca="false">IF(AND(ISNUMBER(L228),ISNUMBER(T228)),T228-L228,"")</f>
        <v/>
      </c>
      <c r="AI228" s="15" t="str">
        <f aca="false">IF(AND(ISNUMBER(O228),ISNUMBER(Q228)),Q228-O228,"")</f>
        <v/>
      </c>
      <c r="AJ228" s="15" t="str">
        <f aca="false">IF(B228="","",COUNT(L228:M228,P228:T228)&amp;"/7")</f>
        <v/>
      </c>
      <c r="AK228" s="15" t="str">
        <f aca="false">IF(B228="","",IF(OR(AND(ISNUMBER(L228),ISNUMBER(M228),M228&lt;L228),AND(ISNUMBER(M228),ISNUMBER(P228),P228&lt;M228),AND(ISNUMBER(P228),ISNUMBER(Q228),Q228&lt;P228),AND(ISNUMBER(Q228),ISNUMBER(R228),R228&lt;Q228),AND(ISNUMBER(R228),ISNUMBER(S228),S228&lt;R228),AND(ISNUMBER(S228),ISNUMBER(T228),T228&lt;S228),AND(ISNUMBER(N228),ISNUMBER(O228),O228&lt;N228)),"Urutan tanggal salah",IF(AND(ISNUMBER(Q228),ISNUMBER(R228),ISNUMBER(Y228),ABS(R228-Q228-Y228)&gt;2),"S tanggal ≠ Sailing tercatat",IF(AND(ISNUMBER(Q228),ISNUMBER(O228),ABS(Q228-O228)&gt;60),"Cek tahun laycan",IF(AND(ISNUMBER(Q228),ISNUMBER(N228),Q228&lt;N228),"Berangkat sebelum laycan",IF(NOT(ISNUMBER(AE228)),"S belum ada","OK"))))))</f>
        <v/>
      </c>
    </row>
    <row r="229" customFormat="false" ht="15" hidden="false" customHeight="false" outlineLevel="0" collapsed="false">
      <c r="A229" s="16" t="str">
        <f aca="false">IF(B229="","",ROW()-4)</f>
        <v/>
      </c>
      <c r="B229" s="12"/>
      <c r="C229" s="16"/>
      <c r="D229" s="16"/>
      <c r="E229" s="16"/>
      <c r="F229" s="16"/>
      <c r="G229" s="16"/>
      <c r="H229" s="16"/>
      <c r="I229" s="16"/>
      <c r="J229" s="16"/>
      <c r="K229" s="16"/>
      <c r="L229" s="13"/>
      <c r="M229" s="13"/>
      <c r="N229" s="13"/>
      <c r="O229" s="13"/>
      <c r="P229" s="13"/>
      <c r="Q229" s="13"/>
      <c r="R229" s="13"/>
      <c r="S229" s="13"/>
      <c r="T229" s="13"/>
      <c r="U229" s="12"/>
      <c r="V229" s="14"/>
      <c r="W229" s="16"/>
      <c r="X229" s="16"/>
      <c r="Y229" s="16"/>
      <c r="Z229" s="16"/>
      <c r="AA229" s="15" t="str">
        <f aca="false">IF(AND(ISNUMBER(L229),ISNUMBER(M229)),M229-L229,"")</f>
        <v/>
      </c>
      <c r="AB229" s="15" t="str">
        <f aca="false">IF(AND(ISNUMBER(M229),ISNUMBER(P229)),P229-M229,"")</f>
        <v/>
      </c>
      <c r="AC229" s="15" t="str">
        <f aca="false">IF(AND(ISNUMBER(L229),ISNUMBER(P229)),P229-L229,"")</f>
        <v/>
      </c>
      <c r="AD229" s="15" t="str">
        <f aca="false">IF(AND(ISNUMBER(P229),ISNUMBER(Q229)),Q229-P229,"")</f>
        <v/>
      </c>
      <c r="AE229" s="15" t="str">
        <f aca="false">IF(AND(ISNUMBER(Q229),ISNUMBER(R229)),R229-Q229,IF(ISNUMBER(Y229),Y229,""))</f>
        <v/>
      </c>
      <c r="AF229" s="15" t="str">
        <f aca="false">IF(AND(ISNUMBER(R229),ISNUMBER(S229)),S229-R229,"")</f>
        <v/>
      </c>
      <c r="AG229" s="15" t="str">
        <f aca="false">IF(AND(ISNUMBER(S229),ISNUMBER(T229)),T229-S229,"")</f>
        <v/>
      </c>
      <c r="AH229" s="15" t="str">
        <f aca="false">IF(AND(ISNUMBER(L229),ISNUMBER(T229)),T229-L229,"")</f>
        <v/>
      </c>
      <c r="AI229" s="15" t="str">
        <f aca="false">IF(AND(ISNUMBER(O229),ISNUMBER(Q229)),Q229-O229,"")</f>
        <v/>
      </c>
      <c r="AJ229" s="15" t="str">
        <f aca="false">IF(B229="","",COUNT(L229:M229,P229:T229)&amp;"/7")</f>
        <v/>
      </c>
      <c r="AK229" s="15" t="str">
        <f aca="false">IF(B229="","",IF(OR(AND(ISNUMBER(L229),ISNUMBER(M229),M229&lt;L229),AND(ISNUMBER(M229),ISNUMBER(P229),P229&lt;M229),AND(ISNUMBER(P229),ISNUMBER(Q229),Q229&lt;P229),AND(ISNUMBER(Q229),ISNUMBER(R229),R229&lt;Q229),AND(ISNUMBER(R229),ISNUMBER(S229),S229&lt;R229),AND(ISNUMBER(S229),ISNUMBER(T229),T229&lt;S229),AND(ISNUMBER(N229),ISNUMBER(O229),O229&lt;N229)),"Urutan tanggal salah",IF(AND(ISNUMBER(Q229),ISNUMBER(R229),ISNUMBER(Y229),ABS(R229-Q229-Y229)&gt;2),"S tanggal ≠ Sailing tercatat",IF(AND(ISNUMBER(Q229),ISNUMBER(O229),ABS(Q229-O229)&gt;60),"Cek tahun laycan",IF(AND(ISNUMBER(Q229),ISNUMBER(N229),Q229&lt;N229),"Berangkat sebelum laycan",IF(NOT(ISNUMBER(AE229)),"S belum ada","OK"))))))</f>
        <v/>
      </c>
    </row>
    <row r="230" customFormat="false" ht="15" hidden="false" customHeight="false" outlineLevel="0" collapsed="false">
      <c r="A230" s="16" t="str">
        <f aca="false">IF(B230="","",ROW()-4)</f>
        <v/>
      </c>
      <c r="B230" s="12"/>
      <c r="C230" s="16"/>
      <c r="D230" s="16"/>
      <c r="E230" s="16"/>
      <c r="F230" s="16"/>
      <c r="G230" s="16"/>
      <c r="H230" s="16"/>
      <c r="I230" s="16"/>
      <c r="J230" s="16"/>
      <c r="K230" s="16"/>
      <c r="L230" s="13"/>
      <c r="M230" s="13"/>
      <c r="N230" s="13"/>
      <c r="O230" s="13"/>
      <c r="P230" s="13"/>
      <c r="Q230" s="13"/>
      <c r="R230" s="13"/>
      <c r="S230" s="13"/>
      <c r="T230" s="13"/>
      <c r="U230" s="12"/>
      <c r="V230" s="14"/>
      <c r="W230" s="16"/>
      <c r="X230" s="16"/>
      <c r="Y230" s="16"/>
      <c r="Z230" s="16"/>
      <c r="AA230" s="15" t="str">
        <f aca="false">IF(AND(ISNUMBER(L230),ISNUMBER(M230)),M230-L230,"")</f>
        <v/>
      </c>
      <c r="AB230" s="15" t="str">
        <f aca="false">IF(AND(ISNUMBER(M230),ISNUMBER(P230)),P230-M230,"")</f>
        <v/>
      </c>
      <c r="AC230" s="15" t="str">
        <f aca="false">IF(AND(ISNUMBER(L230),ISNUMBER(P230)),P230-L230,"")</f>
        <v/>
      </c>
      <c r="AD230" s="15" t="str">
        <f aca="false">IF(AND(ISNUMBER(P230),ISNUMBER(Q230)),Q230-P230,"")</f>
        <v/>
      </c>
      <c r="AE230" s="15" t="str">
        <f aca="false">IF(AND(ISNUMBER(Q230),ISNUMBER(R230)),R230-Q230,IF(ISNUMBER(Y230),Y230,""))</f>
        <v/>
      </c>
      <c r="AF230" s="15" t="str">
        <f aca="false">IF(AND(ISNUMBER(R230),ISNUMBER(S230)),S230-R230,"")</f>
        <v/>
      </c>
      <c r="AG230" s="15" t="str">
        <f aca="false">IF(AND(ISNUMBER(S230),ISNUMBER(T230)),T230-S230,"")</f>
        <v/>
      </c>
      <c r="AH230" s="15" t="str">
        <f aca="false">IF(AND(ISNUMBER(L230),ISNUMBER(T230)),T230-L230,"")</f>
        <v/>
      </c>
      <c r="AI230" s="15" t="str">
        <f aca="false">IF(AND(ISNUMBER(O230),ISNUMBER(Q230)),Q230-O230,"")</f>
        <v/>
      </c>
      <c r="AJ230" s="15" t="str">
        <f aca="false">IF(B230="","",COUNT(L230:M230,P230:T230)&amp;"/7")</f>
        <v/>
      </c>
      <c r="AK230" s="15" t="str">
        <f aca="false">IF(B230="","",IF(OR(AND(ISNUMBER(L230),ISNUMBER(M230),M230&lt;L230),AND(ISNUMBER(M230),ISNUMBER(P230),P230&lt;M230),AND(ISNUMBER(P230),ISNUMBER(Q230),Q230&lt;P230),AND(ISNUMBER(Q230),ISNUMBER(R230),R230&lt;Q230),AND(ISNUMBER(R230),ISNUMBER(S230),S230&lt;R230),AND(ISNUMBER(S230),ISNUMBER(T230),T230&lt;S230),AND(ISNUMBER(N230),ISNUMBER(O230),O230&lt;N230)),"Urutan tanggal salah",IF(AND(ISNUMBER(Q230),ISNUMBER(R230),ISNUMBER(Y230),ABS(R230-Q230-Y230)&gt;2),"S tanggal ≠ Sailing tercatat",IF(AND(ISNUMBER(Q230),ISNUMBER(O230),ABS(Q230-O230)&gt;60),"Cek tahun laycan",IF(AND(ISNUMBER(Q230),ISNUMBER(N230),Q230&lt;N230),"Berangkat sebelum laycan",IF(NOT(ISNUMBER(AE230)),"S belum ada","OK"))))))</f>
        <v/>
      </c>
    </row>
    <row r="231" customFormat="false" ht="15" hidden="false" customHeight="false" outlineLevel="0" collapsed="false">
      <c r="A231" s="16" t="str">
        <f aca="false">IF(B231="","",ROW()-4)</f>
        <v/>
      </c>
      <c r="B231" s="12"/>
      <c r="C231" s="16"/>
      <c r="D231" s="16"/>
      <c r="E231" s="16"/>
      <c r="F231" s="16"/>
      <c r="G231" s="16"/>
      <c r="H231" s="16"/>
      <c r="I231" s="16"/>
      <c r="J231" s="16"/>
      <c r="K231" s="16"/>
      <c r="L231" s="13"/>
      <c r="M231" s="13"/>
      <c r="N231" s="13"/>
      <c r="O231" s="13"/>
      <c r="P231" s="13"/>
      <c r="Q231" s="13"/>
      <c r="R231" s="13"/>
      <c r="S231" s="13"/>
      <c r="T231" s="13"/>
      <c r="U231" s="12"/>
      <c r="V231" s="14"/>
      <c r="W231" s="16"/>
      <c r="X231" s="16"/>
      <c r="Y231" s="16"/>
      <c r="Z231" s="16"/>
      <c r="AA231" s="15" t="str">
        <f aca="false">IF(AND(ISNUMBER(L231),ISNUMBER(M231)),M231-L231,"")</f>
        <v/>
      </c>
      <c r="AB231" s="15" t="str">
        <f aca="false">IF(AND(ISNUMBER(M231),ISNUMBER(P231)),P231-M231,"")</f>
        <v/>
      </c>
      <c r="AC231" s="15" t="str">
        <f aca="false">IF(AND(ISNUMBER(L231),ISNUMBER(P231)),P231-L231,"")</f>
        <v/>
      </c>
      <c r="AD231" s="15" t="str">
        <f aca="false">IF(AND(ISNUMBER(P231),ISNUMBER(Q231)),Q231-P231,"")</f>
        <v/>
      </c>
      <c r="AE231" s="15" t="str">
        <f aca="false">IF(AND(ISNUMBER(Q231),ISNUMBER(R231)),R231-Q231,IF(ISNUMBER(Y231),Y231,""))</f>
        <v/>
      </c>
      <c r="AF231" s="15" t="str">
        <f aca="false">IF(AND(ISNUMBER(R231),ISNUMBER(S231)),S231-R231,"")</f>
        <v/>
      </c>
      <c r="AG231" s="15" t="str">
        <f aca="false">IF(AND(ISNUMBER(S231),ISNUMBER(T231)),T231-S231,"")</f>
        <v/>
      </c>
      <c r="AH231" s="15" t="str">
        <f aca="false">IF(AND(ISNUMBER(L231),ISNUMBER(T231)),T231-L231,"")</f>
        <v/>
      </c>
      <c r="AI231" s="15" t="str">
        <f aca="false">IF(AND(ISNUMBER(O231),ISNUMBER(Q231)),Q231-O231,"")</f>
        <v/>
      </c>
      <c r="AJ231" s="15" t="str">
        <f aca="false">IF(B231="","",COUNT(L231:M231,P231:T231)&amp;"/7")</f>
        <v/>
      </c>
      <c r="AK231" s="15" t="str">
        <f aca="false">IF(B231="","",IF(OR(AND(ISNUMBER(L231),ISNUMBER(M231),M231&lt;L231),AND(ISNUMBER(M231),ISNUMBER(P231),P231&lt;M231),AND(ISNUMBER(P231),ISNUMBER(Q231),Q231&lt;P231),AND(ISNUMBER(Q231),ISNUMBER(R231),R231&lt;Q231),AND(ISNUMBER(R231),ISNUMBER(S231),S231&lt;R231),AND(ISNUMBER(S231),ISNUMBER(T231),T231&lt;S231),AND(ISNUMBER(N231),ISNUMBER(O231),O231&lt;N231)),"Urutan tanggal salah",IF(AND(ISNUMBER(Q231),ISNUMBER(R231),ISNUMBER(Y231),ABS(R231-Q231-Y231)&gt;2),"S tanggal ≠ Sailing tercatat",IF(AND(ISNUMBER(Q231),ISNUMBER(O231),ABS(Q231-O231)&gt;60),"Cek tahun laycan",IF(AND(ISNUMBER(Q231),ISNUMBER(N231),Q231&lt;N231),"Berangkat sebelum laycan",IF(NOT(ISNUMBER(AE231)),"S belum ada","OK"))))))</f>
        <v/>
      </c>
    </row>
    <row r="232" customFormat="false" ht="15" hidden="false" customHeight="false" outlineLevel="0" collapsed="false">
      <c r="A232" s="16" t="str">
        <f aca="false">IF(B232="","",ROW()-4)</f>
        <v/>
      </c>
      <c r="B232" s="12"/>
      <c r="C232" s="16"/>
      <c r="D232" s="16"/>
      <c r="E232" s="16"/>
      <c r="F232" s="16"/>
      <c r="G232" s="16"/>
      <c r="H232" s="16"/>
      <c r="I232" s="16"/>
      <c r="J232" s="16"/>
      <c r="K232" s="16"/>
      <c r="L232" s="13"/>
      <c r="M232" s="13"/>
      <c r="N232" s="13"/>
      <c r="O232" s="13"/>
      <c r="P232" s="13"/>
      <c r="Q232" s="13"/>
      <c r="R232" s="13"/>
      <c r="S232" s="13"/>
      <c r="T232" s="13"/>
      <c r="U232" s="12"/>
      <c r="V232" s="14"/>
      <c r="W232" s="16"/>
      <c r="X232" s="16"/>
      <c r="Y232" s="16"/>
      <c r="Z232" s="16"/>
      <c r="AA232" s="15" t="str">
        <f aca="false">IF(AND(ISNUMBER(L232),ISNUMBER(M232)),M232-L232,"")</f>
        <v/>
      </c>
      <c r="AB232" s="15" t="str">
        <f aca="false">IF(AND(ISNUMBER(M232),ISNUMBER(P232)),P232-M232,"")</f>
        <v/>
      </c>
      <c r="AC232" s="15" t="str">
        <f aca="false">IF(AND(ISNUMBER(L232),ISNUMBER(P232)),P232-L232,"")</f>
        <v/>
      </c>
      <c r="AD232" s="15" t="str">
        <f aca="false">IF(AND(ISNUMBER(P232),ISNUMBER(Q232)),Q232-P232,"")</f>
        <v/>
      </c>
      <c r="AE232" s="15" t="str">
        <f aca="false">IF(AND(ISNUMBER(Q232),ISNUMBER(R232)),R232-Q232,IF(ISNUMBER(Y232),Y232,""))</f>
        <v/>
      </c>
      <c r="AF232" s="15" t="str">
        <f aca="false">IF(AND(ISNUMBER(R232),ISNUMBER(S232)),S232-R232,"")</f>
        <v/>
      </c>
      <c r="AG232" s="15" t="str">
        <f aca="false">IF(AND(ISNUMBER(S232),ISNUMBER(T232)),T232-S232,"")</f>
        <v/>
      </c>
      <c r="AH232" s="15" t="str">
        <f aca="false">IF(AND(ISNUMBER(L232),ISNUMBER(T232)),T232-L232,"")</f>
        <v/>
      </c>
      <c r="AI232" s="15" t="str">
        <f aca="false">IF(AND(ISNUMBER(O232),ISNUMBER(Q232)),Q232-O232,"")</f>
        <v/>
      </c>
      <c r="AJ232" s="15" t="str">
        <f aca="false">IF(B232="","",COUNT(L232:M232,P232:T232)&amp;"/7")</f>
        <v/>
      </c>
      <c r="AK232" s="15" t="str">
        <f aca="false">IF(B232="","",IF(OR(AND(ISNUMBER(L232),ISNUMBER(M232),M232&lt;L232),AND(ISNUMBER(M232),ISNUMBER(P232),P232&lt;M232),AND(ISNUMBER(P232),ISNUMBER(Q232),Q232&lt;P232),AND(ISNUMBER(Q232),ISNUMBER(R232),R232&lt;Q232),AND(ISNUMBER(R232),ISNUMBER(S232),S232&lt;R232),AND(ISNUMBER(S232),ISNUMBER(T232),T232&lt;S232),AND(ISNUMBER(N232),ISNUMBER(O232),O232&lt;N232)),"Urutan tanggal salah",IF(AND(ISNUMBER(Q232),ISNUMBER(R232),ISNUMBER(Y232),ABS(R232-Q232-Y232)&gt;2),"S tanggal ≠ Sailing tercatat",IF(AND(ISNUMBER(Q232),ISNUMBER(O232),ABS(Q232-O232)&gt;60),"Cek tahun laycan",IF(AND(ISNUMBER(Q232),ISNUMBER(N232),Q232&lt;N232),"Berangkat sebelum laycan",IF(NOT(ISNUMBER(AE232)),"S belum ada","OK"))))))</f>
        <v/>
      </c>
    </row>
    <row r="233" customFormat="false" ht="15" hidden="false" customHeight="false" outlineLevel="0" collapsed="false">
      <c r="A233" s="16" t="str">
        <f aca="false">IF(B233="","",ROW()-4)</f>
        <v/>
      </c>
      <c r="B233" s="12"/>
      <c r="C233" s="16"/>
      <c r="D233" s="16"/>
      <c r="E233" s="16"/>
      <c r="F233" s="16"/>
      <c r="G233" s="16"/>
      <c r="H233" s="16"/>
      <c r="I233" s="16"/>
      <c r="J233" s="16"/>
      <c r="K233" s="16"/>
      <c r="L233" s="13"/>
      <c r="M233" s="13"/>
      <c r="N233" s="13"/>
      <c r="O233" s="13"/>
      <c r="P233" s="13"/>
      <c r="Q233" s="13"/>
      <c r="R233" s="13"/>
      <c r="S233" s="13"/>
      <c r="T233" s="13"/>
      <c r="U233" s="12"/>
      <c r="V233" s="14"/>
      <c r="W233" s="16"/>
      <c r="X233" s="16"/>
      <c r="Y233" s="16"/>
      <c r="Z233" s="16"/>
      <c r="AA233" s="15" t="str">
        <f aca="false">IF(AND(ISNUMBER(L233),ISNUMBER(M233)),M233-L233,"")</f>
        <v/>
      </c>
      <c r="AB233" s="15" t="str">
        <f aca="false">IF(AND(ISNUMBER(M233),ISNUMBER(P233)),P233-M233,"")</f>
        <v/>
      </c>
      <c r="AC233" s="15" t="str">
        <f aca="false">IF(AND(ISNUMBER(L233),ISNUMBER(P233)),P233-L233,"")</f>
        <v/>
      </c>
      <c r="AD233" s="15" t="str">
        <f aca="false">IF(AND(ISNUMBER(P233),ISNUMBER(Q233)),Q233-P233,"")</f>
        <v/>
      </c>
      <c r="AE233" s="15" t="str">
        <f aca="false">IF(AND(ISNUMBER(Q233),ISNUMBER(R233)),R233-Q233,IF(ISNUMBER(Y233),Y233,""))</f>
        <v/>
      </c>
      <c r="AF233" s="15" t="str">
        <f aca="false">IF(AND(ISNUMBER(R233),ISNUMBER(S233)),S233-R233,"")</f>
        <v/>
      </c>
      <c r="AG233" s="15" t="str">
        <f aca="false">IF(AND(ISNUMBER(S233),ISNUMBER(T233)),T233-S233,"")</f>
        <v/>
      </c>
      <c r="AH233" s="15" t="str">
        <f aca="false">IF(AND(ISNUMBER(L233),ISNUMBER(T233)),T233-L233,"")</f>
        <v/>
      </c>
      <c r="AI233" s="15" t="str">
        <f aca="false">IF(AND(ISNUMBER(O233),ISNUMBER(Q233)),Q233-O233,"")</f>
        <v/>
      </c>
      <c r="AJ233" s="15" t="str">
        <f aca="false">IF(B233="","",COUNT(L233:M233,P233:T233)&amp;"/7")</f>
        <v/>
      </c>
      <c r="AK233" s="15" t="str">
        <f aca="false">IF(B233="","",IF(OR(AND(ISNUMBER(L233),ISNUMBER(M233),M233&lt;L233),AND(ISNUMBER(M233),ISNUMBER(P233),P233&lt;M233),AND(ISNUMBER(P233),ISNUMBER(Q233),Q233&lt;P233),AND(ISNUMBER(Q233),ISNUMBER(R233),R233&lt;Q233),AND(ISNUMBER(R233),ISNUMBER(S233),S233&lt;R233),AND(ISNUMBER(S233),ISNUMBER(T233),T233&lt;S233),AND(ISNUMBER(N233),ISNUMBER(O233),O233&lt;N233)),"Urutan tanggal salah",IF(AND(ISNUMBER(Q233),ISNUMBER(R233),ISNUMBER(Y233),ABS(R233-Q233-Y233)&gt;2),"S tanggal ≠ Sailing tercatat",IF(AND(ISNUMBER(Q233),ISNUMBER(O233),ABS(Q233-O233)&gt;60),"Cek tahun laycan",IF(AND(ISNUMBER(Q233),ISNUMBER(N233),Q233&lt;N233),"Berangkat sebelum laycan",IF(NOT(ISNUMBER(AE233)),"S belum ada","OK"))))))</f>
        <v/>
      </c>
    </row>
    <row r="234" customFormat="false" ht="15" hidden="false" customHeight="false" outlineLevel="0" collapsed="false">
      <c r="A234" s="16" t="str">
        <f aca="false">IF(B234="","",ROW()-4)</f>
        <v/>
      </c>
      <c r="B234" s="12"/>
      <c r="C234" s="16"/>
      <c r="D234" s="16"/>
      <c r="E234" s="16"/>
      <c r="F234" s="16"/>
      <c r="G234" s="16"/>
      <c r="H234" s="16"/>
      <c r="I234" s="16"/>
      <c r="J234" s="16"/>
      <c r="K234" s="16"/>
      <c r="L234" s="13"/>
      <c r="M234" s="13"/>
      <c r="N234" s="13"/>
      <c r="O234" s="13"/>
      <c r="P234" s="13"/>
      <c r="Q234" s="13"/>
      <c r="R234" s="13"/>
      <c r="S234" s="13"/>
      <c r="T234" s="13"/>
      <c r="U234" s="12"/>
      <c r="V234" s="14"/>
      <c r="W234" s="16"/>
      <c r="X234" s="16"/>
      <c r="Y234" s="16"/>
      <c r="Z234" s="16"/>
      <c r="AA234" s="15" t="str">
        <f aca="false">IF(AND(ISNUMBER(L234),ISNUMBER(M234)),M234-L234,"")</f>
        <v/>
      </c>
      <c r="AB234" s="15" t="str">
        <f aca="false">IF(AND(ISNUMBER(M234),ISNUMBER(P234)),P234-M234,"")</f>
        <v/>
      </c>
      <c r="AC234" s="15" t="str">
        <f aca="false">IF(AND(ISNUMBER(L234),ISNUMBER(P234)),P234-L234,"")</f>
        <v/>
      </c>
      <c r="AD234" s="15" t="str">
        <f aca="false">IF(AND(ISNUMBER(P234),ISNUMBER(Q234)),Q234-P234,"")</f>
        <v/>
      </c>
      <c r="AE234" s="15" t="str">
        <f aca="false">IF(AND(ISNUMBER(Q234),ISNUMBER(R234)),R234-Q234,IF(ISNUMBER(Y234),Y234,""))</f>
        <v/>
      </c>
      <c r="AF234" s="15" t="str">
        <f aca="false">IF(AND(ISNUMBER(R234),ISNUMBER(S234)),S234-R234,"")</f>
        <v/>
      </c>
      <c r="AG234" s="15" t="str">
        <f aca="false">IF(AND(ISNUMBER(S234),ISNUMBER(T234)),T234-S234,"")</f>
        <v/>
      </c>
      <c r="AH234" s="15" t="str">
        <f aca="false">IF(AND(ISNUMBER(L234),ISNUMBER(T234)),T234-L234,"")</f>
        <v/>
      </c>
      <c r="AI234" s="15" t="str">
        <f aca="false">IF(AND(ISNUMBER(O234),ISNUMBER(Q234)),Q234-O234,"")</f>
        <v/>
      </c>
      <c r="AJ234" s="15" t="str">
        <f aca="false">IF(B234="","",COUNT(L234:M234,P234:T234)&amp;"/7")</f>
        <v/>
      </c>
      <c r="AK234" s="15" t="str">
        <f aca="false">IF(B234="","",IF(OR(AND(ISNUMBER(L234),ISNUMBER(M234),M234&lt;L234),AND(ISNUMBER(M234),ISNUMBER(P234),P234&lt;M234),AND(ISNUMBER(P234),ISNUMBER(Q234),Q234&lt;P234),AND(ISNUMBER(Q234),ISNUMBER(R234),R234&lt;Q234),AND(ISNUMBER(R234),ISNUMBER(S234),S234&lt;R234),AND(ISNUMBER(S234),ISNUMBER(T234),T234&lt;S234),AND(ISNUMBER(N234),ISNUMBER(O234),O234&lt;N234)),"Urutan tanggal salah",IF(AND(ISNUMBER(Q234),ISNUMBER(R234),ISNUMBER(Y234),ABS(R234-Q234-Y234)&gt;2),"S tanggal ≠ Sailing tercatat",IF(AND(ISNUMBER(Q234),ISNUMBER(O234),ABS(Q234-O234)&gt;60),"Cek tahun laycan",IF(AND(ISNUMBER(Q234),ISNUMBER(N234),Q234&lt;N234),"Berangkat sebelum laycan",IF(NOT(ISNUMBER(AE234)),"S belum ada","OK"))))))</f>
        <v/>
      </c>
    </row>
    <row r="235" customFormat="false" ht="15" hidden="false" customHeight="false" outlineLevel="0" collapsed="false">
      <c r="A235" s="16" t="str">
        <f aca="false">IF(B235="","",ROW()-4)</f>
        <v/>
      </c>
      <c r="B235" s="12"/>
      <c r="C235" s="16"/>
      <c r="D235" s="16"/>
      <c r="E235" s="16"/>
      <c r="F235" s="16"/>
      <c r="G235" s="16"/>
      <c r="H235" s="16"/>
      <c r="I235" s="16"/>
      <c r="J235" s="16"/>
      <c r="K235" s="16"/>
      <c r="L235" s="13"/>
      <c r="M235" s="13"/>
      <c r="N235" s="13"/>
      <c r="O235" s="13"/>
      <c r="P235" s="13"/>
      <c r="Q235" s="13"/>
      <c r="R235" s="13"/>
      <c r="S235" s="13"/>
      <c r="T235" s="13"/>
      <c r="U235" s="12"/>
      <c r="V235" s="14"/>
      <c r="W235" s="16"/>
      <c r="X235" s="16"/>
      <c r="Y235" s="16"/>
      <c r="Z235" s="16"/>
      <c r="AA235" s="15" t="str">
        <f aca="false">IF(AND(ISNUMBER(L235),ISNUMBER(M235)),M235-L235,"")</f>
        <v/>
      </c>
      <c r="AB235" s="15" t="str">
        <f aca="false">IF(AND(ISNUMBER(M235),ISNUMBER(P235)),P235-M235,"")</f>
        <v/>
      </c>
      <c r="AC235" s="15" t="str">
        <f aca="false">IF(AND(ISNUMBER(L235),ISNUMBER(P235)),P235-L235,"")</f>
        <v/>
      </c>
      <c r="AD235" s="15" t="str">
        <f aca="false">IF(AND(ISNUMBER(P235),ISNUMBER(Q235)),Q235-P235,"")</f>
        <v/>
      </c>
      <c r="AE235" s="15" t="str">
        <f aca="false">IF(AND(ISNUMBER(Q235),ISNUMBER(R235)),R235-Q235,IF(ISNUMBER(Y235),Y235,""))</f>
        <v/>
      </c>
      <c r="AF235" s="15" t="str">
        <f aca="false">IF(AND(ISNUMBER(R235),ISNUMBER(S235)),S235-R235,"")</f>
        <v/>
      </c>
      <c r="AG235" s="15" t="str">
        <f aca="false">IF(AND(ISNUMBER(S235),ISNUMBER(T235)),T235-S235,"")</f>
        <v/>
      </c>
      <c r="AH235" s="15" t="str">
        <f aca="false">IF(AND(ISNUMBER(L235),ISNUMBER(T235)),T235-L235,"")</f>
        <v/>
      </c>
      <c r="AI235" s="15" t="str">
        <f aca="false">IF(AND(ISNUMBER(O235),ISNUMBER(Q235)),Q235-O235,"")</f>
        <v/>
      </c>
      <c r="AJ235" s="15" t="str">
        <f aca="false">IF(B235="","",COUNT(L235:M235,P235:T235)&amp;"/7")</f>
        <v/>
      </c>
      <c r="AK235" s="15" t="str">
        <f aca="false">IF(B235="","",IF(OR(AND(ISNUMBER(L235),ISNUMBER(M235),M235&lt;L235),AND(ISNUMBER(M235),ISNUMBER(P235),P235&lt;M235),AND(ISNUMBER(P235),ISNUMBER(Q235),Q235&lt;P235),AND(ISNUMBER(Q235),ISNUMBER(R235),R235&lt;Q235),AND(ISNUMBER(R235),ISNUMBER(S235),S235&lt;R235),AND(ISNUMBER(S235),ISNUMBER(T235),T235&lt;S235),AND(ISNUMBER(N235),ISNUMBER(O235),O235&lt;N235)),"Urutan tanggal salah",IF(AND(ISNUMBER(Q235),ISNUMBER(R235),ISNUMBER(Y235),ABS(R235-Q235-Y235)&gt;2),"S tanggal ≠ Sailing tercatat",IF(AND(ISNUMBER(Q235),ISNUMBER(O235),ABS(Q235-O235)&gt;60),"Cek tahun laycan",IF(AND(ISNUMBER(Q235),ISNUMBER(N235),Q235&lt;N235),"Berangkat sebelum laycan",IF(NOT(ISNUMBER(AE235)),"S belum ada","OK"))))))</f>
        <v/>
      </c>
    </row>
    <row r="236" customFormat="false" ht="15" hidden="false" customHeight="false" outlineLevel="0" collapsed="false">
      <c r="A236" s="16" t="str">
        <f aca="false">IF(B236="","",ROW()-4)</f>
        <v/>
      </c>
      <c r="B236" s="12"/>
      <c r="C236" s="16"/>
      <c r="D236" s="16"/>
      <c r="E236" s="16"/>
      <c r="F236" s="16"/>
      <c r="G236" s="16"/>
      <c r="H236" s="16"/>
      <c r="I236" s="16"/>
      <c r="J236" s="16"/>
      <c r="K236" s="16"/>
      <c r="L236" s="13"/>
      <c r="M236" s="13"/>
      <c r="N236" s="13"/>
      <c r="O236" s="13"/>
      <c r="P236" s="13"/>
      <c r="Q236" s="13"/>
      <c r="R236" s="13"/>
      <c r="S236" s="13"/>
      <c r="T236" s="13"/>
      <c r="U236" s="12"/>
      <c r="V236" s="14"/>
      <c r="W236" s="16"/>
      <c r="X236" s="16"/>
      <c r="Y236" s="16"/>
      <c r="Z236" s="16"/>
      <c r="AA236" s="15" t="str">
        <f aca="false">IF(AND(ISNUMBER(L236),ISNUMBER(M236)),M236-L236,"")</f>
        <v/>
      </c>
      <c r="AB236" s="15" t="str">
        <f aca="false">IF(AND(ISNUMBER(M236),ISNUMBER(P236)),P236-M236,"")</f>
        <v/>
      </c>
      <c r="AC236" s="15" t="str">
        <f aca="false">IF(AND(ISNUMBER(L236),ISNUMBER(P236)),P236-L236,"")</f>
        <v/>
      </c>
      <c r="AD236" s="15" t="str">
        <f aca="false">IF(AND(ISNUMBER(P236),ISNUMBER(Q236)),Q236-P236,"")</f>
        <v/>
      </c>
      <c r="AE236" s="15" t="str">
        <f aca="false">IF(AND(ISNUMBER(Q236),ISNUMBER(R236)),R236-Q236,IF(ISNUMBER(Y236),Y236,""))</f>
        <v/>
      </c>
      <c r="AF236" s="15" t="str">
        <f aca="false">IF(AND(ISNUMBER(R236),ISNUMBER(S236)),S236-R236,"")</f>
        <v/>
      </c>
      <c r="AG236" s="15" t="str">
        <f aca="false">IF(AND(ISNUMBER(S236),ISNUMBER(T236)),T236-S236,"")</f>
        <v/>
      </c>
      <c r="AH236" s="15" t="str">
        <f aca="false">IF(AND(ISNUMBER(L236),ISNUMBER(T236)),T236-L236,"")</f>
        <v/>
      </c>
      <c r="AI236" s="15" t="str">
        <f aca="false">IF(AND(ISNUMBER(O236),ISNUMBER(Q236)),Q236-O236,"")</f>
        <v/>
      </c>
      <c r="AJ236" s="15" t="str">
        <f aca="false">IF(B236="","",COUNT(L236:M236,P236:T236)&amp;"/7")</f>
        <v/>
      </c>
      <c r="AK236" s="15" t="str">
        <f aca="false">IF(B236="","",IF(OR(AND(ISNUMBER(L236),ISNUMBER(M236),M236&lt;L236),AND(ISNUMBER(M236),ISNUMBER(P236),P236&lt;M236),AND(ISNUMBER(P236),ISNUMBER(Q236),Q236&lt;P236),AND(ISNUMBER(Q236),ISNUMBER(R236),R236&lt;Q236),AND(ISNUMBER(R236),ISNUMBER(S236),S236&lt;R236),AND(ISNUMBER(S236),ISNUMBER(T236),T236&lt;S236),AND(ISNUMBER(N236),ISNUMBER(O236),O236&lt;N236)),"Urutan tanggal salah",IF(AND(ISNUMBER(Q236),ISNUMBER(R236),ISNUMBER(Y236),ABS(R236-Q236-Y236)&gt;2),"S tanggal ≠ Sailing tercatat",IF(AND(ISNUMBER(Q236),ISNUMBER(O236),ABS(Q236-O236)&gt;60),"Cek tahun laycan",IF(AND(ISNUMBER(Q236),ISNUMBER(N236),Q236&lt;N236),"Berangkat sebelum laycan",IF(NOT(ISNUMBER(AE236)),"S belum ada","OK"))))))</f>
        <v/>
      </c>
    </row>
    <row r="237" customFormat="false" ht="15" hidden="false" customHeight="false" outlineLevel="0" collapsed="false">
      <c r="A237" s="16" t="str">
        <f aca="false">IF(B237="","",ROW()-4)</f>
        <v/>
      </c>
      <c r="B237" s="12"/>
      <c r="C237" s="16"/>
      <c r="D237" s="16"/>
      <c r="E237" s="16"/>
      <c r="F237" s="16"/>
      <c r="G237" s="16"/>
      <c r="H237" s="16"/>
      <c r="I237" s="16"/>
      <c r="J237" s="16"/>
      <c r="K237" s="16"/>
      <c r="L237" s="13"/>
      <c r="M237" s="13"/>
      <c r="N237" s="13"/>
      <c r="O237" s="13"/>
      <c r="P237" s="13"/>
      <c r="Q237" s="13"/>
      <c r="R237" s="13"/>
      <c r="S237" s="13"/>
      <c r="T237" s="13"/>
      <c r="U237" s="12"/>
      <c r="V237" s="14"/>
      <c r="W237" s="16"/>
      <c r="X237" s="16"/>
      <c r="Y237" s="16"/>
      <c r="Z237" s="16"/>
      <c r="AA237" s="15" t="str">
        <f aca="false">IF(AND(ISNUMBER(L237),ISNUMBER(M237)),M237-L237,"")</f>
        <v/>
      </c>
      <c r="AB237" s="15" t="str">
        <f aca="false">IF(AND(ISNUMBER(M237),ISNUMBER(P237)),P237-M237,"")</f>
        <v/>
      </c>
      <c r="AC237" s="15" t="str">
        <f aca="false">IF(AND(ISNUMBER(L237),ISNUMBER(P237)),P237-L237,"")</f>
        <v/>
      </c>
      <c r="AD237" s="15" t="str">
        <f aca="false">IF(AND(ISNUMBER(P237),ISNUMBER(Q237)),Q237-P237,"")</f>
        <v/>
      </c>
      <c r="AE237" s="15" t="str">
        <f aca="false">IF(AND(ISNUMBER(Q237),ISNUMBER(R237)),R237-Q237,IF(ISNUMBER(Y237),Y237,""))</f>
        <v/>
      </c>
      <c r="AF237" s="15" t="str">
        <f aca="false">IF(AND(ISNUMBER(R237),ISNUMBER(S237)),S237-R237,"")</f>
        <v/>
      </c>
      <c r="AG237" s="15" t="str">
        <f aca="false">IF(AND(ISNUMBER(S237),ISNUMBER(T237)),T237-S237,"")</f>
        <v/>
      </c>
      <c r="AH237" s="15" t="str">
        <f aca="false">IF(AND(ISNUMBER(L237),ISNUMBER(T237)),T237-L237,"")</f>
        <v/>
      </c>
      <c r="AI237" s="15" t="str">
        <f aca="false">IF(AND(ISNUMBER(O237),ISNUMBER(Q237)),Q237-O237,"")</f>
        <v/>
      </c>
      <c r="AJ237" s="15" t="str">
        <f aca="false">IF(B237="","",COUNT(L237:M237,P237:T237)&amp;"/7")</f>
        <v/>
      </c>
      <c r="AK237" s="15" t="str">
        <f aca="false">IF(B237="","",IF(OR(AND(ISNUMBER(L237),ISNUMBER(M237),M237&lt;L237),AND(ISNUMBER(M237),ISNUMBER(P237),P237&lt;M237),AND(ISNUMBER(P237),ISNUMBER(Q237),Q237&lt;P237),AND(ISNUMBER(Q237),ISNUMBER(R237),R237&lt;Q237),AND(ISNUMBER(R237),ISNUMBER(S237),S237&lt;R237),AND(ISNUMBER(S237),ISNUMBER(T237),T237&lt;S237),AND(ISNUMBER(N237),ISNUMBER(O237),O237&lt;N237)),"Urutan tanggal salah",IF(AND(ISNUMBER(Q237),ISNUMBER(R237),ISNUMBER(Y237),ABS(R237-Q237-Y237)&gt;2),"S tanggal ≠ Sailing tercatat",IF(AND(ISNUMBER(Q237),ISNUMBER(O237),ABS(Q237-O237)&gt;60),"Cek tahun laycan",IF(AND(ISNUMBER(Q237),ISNUMBER(N237),Q237&lt;N237),"Berangkat sebelum laycan",IF(NOT(ISNUMBER(AE237)),"S belum ada","OK"))))))</f>
        <v/>
      </c>
    </row>
    <row r="238" customFormat="false" ht="15" hidden="false" customHeight="false" outlineLevel="0" collapsed="false">
      <c r="A238" s="16" t="str">
        <f aca="false">IF(B238="","",ROW()-4)</f>
        <v/>
      </c>
      <c r="B238" s="12"/>
      <c r="C238" s="16"/>
      <c r="D238" s="16"/>
      <c r="E238" s="16"/>
      <c r="F238" s="16"/>
      <c r="G238" s="16"/>
      <c r="H238" s="16"/>
      <c r="I238" s="16"/>
      <c r="J238" s="16"/>
      <c r="K238" s="16"/>
      <c r="L238" s="13"/>
      <c r="M238" s="13"/>
      <c r="N238" s="13"/>
      <c r="O238" s="13"/>
      <c r="P238" s="13"/>
      <c r="Q238" s="13"/>
      <c r="R238" s="13"/>
      <c r="S238" s="13"/>
      <c r="T238" s="13"/>
      <c r="U238" s="12"/>
      <c r="V238" s="14"/>
      <c r="W238" s="16"/>
      <c r="X238" s="16"/>
      <c r="Y238" s="16"/>
      <c r="Z238" s="16"/>
      <c r="AA238" s="15" t="str">
        <f aca="false">IF(AND(ISNUMBER(L238),ISNUMBER(M238)),M238-L238,"")</f>
        <v/>
      </c>
      <c r="AB238" s="15" t="str">
        <f aca="false">IF(AND(ISNUMBER(M238),ISNUMBER(P238)),P238-M238,"")</f>
        <v/>
      </c>
      <c r="AC238" s="15" t="str">
        <f aca="false">IF(AND(ISNUMBER(L238),ISNUMBER(P238)),P238-L238,"")</f>
        <v/>
      </c>
      <c r="AD238" s="15" t="str">
        <f aca="false">IF(AND(ISNUMBER(P238),ISNUMBER(Q238)),Q238-P238,"")</f>
        <v/>
      </c>
      <c r="AE238" s="15" t="str">
        <f aca="false">IF(AND(ISNUMBER(Q238),ISNUMBER(R238)),R238-Q238,IF(ISNUMBER(Y238),Y238,""))</f>
        <v/>
      </c>
      <c r="AF238" s="15" t="str">
        <f aca="false">IF(AND(ISNUMBER(R238),ISNUMBER(S238)),S238-R238,"")</f>
        <v/>
      </c>
      <c r="AG238" s="15" t="str">
        <f aca="false">IF(AND(ISNUMBER(S238),ISNUMBER(T238)),T238-S238,"")</f>
        <v/>
      </c>
      <c r="AH238" s="15" t="str">
        <f aca="false">IF(AND(ISNUMBER(L238),ISNUMBER(T238)),T238-L238,"")</f>
        <v/>
      </c>
      <c r="AI238" s="15" t="str">
        <f aca="false">IF(AND(ISNUMBER(O238),ISNUMBER(Q238)),Q238-O238,"")</f>
        <v/>
      </c>
      <c r="AJ238" s="15" t="str">
        <f aca="false">IF(B238="","",COUNT(L238:M238,P238:T238)&amp;"/7")</f>
        <v/>
      </c>
      <c r="AK238" s="15" t="str">
        <f aca="false">IF(B238="","",IF(OR(AND(ISNUMBER(L238),ISNUMBER(M238),M238&lt;L238),AND(ISNUMBER(M238),ISNUMBER(P238),P238&lt;M238),AND(ISNUMBER(P238),ISNUMBER(Q238),Q238&lt;P238),AND(ISNUMBER(Q238),ISNUMBER(R238),R238&lt;Q238),AND(ISNUMBER(R238),ISNUMBER(S238),S238&lt;R238),AND(ISNUMBER(S238),ISNUMBER(T238),T238&lt;S238),AND(ISNUMBER(N238),ISNUMBER(O238),O238&lt;N238)),"Urutan tanggal salah",IF(AND(ISNUMBER(Q238),ISNUMBER(R238),ISNUMBER(Y238),ABS(R238-Q238-Y238)&gt;2),"S tanggal ≠ Sailing tercatat",IF(AND(ISNUMBER(Q238),ISNUMBER(O238),ABS(Q238-O238)&gt;60),"Cek tahun laycan",IF(AND(ISNUMBER(Q238),ISNUMBER(N238),Q238&lt;N238),"Berangkat sebelum laycan",IF(NOT(ISNUMBER(AE238)),"S belum ada","OK"))))))</f>
        <v/>
      </c>
    </row>
    <row r="239" customFormat="false" ht="15" hidden="false" customHeight="false" outlineLevel="0" collapsed="false">
      <c r="A239" s="16" t="str">
        <f aca="false">IF(B239="","",ROW()-4)</f>
        <v/>
      </c>
      <c r="B239" s="12"/>
      <c r="C239" s="16"/>
      <c r="D239" s="16"/>
      <c r="E239" s="16"/>
      <c r="F239" s="16"/>
      <c r="G239" s="16"/>
      <c r="H239" s="16"/>
      <c r="I239" s="16"/>
      <c r="J239" s="16"/>
      <c r="K239" s="16"/>
      <c r="L239" s="13"/>
      <c r="M239" s="13"/>
      <c r="N239" s="13"/>
      <c r="O239" s="13"/>
      <c r="P239" s="13"/>
      <c r="Q239" s="13"/>
      <c r="R239" s="13"/>
      <c r="S239" s="13"/>
      <c r="T239" s="13"/>
      <c r="U239" s="12"/>
      <c r="V239" s="14"/>
      <c r="W239" s="16"/>
      <c r="X239" s="16"/>
      <c r="Y239" s="16"/>
      <c r="Z239" s="16"/>
      <c r="AA239" s="15" t="str">
        <f aca="false">IF(AND(ISNUMBER(L239),ISNUMBER(M239)),M239-L239,"")</f>
        <v/>
      </c>
      <c r="AB239" s="15" t="str">
        <f aca="false">IF(AND(ISNUMBER(M239),ISNUMBER(P239)),P239-M239,"")</f>
        <v/>
      </c>
      <c r="AC239" s="15" t="str">
        <f aca="false">IF(AND(ISNUMBER(L239),ISNUMBER(P239)),P239-L239,"")</f>
        <v/>
      </c>
      <c r="AD239" s="15" t="str">
        <f aca="false">IF(AND(ISNUMBER(P239),ISNUMBER(Q239)),Q239-P239,"")</f>
        <v/>
      </c>
      <c r="AE239" s="15" t="str">
        <f aca="false">IF(AND(ISNUMBER(Q239),ISNUMBER(R239)),R239-Q239,IF(ISNUMBER(Y239),Y239,""))</f>
        <v/>
      </c>
      <c r="AF239" s="15" t="str">
        <f aca="false">IF(AND(ISNUMBER(R239),ISNUMBER(S239)),S239-R239,"")</f>
        <v/>
      </c>
      <c r="AG239" s="15" t="str">
        <f aca="false">IF(AND(ISNUMBER(S239),ISNUMBER(T239)),T239-S239,"")</f>
        <v/>
      </c>
      <c r="AH239" s="15" t="str">
        <f aca="false">IF(AND(ISNUMBER(L239),ISNUMBER(T239)),T239-L239,"")</f>
        <v/>
      </c>
      <c r="AI239" s="15" t="str">
        <f aca="false">IF(AND(ISNUMBER(O239),ISNUMBER(Q239)),Q239-O239,"")</f>
        <v/>
      </c>
      <c r="AJ239" s="15" t="str">
        <f aca="false">IF(B239="","",COUNT(L239:M239,P239:T239)&amp;"/7")</f>
        <v/>
      </c>
      <c r="AK239" s="15" t="str">
        <f aca="false">IF(B239="","",IF(OR(AND(ISNUMBER(L239),ISNUMBER(M239),M239&lt;L239),AND(ISNUMBER(M239),ISNUMBER(P239),P239&lt;M239),AND(ISNUMBER(P239),ISNUMBER(Q239),Q239&lt;P239),AND(ISNUMBER(Q239),ISNUMBER(R239),R239&lt;Q239),AND(ISNUMBER(R239),ISNUMBER(S239),S239&lt;R239),AND(ISNUMBER(S239),ISNUMBER(T239),T239&lt;S239),AND(ISNUMBER(N239),ISNUMBER(O239),O239&lt;N239)),"Urutan tanggal salah",IF(AND(ISNUMBER(Q239),ISNUMBER(R239),ISNUMBER(Y239),ABS(R239-Q239-Y239)&gt;2),"S tanggal ≠ Sailing tercatat",IF(AND(ISNUMBER(Q239),ISNUMBER(O239),ABS(Q239-O239)&gt;60),"Cek tahun laycan",IF(AND(ISNUMBER(Q239),ISNUMBER(N239),Q239&lt;N239),"Berangkat sebelum laycan",IF(NOT(ISNUMBER(AE239)),"S belum ada","OK"))))))</f>
        <v/>
      </c>
    </row>
    <row r="240" customFormat="false" ht="15" hidden="false" customHeight="false" outlineLevel="0" collapsed="false">
      <c r="A240" s="16" t="str">
        <f aca="false">IF(B240="","",ROW()-4)</f>
        <v/>
      </c>
      <c r="B240" s="12"/>
      <c r="C240" s="16"/>
      <c r="D240" s="16"/>
      <c r="E240" s="16"/>
      <c r="F240" s="16"/>
      <c r="G240" s="16"/>
      <c r="H240" s="16"/>
      <c r="I240" s="16"/>
      <c r="J240" s="16"/>
      <c r="K240" s="16"/>
      <c r="L240" s="13"/>
      <c r="M240" s="13"/>
      <c r="N240" s="13"/>
      <c r="O240" s="13"/>
      <c r="P240" s="13"/>
      <c r="Q240" s="13"/>
      <c r="R240" s="13"/>
      <c r="S240" s="13"/>
      <c r="T240" s="13"/>
      <c r="U240" s="12"/>
      <c r="V240" s="14"/>
      <c r="W240" s="16"/>
      <c r="X240" s="16"/>
      <c r="Y240" s="16"/>
      <c r="Z240" s="16"/>
      <c r="AA240" s="15" t="str">
        <f aca="false">IF(AND(ISNUMBER(L240),ISNUMBER(M240)),M240-L240,"")</f>
        <v/>
      </c>
      <c r="AB240" s="15" t="str">
        <f aca="false">IF(AND(ISNUMBER(M240),ISNUMBER(P240)),P240-M240,"")</f>
        <v/>
      </c>
      <c r="AC240" s="15" t="str">
        <f aca="false">IF(AND(ISNUMBER(L240),ISNUMBER(P240)),P240-L240,"")</f>
        <v/>
      </c>
      <c r="AD240" s="15" t="str">
        <f aca="false">IF(AND(ISNUMBER(P240),ISNUMBER(Q240)),Q240-P240,"")</f>
        <v/>
      </c>
      <c r="AE240" s="15" t="str">
        <f aca="false">IF(AND(ISNUMBER(Q240),ISNUMBER(R240)),R240-Q240,IF(ISNUMBER(Y240),Y240,""))</f>
        <v/>
      </c>
      <c r="AF240" s="15" t="str">
        <f aca="false">IF(AND(ISNUMBER(R240),ISNUMBER(S240)),S240-R240,"")</f>
        <v/>
      </c>
      <c r="AG240" s="15" t="str">
        <f aca="false">IF(AND(ISNUMBER(S240),ISNUMBER(T240)),T240-S240,"")</f>
        <v/>
      </c>
      <c r="AH240" s="15" t="str">
        <f aca="false">IF(AND(ISNUMBER(L240),ISNUMBER(T240)),T240-L240,"")</f>
        <v/>
      </c>
      <c r="AI240" s="15" t="str">
        <f aca="false">IF(AND(ISNUMBER(O240),ISNUMBER(Q240)),Q240-O240,"")</f>
        <v/>
      </c>
      <c r="AJ240" s="15" t="str">
        <f aca="false">IF(B240="","",COUNT(L240:M240,P240:T240)&amp;"/7")</f>
        <v/>
      </c>
      <c r="AK240" s="15" t="str">
        <f aca="false">IF(B240="","",IF(OR(AND(ISNUMBER(L240),ISNUMBER(M240),M240&lt;L240),AND(ISNUMBER(M240),ISNUMBER(P240),P240&lt;M240),AND(ISNUMBER(P240),ISNUMBER(Q240),Q240&lt;P240),AND(ISNUMBER(Q240),ISNUMBER(R240),R240&lt;Q240),AND(ISNUMBER(R240),ISNUMBER(S240),S240&lt;R240),AND(ISNUMBER(S240),ISNUMBER(T240),T240&lt;S240),AND(ISNUMBER(N240),ISNUMBER(O240),O240&lt;N240)),"Urutan tanggal salah",IF(AND(ISNUMBER(Q240),ISNUMBER(R240),ISNUMBER(Y240),ABS(R240-Q240-Y240)&gt;2),"S tanggal ≠ Sailing tercatat",IF(AND(ISNUMBER(Q240),ISNUMBER(O240),ABS(Q240-O240)&gt;60),"Cek tahun laycan",IF(AND(ISNUMBER(Q240),ISNUMBER(N240),Q240&lt;N240),"Berangkat sebelum laycan",IF(NOT(ISNUMBER(AE240)),"S belum ada","OK"))))))</f>
        <v/>
      </c>
    </row>
    <row r="241" customFormat="false" ht="15" hidden="false" customHeight="false" outlineLevel="0" collapsed="false">
      <c r="A241" s="16" t="str">
        <f aca="false">IF(B241="","",ROW()-4)</f>
        <v/>
      </c>
      <c r="B241" s="12"/>
      <c r="C241" s="16"/>
      <c r="D241" s="16"/>
      <c r="E241" s="16"/>
      <c r="F241" s="16"/>
      <c r="G241" s="16"/>
      <c r="H241" s="16"/>
      <c r="I241" s="16"/>
      <c r="J241" s="16"/>
      <c r="K241" s="16"/>
      <c r="L241" s="13"/>
      <c r="M241" s="13"/>
      <c r="N241" s="13"/>
      <c r="O241" s="13"/>
      <c r="P241" s="13"/>
      <c r="Q241" s="13"/>
      <c r="R241" s="13"/>
      <c r="S241" s="13"/>
      <c r="T241" s="13"/>
      <c r="U241" s="12"/>
      <c r="V241" s="14"/>
      <c r="W241" s="16"/>
      <c r="X241" s="16"/>
      <c r="Y241" s="16"/>
      <c r="Z241" s="16"/>
      <c r="AA241" s="15" t="str">
        <f aca="false">IF(AND(ISNUMBER(L241),ISNUMBER(M241)),M241-L241,"")</f>
        <v/>
      </c>
      <c r="AB241" s="15" t="str">
        <f aca="false">IF(AND(ISNUMBER(M241),ISNUMBER(P241)),P241-M241,"")</f>
        <v/>
      </c>
      <c r="AC241" s="15" t="str">
        <f aca="false">IF(AND(ISNUMBER(L241),ISNUMBER(P241)),P241-L241,"")</f>
        <v/>
      </c>
      <c r="AD241" s="15" t="str">
        <f aca="false">IF(AND(ISNUMBER(P241),ISNUMBER(Q241)),Q241-P241,"")</f>
        <v/>
      </c>
      <c r="AE241" s="15" t="str">
        <f aca="false">IF(AND(ISNUMBER(Q241),ISNUMBER(R241)),R241-Q241,IF(ISNUMBER(Y241),Y241,""))</f>
        <v/>
      </c>
      <c r="AF241" s="15" t="str">
        <f aca="false">IF(AND(ISNUMBER(R241),ISNUMBER(S241)),S241-R241,"")</f>
        <v/>
      </c>
      <c r="AG241" s="15" t="str">
        <f aca="false">IF(AND(ISNUMBER(S241),ISNUMBER(T241)),T241-S241,"")</f>
        <v/>
      </c>
      <c r="AH241" s="15" t="str">
        <f aca="false">IF(AND(ISNUMBER(L241),ISNUMBER(T241)),T241-L241,"")</f>
        <v/>
      </c>
      <c r="AI241" s="15" t="str">
        <f aca="false">IF(AND(ISNUMBER(O241),ISNUMBER(Q241)),Q241-O241,"")</f>
        <v/>
      </c>
      <c r="AJ241" s="15" t="str">
        <f aca="false">IF(B241="","",COUNT(L241:M241,P241:T241)&amp;"/7")</f>
        <v/>
      </c>
      <c r="AK241" s="15" t="str">
        <f aca="false">IF(B241="","",IF(OR(AND(ISNUMBER(L241),ISNUMBER(M241),M241&lt;L241),AND(ISNUMBER(M241),ISNUMBER(P241),P241&lt;M241),AND(ISNUMBER(P241),ISNUMBER(Q241),Q241&lt;P241),AND(ISNUMBER(Q241),ISNUMBER(R241),R241&lt;Q241),AND(ISNUMBER(R241),ISNUMBER(S241),S241&lt;R241),AND(ISNUMBER(S241),ISNUMBER(T241),T241&lt;S241),AND(ISNUMBER(N241),ISNUMBER(O241),O241&lt;N241)),"Urutan tanggal salah",IF(AND(ISNUMBER(Q241),ISNUMBER(R241),ISNUMBER(Y241),ABS(R241-Q241-Y241)&gt;2),"S tanggal ≠ Sailing tercatat",IF(AND(ISNUMBER(Q241),ISNUMBER(O241),ABS(Q241-O241)&gt;60),"Cek tahun laycan",IF(AND(ISNUMBER(Q241),ISNUMBER(N241),Q241&lt;N241),"Berangkat sebelum laycan",IF(NOT(ISNUMBER(AE241)),"S belum ada","OK"))))))</f>
        <v/>
      </c>
    </row>
    <row r="242" customFormat="false" ht="15" hidden="false" customHeight="false" outlineLevel="0" collapsed="false">
      <c r="A242" s="16" t="str">
        <f aca="false">IF(B242="","",ROW()-4)</f>
        <v/>
      </c>
      <c r="B242" s="12"/>
      <c r="C242" s="16"/>
      <c r="D242" s="16"/>
      <c r="E242" s="16"/>
      <c r="F242" s="16"/>
      <c r="G242" s="16"/>
      <c r="H242" s="16"/>
      <c r="I242" s="16"/>
      <c r="J242" s="16"/>
      <c r="K242" s="16"/>
      <c r="L242" s="13"/>
      <c r="M242" s="13"/>
      <c r="N242" s="13"/>
      <c r="O242" s="13"/>
      <c r="P242" s="13"/>
      <c r="Q242" s="13"/>
      <c r="R242" s="13"/>
      <c r="S242" s="13"/>
      <c r="T242" s="13"/>
      <c r="U242" s="12"/>
      <c r="V242" s="14"/>
      <c r="W242" s="16"/>
      <c r="X242" s="16"/>
      <c r="Y242" s="16"/>
      <c r="Z242" s="16"/>
      <c r="AA242" s="15" t="str">
        <f aca="false">IF(AND(ISNUMBER(L242),ISNUMBER(M242)),M242-L242,"")</f>
        <v/>
      </c>
      <c r="AB242" s="15" t="str">
        <f aca="false">IF(AND(ISNUMBER(M242),ISNUMBER(P242)),P242-M242,"")</f>
        <v/>
      </c>
      <c r="AC242" s="15" t="str">
        <f aca="false">IF(AND(ISNUMBER(L242),ISNUMBER(P242)),P242-L242,"")</f>
        <v/>
      </c>
      <c r="AD242" s="15" t="str">
        <f aca="false">IF(AND(ISNUMBER(P242),ISNUMBER(Q242)),Q242-P242,"")</f>
        <v/>
      </c>
      <c r="AE242" s="15" t="str">
        <f aca="false">IF(AND(ISNUMBER(Q242),ISNUMBER(R242)),R242-Q242,IF(ISNUMBER(Y242),Y242,""))</f>
        <v/>
      </c>
      <c r="AF242" s="15" t="str">
        <f aca="false">IF(AND(ISNUMBER(R242),ISNUMBER(S242)),S242-R242,"")</f>
        <v/>
      </c>
      <c r="AG242" s="15" t="str">
        <f aca="false">IF(AND(ISNUMBER(S242),ISNUMBER(T242)),T242-S242,"")</f>
        <v/>
      </c>
      <c r="AH242" s="15" t="str">
        <f aca="false">IF(AND(ISNUMBER(L242),ISNUMBER(T242)),T242-L242,"")</f>
        <v/>
      </c>
      <c r="AI242" s="15" t="str">
        <f aca="false">IF(AND(ISNUMBER(O242),ISNUMBER(Q242)),Q242-O242,"")</f>
        <v/>
      </c>
      <c r="AJ242" s="15" t="str">
        <f aca="false">IF(B242="","",COUNT(L242:M242,P242:T242)&amp;"/7")</f>
        <v/>
      </c>
      <c r="AK242" s="15" t="str">
        <f aca="false">IF(B242="","",IF(OR(AND(ISNUMBER(L242),ISNUMBER(M242),M242&lt;L242),AND(ISNUMBER(M242),ISNUMBER(P242),P242&lt;M242),AND(ISNUMBER(P242),ISNUMBER(Q242),Q242&lt;P242),AND(ISNUMBER(Q242),ISNUMBER(R242),R242&lt;Q242),AND(ISNUMBER(R242),ISNUMBER(S242),S242&lt;R242),AND(ISNUMBER(S242),ISNUMBER(T242),T242&lt;S242),AND(ISNUMBER(N242),ISNUMBER(O242),O242&lt;N242)),"Urutan tanggal salah",IF(AND(ISNUMBER(Q242),ISNUMBER(R242),ISNUMBER(Y242),ABS(R242-Q242-Y242)&gt;2),"S tanggal ≠ Sailing tercatat",IF(AND(ISNUMBER(Q242),ISNUMBER(O242),ABS(Q242-O242)&gt;60),"Cek tahun laycan",IF(AND(ISNUMBER(Q242),ISNUMBER(N242),Q242&lt;N242),"Berangkat sebelum laycan",IF(NOT(ISNUMBER(AE242)),"S belum ada","OK"))))))</f>
        <v/>
      </c>
    </row>
    <row r="243" customFormat="false" ht="15" hidden="false" customHeight="false" outlineLevel="0" collapsed="false">
      <c r="A243" s="16" t="str">
        <f aca="false">IF(B243="","",ROW()-4)</f>
        <v/>
      </c>
      <c r="B243" s="12"/>
      <c r="C243" s="16"/>
      <c r="D243" s="16"/>
      <c r="E243" s="16"/>
      <c r="F243" s="16"/>
      <c r="G243" s="16"/>
      <c r="H243" s="16"/>
      <c r="I243" s="16"/>
      <c r="J243" s="16"/>
      <c r="K243" s="16"/>
      <c r="L243" s="13"/>
      <c r="M243" s="13"/>
      <c r="N243" s="13"/>
      <c r="O243" s="13"/>
      <c r="P243" s="13"/>
      <c r="Q243" s="13"/>
      <c r="R243" s="13"/>
      <c r="S243" s="13"/>
      <c r="T243" s="13"/>
      <c r="U243" s="12"/>
      <c r="V243" s="14"/>
      <c r="W243" s="16"/>
      <c r="X243" s="16"/>
      <c r="Y243" s="16"/>
      <c r="Z243" s="16"/>
      <c r="AA243" s="15" t="str">
        <f aca="false">IF(AND(ISNUMBER(L243),ISNUMBER(M243)),M243-L243,"")</f>
        <v/>
      </c>
      <c r="AB243" s="15" t="str">
        <f aca="false">IF(AND(ISNUMBER(M243),ISNUMBER(P243)),P243-M243,"")</f>
        <v/>
      </c>
      <c r="AC243" s="15" t="str">
        <f aca="false">IF(AND(ISNUMBER(L243),ISNUMBER(P243)),P243-L243,"")</f>
        <v/>
      </c>
      <c r="AD243" s="15" t="str">
        <f aca="false">IF(AND(ISNUMBER(P243),ISNUMBER(Q243)),Q243-P243,"")</f>
        <v/>
      </c>
      <c r="AE243" s="15" t="str">
        <f aca="false">IF(AND(ISNUMBER(Q243),ISNUMBER(R243)),R243-Q243,IF(ISNUMBER(Y243),Y243,""))</f>
        <v/>
      </c>
      <c r="AF243" s="15" t="str">
        <f aca="false">IF(AND(ISNUMBER(R243),ISNUMBER(S243)),S243-R243,"")</f>
        <v/>
      </c>
      <c r="AG243" s="15" t="str">
        <f aca="false">IF(AND(ISNUMBER(S243),ISNUMBER(T243)),T243-S243,"")</f>
        <v/>
      </c>
      <c r="AH243" s="15" t="str">
        <f aca="false">IF(AND(ISNUMBER(L243),ISNUMBER(T243)),T243-L243,"")</f>
        <v/>
      </c>
      <c r="AI243" s="15" t="str">
        <f aca="false">IF(AND(ISNUMBER(O243),ISNUMBER(Q243)),Q243-O243,"")</f>
        <v/>
      </c>
      <c r="AJ243" s="15" t="str">
        <f aca="false">IF(B243="","",COUNT(L243:M243,P243:T243)&amp;"/7")</f>
        <v/>
      </c>
      <c r="AK243" s="15" t="str">
        <f aca="false">IF(B243="","",IF(OR(AND(ISNUMBER(L243),ISNUMBER(M243),M243&lt;L243),AND(ISNUMBER(M243),ISNUMBER(P243),P243&lt;M243),AND(ISNUMBER(P243),ISNUMBER(Q243),Q243&lt;P243),AND(ISNUMBER(Q243),ISNUMBER(R243),R243&lt;Q243),AND(ISNUMBER(R243),ISNUMBER(S243),S243&lt;R243),AND(ISNUMBER(S243),ISNUMBER(T243),T243&lt;S243),AND(ISNUMBER(N243),ISNUMBER(O243),O243&lt;N243)),"Urutan tanggal salah",IF(AND(ISNUMBER(Q243),ISNUMBER(R243),ISNUMBER(Y243),ABS(R243-Q243-Y243)&gt;2),"S tanggal ≠ Sailing tercatat",IF(AND(ISNUMBER(Q243),ISNUMBER(O243),ABS(Q243-O243)&gt;60),"Cek tahun laycan",IF(AND(ISNUMBER(Q243),ISNUMBER(N243),Q243&lt;N243),"Berangkat sebelum laycan",IF(NOT(ISNUMBER(AE243)),"S belum ada","OK"))))))</f>
        <v/>
      </c>
    </row>
    <row r="244" customFormat="false" ht="15" hidden="false" customHeight="false" outlineLevel="0" collapsed="false">
      <c r="A244" s="16" t="str">
        <f aca="false">IF(B244="","",ROW()-4)</f>
        <v/>
      </c>
      <c r="B244" s="12"/>
      <c r="C244" s="16"/>
      <c r="D244" s="16"/>
      <c r="E244" s="16"/>
      <c r="F244" s="16"/>
      <c r="G244" s="16"/>
      <c r="H244" s="16"/>
      <c r="I244" s="16"/>
      <c r="J244" s="16"/>
      <c r="K244" s="16"/>
      <c r="L244" s="13"/>
      <c r="M244" s="13"/>
      <c r="N244" s="13"/>
      <c r="O244" s="13"/>
      <c r="P244" s="13"/>
      <c r="Q244" s="13"/>
      <c r="R244" s="13"/>
      <c r="S244" s="13"/>
      <c r="T244" s="13"/>
      <c r="U244" s="12"/>
      <c r="V244" s="14"/>
      <c r="W244" s="16"/>
      <c r="X244" s="16"/>
      <c r="Y244" s="16"/>
      <c r="Z244" s="16"/>
      <c r="AA244" s="15" t="str">
        <f aca="false">IF(AND(ISNUMBER(L244),ISNUMBER(M244)),M244-L244,"")</f>
        <v/>
      </c>
      <c r="AB244" s="15" t="str">
        <f aca="false">IF(AND(ISNUMBER(M244),ISNUMBER(P244)),P244-M244,"")</f>
        <v/>
      </c>
      <c r="AC244" s="15" t="str">
        <f aca="false">IF(AND(ISNUMBER(L244),ISNUMBER(P244)),P244-L244,"")</f>
        <v/>
      </c>
      <c r="AD244" s="15" t="str">
        <f aca="false">IF(AND(ISNUMBER(P244),ISNUMBER(Q244)),Q244-P244,"")</f>
        <v/>
      </c>
      <c r="AE244" s="15" t="str">
        <f aca="false">IF(AND(ISNUMBER(Q244),ISNUMBER(R244)),R244-Q244,IF(ISNUMBER(Y244),Y244,""))</f>
        <v/>
      </c>
      <c r="AF244" s="15" t="str">
        <f aca="false">IF(AND(ISNUMBER(R244),ISNUMBER(S244)),S244-R244,"")</f>
        <v/>
      </c>
      <c r="AG244" s="15" t="str">
        <f aca="false">IF(AND(ISNUMBER(S244),ISNUMBER(T244)),T244-S244,"")</f>
        <v/>
      </c>
      <c r="AH244" s="15" t="str">
        <f aca="false">IF(AND(ISNUMBER(L244),ISNUMBER(T244)),T244-L244,"")</f>
        <v/>
      </c>
      <c r="AI244" s="15" t="str">
        <f aca="false">IF(AND(ISNUMBER(O244),ISNUMBER(Q244)),Q244-O244,"")</f>
        <v/>
      </c>
      <c r="AJ244" s="15" t="str">
        <f aca="false">IF(B244="","",COUNT(L244:M244,P244:T244)&amp;"/7")</f>
        <v/>
      </c>
      <c r="AK244" s="15" t="str">
        <f aca="false">IF(B244="","",IF(OR(AND(ISNUMBER(L244),ISNUMBER(M244),M244&lt;L244),AND(ISNUMBER(M244),ISNUMBER(P244),P244&lt;M244),AND(ISNUMBER(P244),ISNUMBER(Q244),Q244&lt;P244),AND(ISNUMBER(Q244),ISNUMBER(R244),R244&lt;Q244),AND(ISNUMBER(R244),ISNUMBER(S244),S244&lt;R244),AND(ISNUMBER(S244),ISNUMBER(T244),T244&lt;S244),AND(ISNUMBER(N244),ISNUMBER(O244),O244&lt;N244)),"Urutan tanggal salah",IF(AND(ISNUMBER(Q244),ISNUMBER(R244),ISNUMBER(Y244),ABS(R244-Q244-Y244)&gt;2),"S tanggal ≠ Sailing tercatat",IF(AND(ISNUMBER(Q244),ISNUMBER(O244),ABS(Q244-O244)&gt;60),"Cek tahun laycan",IF(AND(ISNUMBER(Q244),ISNUMBER(N244),Q244&lt;N244),"Berangkat sebelum laycan",IF(NOT(ISNUMBER(AE244)),"S belum ada","OK"))))))</f>
        <v/>
      </c>
    </row>
    <row r="245" customFormat="false" ht="15" hidden="false" customHeight="false" outlineLevel="0" collapsed="false">
      <c r="A245" s="16" t="str">
        <f aca="false">IF(B245="","",ROW()-4)</f>
        <v/>
      </c>
      <c r="B245" s="12"/>
      <c r="C245" s="16"/>
      <c r="D245" s="16"/>
      <c r="E245" s="16"/>
      <c r="F245" s="16"/>
      <c r="G245" s="16"/>
      <c r="H245" s="16"/>
      <c r="I245" s="16"/>
      <c r="J245" s="16"/>
      <c r="K245" s="16"/>
      <c r="L245" s="13"/>
      <c r="M245" s="13"/>
      <c r="N245" s="13"/>
      <c r="O245" s="13"/>
      <c r="P245" s="13"/>
      <c r="Q245" s="13"/>
      <c r="R245" s="13"/>
      <c r="S245" s="13"/>
      <c r="T245" s="13"/>
      <c r="U245" s="12"/>
      <c r="V245" s="14"/>
      <c r="W245" s="16"/>
      <c r="X245" s="16"/>
      <c r="Y245" s="16"/>
      <c r="Z245" s="16"/>
      <c r="AA245" s="15" t="str">
        <f aca="false">IF(AND(ISNUMBER(L245),ISNUMBER(M245)),M245-L245,"")</f>
        <v/>
      </c>
      <c r="AB245" s="15" t="str">
        <f aca="false">IF(AND(ISNUMBER(M245),ISNUMBER(P245)),P245-M245,"")</f>
        <v/>
      </c>
      <c r="AC245" s="15" t="str">
        <f aca="false">IF(AND(ISNUMBER(L245),ISNUMBER(P245)),P245-L245,"")</f>
        <v/>
      </c>
      <c r="AD245" s="15" t="str">
        <f aca="false">IF(AND(ISNUMBER(P245),ISNUMBER(Q245)),Q245-P245,"")</f>
        <v/>
      </c>
      <c r="AE245" s="15" t="str">
        <f aca="false">IF(AND(ISNUMBER(Q245),ISNUMBER(R245)),R245-Q245,IF(ISNUMBER(Y245),Y245,""))</f>
        <v/>
      </c>
      <c r="AF245" s="15" t="str">
        <f aca="false">IF(AND(ISNUMBER(R245),ISNUMBER(S245)),S245-R245,"")</f>
        <v/>
      </c>
      <c r="AG245" s="15" t="str">
        <f aca="false">IF(AND(ISNUMBER(S245),ISNUMBER(T245)),T245-S245,"")</f>
        <v/>
      </c>
      <c r="AH245" s="15" t="str">
        <f aca="false">IF(AND(ISNUMBER(L245),ISNUMBER(T245)),T245-L245,"")</f>
        <v/>
      </c>
      <c r="AI245" s="15" t="str">
        <f aca="false">IF(AND(ISNUMBER(O245),ISNUMBER(Q245)),Q245-O245,"")</f>
        <v/>
      </c>
      <c r="AJ245" s="15" t="str">
        <f aca="false">IF(B245="","",COUNT(L245:M245,P245:T245)&amp;"/7")</f>
        <v/>
      </c>
      <c r="AK245" s="15" t="str">
        <f aca="false">IF(B245="","",IF(OR(AND(ISNUMBER(L245),ISNUMBER(M245),M245&lt;L245),AND(ISNUMBER(M245),ISNUMBER(P245),P245&lt;M245),AND(ISNUMBER(P245),ISNUMBER(Q245),Q245&lt;P245),AND(ISNUMBER(Q245),ISNUMBER(R245),R245&lt;Q245),AND(ISNUMBER(R245),ISNUMBER(S245),S245&lt;R245),AND(ISNUMBER(S245),ISNUMBER(T245),T245&lt;S245),AND(ISNUMBER(N245),ISNUMBER(O245),O245&lt;N245)),"Urutan tanggal salah",IF(AND(ISNUMBER(Q245),ISNUMBER(R245),ISNUMBER(Y245),ABS(R245-Q245-Y245)&gt;2),"S tanggal ≠ Sailing tercatat",IF(AND(ISNUMBER(Q245),ISNUMBER(O245),ABS(Q245-O245)&gt;60),"Cek tahun laycan",IF(AND(ISNUMBER(Q245),ISNUMBER(N245),Q245&lt;N245),"Berangkat sebelum laycan",IF(NOT(ISNUMBER(AE245)),"S belum ada","OK"))))))</f>
        <v/>
      </c>
    </row>
    <row r="246" customFormat="false" ht="15" hidden="false" customHeight="false" outlineLevel="0" collapsed="false">
      <c r="A246" s="16" t="str">
        <f aca="false">IF(B246="","",ROW()-4)</f>
        <v/>
      </c>
      <c r="B246" s="12"/>
      <c r="C246" s="16"/>
      <c r="D246" s="16"/>
      <c r="E246" s="16"/>
      <c r="F246" s="16"/>
      <c r="G246" s="16"/>
      <c r="H246" s="16"/>
      <c r="I246" s="16"/>
      <c r="J246" s="16"/>
      <c r="K246" s="16"/>
      <c r="L246" s="13"/>
      <c r="M246" s="13"/>
      <c r="N246" s="13"/>
      <c r="O246" s="13"/>
      <c r="P246" s="13"/>
      <c r="Q246" s="13"/>
      <c r="R246" s="13"/>
      <c r="S246" s="13"/>
      <c r="T246" s="13"/>
      <c r="U246" s="12"/>
      <c r="V246" s="14"/>
      <c r="W246" s="16"/>
      <c r="X246" s="16"/>
      <c r="Y246" s="16"/>
      <c r="Z246" s="16"/>
      <c r="AA246" s="15" t="str">
        <f aca="false">IF(AND(ISNUMBER(L246),ISNUMBER(M246)),M246-L246,"")</f>
        <v/>
      </c>
      <c r="AB246" s="15" t="str">
        <f aca="false">IF(AND(ISNUMBER(M246),ISNUMBER(P246)),P246-M246,"")</f>
        <v/>
      </c>
      <c r="AC246" s="15" t="str">
        <f aca="false">IF(AND(ISNUMBER(L246),ISNUMBER(P246)),P246-L246,"")</f>
        <v/>
      </c>
      <c r="AD246" s="15" t="str">
        <f aca="false">IF(AND(ISNUMBER(P246),ISNUMBER(Q246)),Q246-P246,"")</f>
        <v/>
      </c>
      <c r="AE246" s="15" t="str">
        <f aca="false">IF(AND(ISNUMBER(Q246),ISNUMBER(R246)),R246-Q246,IF(ISNUMBER(Y246),Y246,""))</f>
        <v/>
      </c>
      <c r="AF246" s="15" t="str">
        <f aca="false">IF(AND(ISNUMBER(R246),ISNUMBER(S246)),S246-R246,"")</f>
        <v/>
      </c>
      <c r="AG246" s="15" t="str">
        <f aca="false">IF(AND(ISNUMBER(S246),ISNUMBER(T246)),T246-S246,"")</f>
        <v/>
      </c>
      <c r="AH246" s="15" t="str">
        <f aca="false">IF(AND(ISNUMBER(L246),ISNUMBER(T246)),T246-L246,"")</f>
        <v/>
      </c>
      <c r="AI246" s="15" t="str">
        <f aca="false">IF(AND(ISNUMBER(O246),ISNUMBER(Q246)),Q246-O246,"")</f>
        <v/>
      </c>
      <c r="AJ246" s="15" t="str">
        <f aca="false">IF(B246="","",COUNT(L246:M246,P246:T246)&amp;"/7")</f>
        <v/>
      </c>
      <c r="AK246" s="15" t="str">
        <f aca="false">IF(B246="","",IF(OR(AND(ISNUMBER(L246),ISNUMBER(M246),M246&lt;L246),AND(ISNUMBER(M246),ISNUMBER(P246),P246&lt;M246),AND(ISNUMBER(P246),ISNUMBER(Q246),Q246&lt;P246),AND(ISNUMBER(Q246),ISNUMBER(R246),R246&lt;Q246),AND(ISNUMBER(R246),ISNUMBER(S246),S246&lt;R246),AND(ISNUMBER(S246),ISNUMBER(T246),T246&lt;S246),AND(ISNUMBER(N246),ISNUMBER(O246),O246&lt;N246)),"Urutan tanggal salah",IF(AND(ISNUMBER(Q246),ISNUMBER(R246),ISNUMBER(Y246),ABS(R246-Q246-Y246)&gt;2),"S tanggal ≠ Sailing tercatat",IF(AND(ISNUMBER(Q246),ISNUMBER(O246),ABS(Q246-O246)&gt;60),"Cek tahun laycan",IF(AND(ISNUMBER(Q246),ISNUMBER(N246),Q246&lt;N246),"Berangkat sebelum laycan",IF(NOT(ISNUMBER(AE246)),"S belum ada","OK"))))))</f>
        <v/>
      </c>
    </row>
    <row r="247" customFormat="false" ht="15" hidden="false" customHeight="false" outlineLevel="0" collapsed="false">
      <c r="A247" s="16" t="str">
        <f aca="false">IF(B247="","",ROW()-4)</f>
        <v/>
      </c>
      <c r="B247" s="12"/>
      <c r="C247" s="16"/>
      <c r="D247" s="16"/>
      <c r="E247" s="16"/>
      <c r="F247" s="16"/>
      <c r="G247" s="16"/>
      <c r="H247" s="16"/>
      <c r="I247" s="16"/>
      <c r="J247" s="16"/>
      <c r="K247" s="16"/>
      <c r="L247" s="13"/>
      <c r="M247" s="13"/>
      <c r="N247" s="13"/>
      <c r="O247" s="13"/>
      <c r="P247" s="13"/>
      <c r="Q247" s="13"/>
      <c r="R247" s="13"/>
      <c r="S247" s="13"/>
      <c r="T247" s="13"/>
      <c r="U247" s="12"/>
      <c r="V247" s="14"/>
      <c r="W247" s="16"/>
      <c r="X247" s="16"/>
      <c r="Y247" s="16"/>
      <c r="Z247" s="16"/>
      <c r="AA247" s="15" t="str">
        <f aca="false">IF(AND(ISNUMBER(L247),ISNUMBER(M247)),M247-L247,"")</f>
        <v/>
      </c>
      <c r="AB247" s="15" t="str">
        <f aca="false">IF(AND(ISNUMBER(M247),ISNUMBER(P247)),P247-M247,"")</f>
        <v/>
      </c>
      <c r="AC247" s="15" t="str">
        <f aca="false">IF(AND(ISNUMBER(L247),ISNUMBER(P247)),P247-L247,"")</f>
        <v/>
      </c>
      <c r="AD247" s="15" t="str">
        <f aca="false">IF(AND(ISNUMBER(P247),ISNUMBER(Q247)),Q247-P247,"")</f>
        <v/>
      </c>
      <c r="AE247" s="15" t="str">
        <f aca="false">IF(AND(ISNUMBER(Q247),ISNUMBER(R247)),R247-Q247,IF(ISNUMBER(Y247),Y247,""))</f>
        <v/>
      </c>
      <c r="AF247" s="15" t="str">
        <f aca="false">IF(AND(ISNUMBER(R247),ISNUMBER(S247)),S247-R247,"")</f>
        <v/>
      </c>
      <c r="AG247" s="15" t="str">
        <f aca="false">IF(AND(ISNUMBER(S247),ISNUMBER(T247)),T247-S247,"")</f>
        <v/>
      </c>
      <c r="AH247" s="15" t="str">
        <f aca="false">IF(AND(ISNUMBER(L247),ISNUMBER(T247)),T247-L247,"")</f>
        <v/>
      </c>
      <c r="AI247" s="15" t="str">
        <f aca="false">IF(AND(ISNUMBER(O247),ISNUMBER(Q247)),Q247-O247,"")</f>
        <v/>
      </c>
      <c r="AJ247" s="15" t="str">
        <f aca="false">IF(B247="","",COUNT(L247:M247,P247:T247)&amp;"/7")</f>
        <v/>
      </c>
      <c r="AK247" s="15" t="str">
        <f aca="false">IF(B247="","",IF(OR(AND(ISNUMBER(L247),ISNUMBER(M247),M247&lt;L247),AND(ISNUMBER(M247),ISNUMBER(P247),P247&lt;M247),AND(ISNUMBER(P247),ISNUMBER(Q247),Q247&lt;P247),AND(ISNUMBER(Q247),ISNUMBER(R247),R247&lt;Q247),AND(ISNUMBER(R247),ISNUMBER(S247),S247&lt;R247),AND(ISNUMBER(S247),ISNUMBER(T247),T247&lt;S247),AND(ISNUMBER(N247),ISNUMBER(O247),O247&lt;N247)),"Urutan tanggal salah",IF(AND(ISNUMBER(Q247),ISNUMBER(R247),ISNUMBER(Y247),ABS(R247-Q247-Y247)&gt;2),"S tanggal ≠ Sailing tercatat",IF(AND(ISNUMBER(Q247),ISNUMBER(O247),ABS(Q247-O247)&gt;60),"Cek tahun laycan",IF(AND(ISNUMBER(Q247),ISNUMBER(N247),Q247&lt;N247),"Berangkat sebelum laycan",IF(NOT(ISNUMBER(AE247)),"S belum ada","OK"))))))</f>
        <v/>
      </c>
    </row>
    <row r="248" customFormat="false" ht="15" hidden="false" customHeight="false" outlineLevel="0" collapsed="false">
      <c r="A248" s="16" t="str">
        <f aca="false">IF(B248="","",ROW()-4)</f>
        <v/>
      </c>
      <c r="B248" s="12"/>
      <c r="C248" s="16"/>
      <c r="D248" s="16"/>
      <c r="E248" s="16"/>
      <c r="F248" s="16"/>
      <c r="G248" s="16"/>
      <c r="H248" s="16"/>
      <c r="I248" s="16"/>
      <c r="J248" s="16"/>
      <c r="K248" s="16"/>
      <c r="L248" s="13"/>
      <c r="M248" s="13"/>
      <c r="N248" s="13"/>
      <c r="O248" s="13"/>
      <c r="P248" s="13"/>
      <c r="Q248" s="13"/>
      <c r="R248" s="13"/>
      <c r="S248" s="13"/>
      <c r="T248" s="13"/>
      <c r="U248" s="12"/>
      <c r="V248" s="14"/>
      <c r="W248" s="16"/>
      <c r="X248" s="16"/>
      <c r="Y248" s="16"/>
      <c r="Z248" s="16"/>
      <c r="AA248" s="15" t="str">
        <f aca="false">IF(AND(ISNUMBER(L248),ISNUMBER(M248)),M248-L248,"")</f>
        <v/>
      </c>
      <c r="AB248" s="15" t="str">
        <f aca="false">IF(AND(ISNUMBER(M248),ISNUMBER(P248)),P248-M248,"")</f>
        <v/>
      </c>
      <c r="AC248" s="15" t="str">
        <f aca="false">IF(AND(ISNUMBER(L248),ISNUMBER(P248)),P248-L248,"")</f>
        <v/>
      </c>
      <c r="AD248" s="15" t="str">
        <f aca="false">IF(AND(ISNUMBER(P248),ISNUMBER(Q248)),Q248-P248,"")</f>
        <v/>
      </c>
      <c r="AE248" s="15" t="str">
        <f aca="false">IF(AND(ISNUMBER(Q248),ISNUMBER(R248)),R248-Q248,IF(ISNUMBER(Y248),Y248,""))</f>
        <v/>
      </c>
      <c r="AF248" s="15" t="str">
        <f aca="false">IF(AND(ISNUMBER(R248),ISNUMBER(S248)),S248-R248,"")</f>
        <v/>
      </c>
      <c r="AG248" s="15" t="str">
        <f aca="false">IF(AND(ISNUMBER(S248),ISNUMBER(T248)),T248-S248,"")</f>
        <v/>
      </c>
      <c r="AH248" s="15" t="str">
        <f aca="false">IF(AND(ISNUMBER(L248),ISNUMBER(T248)),T248-L248,"")</f>
        <v/>
      </c>
      <c r="AI248" s="15" t="str">
        <f aca="false">IF(AND(ISNUMBER(O248),ISNUMBER(Q248)),Q248-O248,"")</f>
        <v/>
      </c>
      <c r="AJ248" s="15" t="str">
        <f aca="false">IF(B248="","",COUNT(L248:M248,P248:T248)&amp;"/7")</f>
        <v/>
      </c>
      <c r="AK248" s="15" t="str">
        <f aca="false">IF(B248="","",IF(OR(AND(ISNUMBER(L248),ISNUMBER(M248),M248&lt;L248),AND(ISNUMBER(M248),ISNUMBER(P248),P248&lt;M248),AND(ISNUMBER(P248),ISNUMBER(Q248),Q248&lt;P248),AND(ISNUMBER(Q248),ISNUMBER(R248),R248&lt;Q248),AND(ISNUMBER(R248),ISNUMBER(S248),S248&lt;R248),AND(ISNUMBER(S248),ISNUMBER(T248),T248&lt;S248),AND(ISNUMBER(N248),ISNUMBER(O248),O248&lt;N248)),"Urutan tanggal salah",IF(AND(ISNUMBER(Q248),ISNUMBER(R248),ISNUMBER(Y248),ABS(R248-Q248-Y248)&gt;2),"S tanggal ≠ Sailing tercatat",IF(AND(ISNUMBER(Q248),ISNUMBER(O248),ABS(Q248-O248)&gt;60),"Cek tahun laycan",IF(AND(ISNUMBER(Q248),ISNUMBER(N248),Q248&lt;N248),"Berangkat sebelum laycan",IF(NOT(ISNUMBER(AE248)),"S belum ada","OK"))))))</f>
        <v/>
      </c>
    </row>
    <row r="249" customFormat="false" ht="15" hidden="false" customHeight="false" outlineLevel="0" collapsed="false">
      <c r="A249" s="16" t="str">
        <f aca="false">IF(B249="","",ROW()-4)</f>
        <v/>
      </c>
      <c r="B249" s="12"/>
      <c r="C249" s="16"/>
      <c r="D249" s="16"/>
      <c r="E249" s="16"/>
      <c r="F249" s="16"/>
      <c r="G249" s="16"/>
      <c r="H249" s="16"/>
      <c r="I249" s="16"/>
      <c r="J249" s="16"/>
      <c r="K249" s="16"/>
      <c r="L249" s="13"/>
      <c r="M249" s="13"/>
      <c r="N249" s="13"/>
      <c r="O249" s="13"/>
      <c r="P249" s="13"/>
      <c r="Q249" s="13"/>
      <c r="R249" s="13"/>
      <c r="S249" s="13"/>
      <c r="T249" s="13"/>
      <c r="U249" s="12"/>
      <c r="V249" s="14"/>
      <c r="W249" s="16"/>
      <c r="X249" s="16"/>
      <c r="Y249" s="16"/>
      <c r="Z249" s="16"/>
      <c r="AA249" s="15" t="str">
        <f aca="false">IF(AND(ISNUMBER(L249),ISNUMBER(M249)),M249-L249,"")</f>
        <v/>
      </c>
      <c r="AB249" s="15" t="str">
        <f aca="false">IF(AND(ISNUMBER(M249),ISNUMBER(P249)),P249-M249,"")</f>
        <v/>
      </c>
      <c r="AC249" s="15" t="str">
        <f aca="false">IF(AND(ISNUMBER(L249),ISNUMBER(P249)),P249-L249,"")</f>
        <v/>
      </c>
      <c r="AD249" s="15" t="str">
        <f aca="false">IF(AND(ISNUMBER(P249),ISNUMBER(Q249)),Q249-P249,"")</f>
        <v/>
      </c>
      <c r="AE249" s="15" t="str">
        <f aca="false">IF(AND(ISNUMBER(Q249),ISNUMBER(R249)),R249-Q249,IF(ISNUMBER(Y249),Y249,""))</f>
        <v/>
      </c>
      <c r="AF249" s="15" t="str">
        <f aca="false">IF(AND(ISNUMBER(R249),ISNUMBER(S249)),S249-R249,"")</f>
        <v/>
      </c>
      <c r="AG249" s="15" t="str">
        <f aca="false">IF(AND(ISNUMBER(S249),ISNUMBER(T249)),T249-S249,"")</f>
        <v/>
      </c>
      <c r="AH249" s="15" t="str">
        <f aca="false">IF(AND(ISNUMBER(L249),ISNUMBER(T249)),T249-L249,"")</f>
        <v/>
      </c>
      <c r="AI249" s="15" t="str">
        <f aca="false">IF(AND(ISNUMBER(O249),ISNUMBER(Q249)),Q249-O249,"")</f>
        <v/>
      </c>
      <c r="AJ249" s="15" t="str">
        <f aca="false">IF(B249="","",COUNT(L249:M249,P249:T249)&amp;"/7")</f>
        <v/>
      </c>
      <c r="AK249" s="15" t="str">
        <f aca="false">IF(B249="","",IF(OR(AND(ISNUMBER(L249),ISNUMBER(M249),M249&lt;L249),AND(ISNUMBER(M249),ISNUMBER(P249),P249&lt;M249),AND(ISNUMBER(P249),ISNUMBER(Q249),Q249&lt;P249),AND(ISNUMBER(Q249),ISNUMBER(R249),R249&lt;Q249),AND(ISNUMBER(R249),ISNUMBER(S249),S249&lt;R249),AND(ISNUMBER(S249),ISNUMBER(T249),T249&lt;S249),AND(ISNUMBER(N249),ISNUMBER(O249),O249&lt;N249)),"Urutan tanggal salah",IF(AND(ISNUMBER(Q249),ISNUMBER(R249),ISNUMBER(Y249),ABS(R249-Q249-Y249)&gt;2),"S tanggal ≠ Sailing tercatat",IF(AND(ISNUMBER(Q249),ISNUMBER(O249),ABS(Q249-O249)&gt;60),"Cek tahun laycan",IF(AND(ISNUMBER(Q249),ISNUMBER(N249),Q249&lt;N249),"Berangkat sebelum laycan",IF(NOT(ISNUMBER(AE249)),"S belum ada","OK"))))))</f>
        <v/>
      </c>
    </row>
    <row r="250" customFormat="false" ht="15" hidden="false" customHeight="false" outlineLevel="0" collapsed="false">
      <c r="A250" s="16" t="str">
        <f aca="false">IF(B250="","",ROW()-4)</f>
        <v/>
      </c>
      <c r="B250" s="12"/>
      <c r="C250" s="16"/>
      <c r="D250" s="16"/>
      <c r="E250" s="16"/>
      <c r="F250" s="16"/>
      <c r="G250" s="16"/>
      <c r="H250" s="16"/>
      <c r="I250" s="16"/>
      <c r="J250" s="16"/>
      <c r="K250" s="16"/>
      <c r="L250" s="13"/>
      <c r="M250" s="13"/>
      <c r="N250" s="13"/>
      <c r="O250" s="13"/>
      <c r="P250" s="13"/>
      <c r="Q250" s="13"/>
      <c r="R250" s="13"/>
      <c r="S250" s="13"/>
      <c r="T250" s="13"/>
      <c r="U250" s="12"/>
      <c r="V250" s="14"/>
      <c r="W250" s="16"/>
      <c r="X250" s="16"/>
      <c r="Y250" s="16"/>
      <c r="Z250" s="16"/>
      <c r="AA250" s="15" t="str">
        <f aca="false">IF(AND(ISNUMBER(L250),ISNUMBER(M250)),M250-L250,"")</f>
        <v/>
      </c>
      <c r="AB250" s="15" t="str">
        <f aca="false">IF(AND(ISNUMBER(M250),ISNUMBER(P250)),P250-M250,"")</f>
        <v/>
      </c>
      <c r="AC250" s="15" t="str">
        <f aca="false">IF(AND(ISNUMBER(L250),ISNUMBER(P250)),P250-L250,"")</f>
        <v/>
      </c>
      <c r="AD250" s="15" t="str">
        <f aca="false">IF(AND(ISNUMBER(P250),ISNUMBER(Q250)),Q250-P250,"")</f>
        <v/>
      </c>
      <c r="AE250" s="15" t="str">
        <f aca="false">IF(AND(ISNUMBER(Q250),ISNUMBER(R250)),R250-Q250,IF(ISNUMBER(Y250),Y250,""))</f>
        <v/>
      </c>
      <c r="AF250" s="15" t="str">
        <f aca="false">IF(AND(ISNUMBER(R250),ISNUMBER(S250)),S250-R250,"")</f>
        <v/>
      </c>
      <c r="AG250" s="15" t="str">
        <f aca="false">IF(AND(ISNUMBER(S250),ISNUMBER(T250)),T250-S250,"")</f>
        <v/>
      </c>
      <c r="AH250" s="15" t="str">
        <f aca="false">IF(AND(ISNUMBER(L250),ISNUMBER(T250)),T250-L250,"")</f>
        <v/>
      </c>
      <c r="AI250" s="15" t="str">
        <f aca="false">IF(AND(ISNUMBER(O250),ISNUMBER(Q250)),Q250-O250,"")</f>
        <v/>
      </c>
      <c r="AJ250" s="15" t="str">
        <f aca="false">IF(B250="","",COUNT(L250:M250,P250:T250)&amp;"/7")</f>
        <v/>
      </c>
      <c r="AK250" s="15" t="str">
        <f aca="false">IF(B250="","",IF(OR(AND(ISNUMBER(L250),ISNUMBER(M250),M250&lt;L250),AND(ISNUMBER(M250),ISNUMBER(P250),P250&lt;M250),AND(ISNUMBER(P250),ISNUMBER(Q250),Q250&lt;P250),AND(ISNUMBER(Q250),ISNUMBER(R250),R250&lt;Q250),AND(ISNUMBER(R250),ISNUMBER(S250),S250&lt;R250),AND(ISNUMBER(S250),ISNUMBER(T250),T250&lt;S250),AND(ISNUMBER(N250),ISNUMBER(O250),O250&lt;N250)),"Urutan tanggal salah",IF(AND(ISNUMBER(Q250),ISNUMBER(R250),ISNUMBER(Y250),ABS(R250-Q250-Y250)&gt;2),"S tanggal ≠ Sailing tercatat",IF(AND(ISNUMBER(Q250),ISNUMBER(O250),ABS(Q250-O250)&gt;60),"Cek tahun laycan",IF(AND(ISNUMBER(Q250),ISNUMBER(N250),Q250&lt;N250),"Berangkat sebelum laycan",IF(NOT(ISNUMBER(AE250)),"S belum ada","OK"))))))</f>
        <v/>
      </c>
    </row>
    <row r="251" customFormat="false" ht="15" hidden="false" customHeight="false" outlineLevel="0" collapsed="false">
      <c r="A251" s="16" t="str">
        <f aca="false">IF(B251="","",ROW()-4)</f>
        <v/>
      </c>
      <c r="B251" s="12"/>
      <c r="C251" s="16"/>
      <c r="D251" s="16"/>
      <c r="E251" s="16"/>
      <c r="F251" s="16"/>
      <c r="G251" s="16"/>
      <c r="H251" s="16"/>
      <c r="I251" s="16"/>
      <c r="J251" s="16"/>
      <c r="K251" s="16"/>
      <c r="L251" s="13"/>
      <c r="M251" s="13"/>
      <c r="N251" s="13"/>
      <c r="O251" s="13"/>
      <c r="P251" s="13"/>
      <c r="Q251" s="13"/>
      <c r="R251" s="13"/>
      <c r="S251" s="13"/>
      <c r="T251" s="13"/>
      <c r="U251" s="12"/>
      <c r="V251" s="14"/>
      <c r="W251" s="16"/>
      <c r="X251" s="16"/>
      <c r="Y251" s="16"/>
      <c r="Z251" s="16"/>
      <c r="AA251" s="15" t="str">
        <f aca="false">IF(AND(ISNUMBER(L251),ISNUMBER(M251)),M251-L251,"")</f>
        <v/>
      </c>
      <c r="AB251" s="15" t="str">
        <f aca="false">IF(AND(ISNUMBER(M251),ISNUMBER(P251)),P251-M251,"")</f>
        <v/>
      </c>
      <c r="AC251" s="15" t="str">
        <f aca="false">IF(AND(ISNUMBER(L251),ISNUMBER(P251)),P251-L251,"")</f>
        <v/>
      </c>
      <c r="AD251" s="15" t="str">
        <f aca="false">IF(AND(ISNUMBER(P251),ISNUMBER(Q251)),Q251-P251,"")</f>
        <v/>
      </c>
      <c r="AE251" s="15" t="str">
        <f aca="false">IF(AND(ISNUMBER(Q251),ISNUMBER(R251)),R251-Q251,IF(ISNUMBER(Y251),Y251,""))</f>
        <v/>
      </c>
      <c r="AF251" s="15" t="str">
        <f aca="false">IF(AND(ISNUMBER(R251),ISNUMBER(S251)),S251-R251,"")</f>
        <v/>
      </c>
      <c r="AG251" s="15" t="str">
        <f aca="false">IF(AND(ISNUMBER(S251),ISNUMBER(T251)),T251-S251,"")</f>
        <v/>
      </c>
      <c r="AH251" s="15" t="str">
        <f aca="false">IF(AND(ISNUMBER(L251),ISNUMBER(T251)),T251-L251,"")</f>
        <v/>
      </c>
      <c r="AI251" s="15" t="str">
        <f aca="false">IF(AND(ISNUMBER(O251),ISNUMBER(Q251)),Q251-O251,"")</f>
        <v/>
      </c>
      <c r="AJ251" s="15" t="str">
        <f aca="false">IF(B251="","",COUNT(L251:M251,P251:T251)&amp;"/7")</f>
        <v/>
      </c>
      <c r="AK251" s="15" t="str">
        <f aca="false">IF(B251="","",IF(OR(AND(ISNUMBER(L251),ISNUMBER(M251),M251&lt;L251),AND(ISNUMBER(M251),ISNUMBER(P251),P251&lt;M251),AND(ISNUMBER(P251),ISNUMBER(Q251),Q251&lt;P251),AND(ISNUMBER(Q251),ISNUMBER(R251),R251&lt;Q251),AND(ISNUMBER(R251),ISNUMBER(S251),S251&lt;R251),AND(ISNUMBER(S251),ISNUMBER(T251),T251&lt;S251),AND(ISNUMBER(N251),ISNUMBER(O251),O251&lt;N251)),"Urutan tanggal salah",IF(AND(ISNUMBER(Q251),ISNUMBER(R251),ISNUMBER(Y251),ABS(R251-Q251-Y251)&gt;2),"S tanggal ≠ Sailing tercatat",IF(AND(ISNUMBER(Q251),ISNUMBER(O251),ABS(Q251-O251)&gt;60),"Cek tahun laycan",IF(AND(ISNUMBER(Q251),ISNUMBER(N251),Q251&lt;N251),"Berangkat sebelum laycan",IF(NOT(ISNUMBER(AE251)),"S belum ada","OK"))))))</f>
        <v/>
      </c>
    </row>
    <row r="252" customFormat="false" ht="15" hidden="false" customHeight="false" outlineLevel="0" collapsed="false">
      <c r="A252" s="16" t="str">
        <f aca="false">IF(B252="","",ROW()-4)</f>
        <v/>
      </c>
      <c r="B252" s="12"/>
      <c r="C252" s="16"/>
      <c r="D252" s="16"/>
      <c r="E252" s="16"/>
      <c r="F252" s="16"/>
      <c r="G252" s="16"/>
      <c r="H252" s="16"/>
      <c r="I252" s="16"/>
      <c r="J252" s="16"/>
      <c r="K252" s="16"/>
      <c r="L252" s="13"/>
      <c r="M252" s="13"/>
      <c r="N252" s="13"/>
      <c r="O252" s="13"/>
      <c r="P252" s="13"/>
      <c r="Q252" s="13"/>
      <c r="R252" s="13"/>
      <c r="S252" s="13"/>
      <c r="T252" s="13"/>
      <c r="U252" s="12"/>
      <c r="V252" s="14"/>
      <c r="W252" s="16"/>
      <c r="X252" s="16"/>
      <c r="Y252" s="16"/>
      <c r="Z252" s="16"/>
      <c r="AA252" s="15" t="str">
        <f aca="false">IF(AND(ISNUMBER(L252),ISNUMBER(M252)),M252-L252,"")</f>
        <v/>
      </c>
      <c r="AB252" s="15" t="str">
        <f aca="false">IF(AND(ISNUMBER(M252),ISNUMBER(P252)),P252-M252,"")</f>
        <v/>
      </c>
      <c r="AC252" s="15" t="str">
        <f aca="false">IF(AND(ISNUMBER(L252),ISNUMBER(P252)),P252-L252,"")</f>
        <v/>
      </c>
      <c r="AD252" s="15" t="str">
        <f aca="false">IF(AND(ISNUMBER(P252),ISNUMBER(Q252)),Q252-P252,"")</f>
        <v/>
      </c>
      <c r="AE252" s="15" t="str">
        <f aca="false">IF(AND(ISNUMBER(Q252),ISNUMBER(R252)),R252-Q252,IF(ISNUMBER(Y252),Y252,""))</f>
        <v/>
      </c>
      <c r="AF252" s="15" t="str">
        <f aca="false">IF(AND(ISNUMBER(R252),ISNUMBER(S252)),S252-R252,"")</f>
        <v/>
      </c>
      <c r="AG252" s="15" t="str">
        <f aca="false">IF(AND(ISNUMBER(S252),ISNUMBER(T252)),T252-S252,"")</f>
        <v/>
      </c>
      <c r="AH252" s="15" t="str">
        <f aca="false">IF(AND(ISNUMBER(L252),ISNUMBER(T252)),T252-L252,"")</f>
        <v/>
      </c>
      <c r="AI252" s="15" t="str">
        <f aca="false">IF(AND(ISNUMBER(O252),ISNUMBER(Q252)),Q252-O252,"")</f>
        <v/>
      </c>
      <c r="AJ252" s="15" t="str">
        <f aca="false">IF(B252="","",COUNT(L252:M252,P252:T252)&amp;"/7")</f>
        <v/>
      </c>
      <c r="AK252" s="15" t="str">
        <f aca="false">IF(B252="","",IF(OR(AND(ISNUMBER(L252),ISNUMBER(M252),M252&lt;L252),AND(ISNUMBER(M252),ISNUMBER(P252),P252&lt;M252),AND(ISNUMBER(P252),ISNUMBER(Q252),Q252&lt;P252),AND(ISNUMBER(Q252),ISNUMBER(R252),R252&lt;Q252),AND(ISNUMBER(R252),ISNUMBER(S252),S252&lt;R252),AND(ISNUMBER(S252),ISNUMBER(T252),T252&lt;S252),AND(ISNUMBER(N252),ISNUMBER(O252),O252&lt;N252)),"Urutan tanggal salah",IF(AND(ISNUMBER(Q252),ISNUMBER(R252),ISNUMBER(Y252),ABS(R252-Q252-Y252)&gt;2),"S tanggal ≠ Sailing tercatat",IF(AND(ISNUMBER(Q252),ISNUMBER(O252),ABS(Q252-O252)&gt;60),"Cek tahun laycan",IF(AND(ISNUMBER(Q252),ISNUMBER(N252),Q252&lt;N252),"Berangkat sebelum laycan",IF(NOT(ISNUMBER(AE252)),"S belum ada","OK"))))))</f>
        <v/>
      </c>
    </row>
    <row r="253" customFormat="false" ht="15" hidden="false" customHeight="false" outlineLevel="0" collapsed="false">
      <c r="A253" s="16" t="str">
        <f aca="false">IF(B253="","",ROW()-4)</f>
        <v/>
      </c>
      <c r="B253" s="12"/>
      <c r="C253" s="16"/>
      <c r="D253" s="16"/>
      <c r="E253" s="16"/>
      <c r="F253" s="16"/>
      <c r="G253" s="16"/>
      <c r="H253" s="16"/>
      <c r="I253" s="16"/>
      <c r="J253" s="16"/>
      <c r="K253" s="16"/>
      <c r="L253" s="13"/>
      <c r="M253" s="13"/>
      <c r="N253" s="13"/>
      <c r="O253" s="13"/>
      <c r="P253" s="13"/>
      <c r="Q253" s="13"/>
      <c r="R253" s="13"/>
      <c r="S253" s="13"/>
      <c r="T253" s="13"/>
      <c r="U253" s="12"/>
      <c r="V253" s="14"/>
      <c r="W253" s="16"/>
      <c r="X253" s="16"/>
      <c r="Y253" s="16"/>
      <c r="Z253" s="16"/>
      <c r="AA253" s="15" t="str">
        <f aca="false">IF(AND(ISNUMBER(L253),ISNUMBER(M253)),M253-L253,"")</f>
        <v/>
      </c>
      <c r="AB253" s="15" t="str">
        <f aca="false">IF(AND(ISNUMBER(M253),ISNUMBER(P253)),P253-M253,"")</f>
        <v/>
      </c>
      <c r="AC253" s="15" t="str">
        <f aca="false">IF(AND(ISNUMBER(L253),ISNUMBER(P253)),P253-L253,"")</f>
        <v/>
      </c>
      <c r="AD253" s="15" t="str">
        <f aca="false">IF(AND(ISNUMBER(P253),ISNUMBER(Q253)),Q253-P253,"")</f>
        <v/>
      </c>
      <c r="AE253" s="15" t="str">
        <f aca="false">IF(AND(ISNUMBER(Q253),ISNUMBER(R253)),R253-Q253,IF(ISNUMBER(Y253),Y253,""))</f>
        <v/>
      </c>
      <c r="AF253" s="15" t="str">
        <f aca="false">IF(AND(ISNUMBER(R253),ISNUMBER(S253)),S253-R253,"")</f>
        <v/>
      </c>
      <c r="AG253" s="15" t="str">
        <f aca="false">IF(AND(ISNUMBER(S253),ISNUMBER(T253)),T253-S253,"")</f>
        <v/>
      </c>
      <c r="AH253" s="15" t="str">
        <f aca="false">IF(AND(ISNUMBER(L253),ISNUMBER(T253)),T253-L253,"")</f>
        <v/>
      </c>
      <c r="AI253" s="15" t="str">
        <f aca="false">IF(AND(ISNUMBER(O253),ISNUMBER(Q253)),Q253-O253,"")</f>
        <v/>
      </c>
      <c r="AJ253" s="15" t="str">
        <f aca="false">IF(B253="","",COUNT(L253:M253,P253:T253)&amp;"/7")</f>
        <v/>
      </c>
      <c r="AK253" s="15" t="str">
        <f aca="false">IF(B253="","",IF(OR(AND(ISNUMBER(L253),ISNUMBER(M253),M253&lt;L253),AND(ISNUMBER(M253),ISNUMBER(P253),P253&lt;M253),AND(ISNUMBER(P253),ISNUMBER(Q253),Q253&lt;P253),AND(ISNUMBER(Q253),ISNUMBER(R253),R253&lt;Q253),AND(ISNUMBER(R253),ISNUMBER(S253),S253&lt;R253),AND(ISNUMBER(S253),ISNUMBER(T253),T253&lt;S253),AND(ISNUMBER(N253),ISNUMBER(O253),O253&lt;N253)),"Urutan tanggal salah",IF(AND(ISNUMBER(Q253),ISNUMBER(R253),ISNUMBER(Y253),ABS(R253-Q253-Y253)&gt;2),"S tanggal ≠ Sailing tercatat",IF(AND(ISNUMBER(Q253),ISNUMBER(O253),ABS(Q253-O253)&gt;60),"Cek tahun laycan",IF(AND(ISNUMBER(Q253),ISNUMBER(N253),Q253&lt;N253),"Berangkat sebelum laycan",IF(NOT(ISNUMBER(AE253)),"S belum ada","OK"))))))</f>
        <v/>
      </c>
    </row>
    <row r="254" customFormat="false" ht="15" hidden="false" customHeight="false" outlineLevel="0" collapsed="false">
      <c r="A254" s="16" t="str">
        <f aca="false">IF(B254="","",ROW()-4)</f>
        <v/>
      </c>
      <c r="B254" s="12"/>
      <c r="C254" s="16"/>
      <c r="D254" s="16"/>
      <c r="E254" s="16"/>
      <c r="F254" s="16"/>
      <c r="G254" s="16"/>
      <c r="H254" s="16"/>
      <c r="I254" s="16"/>
      <c r="J254" s="16"/>
      <c r="K254" s="16"/>
      <c r="L254" s="13"/>
      <c r="M254" s="13"/>
      <c r="N254" s="13"/>
      <c r="O254" s="13"/>
      <c r="P254" s="13"/>
      <c r="Q254" s="13"/>
      <c r="R254" s="13"/>
      <c r="S254" s="13"/>
      <c r="T254" s="13"/>
      <c r="U254" s="12"/>
      <c r="V254" s="14"/>
      <c r="W254" s="16"/>
      <c r="X254" s="16"/>
      <c r="Y254" s="16"/>
      <c r="Z254" s="16"/>
      <c r="AA254" s="15" t="str">
        <f aca="false">IF(AND(ISNUMBER(L254),ISNUMBER(M254)),M254-L254,"")</f>
        <v/>
      </c>
      <c r="AB254" s="15" t="str">
        <f aca="false">IF(AND(ISNUMBER(M254),ISNUMBER(P254)),P254-M254,"")</f>
        <v/>
      </c>
      <c r="AC254" s="15" t="str">
        <f aca="false">IF(AND(ISNUMBER(L254),ISNUMBER(P254)),P254-L254,"")</f>
        <v/>
      </c>
      <c r="AD254" s="15" t="str">
        <f aca="false">IF(AND(ISNUMBER(P254),ISNUMBER(Q254)),Q254-P254,"")</f>
        <v/>
      </c>
      <c r="AE254" s="15" t="str">
        <f aca="false">IF(AND(ISNUMBER(Q254),ISNUMBER(R254)),R254-Q254,IF(ISNUMBER(Y254),Y254,""))</f>
        <v/>
      </c>
      <c r="AF254" s="15" t="str">
        <f aca="false">IF(AND(ISNUMBER(R254),ISNUMBER(S254)),S254-R254,"")</f>
        <v/>
      </c>
      <c r="AG254" s="15" t="str">
        <f aca="false">IF(AND(ISNUMBER(S254),ISNUMBER(T254)),T254-S254,"")</f>
        <v/>
      </c>
      <c r="AH254" s="15" t="str">
        <f aca="false">IF(AND(ISNUMBER(L254),ISNUMBER(T254)),T254-L254,"")</f>
        <v/>
      </c>
      <c r="AI254" s="15" t="str">
        <f aca="false">IF(AND(ISNUMBER(O254),ISNUMBER(Q254)),Q254-O254,"")</f>
        <v/>
      </c>
      <c r="AJ254" s="15" t="str">
        <f aca="false">IF(B254="","",COUNT(L254:M254,P254:T254)&amp;"/7")</f>
        <v/>
      </c>
      <c r="AK254" s="15" t="str">
        <f aca="false">IF(B254="","",IF(OR(AND(ISNUMBER(L254),ISNUMBER(M254),M254&lt;L254),AND(ISNUMBER(M254),ISNUMBER(P254),P254&lt;M254),AND(ISNUMBER(P254),ISNUMBER(Q254),Q254&lt;P254),AND(ISNUMBER(Q254),ISNUMBER(R254),R254&lt;Q254),AND(ISNUMBER(R254),ISNUMBER(S254),S254&lt;R254),AND(ISNUMBER(S254),ISNUMBER(T254),T254&lt;S254),AND(ISNUMBER(N254),ISNUMBER(O254),O254&lt;N254)),"Urutan tanggal salah",IF(AND(ISNUMBER(Q254),ISNUMBER(R254),ISNUMBER(Y254),ABS(R254-Q254-Y254)&gt;2),"S tanggal ≠ Sailing tercatat",IF(AND(ISNUMBER(Q254),ISNUMBER(O254),ABS(Q254-O254)&gt;60),"Cek tahun laycan",IF(AND(ISNUMBER(Q254),ISNUMBER(N254),Q254&lt;N254),"Berangkat sebelum laycan",IF(NOT(ISNUMBER(AE254)),"S belum ada","OK"))))))</f>
        <v/>
      </c>
    </row>
    <row r="255" customFormat="false" ht="15" hidden="false" customHeight="false" outlineLevel="0" collapsed="false">
      <c r="A255" s="16" t="str">
        <f aca="false">IF(B255="","",ROW()-4)</f>
        <v/>
      </c>
      <c r="B255" s="12"/>
      <c r="C255" s="16"/>
      <c r="D255" s="16"/>
      <c r="E255" s="16"/>
      <c r="F255" s="16"/>
      <c r="G255" s="16"/>
      <c r="H255" s="16"/>
      <c r="I255" s="16"/>
      <c r="J255" s="16"/>
      <c r="K255" s="16"/>
      <c r="L255" s="13"/>
      <c r="M255" s="13"/>
      <c r="N255" s="13"/>
      <c r="O255" s="13"/>
      <c r="P255" s="13"/>
      <c r="Q255" s="13"/>
      <c r="R255" s="13"/>
      <c r="S255" s="13"/>
      <c r="T255" s="13"/>
      <c r="U255" s="12"/>
      <c r="V255" s="14"/>
      <c r="W255" s="16"/>
      <c r="X255" s="16"/>
      <c r="Y255" s="16"/>
      <c r="Z255" s="16"/>
      <c r="AA255" s="15" t="str">
        <f aca="false">IF(AND(ISNUMBER(L255),ISNUMBER(M255)),M255-L255,"")</f>
        <v/>
      </c>
      <c r="AB255" s="15" t="str">
        <f aca="false">IF(AND(ISNUMBER(M255),ISNUMBER(P255)),P255-M255,"")</f>
        <v/>
      </c>
      <c r="AC255" s="15" t="str">
        <f aca="false">IF(AND(ISNUMBER(L255),ISNUMBER(P255)),P255-L255,"")</f>
        <v/>
      </c>
      <c r="AD255" s="15" t="str">
        <f aca="false">IF(AND(ISNUMBER(P255),ISNUMBER(Q255)),Q255-P255,"")</f>
        <v/>
      </c>
      <c r="AE255" s="15" t="str">
        <f aca="false">IF(AND(ISNUMBER(Q255),ISNUMBER(R255)),R255-Q255,IF(ISNUMBER(Y255),Y255,""))</f>
        <v/>
      </c>
      <c r="AF255" s="15" t="str">
        <f aca="false">IF(AND(ISNUMBER(R255),ISNUMBER(S255)),S255-R255,"")</f>
        <v/>
      </c>
      <c r="AG255" s="15" t="str">
        <f aca="false">IF(AND(ISNUMBER(S255),ISNUMBER(T255)),T255-S255,"")</f>
        <v/>
      </c>
      <c r="AH255" s="15" t="str">
        <f aca="false">IF(AND(ISNUMBER(L255),ISNUMBER(T255)),T255-L255,"")</f>
        <v/>
      </c>
      <c r="AI255" s="15" t="str">
        <f aca="false">IF(AND(ISNUMBER(O255),ISNUMBER(Q255)),Q255-O255,"")</f>
        <v/>
      </c>
      <c r="AJ255" s="15" t="str">
        <f aca="false">IF(B255="","",COUNT(L255:M255,P255:T255)&amp;"/7")</f>
        <v/>
      </c>
      <c r="AK255" s="15" t="str">
        <f aca="false">IF(B255="","",IF(OR(AND(ISNUMBER(L255),ISNUMBER(M255),M255&lt;L255),AND(ISNUMBER(M255),ISNUMBER(P255),P255&lt;M255),AND(ISNUMBER(P255),ISNUMBER(Q255),Q255&lt;P255),AND(ISNUMBER(Q255),ISNUMBER(R255),R255&lt;Q255),AND(ISNUMBER(R255),ISNUMBER(S255),S255&lt;R255),AND(ISNUMBER(S255),ISNUMBER(T255),T255&lt;S255),AND(ISNUMBER(N255),ISNUMBER(O255),O255&lt;N255)),"Urutan tanggal salah",IF(AND(ISNUMBER(Q255),ISNUMBER(R255),ISNUMBER(Y255),ABS(R255-Q255-Y255)&gt;2),"S tanggal ≠ Sailing tercatat",IF(AND(ISNUMBER(Q255),ISNUMBER(O255),ABS(Q255-O255)&gt;60),"Cek tahun laycan",IF(AND(ISNUMBER(Q255),ISNUMBER(N255),Q255&lt;N255),"Berangkat sebelum laycan",IF(NOT(ISNUMBER(AE255)),"S belum ada","OK"))))))</f>
        <v/>
      </c>
    </row>
    <row r="256" customFormat="false" ht="15" hidden="false" customHeight="false" outlineLevel="0" collapsed="false">
      <c r="A256" s="16" t="str">
        <f aca="false">IF(B256="","",ROW()-4)</f>
        <v/>
      </c>
      <c r="B256" s="12"/>
      <c r="C256" s="16"/>
      <c r="D256" s="16"/>
      <c r="E256" s="16"/>
      <c r="F256" s="16"/>
      <c r="G256" s="16"/>
      <c r="H256" s="16"/>
      <c r="I256" s="16"/>
      <c r="J256" s="16"/>
      <c r="K256" s="16"/>
      <c r="L256" s="13"/>
      <c r="M256" s="13"/>
      <c r="N256" s="13"/>
      <c r="O256" s="13"/>
      <c r="P256" s="13"/>
      <c r="Q256" s="13"/>
      <c r="R256" s="13"/>
      <c r="S256" s="13"/>
      <c r="T256" s="13"/>
      <c r="U256" s="12"/>
      <c r="V256" s="14"/>
      <c r="W256" s="16"/>
      <c r="X256" s="16"/>
      <c r="Y256" s="16"/>
      <c r="Z256" s="16"/>
      <c r="AA256" s="15" t="str">
        <f aca="false">IF(AND(ISNUMBER(L256),ISNUMBER(M256)),M256-L256,"")</f>
        <v/>
      </c>
      <c r="AB256" s="15" t="str">
        <f aca="false">IF(AND(ISNUMBER(M256),ISNUMBER(P256)),P256-M256,"")</f>
        <v/>
      </c>
      <c r="AC256" s="15" t="str">
        <f aca="false">IF(AND(ISNUMBER(L256),ISNUMBER(P256)),P256-L256,"")</f>
        <v/>
      </c>
      <c r="AD256" s="15" t="str">
        <f aca="false">IF(AND(ISNUMBER(P256),ISNUMBER(Q256)),Q256-P256,"")</f>
        <v/>
      </c>
      <c r="AE256" s="15" t="str">
        <f aca="false">IF(AND(ISNUMBER(Q256),ISNUMBER(R256)),R256-Q256,IF(ISNUMBER(Y256),Y256,""))</f>
        <v/>
      </c>
      <c r="AF256" s="15" t="str">
        <f aca="false">IF(AND(ISNUMBER(R256),ISNUMBER(S256)),S256-R256,"")</f>
        <v/>
      </c>
      <c r="AG256" s="15" t="str">
        <f aca="false">IF(AND(ISNUMBER(S256),ISNUMBER(T256)),T256-S256,"")</f>
        <v/>
      </c>
      <c r="AH256" s="15" t="str">
        <f aca="false">IF(AND(ISNUMBER(L256),ISNUMBER(T256)),T256-L256,"")</f>
        <v/>
      </c>
      <c r="AI256" s="15" t="str">
        <f aca="false">IF(AND(ISNUMBER(O256),ISNUMBER(Q256)),Q256-O256,"")</f>
        <v/>
      </c>
      <c r="AJ256" s="15" t="str">
        <f aca="false">IF(B256="","",COUNT(L256:M256,P256:T256)&amp;"/7")</f>
        <v/>
      </c>
      <c r="AK256" s="15" t="str">
        <f aca="false">IF(B256="","",IF(OR(AND(ISNUMBER(L256),ISNUMBER(M256),M256&lt;L256),AND(ISNUMBER(M256),ISNUMBER(P256),P256&lt;M256),AND(ISNUMBER(P256),ISNUMBER(Q256),Q256&lt;P256),AND(ISNUMBER(Q256),ISNUMBER(R256),R256&lt;Q256),AND(ISNUMBER(R256),ISNUMBER(S256),S256&lt;R256),AND(ISNUMBER(S256),ISNUMBER(T256),T256&lt;S256),AND(ISNUMBER(N256),ISNUMBER(O256),O256&lt;N256)),"Urutan tanggal salah",IF(AND(ISNUMBER(Q256),ISNUMBER(R256),ISNUMBER(Y256),ABS(R256-Q256-Y256)&gt;2),"S tanggal ≠ Sailing tercatat",IF(AND(ISNUMBER(Q256),ISNUMBER(O256),ABS(Q256-O256)&gt;60),"Cek tahun laycan",IF(AND(ISNUMBER(Q256),ISNUMBER(N256),Q256&lt;N256),"Berangkat sebelum laycan",IF(NOT(ISNUMBER(AE256)),"S belum ada","OK"))))))</f>
        <v/>
      </c>
    </row>
    <row r="257" customFormat="false" ht="15" hidden="false" customHeight="false" outlineLevel="0" collapsed="false">
      <c r="A257" s="16" t="str">
        <f aca="false">IF(B257="","",ROW()-4)</f>
        <v/>
      </c>
      <c r="B257" s="12"/>
      <c r="C257" s="16"/>
      <c r="D257" s="16"/>
      <c r="E257" s="16"/>
      <c r="F257" s="16"/>
      <c r="G257" s="16"/>
      <c r="H257" s="16"/>
      <c r="I257" s="16"/>
      <c r="J257" s="16"/>
      <c r="K257" s="16"/>
      <c r="L257" s="13"/>
      <c r="M257" s="13"/>
      <c r="N257" s="13"/>
      <c r="O257" s="13"/>
      <c r="P257" s="13"/>
      <c r="Q257" s="13"/>
      <c r="R257" s="13"/>
      <c r="S257" s="13"/>
      <c r="T257" s="13"/>
      <c r="U257" s="12"/>
      <c r="V257" s="14"/>
      <c r="W257" s="16"/>
      <c r="X257" s="16"/>
      <c r="Y257" s="16"/>
      <c r="Z257" s="16"/>
      <c r="AA257" s="15" t="str">
        <f aca="false">IF(AND(ISNUMBER(L257),ISNUMBER(M257)),M257-L257,"")</f>
        <v/>
      </c>
      <c r="AB257" s="15" t="str">
        <f aca="false">IF(AND(ISNUMBER(M257),ISNUMBER(P257)),P257-M257,"")</f>
        <v/>
      </c>
      <c r="AC257" s="15" t="str">
        <f aca="false">IF(AND(ISNUMBER(L257),ISNUMBER(P257)),P257-L257,"")</f>
        <v/>
      </c>
      <c r="AD257" s="15" t="str">
        <f aca="false">IF(AND(ISNUMBER(P257),ISNUMBER(Q257)),Q257-P257,"")</f>
        <v/>
      </c>
      <c r="AE257" s="15" t="str">
        <f aca="false">IF(AND(ISNUMBER(Q257),ISNUMBER(R257)),R257-Q257,IF(ISNUMBER(Y257),Y257,""))</f>
        <v/>
      </c>
      <c r="AF257" s="15" t="str">
        <f aca="false">IF(AND(ISNUMBER(R257),ISNUMBER(S257)),S257-R257,"")</f>
        <v/>
      </c>
      <c r="AG257" s="15" t="str">
        <f aca="false">IF(AND(ISNUMBER(S257),ISNUMBER(T257)),T257-S257,"")</f>
        <v/>
      </c>
      <c r="AH257" s="15" t="str">
        <f aca="false">IF(AND(ISNUMBER(L257),ISNUMBER(T257)),T257-L257,"")</f>
        <v/>
      </c>
      <c r="AI257" s="15" t="str">
        <f aca="false">IF(AND(ISNUMBER(O257),ISNUMBER(Q257)),Q257-O257,"")</f>
        <v/>
      </c>
      <c r="AJ257" s="15" t="str">
        <f aca="false">IF(B257="","",COUNT(L257:M257,P257:T257)&amp;"/7")</f>
        <v/>
      </c>
      <c r="AK257" s="15" t="str">
        <f aca="false">IF(B257="","",IF(OR(AND(ISNUMBER(L257),ISNUMBER(M257),M257&lt;L257),AND(ISNUMBER(M257),ISNUMBER(P257),P257&lt;M257),AND(ISNUMBER(P257),ISNUMBER(Q257),Q257&lt;P257),AND(ISNUMBER(Q257),ISNUMBER(R257),R257&lt;Q257),AND(ISNUMBER(R257),ISNUMBER(S257),S257&lt;R257),AND(ISNUMBER(S257),ISNUMBER(T257),T257&lt;S257),AND(ISNUMBER(N257),ISNUMBER(O257),O257&lt;N257)),"Urutan tanggal salah",IF(AND(ISNUMBER(Q257),ISNUMBER(R257),ISNUMBER(Y257),ABS(R257-Q257-Y257)&gt;2),"S tanggal ≠ Sailing tercatat",IF(AND(ISNUMBER(Q257),ISNUMBER(O257),ABS(Q257-O257)&gt;60),"Cek tahun laycan",IF(AND(ISNUMBER(Q257),ISNUMBER(N257),Q257&lt;N257),"Berangkat sebelum laycan",IF(NOT(ISNUMBER(AE257)),"S belum ada","OK"))))))</f>
        <v/>
      </c>
    </row>
    <row r="258" customFormat="false" ht="15" hidden="false" customHeight="false" outlineLevel="0" collapsed="false">
      <c r="A258" s="16" t="str">
        <f aca="false">IF(B258="","",ROW()-4)</f>
        <v/>
      </c>
      <c r="B258" s="12"/>
      <c r="C258" s="16"/>
      <c r="D258" s="16"/>
      <c r="E258" s="16"/>
      <c r="F258" s="16"/>
      <c r="G258" s="16"/>
      <c r="H258" s="16"/>
      <c r="I258" s="16"/>
      <c r="J258" s="16"/>
      <c r="K258" s="16"/>
      <c r="L258" s="13"/>
      <c r="M258" s="13"/>
      <c r="N258" s="13"/>
      <c r="O258" s="13"/>
      <c r="P258" s="13"/>
      <c r="Q258" s="13"/>
      <c r="R258" s="13"/>
      <c r="S258" s="13"/>
      <c r="T258" s="13"/>
      <c r="U258" s="12"/>
      <c r="V258" s="14"/>
      <c r="W258" s="16"/>
      <c r="X258" s="16"/>
      <c r="Y258" s="16"/>
      <c r="Z258" s="16"/>
      <c r="AA258" s="15" t="str">
        <f aca="false">IF(AND(ISNUMBER(L258),ISNUMBER(M258)),M258-L258,"")</f>
        <v/>
      </c>
      <c r="AB258" s="15" t="str">
        <f aca="false">IF(AND(ISNUMBER(M258),ISNUMBER(P258)),P258-M258,"")</f>
        <v/>
      </c>
      <c r="AC258" s="15" t="str">
        <f aca="false">IF(AND(ISNUMBER(L258),ISNUMBER(P258)),P258-L258,"")</f>
        <v/>
      </c>
      <c r="AD258" s="15" t="str">
        <f aca="false">IF(AND(ISNUMBER(P258),ISNUMBER(Q258)),Q258-P258,"")</f>
        <v/>
      </c>
      <c r="AE258" s="15" t="str">
        <f aca="false">IF(AND(ISNUMBER(Q258),ISNUMBER(R258)),R258-Q258,IF(ISNUMBER(Y258),Y258,""))</f>
        <v/>
      </c>
      <c r="AF258" s="15" t="str">
        <f aca="false">IF(AND(ISNUMBER(R258),ISNUMBER(S258)),S258-R258,"")</f>
        <v/>
      </c>
      <c r="AG258" s="15" t="str">
        <f aca="false">IF(AND(ISNUMBER(S258),ISNUMBER(T258)),T258-S258,"")</f>
        <v/>
      </c>
      <c r="AH258" s="15" t="str">
        <f aca="false">IF(AND(ISNUMBER(L258),ISNUMBER(T258)),T258-L258,"")</f>
        <v/>
      </c>
      <c r="AI258" s="15" t="str">
        <f aca="false">IF(AND(ISNUMBER(O258),ISNUMBER(Q258)),Q258-O258,"")</f>
        <v/>
      </c>
      <c r="AJ258" s="15" t="str">
        <f aca="false">IF(B258="","",COUNT(L258:M258,P258:T258)&amp;"/7")</f>
        <v/>
      </c>
      <c r="AK258" s="15" t="str">
        <f aca="false">IF(B258="","",IF(OR(AND(ISNUMBER(L258),ISNUMBER(M258),M258&lt;L258),AND(ISNUMBER(M258),ISNUMBER(P258),P258&lt;M258),AND(ISNUMBER(P258),ISNUMBER(Q258),Q258&lt;P258),AND(ISNUMBER(Q258),ISNUMBER(R258),R258&lt;Q258),AND(ISNUMBER(R258),ISNUMBER(S258),S258&lt;R258),AND(ISNUMBER(S258),ISNUMBER(T258),T258&lt;S258),AND(ISNUMBER(N258),ISNUMBER(O258),O258&lt;N258)),"Urutan tanggal salah",IF(AND(ISNUMBER(Q258),ISNUMBER(R258),ISNUMBER(Y258),ABS(R258-Q258-Y258)&gt;2),"S tanggal ≠ Sailing tercatat",IF(AND(ISNUMBER(Q258),ISNUMBER(O258),ABS(Q258-O258)&gt;60),"Cek tahun laycan",IF(AND(ISNUMBER(Q258),ISNUMBER(N258),Q258&lt;N258),"Berangkat sebelum laycan",IF(NOT(ISNUMBER(AE258)),"S belum ada","OK"))))))</f>
        <v/>
      </c>
    </row>
    <row r="259" customFormat="false" ht="15" hidden="false" customHeight="false" outlineLevel="0" collapsed="false">
      <c r="A259" s="16" t="str">
        <f aca="false">IF(B259="","",ROW()-4)</f>
        <v/>
      </c>
      <c r="B259" s="12"/>
      <c r="C259" s="16"/>
      <c r="D259" s="16"/>
      <c r="E259" s="16"/>
      <c r="F259" s="16"/>
      <c r="G259" s="16"/>
      <c r="H259" s="16"/>
      <c r="I259" s="16"/>
      <c r="J259" s="16"/>
      <c r="K259" s="16"/>
      <c r="L259" s="13"/>
      <c r="M259" s="13"/>
      <c r="N259" s="13"/>
      <c r="O259" s="13"/>
      <c r="P259" s="13"/>
      <c r="Q259" s="13"/>
      <c r="R259" s="13"/>
      <c r="S259" s="13"/>
      <c r="T259" s="13"/>
      <c r="U259" s="12"/>
      <c r="V259" s="14"/>
      <c r="W259" s="16"/>
      <c r="X259" s="16"/>
      <c r="Y259" s="16"/>
      <c r="Z259" s="16"/>
      <c r="AA259" s="15" t="str">
        <f aca="false">IF(AND(ISNUMBER(L259),ISNUMBER(M259)),M259-L259,"")</f>
        <v/>
      </c>
      <c r="AB259" s="15" t="str">
        <f aca="false">IF(AND(ISNUMBER(M259),ISNUMBER(P259)),P259-M259,"")</f>
        <v/>
      </c>
      <c r="AC259" s="15" t="str">
        <f aca="false">IF(AND(ISNUMBER(L259),ISNUMBER(P259)),P259-L259,"")</f>
        <v/>
      </c>
      <c r="AD259" s="15" t="str">
        <f aca="false">IF(AND(ISNUMBER(P259),ISNUMBER(Q259)),Q259-P259,"")</f>
        <v/>
      </c>
      <c r="AE259" s="15" t="str">
        <f aca="false">IF(AND(ISNUMBER(Q259),ISNUMBER(R259)),R259-Q259,IF(ISNUMBER(Y259),Y259,""))</f>
        <v/>
      </c>
      <c r="AF259" s="15" t="str">
        <f aca="false">IF(AND(ISNUMBER(R259),ISNUMBER(S259)),S259-R259,"")</f>
        <v/>
      </c>
      <c r="AG259" s="15" t="str">
        <f aca="false">IF(AND(ISNUMBER(S259),ISNUMBER(T259)),T259-S259,"")</f>
        <v/>
      </c>
      <c r="AH259" s="15" t="str">
        <f aca="false">IF(AND(ISNUMBER(L259),ISNUMBER(T259)),T259-L259,"")</f>
        <v/>
      </c>
      <c r="AI259" s="15" t="str">
        <f aca="false">IF(AND(ISNUMBER(O259),ISNUMBER(Q259)),Q259-O259,"")</f>
        <v/>
      </c>
      <c r="AJ259" s="15" t="str">
        <f aca="false">IF(B259="","",COUNT(L259:M259,P259:T259)&amp;"/7")</f>
        <v/>
      </c>
      <c r="AK259" s="15" t="str">
        <f aca="false">IF(B259="","",IF(OR(AND(ISNUMBER(L259),ISNUMBER(M259),M259&lt;L259),AND(ISNUMBER(M259),ISNUMBER(P259),P259&lt;M259),AND(ISNUMBER(P259),ISNUMBER(Q259),Q259&lt;P259),AND(ISNUMBER(Q259),ISNUMBER(R259),R259&lt;Q259),AND(ISNUMBER(R259),ISNUMBER(S259),S259&lt;R259),AND(ISNUMBER(S259),ISNUMBER(T259),T259&lt;S259),AND(ISNUMBER(N259),ISNUMBER(O259),O259&lt;N259)),"Urutan tanggal salah",IF(AND(ISNUMBER(Q259),ISNUMBER(R259),ISNUMBER(Y259),ABS(R259-Q259-Y259)&gt;2),"S tanggal ≠ Sailing tercatat",IF(AND(ISNUMBER(Q259),ISNUMBER(O259),ABS(Q259-O259)&gt;60),"Cek tahun laycan",IF(AND(ISNUMBER(Q259),ISNUMBER(N259),Q259&lt;N259),"Berangkat sebelum laycan",IF(NOT(ISNUMBER(AE259)),"S belum ada","OK"))))))</f>
        <v/>
      </c>
    </row>
    <row r="260" customFormat="false" ht="15" hidden="false" customHeight="false" outlineLevel="0" collapsed="false">
      <c r="A260" s="16" t="str">
        <f aca="false">IF(B260="","",ROW()-4)</f>
        <v/>
      </c>
      <c r="B260" s="12"/>
      <c r="C260" s="16"/>
      <c r="D260" s="16"/>
      <c r="E260" s="16"/>
      <c r="F260" s="16"/>
      <c r="G260" s="16"/>
      <c r="H260" s="16"/>
      <c r="I260" s="16"/>
      <c r="J260" s="16"/>
      <c r="K260" s="16"/>
      <c r="L260" s="13"/>
      <c r="M260" s="13"/>
      <c r="N260" s="13"/>
      <c r="O260" s="13"/>
      <c r="P260" s="13"/>
      <c r="Q260" s="13"/>
      <c r="R260" s="13"/>
      <c r="S260" s="13"/>
      <c r="T260" s="13"/>
      <c r="U260" s="12"/>
      <c r="V260" s="14"/>
      <c r="W260" s="16"/>
      <c r="X260" s="16"/>
      <c r="Y260" s="16"/>
      <c r="Z260" s="16"/>
      <c r="AA260" s="15" t="str">
        <f aca="false">IF(AND(ISNUMBER(L260),ISNUMBER(M260)),M260-L260,"")</f>
        <v/>
      </c>
      <c r="AB260" s="15" t="str">
        <f aca="false">IF(AND(ISNUMBER(M260),ISNUMBER(P260)),P260-M260,"")</f>
        <v/>
      </c>
      <c r="AC260" s="15" t="str">
        <f aca="false">IF(AND(ISNUMBER(L260),ISNUMBER(P260)),P260-L260,"")</f>
        <v/>
      </c>
      <c r="AD260" s="15" t="str">
        <f aca="false">IF(AND(ISNUMBER(P260),ISNUMBER(Q260)),Q260-P260,"")</f>
        <v/>
      </c>
      <c r="AE260" s="15" t="str">
        <f aca="false">IF(AND(ISNUMBER(Q260),ISNUMBER(R260)),R260-Q260,IF(ISNUMBER(Y260),Y260,""))</f>
        <v/>
      </c>
      <c r="AF260" s="15" t="str">
        <f aca="false">IF(AND(ISNUMBER(R260),ISNUMBER(S260)),S260-R260,"")</f>
        <v/>
      </c>
      <c r="AG260" s="15" t="str">
        <f aca="false">IF(AND(ISNUMBER(S260),ISNUMBER(T260)),T260-S260,"")</f>
        <v/>
      </c>
      <c r="AH260" s="15" t="str">
        <f aca="false">IF(AND(ISNUMBER(L260),ISNUMBER(T260)),T260-L260,"")</f>
        <v/>
      </c>
      <c r="AI260" s="15" t="str">
        <f aca="false">IF(AND(ISNUMBER(O260),ISNUMBER(Q260)),Q260-O260,"")</f>
        <v/>
      </c>
      <c r="AJ260" s="15" t="str">
        <f aca="false">IF(B260="","",COUNT(L260:M260,P260:T260)&amp;"/7")</f>
        <v/>
      </c>
      <c r="AK260" s="15" t="str">
        <f aca="false">IF(B260="","",IF(OR(AND(ISNUMBER(L260),ISNUMBER(M260),M260&lt;L260),AND(ISNUMBER(M260),ISNUMBER(P260),P260&lt;M260),AND(ISNUMBER(P260),ISNUMBER(Q260),Q260&lt;P260),AND(ISNUMBER(Q260),ISNUMBER(R260),R260&lt;Q260),AND(ISNUMBER(R260),ISNUMBER(S260),S260&lt;R260),AND(ISNUMBER(S260),ISNUMBER(T260),T260&lt;S260),AND(ISNUMBER(N260),ISNUMBER(O260),O260&lt;N260)),"Urutan tanggal salah",IF(AND(ISNUMBER(Q260),ISNUMBER(R260),ISNUMBER(Y260),ABS(R260-Q260-Y260)&gt;2),"S tanggal ≠ Sailing tercatat",IF(AND(ISNUMBER(Q260),ISNUMBER(O260),ABS(Q260-O260)&gt;60),"Cek tahun laycan",IF(AND(ISNUMBER(Q260),ISNUMBER(N260),Q260&lt;N260),"Berangkat sebelum laycan",IF(NOT(ISNUMBER(AE260)),"S belum ada","OK"))))))</f>
        <v/>
      </c>
    </row>
    <row r="261" customFormat="false" ht="15" hidden="false" customHeight="false" outlineLevel="0" collapsed="false">
      <c r="A261" s="16" t="str">
        <f aca="false">IF(B261="","",ROW()-4)</f>
        <v/>
      </c>
      <c r="B261" s="12"/>
      <c r="C261" s="16"/>
      <c r="D261" s="16"/>
      <c r="E261" s="16"/>
      <c r="F261" s="16"/>
      <c r="G261" s="16"/>
      <c r="H261" s="16"/>
      <c r="I261" s="16"/>
      <c r="J261" s="16"/>
      <c r="K261" s="16"/>
      <c r="L261" s="13"/>
      <c r="M261" s="13"/>
      <c r="N261" s="13"/>
      <c r="O261" s="13"/>
      <c r="P261" s="13"/>
      <c r="Q261" s="13"/>
      <c r="R261" s="13"/>
      <c r="S261" s="13"/>
      <c r="T261" s="13"/>
      <c r="U261" s="12"/>
      <c r="V261" s="14"/>
      <c r="W261" s="16"/>
      <c r="X261" s="16"/>
      <c r="Y261" s="16"/>
      <c r="Z261" s="16"/>
      <c r="AA261" s="15" t="str">
        <f aca="false">IF(AND(ISNUMBER(L261),ISNUMBER(M261)),M261-L261,"")</f>
        <v/>
      </c>
      <c r="AB261" s="15" t="str">
        <f aca="false">IF(AND(ISNUMBER(M261),ISNUMBER(P261)),P261-M261,"")</f>
        <v/>
      </c>
      <c r="AC261" s="15" t="str">
        <f aca="false">IF(AND(ISNUMBER(L261),ISNUMBER(P261)),P261-L261,"")</f>
        <v/>
      </c>
      <c r="AD261" s="15" t="str">
        <f aca="false">IF(AND(ISNUMBER(P261),ISNUMBER(Q261)),Q261-P261,"")</f>
        <v/>
      </c>
      <c r="AE261" s="15" t="str">
        <f aca="false">IF(AND(ISNUMBER(Q261),ISNUMBER(R261)),R261-Q261,IF(ISNUMBER(Y261),Y261,""))</f>
        <v/>
      </c>
      <c r="AF261" s="15" t="str">
        <f aca="false">IF(AND(ISNUMBER(R261),ISNUMBER(S261)),S261-R261,"")</f>
        <v/>
      </c>
      <c r="AG261" s="15" t="str">
        <f aca="false">IF(AND(ISNUMBER(S261),ISNUMBER(T261)),T261-S261,"")</f>
        <v/>
      </c>
      <c r="AH261" s="15" t="str">
        <f aca="false">IF(AND(ISNUMBER(L261),ISNUMBER(T261)),T261-L261,"")</f>
        <v/>
      </c>
      <c r="AI261" s="15" t="str">
        <f aca="false">IF(AND(ISNUMBER(O261),ISNUMBER(Q261)),Q261-O261,"")</f>
        <v/>
      </c>
      <c r="AJ261" s="15" t="str">
        <f aca="false">IF(B261="","",COUNT(L261:M261,P261:T261)&amp;"/7")</f>
        <v/>
      </c>
      <c r="AK261" s="15" t="str">
        <f aca="false">IF(B261="","",IF(OR(AND(ISNUMBER(L261),ISNUMBER(M261),M261&lt;L261),AND(ISNUMBER(M261),ISNUMBER(P261),P261&lt;M261),AND(ISNUMBER(P261),ISNUMBER(Q261),Q261&lt;P261),AND(ISNUMBER(Q261),ISNUMBER(R261),R261&lt;Q261),AND(ISNUMBER(R261),ISNUMBER(S261),S261&lt;R261),AND(ISNUMBER(S261),ISNUMBER(T261),T261&lt;S261),AND(ISNUMBER(N261),ISNUMBER(O261),O261&lt;N261)),"Urutan tanggal salah",IF(AND(ISNUMBER(Q261),ISNUMBER(R261),ISNUMBER(Y261),ABS(R261-Q261-Y261)&gt;2),"S tanggal ≠ Sailing tercatat",IF(AND(ISNUMBER(Q261),ISNUMBER(O261),ABS(Q261-O261)&gt;60),"Cek tahun laycan",IF(AND(ISNUMBER(Q261),ISNUMBER(N261),Q261&lt;N261),"Berangkat sebelum laycan",IF(NOT(ISNUMBER(AE261)),"S belum ada","OK"))))))</f>
        <v/>
      </c>
    </row>
    <row r="262" customFormat="false" ht="15" hidden="false" customHeight="false" outlineLevel="0" collapsed="false">
      <c r="A262" s="16" t="str">
        <f aca="false">IF(B262="","",ROW()-4)</f>
        <v/>
      </c>
      <c r="B262" s="12"/>
      <c r="C262" s="16"/>
      <c r="D262" s="16"/>
      <c r="E262" s="16"/>
      <c r="F262" s="16"/>
      <c r="G262" s="16"/>
      <c r="H262" s="16"/>
      <c r="I262" s="16"/>
      <c r="J262" s="16"/>
      <c r="K262" s="16"/>
      <c r="L262" s="13"/>
      <c r="M262" s="13"/>
      <c r="N262" s="13"/>
      <c r="O262" s="13"/>
      <c r="P262" s="13"/>
      <c r="Q262" s="13"/>
      <c r="R262" s="13"/>
      <c r="S262" s="13"/>
      <c r="T262" s="13"/>
      <c r="U262" s="12"/>
      <c r="V262" s="14"/>
      <c r="W262" s="16"/>
      <c r="X262" s="16"/>
      <c r="Y262" s="16"/>
      <c r="Z262" s="16"/>
      <c r="AA262" s="15" t="str">
        <f aca="false">IF(AND(ISNUMBER(L262),ISNUMBER(M262)),M262-L262,"")</f>
        <v/>
      </c>
      <c r="AB262" s="15" t="str">
        <f aca="false">IF(AND(ISNUMBER(M262),ISNUMBER(P262)),P262-M262,"")</f>
        <v/>
      </c>
      <c r="AC262" s="15" t="str">
        <f aca="false">IF(AND(ISNUMBER(L262),ISNUMBER(P262)),P262-L262,"")</f>
        <v/>
      </c>
      <c r="AD262" s="15" t="str">
        <f aca="false">IF(AND(ISNUMBER(P262),ISNUMBER(Q262)),Q262-P262,"")</f>
        <v/>
      </c>
      <c r="AE262" s="15" t="str">
        <f aca="false">IF(AND(ISNUMBER(Q262),ISNUMBER(R262)),R262-Q262,IF(ISNUMBER(Y262),Y262,""))</f>
        <v/>
      </c>
      <c r="AF262" s="15" t="str">
        <f aca="false">IF(AND(ISNUMBER(R262),ISNUMBER(S262)),S262-R262,"")</f>
        <v/>
      </c>
      <c r="AG262" s="15" t="str">
        <f aca="false">IF(AND(ISNUMBER(S262),ISNUMBER(T262)),T262-S262,"")</f>
        <v/>
      </c>
      <c r="AH262" s="15" t="str">
        <f aca="false">IF(AND(ISNUMBER(L262),ISNUMBER(T262)),T262-L262,"")</f>
        <v/>
      </c>
      <c r="AI262" s="15" t="str">
        <f aca="false">IF(AND(ISNUMBER(O262),ISNUMBER(Q262)),Q262-O262,"")</f>
        <v/>
      </c>
      <c r="AJ262" s="15" t="str">
        <f aca="false">IF(B262="","",COUNT(L262:M262,P262:T262)&amp;"/7")</f>
        <v/>
      </c>
      <c r="AK262" s="15" t="str">
        <f aca="false">IF(B262="","",IF(OR(AND(ISNUMBER(L262),ISNUMBER(M262),M262&lt;L262),AND(ISNUMBER(M262),ISNUMBER(P262),P262&lt;M262),AND(ISNUMBER(P262),ISNUMBER(Q262),Q262&lt;P262),AND(ISNUMBER(Q262),ISNUMBER(R262),R262&lt;Q262),AND(ISNUMBER(R262),ISNUMBER(S262),S262&lt;R262),AND(ISNUMBER(S262),ISNUMBER(T262),T262&lt;S262),AND(ISNUMBER(N262),ISNUMBER(O262),O262&lt;N262)),"Urutan tanggal salah",IF(AND(ISNUMBER(Q262),ISNUMBER(R262),ISNUMBER(Y262),ABS(R262-Q262-Y262)&gt;2),"S tanggal ≠ Sailing tercatat",IF(AND(ISNUMBER(Q262),ISNUMBER(O262),ABS(Q262-O262)&gt;60),"Cek tahun laycan",IF(AND(ISNUMBER(Q262),ISNUMBER(N262),Q262&lt;N262),"Berangkat sebelum laycan",IF(NOT(ISNUMBER(AE262)),"S belum ada","OK"))))))</f>
        <v/>
      </c>
    </row>
    <row r="263" customFormat="false" ht="15" hidden="false" customHeight="false" outlineLevel="0" collapsed="false">
      <c r="A263" s="16" t="str">
        <f aca="false">IF(B263="","",ROW()-4)</f>
        <v/>
      </c>
      <c r="B263" s="12"/>
      <c r="C263" s="16"/>
      <c r="D263" s="16"/>
      <c r="E263" s="16"/>
      <c r="F263" s="16"/>
      <c r="G263" s="16"/>
      <c r="H263" s="16"/>
      <c r="I263" s="16"/>
      <c r="J263" s="16"/>
      <c r="K263" s="16"/>
      <c r="L263" s="13"/>
      <c r="M263" s="13"/>
      <c r="N263" s="13"/>
      <c r="O263" s="13"/>
      <c r="P263" s="13"/>
      <c r="Q263" s="13"/>
      <c r="R263" s="13"/>
      <c r="S263" s="13"/>
      <c r="T263" s="13"/>
      <c r="U263" s="12"/>
      <c r="V263" s="14"/>
      <c r="W263" s="16"/>
      <c r="X263" s="16"/>
      <c r="Y263" s="16"/>
      <c r="Z263" s="16"/>
      <c r="AA263" s="15" t="str">
        <f aca="false">IF(AND(ISNUMBER(L263),ISNUMBER(M263)),M263-L263,"")</f>
        <v/>
      </c>
      <c r="AB263" s="15" t="str">
        <f aca="false">IF(AND(ISNUMBER(M263),ISNUMBER(P263)),P263-M263,"")</f>
        <v/>
      </c>
      <c r="AC263" s="15" t="str">
        <f aca="false">IF(AND(ISNUMBER(L263),ISNUMBER(P263)),P263-L263,"")</f>
        <v/>
      </c>
      <c r="AD263" s="15" t="str">
        <f aca="false">IF(AND(ISNUMBER(P263),ISNUMBER(Q263)),Q263-P263,"")</f>
        <v/>
      </c>
      <c r="AE263" s="15" t="str">
        <f aca="false">IF(AND(ISNUMBER(Q263),ISNUMBER(R263)),R263-Q263,IF(ISNUMBER(Y263),Y263,""))</f>
        <v/>
      </c>
      <c r="AF263" s="15" t="str">
        <f aca="false">IF(AND(ISNUMBER(R263),ISNUMBER(S263)),S263-R263,"")</f>
        <v/>
      </c>
      <c r="AG263" s="15" t="str">
        <f aca="false">IF(AND(ISNUMBER(S263),ISNUMBER(T263)),T263-S263,"")</f>
        <v/>
      </c>
      <c r="AH263" s="15" t="str">
        <f aca="false">IF(AND(ISNUMBER(L263),ISNUMBER(T263)),T263-L263,"")</f>
        <v/>
      </c>
      <c r="AI263" s="15" t="str">
        <f aca="false">IF(AND(ISNUMBER(O263),ISNUMBER(Q263)),Q263-O263,"")</f>
        <v/>
      </c>
      <c r="AJ263" s="15" t="str">
        <f aca="false">IF(B263="","",COUNT(L263:M263,P263:T263)&amp;"/7")</f>
        <v/>
      </c>
      <c r="AK263" s="15" t="str">
        <f aca="false">IF(B263="","",IF(OR(AND(ISNUMBER(L263),ISNUMBER(M263),M263&lt;L263),AND(ISNUMBER(M263),ISNUMBER(P263),P263&lt;M263),AND(ISNUMBER(P263),ISNUMBER(Q263),Q263&lt;P263),AND(ISNUMBER(Q263),ISNUMBER(R263),R263&lt;Q263),AND(ISNUMBER(R263),ISNUMBER(S263),S263&lt;R263),AND(ISNUMBER(S263),ISNUMBER(T263),T263&lt;S263),AND(ISNUMBER(N263),ISNUMBER(O263),O263&lt;N263)),"Urutan tanggal salah",IF(AND(ISNUMBER(Q263),ISNUMBER(R263),ISNUMBER(Y263),ABS(R263-Q263-Y263)&gt;2),"S tanggal ≠ Sailing tercatat",IF(AND(ISNUMBER(Q263),ISNUMBER(O263),ABS(Q263-O263)&gt;60),"Cek tahun laycan",IF(AND(ISNUMBER(Q263),ISNUMBER(N263),Q263&lt;N263),"Berangkat sebelum laycan",IF(NOT(ISNUMBER(AE263)),"S belum ada","OK"))))))</f>
        <v/>
      </c>
    </row>
    <row r="264" customFormat="false" ht="15" hidden="false" customHeight="false" outlineLevel="0" collapsed="false">
      <c r="A264" s="16" t="str">
        <f aca="false">IF(B264="","",ROW()-4)</f>
        <v/>
      </c>
      <c r="B264" s="12"/>
      <c r="C264" s="16"/>
      <c r="D264" s="16"/>
      <c r="E264" s="16"/>
      <c r="F264" s="16"/>
      <c r="G264" s="16"/>
      <c r="H264" s="16"/>
      <c r="I264" s="16"/>
      <c r="J264" s="16"/>
      <c r="K264" s="16"/>
      <c r="L264" s="13"/>
      <c r="M264" s="13"/>
      <c r="N264" s="13"/>
      <c r="O264" s="13"/>
      <c r="P264" s="13"/>
      <c r="Q264" s="13"/>
      <c r="R264" s="13"/>
      <c r="S264" s="13"/>
      <c r="T264" s="13"/>
      <c r="U264" s="12"/>
      <c r="V264" s="14"/>
      <c r="W264" s="16"/>
      <c r="X264" s="16"/>
      <c r="Y264" s="16"/>
      <c r="Z264" s="16"/>
      <c r="AA264" s="15" t="str">
        <f aca="false">IF(AND(ISNUMBER(L264),ISNUMBER(M264)),M264-L264,"")</f>
        <v/>
      </c>
      <c r="AB264" s="15" t="str">
        <f aca="false">IF(AND(ISNUMBER(M264),ISNUMBER(P264)),P264-M264,"")</f>
        <v/>
      </c>
      <c r="AC264" s="15" t="str">
        <f aca="false">IF(AND(ISNUMBER(L264),ISNUMBER(P264)),P264-L264,"")</f>
        <v/>
      </c>
      <c r="AD264" s="15" t="str">
        <f aca="false">IF(AND(ISNUMBER(P264),ISNUMBER(Q264)),Q264-P264,"")</f>
        <v/>
      </c>
      <c r="AE264" s="15" t="str">
        <f aca="false">IF(AND(ISNUMBER(Q264),ISNUMBER(R264)),R264-Q264,IF(ISNUMBER(Y264),Y264,""))</f>
        <v/>
      </c>
      <c r="AF264" s="15" t="str">
        <f aca="false">IF(AND(ISNUMBER(R264),ISNUMBER(S264)),S264-R264,"")</f>
        <v/>
      </c>
      <c r="AG264" s="15" t="str">
        <f aca="false">IF(AND(ISNUMBER(S264),ISNUMBER(T264)),T264-S264,"")</f>
        <v/>
      </c>
      <c r="AH264" s="15" t="str">
        <f aca="false">IF(AND(ISNUMBER(L264),ISNUMBER(T264)),T264-L264,"")</f>
        <v/>
      </c>
      <c r="AI264" s="15" t="str">
        <f aca="false">IF(AND(ISNUMBER(O264),ISNUMBER(Q264)),Q264-O264,"")</f>
        <v/>
      </c>
      <c r="AJ264" s="15" t="str">
        <f aca="false">IF(B264="","",COUNT(L264:M264,P264:T264)&amp;"/7")</f>
        <v/>
      </c>
      <c r="AK264" s="15" t="str">
        <f aca="false">IF(B264="","",IF(OR(AND(ISNUMBER(L264),ISNUMBER(M264),M264&lt;L264),AND(ISNUMBER(M264),ISNUMBER(P264),P264&lt;M264),AND(ISNUMBER(P264),ISNUMBER(Q264),Q264&lt;P264),AND(ISNUMBER(Q264),ISNUMBER(R264),R264&lt;Q264),AND(ISNUMBER(R264),ISNUMBER(S264),S264&lt;R264),AND(ISNUMBER(S264),ISNUMBER(T264),T264&lt;S264),AND(ISNUMBER(N264),ISNUMBER(O264),O264&lt;N264)),"Urutan tanggal salah",IF(AND(ISNUMBER(Q264),ISNUMBER(R264),ISNUMBER(Y264),ABS(R264-Q264-Y264)&gt;2),"S tanggal ≠ Sailing tercatat",IF(AND(ISNUMBER(Q264),ISNUMBER(O264),ABS(Q264-O264)&gt;60),"Cek tahun laycan",IF(AND(ISNUMBER(Q264),ISNUMBER(N264),Q264&lt;N264),"Berangkat sebelum laycan",IF(NOT(ISNUMBER(AE264)),"S belum ada","OK"))))))</f>
        <v/>
      </c>
    </row>
    <row r="265" customFormat="false" ht="15" hidden="false" customHeight="false" outlineLevel="0" collapsed="false">
      <c r="A265" s="16" t="str">
        <f aca="false">IF(B265="","",ROW()-4)</f>
        <v/>
      </c>
      <c r="B265" s="12"/>
      <c r="C265" s="16"/>
      <c r="D265" s="16"/>
      <c r="E265" s="16"/>
      <c r="F265" s="16"/>
      <c r="G265" s="16"/>
      <c r="H265" s="16"/>
      <c r="I265" s="16"/>
      <c r="J265" s="16"/>
      <c r="K265" s="16"/>
      <c r="L265" s="13"/>
      <c r="M265" s="13"/>
      <c r="N265" s="13"/>
      <c r="O265" s="13"/>
      <c r="P265" s="13"/>
      <c r="Q265" s="13"/>
      <c r="R265" s="13"/>
      <c r="S265" s="13"/>
      <c r="T265" s="13"/>
      <c r="U265" s="12"/>
      <c r="V265" s="14"/>
      <c r="W265" s="16"/>
      <c r="X265" s="16"/>
      <c r="Y265" s="16"/>
      <c r="Z265" s="16"/>
      <c r="AA265" s="15" t="str">
        <f aca="false">IF(AND(ISNUMBER(L265),ISNUMBER(M265)),M265-L265,"")</f>
        <v/>
      </c>
      <c r="AB265" s="15" t="str">
        <f aca="false">IF(AND(ISNUMBER(M265),ISNUMBER(P265)),P265-M265,"")</f>
        <v/>
      </c>
      <c r="AC265" s="15" t="str">
        <f aca="false">IF(AND(ISNUMBER(L265),ISNUMBER(P265)),P265-L265,"")</f>
        <v/>
      </c>
      <c r="AD265" s="15" t="str">
        <f aca="false">IF(AND(ISNUMBER(P265),ISNUMBER(Q265)),Q265-P265,"")</f>
        <v/>
      </c>
      <c r="AE265" s="15" t="str">
        <f aca="false">IF(AND(ISNUMBER(Q265),ISNUMBER(R265)),R265-Q265,IF(ISNUMBER(Y265),Y265,""))</f>
        <v/>
      </c>
      <c r="AF265" s="15" t="str">
        <f aca="false">IF(AND(ISNUMBER(R265),ISNUMBER(S265)),S265-R265,"")</f>
        <v/>
      </c>
      <c r="AG265" s="15" t="str">
        <f aca="false">IF(AND(ISNUMBER(S265),ISNUMBER(T265)),T265-S265,"")</f>
        <v/>
      </c>
      <c r="AH265" s="15" t="str">
        <f aca="false">IF(AND(ISNUMBER(L265),ISNUMBER(T265)),T265-L265,"")</f>
        <v/>
      </c>
      <c r="AI265" s="15" t="str">
        <f aca="false">IF(AND(ISNUMBER(O265),ISNUMBER(Q265)),Q265-O265,"")</f>
        <v/>
      </c>
      <c r="AJ265" s="15" t="str">
        <f aca="false">IF(B265="","",COUNT(L265:M265,P265:T265)&amp;"/7")</f>
        <v/>
      </c>
      <c r="AK265" s="15" t="str">
        <f aca="false">IF(B265="","",IF(OR(AND(ISNUMBER(L265),ISNUMBER(M265),M265&lt;L265),AND(ISNUMBER(M265),ISNUMBER(P265),P265&lt;M265),AND(ISNUMBER(P265),ISNUMBER(Q265),Q265&lt;P265),AND(ISNUMBER(Q265),ISNUMBER(R265),R265&lt;Q265),AND(ISNUMBER(R265),ISNUMBER(S265),S265&lt;R265),AND(ISNUMBER(S265),ISNUMBER(T265),T265&lt;S265),AND(ISNUMBER(N265),ISNUMBER(O265),O265&lt;N265)),"Urutan tanggal salah",IF(AND(ISNUMBER(Q265),ISNUMBER(R265),ISNUMBER(Y265),ABS(R265-Q265-Y265)&gt;2),"S tanggal ≠ Sailing tercatat",IF(AND(ISNUMBER(Q265),ISNUMBER(O265),ABS(Q265-O265)&gt;60),"Cek tahun laycan",IF(AND(ISNUMBER(Q265),ISNUMBER(N265),Q265&lt;N265),"Berangkat sebelum laycan",IF(NOT(ISNUMBER(AE265)),"S belum ada","OK"))))))</f>
        <v/>
      </c>
    </row>
    <row r="266" customFormat="false" ht="15" hidden="false" customHeight="false" outlineLevel="0" collapsed="false">
      <c r="A266" s="16" t="str">
        <f aca="false">IF(B266="","",ROW()-4)</f>
        <v/>
      </c>
      <c r="B266" s="12"/>
      <c r="C266" s="16"/>
      <c r="D266" s="16"/>
      <c r="E266" s="16"/>
      <c r="F266" s="16"/>
      <c r="G266" s="16"/>
      <c r="H266" s="16"/>
      <c r="I266" s="16"/>
      <c r="J266" s="16"/>
      <c r="K266" s="16"/>
      <c r="L266" s="13"/>
      <c r="M266" s="13"/>
      <c r="N266" s="13"/>
      <c r="O266" s="13"/>
      <c r="P266" s="13"/>
      <c r="Q266" s="13"/>
      <c r="R266" s="13"/>
      <c r="S266" s="13"/>
      <c r="T266" s="13"/>
      <c r="U266" s="12"/>
      <c r="V266" s="14"/>
      <c r="W266" s="16"/>
      <c r="X266" s="16"/>
      <c r="Y266" s="16"/>
      <c r="Z266" s="16"/>
      <c r="AA266" s="15" t="str">
        <f aca="false">IF(AND(ISNUMBER(L266),ISNUMBER(M266)),M266-L266,"")</f>
        <v/>
      </c>
      <c r="AB266" s="15" t="str">
        <f aca="false">IF(AND(ISNUMBER(M266),ISNUMBER(P266)),P266-M266,"")</f>
        <v/>
      </c>
      <c r="AC266" s="15" t="str">
        <f aca="false">IF(AND(ISNUMBER(L266),ISNUMBER(P266)),P266-L266,"")</f>
        <v/>
      </c>
      <c r="AD266" s="15" t="str">
        <f aca="false">IF(AND(ISNUMBER(P266),ISNUMBER(Q266)),Q266-P266,"")</f>
        <v/>
      </c>
      <c r="AE266" s="15" t="str">
        <f aca="false">IF(AND(ISNUMBER(Q266),ISNUMBER(R266)),R266-Q266,IF(ISNUMBER(Y266),Y266,""))</f>
        <v/>
      </c>
      <c r="AF266" s="15" t="str">
        <f aca="false">IF(AND(ISNUMBER(R266),ISNUMBER(S266)),S266-R266,"")</f>
        <v/>
      </c>
      <c r="AG266" s="15" t="str">
        <f aca="false">IF(AND(ISNUMBER(S266),ISNUMBER(T266)),T266-S266,"")</f>
        <v/>
      </c>
      <c r="AH266" s="15" t="str">
        <f aca="false">IF(AND(ISNUMBER(L266),ISNUMBER(T266)),T266-L266,"")</f>
        <v/>
      </c>
      <c r="AI266" s="15" t="str">
        <f aca="false">IF(AND(ISNUMBER(O266),ISNUMBER(Q266)),Q266-O266,"")</f>
        <v/>
      </c>
      <c r="AJ266" s="15" t="str">
        <f aca="false">IF(B266="","",COUNT(L266:M266,P266:T266)&amp;"/7")</f>
        <v/>
      </c>
      <c r="AK266" s="15" t="str">
        <f aca="false">IF(B266="","",IF(OR(AND(ISNUMBER(L266),ISNUMBER(M266),M266&lt;L266),AND(ISNUMBER(M266),ISNUMBER(P266),P266&lt;M266),AND(ISNUMBER(P266),ISNUMBER(Q266),Q266&lt;P266),AND(ISNUMBER(Q266),ISNUMBER(R266),R266&lt;Q266),AND(ISNUMBER(R266),ISNUMBER(S266),S266&lt;R266),AND(ISNUMBER(S266),ISNUMBER(T266),T266&lt;S266),AND(ISNUMBER(N266),ISNUMBER(O266),O266&lt;N266)),"Urutan tanggal salah",IF(AND(ISNUMBER(Q266),ISNUMBER(R266),ISNUMBER(Y266),ABS(R266-Q266-Y266)&gt;2),"S tanggal ≠ Sailing tercatat",IF(AND(ISNUMBER(Q266),ISNUMBER(O266),ABS(Q266-O266)&gt;60),"Cek tahun laycan",IF(AND(ISNUMBER(Q266),ISNUMBER(N266),Q266&lt;N266),"Berangkat sebelum laycan",IF(NOT(ISNUMBER(AE266)),"S belum ada","OK"))))))</f>
        <v/>
      </c>
    </row>
    <row r="267" customFormat="false" ht="15" hidden="false" customHeight="false" outlineLevel="0" collapsed="false">
      <c r="A267" s="16" t="str">
        <f aca="false">IF(B267="","",ROW()-4)</f>
        <v/>
      </c>
      <c r="B267" s="12"/>
      <c r="C267" s="16"/>
      <c r="D267" s="16"/>
      <c r="E267" s="16"/>
      <c r="F267" s="16"/>
      <c r="G267" s="16"/>
      <c r="H267" s="16"/>
      <c r="I267" s="16"/>
      <c r="J267" s="16"/>
      <c r="K267" s="16"/>
      <c r="L267" s="13"/>
      <c r="M267" s="13"/>
      <c r="N267" s="13"/>
      <c r="O267" s="13"/>
      <c r="P267" s="13"/>
      <c r="Q267" s="13"/>
      <c r="R267" s="13"/>
      <c r="S267" s="13"/>
      <c r="T267" s="13"/>
      <c r="U267" s="12"/>
      <c r="V267" s="14"/>
      <c r="W267" s="16"/>
      <c r="X267" s="16"/>
      <c r="Y267" s="16"/>
      <c r="Z267" s="16"/>
      <c r="AA267" s="15" t="str">
        <f aca="false">IF(AND(ISNUMBER(L267),ISNUMBER(M267)),M267-L267,"")</f>
        <v/>
      </c>
      <c r="AB267" s="15" t="str">
        <f aca="false">IF(AND(ISNUMBER(M267),ISNUMBER(P267)),P267-M267,"")</f>
        <v/>
      </c>
      <c r="AC267" s="15" t="str">
        <f aca="false">IF(AND(ISNUMBER(L267),ISNUMBER(P267)),P267-L267,"")</f>
        <v/>
      </c>
      <c r="AD267" s="15" t="str">
        <f aca="false">IF(AND(ISNUMBER(P267),ISNUMBER(Q267)),Q267-P267,"")</f>
        <v/>
      </c>
      <c r="AE267" s="15" t="str">
        <f aca="false">IF(AND(ISNUMBER(Q267),ISNUMBER(R267)),R267-Q267,IF(ISNUMBER(Y267),Y267,""))</f>
        <v/>
      </c>
      <c r="AF267" s="15" t="str">
        <f aca="false">IF(AND(ISNUMBER(R267),ISNUMBER(S267)),S267-R267,"")</f>
        <v/>
      </c>
      <c r="AG267" s="15" t="str">
        <f aca="false">IF(AND(ISNUMBER(S267),ISNUMBER(T267)),T267-S267,"")</f>
        <v/>
      </c>
      <c r="AH267" s="15" t="str">
        <f aca="false">IF(AND(ISNUMBER(L267),ISNUMBER(T267)),T267-L267,"")</f>
        <v/>
      </c>
      <c r="AI267" s="15" t="str">
        <f aca="false">IF(AND(ISNUMBER(O267),ISNUMBER(Q267)),Q267-O267,"")</f>
        <v/>
      </c>
      <c r="AJ267" s="15" t="str">
        <f aca="false">IF(B267="","",COUNT(L267:M267,P267:T267)&amp;"/7")</f>
        <v/>
      </c>
      <c r="AK267" s="15" t="str">
        <f aca="false">IF(B267="","",IF(OR(AND(ISNUMBER(L267),ISNUMBER(M267),M267&lt;L267),AND(ISNUMBER(M267),ISNUMBER(P267),P267&lt;M267),AND(ISNUMBER(P267),ISNUMBER(Q267),Q267&lt;P267),AND(ISNUMBER(Q267),ISNUMBER(R267),R267&lt;Q267),AND(ISNUMBER(R267),ISNUMBER(S267),S267&lt;R267),AND(ISNUMBER(S267),ISNUMBER(T267),T267&lt;S267),AND(ISNUMBER(N267),ISNUMBER(O267),O267&lt;N267)),"Urutan tanggal salah",IF(AND(ISNUMBER(Q267),ISNUMBER(R267),ISNUMBER(Y267),ABS(R267-Q267-Y267)&gt;2),"S tanggal ≠ Sailing tercatat",IF(AND(ISNUMBER(Q267),ISNUMBER(O267),ABS(Q267-O267)&gt;60),"Cek tahun laycan",IF(AND(ISNUMBER(Q267),ISNUMBER(N267),Q267&lt;N267),"Berangkat sebelum laycan",IF(NOT(ISNUMBER(AE267)),"S belum ada","OK"))))))</f>
        <v/>
      </c>
    </row>
    <row r="268" customFormat="false" ht="15" hidden="false" customHeight="false" outlineLevel="0" collapsed="false">
      <c r="A268" s="16" t="str">
        <f aca="false">IF(B268="","",ROW()-4)</f>
        <v/>
      </c>
      <c r="B268" s="12"/>
      <c r="C268" s="16"/>
      <c r="D268" s="16"/>
      <c r="E268" s="16"/>
      <c r="F268" s="16"/>
      <c r="G268" s="16"/>
      <c r="H268" s="16"/>
      <c r="I268" s="16"/>
      <c r="J268" s="16"/>
      <c r="K268" s="16"/>
      <c r="L268" s="13"/>
      <c r="M268" s="13"/>
      <c r="N268" s="13"/>
      <c r="O268" s="13"/>
      <c r="P268" s="13"/>
      <c r="Q268" s="13"/>
      <c r="R268" s="13"/>
      <c r="S268" s="13"/>
      <c r="T268" s="13"/>
      <c r="U268" s="12"/>
      <c r="V268" s="14"/>
      <c r="W268" s="16"/>
      <c r="X268" s="16"/>
      <c r="Y268" s="16"/>
      <c r="Z268" s="16"/>
      <c r="AA268" s="15" t="str">
        <f aca="false">IF(AND(ISNUMBER(L268),ISNUMBER(M268)),M268-L268,"")</f>
        <v/>
      </c>
      <c r="AB268" s="15" t="str">
        <f aca="false">IF(AND(ISNUMBER(M268),ISNUMBER(P268)),P268-M268,"")</f>
        <v/>
      </c>
      <c r="AC268" s="15" t="str">
        <f aca="false">IF(AND(ISNUMBER(L268),ISNUMBER(P268)),P268-L268,"")</f>
        <v/>
      </c>
      <c r="AD268" s="15" t="str">
        <f aca="false">IF(AND(ISNUMBER(P268),ISNUMBER(Q268)),Q268-P268,"")</f>
        <v/>
      </c>
      <c r="AE268" s="15" t="str">
        <f aca="false">IF(AND(ISNUMBER(Q268),ISNUMBER(R268)),R268-Q268,IF(ISNUMBER(Y268),Y268,""))</f>
        <v/>
      </c>
      <c r="AF268" s="15" t="str">
        <f aca="false">IF(AND(ISNUMBER(R268),ISNUMBER(S268)),S268-R268,"")</f>
        <v/>
      </c>
      <c r="AG268" s="15" t="str">
        <f aca="false">IF(AND(ISNUMBER(S268),ISNUMBER(T268)),T268-S268,"")</f>
        <v/>
      </c>
      <c r="AH268" s="15" t="str">
        <f aca="false">IF(AND(ISNUMBER(L268),ISNUMBER(T268)),T268-L268,"")</f>
        <v/>
      </c>
      <c r="AI268" s="15" t="str">
        <f aca="false">IF(AND(ISNUMBER(O268),ISNUMBER(Q268)),Q268-O268,"")</f>
        <v/>
      </c>
      <c r="AJ268" s="15" t="str">
        <f aca="false">IF(B268="","",COUNT(L268:M268,P268:T268)&amp;"/7")</f>
        <v/>
      </c>
      <c r="AK268" s="15" t="str">
        <f aca="false">IF(B268="","",IF(OR(AND(ISNUMBER(L268),ISNUMBER(M268),M268&lt;L268),AND(ISNUMBER(M268),ISNUMBER(P268),P268&lt;M268),AND(ISNUMBER(P268),ISNUMBER(Q268),Q268&lt;P268),AND(ISNUMBER(Q268),ISNUMBER(R268),R268&lt;Q268),AND(ISNUMBER(R268),ISNUMBER(S268),S268&lt;R268),AND(ISNUMBER(S268),ISNUMBER(T268),T268&lt;S268),AND(ISNUMBER(N268),ISNUMBER(O268),O268&lt;N268)),"Urutan tanggal salah",IF(AND(ISNUMBER(Q268),ISNUMBER(R268),ISNUMBER(Y268),ABS(R268-Q268-Y268)&gt;2),"S tanggal ≠ Sailing tercatat",IF(AND(ISNUMBER(Q268),ISNUMBER(O268),ABS(Q268-O268)&gt;60),"Cek tahun laycan",IF(AND(ISNUMBER(Q268),ISNUMBER(N268),Q268&lt;N268),"Berangkat sebelum laycan",IF(NOT(ISNUMBER(AE268)),"S belum ada","OK"))))))</f>
        <v/>
      </c>
    </row>
    <row r="269" customFormat="false" ht="15" hidden="false" customHeight="false" outlineLevel="0" collapsed="false">
      <c r="A269" s="16" t="str">
        <f aca="false">IF(B269="","",ROW()-4)</f>
        <v/>
      </c>
      <c r="B269" s="12"/>
      <c r="C269" s="16"/>
      <c r="D269" s="16"/>
      <c r="E269" s="16"/>
      <c r="F269" s="16"/>
      <c r="G269" s="16"/>
      <c r="H269" s="16"/>
      <c r="I269" s="16"/>
      <c r="J269" s="16"/>
      <c r="K269" s="16"/>
      <c r="L269" s="13"/>
      <c r="M269" s="13"/>
      <c r="N269" s="13"/>
      <c r="O269" s="13"/>
      <c r="P269" s="13"/>
      <c r="Q269" s="13"/>
      <c r="R269" s="13"/>
      <c r="S269" s="13"/>
      <c r="T269" s="13"/>
      <c r="U269" s="12"/>
      <c r="V269" s="14"/>
      <c r="W269" s="16"/>
      <c r="X269" s="16"/>
      <c r="Y269" s="16"/>
      <c r="Z269" s="16"/>
      <c r="AA269" s="15" t="str">
        <f aca="false">IF(AND(ISNUMBER(L269),ISNUMBER(M269)),M269-L269,"")</f>
        <v/>
      </c>
      <c r="AB269" s="15" t="str">
        <f aca="false">IF(AND(ISNUMBER(M269),ISNUMBER(P269)),P269-M269,"")</f>
        <v/>
      </c>
      <c r="AC269" s="15" t="str">
        <f aca="false">IF(AND(ISNUMBER(L269),ISNUMBER(P269)),P269-L269,"")</f>
        <v/>
      </c>
      <c r="AD269" s="15" t="str">
        <f aca="false">IF(AND(ISNUMBER(P269),ISNUMBER(Q269)),Q269-P269,"")</f>
        <v/>
      </c>
      <c r="AE269" s="15" t="str">
        <f aca="false">IF(AND(ISNUMBER(Q269),ISNUMBER(R269)),R269-Q269,IF(ISNUMBER(Y269),Y269,""))</f>
        <v/>
      </c>
      <c r="AF269" s="15" t="str">
        <f aca="false">IF(AND(ISNUMBER(R269),ISNUMBER(S269)),S269-R269,"")</f>
        <v/>
      </c>
      <c r="AG269" s="15" t="str">
        <f aca="false">IF(AND(ISNUMBER(S269),ISNUMBER(T269)),T269-S269,"")</f>
        <v/>
      </c>
      <c r="AH269" s="15" t="str">
        <f aca="false">IF(AND(ISNUMBER(L269),ISNUMBER(T269)),T269-L269,"")</f>
        <v/>
      </c>
      <c r="AI269" s="15" t="str">
        <f aca="false">IF(AND(ISNUMBER(O269),ISNUMBER(Q269)),Q269-O269,"")</f>
        <v/>
      </c>
      <c r="AJ269" s="15" t="str">
        <f aca="false">IF(B269="","",COUNT(L269:M269,P269:T269)&amp;"/7")</f>
        <v/>
      </c>
      <c r="AK269" s="15" t="str">
        <f aca="false">IF(B269="","",IF(OR(AND(ISNUMBER(L269),ISNUMBER(M269),M269&lt;L269),AND(ISNUMBER(M269),ISNUMBER(P269),P269&lt;M269),AND(ISNUMBER(P269),ISNUMBER(Q269),Q269&lt;P269),AND(ISNUMBER(Q269),ISNUMBER(R269),R269&lt;Q269),AND(ISNUMBER(R269),ISNUMBER(S269),S269&lt;R269),AND(ISNUMBER(S269),ISNUMBER(T269),T269&lt;S269),AND(ISNUMBER(N269),ISNUMBER(O269),O269&lt;N269)),"Urutan tanggal salah",IF(AND(ISNUMBER(Q269),ISNUMBER(R269),ISNUMBER(Y269),ABS(R269-Q269-Y269)&gt;2),"S tanggal ≠ Sailing tercatat",IF(AND(ISNUMBER(Q269),ISNUMBER(O269),ABS(Q269-O269)&gt;60),"Cek tahun laycan",IF(AND(ISNUMBER(Q269),ISNUMBER(N269),Q269&lt;N269),"Berangkat sebelum laycan",IF(NOT(ISNUMBER(AE269)),"S belum ada","OK"))))))</f>
        <v/>
      </c>
    </row>
    <row r="270" customFormat="false" ht="15" hidden="false" customHeight="false" outlineLevel="0" collapsed="false">
      <c r="A270" s="16" t="str">
        <f aca="false">IF(B270="","",ROW()-4)</f>
        <v/>
      </c>
      <c r="B270" s="12"/>
      <c r="C270" s="16"/>
      <c r="D270" s="16"/>
      <c r="E270" s="16"/>
      <c r="F270" s="16"/>
      <c r="G270" s="16"/>
      <c r="H270" s="16"/>
      <c r="I270" s="16"/>
      <c r="J270" s="16"/>
      <c r="K270" s="16"/>
      <c r="L270" s="13"/>
      <c r="M270" s="13"/>
      <c r="N270" s="13"/>
      <c r="O270" s="13"/>
      <c r="P270" s="13"/>
      <c r="Q270" s="13"/>
      <c r="R270" s="13"/>
      <c r="S270" s="13"/>
      <c r="T270" s="13"/>
      <c r="U270" s="12"/>
      <c r="V270" s="14"/>
      <c r="W270" s="16"/>
      <c r="X270" s="16"/>
      <c r="Y270" s="16"/>
      <c r="Z270" s="16"/>
      <c r="AA270" s="15" t="str">
        <f aca="false">IF(AND(ISNUMBER(L270),ISNUMBER(M270)),M270-L270,"")</f>
        <v/>
      </c>
      <c r="AB270" s="15" t="str">
        <f aca="false">IF(AND(ISNUMBER(M270),ISNUMBER(P270)),P270-M270,"")</f>
        <v/>
      </c>
      <c r="AC270" s="15" t="str">
        <f aca="false">IF(AND(ISNUMBER(L270),ISNUMBER(P270)),P270-L270,"")</f>
        <v/>
      </c>
      <c r="AD270" s="15" t="str">
        <f aca="false">IF(AND(ISNUMBER(P270),ISNUMBER(Q270)),Q270-P270,"")</f>
        <v/>
      </c>
      <c r="AE270" s="15" t="str">
        <f aca="false">IF(AND(ISNUMBER(Q270),ISNUMBER(R270)),R270-Q270,IF(ISNUMBER(Y270),Y270,""))</f>
        <v/>
      </c>
      <c r="AF270" s="15" t="str">
        <f aca="false">IF(AND(ISNUMBER(R270),ISNUMBER(S270)),S270-R270,"")</f>
        <v/>
      </c>
      <c r="AG270" s="15" t="str">
        <f aca="false">IF(AND(ISNUMBER(S270),ISNUMBER(T270)),T270-S270,"")</f>
        <v/>
      </c>
      <c r="AH270" s="15" t="str">
        <f aca="false">IF(AND(ISNUMBER(L270),ISNUMBER(T270)),T270-L270,"")</f>
        <v/>
      </c>
      <c r="AI270" s="15" t="str">
        <f aca="false">IF(AND(ISNUMBER(O270),ISNUMBER(Q270)),Q270-O270,"")</f>
        <v/>
      </c>
      <c r="AJ270" s="15" t="str">
        <f aca="false">IF(B270="","",COUNT(L270:M270,P270:T270)&amp;"/7")</f>
        <v/>
      </c>
      <c r="AK270" s="15" t="str">
        <f aca="false">IF(B270="","",IF(OR(AND(ISNUMBER(L270),ISNUMBER(M270),M270&lt;L270),AND(ISNUMBER(M270),ISNUMBER(P270),P270&lt;M270),AND(ISNUMBER(P270),ISNUMBER(Q270),Q270&lt;P270),AND(ISNUMBER(Q270),ISNUMBER(R270),R270&lt;Q270),AND(ISNUMBER(R270),ISNUMBER(S270),S270&lt;R270),AND(ISNUMBER(S270),ISNUMBER(T270),T270&lt;S270),AND(ISNUMBER(N270),ISNUMBER(O270),O270&lt;N270)),"Urutan tanggal salah",IF(AND(ISNUMBER(Q270),ISNUMBER(R270),ISNUMBER(Y270),ABS(R270-Q270-Y270)&gt;2),"S tanggal ≠ Sailing tercatat",IF(AND(ISNUMBER(Q270),ISNUMBER(O270),ABS(Q270-O270)&gt;60),"Cek tahun laycan",IF(AND(ISNUMBER(Q270),ISNUMBER(N270),Q270&lt;N270),"Berangkat sebelum laycan",IF(NOT(ISNUMBER(AE270)),"S belum ada","OK"))))))</f>
        <v/>
      </c>
    </row>
    <row r="271" customFormat="false" ht="15" hidden="false" customHeight="false" outlineLevel="0" collapsed="false">
      <c r="A271" s="16" t="str">
        <f aca="false">IF(B271="","",ROW()-4)</f>
        <v/>
      </c>
      <c r="B271" s="12"/>
      <c r="C271" s="16"/>
      <c r="D271" s="16"/>
      <c r="E271" s="16"/>
      <c r="F271" s="16"/>
      <c r="G271" s="16"/>
      <c r="H271" s="16"/>
      <c r="I271" s="16"/>
      <c r="J271" s="16"/>
      <c r="K271" s="16"/>
      <c r="L271" s="13"/>
      <c r="M271" s="13"/>
      <c r="N271" s="13"/>
      <c r="O271" s="13"/>
      <c r="P271" s="13"/>
      <c r="Q271" s="13"/>
      <c r="R271" s="13"/>
      <c r="S271" s="13"/>
      <c r="T271" s="13"/>
      <c r="U271" s="12"/>
      <c r="V271" s="14"/>
      <c r="W271" s="16"/>
      <c r="X271" s="16"/>
      <c r="Y271" s="16"/>
      <c r="Z271" s="16"/>
      <c r="AA271" s="15" t="str">
        <f aca="false">IF(AND(ISNUMBER(L271),ISNUMBER(M271)),M271-L271,"")</f>
        <v/>
      </c>
      <c r="AB271" s="15" t="str">
        <f aca="false">IF(AND(ISNUMBER(M271),ISNUMBER(P271)),P271-M271,"")</f>
        <v/>
      </c>
      <c r="AC271" s="15" t="str">
        <f aca="false">IF(AND(ISNUMBER(L271),ISNUMBER(P271)),P271-L271,"")</f>
        <v/>
      </c>
      <c r="AD271" s="15" t="str">
        <f aca="false">IF(AND(ISNUMBER(P271),ISNUMBER(Q271)),Q271-P271,"")</f>
        <v/>
      </c>
      <c r="AE271" s="15" t="str">
        <f aca="false">IF(AND(ISNUMBER(Q271),ISNUMBER(R271)),R271-Q271,IF(ISNUMBER(Y271),Y271,""))</f>
        <v/>
      </c>
      <c r="AF271" s="15" t="str">
        <f aca="false">IF(AND(ISNUMBER(R271),ISNUMBER(S271)),S271-R271,"")</f>
        <v/>
      </c>
      <c r="AG271" s="15" t="str">
        <f aca="false">IF(AND(ISNUMBER(S271),ISNUMBER(T271)),T271-S271,"")</f>
        <v/>
      </c>
      <c r="AH271" s="15" t="str">
        <f aca="false">IF(AND(ISNUMBER(L271),ISNUMBER(T271)),T271-L271,"")</f>
        <v/>
      </c>
      <c r="AI271" s="15" t="str">
        <f aca="false">IF(AND(ISNUMBER(O271),ISNUMBER(Q271)),Q271-O271,"")</f>
        <v/>
      </c>
      <c r="AJ271" s="15" t="str">
        <f aca="false">IF(B271="","",COUNT(L271:M271,P271:T271)&amp;"/7")</f>
        <v/>
      </c>
      <c r="AK271" s="15" t="str">
        <f aca="false">IF(B271="","",IF(OR(AND(ISNUMBER(L271),ISNUMBER(M271),M271&lt;L271),AND(ISNUMBER(M271),ISNUMBER(P271),P271&lt;M271),AND(ISNUMBER(P271),ISNUMBER(Q271),Q271&lt;P271),AND(ISNUMBER(Q271),ISNUMBER(R271),R271&lt;Q271),AND(ISNUMBER(R271),ISNUMBER(S271),S271&lt;R271),AND(ISNUMBER(S271),ISNUMBER(T271),T271&lt;S271),AND(ISNUMBER(N271),ISNUMBER(O271),O271&lt;N271)),"Urutan tanggal salah",IF(AND(ISNUMBER(Q271),ISNUMBER(R271),ISNUMBER(Y271),ABS(R271-Q271-Y271)&gt;2),"S tanggal ≠ Sailing tercatat",IF(AND(ISNUMBER(Q271),ISNUMBER(O271),ABS(Q271-O271)&gt;60),"Cek tahun laycan",IF(AND(ISNUMBER(Q271),ISNUMBER(N271),Q271&lt;N271),"Berangkat sebelum laycan",IF(NOT(ISNUMBER(AE271)),"S belum ada","OK"))))))</f>
        <v/>
      </c>
    </row>
    <row r="272" customFormat="false" ht="15" hidden="false" customHeight="false" outlineLevel="0" collapsed="false">
      <c r="A272" s="16" t="str">
        <f aca="false">IF(B272="","",ROW()-4)</f>
        <v/>
      </c>
      <c r="B272" s="12"/>
      <c r="C272" s="16"/>
      <c r="D272" s="16"/>
      <c r="E272" s="16"/>
      <c r="F272" s="16"/>
      <c r="G272" s="16"/>
      <c r="H272" s="16"/>
      <c r="I272" s="16"/>
      <c r="J272" s="16"/>
      <c r="K272" s="16"/>
      <c r="L272" s="13"/>
      <c r="M272" s="13"/>
      <c r="N272" s="13"/>
      <c r="O272" s="13"/>
      <c r="P272" s="13"/>
      <c r="Q272" s="13"/>
      <c r="R272" s="13"/>
      <c r="S272" s="13"/>
      <c r="T272" s="13"/>
      <c r="U272" s="12"/>
      <c r="V272" s="14"/>
      <c r="W272" s="16"/>
      <c r="X272" s="16"/>
      <c r="Y272" s="16"/>
      <c r="Z272" s="16"/>
      <c r="AA272" s="15" t="str">
        <f aca="false">IF(AND(ISNUMBER(L272),ISNUMBER(M272)),M272-L272,"")</f>
        <v/>
      </c>
      <c r="AB272" s="15" t="str">
        <f aca="false">IF(AND(ISNUMBER(M272),ISNUMBER(P272)),P272-M272,"")</f>
        <v/>
      </c>
      <c r="AC272" s="15" t="str">
        <f aca="false">IF(AND(ISNUMBER(L272),ISNUMBER(P272)),P272-L272,"")</f>
        <v/>
      </c>
      <c r="AD272" s="15" t="str">
        <f aca="false">IF(AND(ISNUMBER(P272),ISNUMBER(Q272)),Q272-P272,"")</f>
        <v/>
      </c>
      <c r="AE272" s="15" t="str">
        <f aca="false">IF(AND(ISNUMBER(Q272),ISNUMBER(R272)),R272-Q272,IF(ISNUMBER(Y272),Y272,""))</f>
        <v/>
      </c>
      <c r="AF272" s="15" t="str">
        <f aca="false">IF(AND(ISNUMBER(R272),ISNUMBER(S272)),S272-R272,"")</f>
        <v/>
      </c>
      <c r="AG272" s="15" t="str">
        <f aca="false">IF(AND(ISNUMBER(S272),ISNUMBER(T272)),T272-S272,"")</f>
        <v/>
      </c>
      <c r="AH272" s="15" t="str">
        <f aca="false">IF(AND(ISNUMBER(L272),ISNUMBER(T272)),T272-L272,"")</f>
        <v/>
      </c>
      <c r="AI272" s="15" t="str">
        <f aca="false">IF(AND(ISNUMBER(O272),ISNUMBER(Q272)),Q272-O272,"")</f>
        <v/>
      </c>
      <c r="AJ272" s="15" t="str">
        <f aca="false">IF(B272="","",COUNT(L272:M272,P272:T272)&amp;"/7")</f>
        <v/>
      </c>
      <c r="AK272" s="15" t="str">
        <f aca="false">IF(B272="","",IF(OR(AND(ISNUMBER(L272),ISNUMBER(M272),M272&lt;L272),AND(ISNUMBER(M272),ISNUMBER(P272),P272&lt;M272),AND(ISNUMBER(P272),ISNUMBER(Q272),Q272&lt;P272),AND(ISNUMBER(Q272),ISNUMBER(R272),R272&lt;Q272),AND(ISNUMBER(R272),ISNUMBER(S272),S272&lt;R272),AND(ISNUMBER(S272),ISNUMBER(T272),T272&lt;S272),AND(ISNUMBER(N272),ISNUMBER(O272),O272&lt;N272)),"Urutan tanggal salah",IF(AND(ISNUMBER(Q272),ISNUMBER(R272),ISNUMBER(Y272),ABS(R272-Q272-Y272)&gt;2),"S tanggal ≠ Sailing tercatat",IF(AND(ISNUMBER(Q272),ISNUMBER(O272),ABS(Q272-O272)&gt;60),"Cek tahun laycan",IF(AND(ISNUMBER(Q272),ISNUMBER(N272),Q272&lt;N272),"Berangkat sebelum laycan",IF(NOT(ISNUMBER(AE272)),"S belum ada","OK"))))))</f>
        <v/>
      </c>
    </row>
    <row r="273" customFormat="false" ht="15" hidden="false" customHeight="false" outlineLevel="0" collapsed="false">
      <c r="A273" s="16" t="str">
        <f aca="false">IF(B273="","",ROW()-4)</f>
        <v/>
      </c>
      <c r="B273" s="12"/>
      <c r="C273" s="16"/>
      <c r="D273" s="16"/>
      <c r="E273" s="16"/>
      <c r="F273" s="16"/>
      <c r="G273" s="16"/>
      <c r="H273" s="16"/>
      <c r="I273" s="16"/>
      <c r="J273" s="16"/>
      <c r="K273" s="16"/>
      <c r="L273" s="13"/>
      <c r="M273" s="13"/>
      <c r="N273" s="13"/>
      <c r="O273" s="13"/>
      <c r="P273" s="13"/>
      <c r="Q273" s="13"/>
      <c r="R273" s="13"/>
      <c r="S273" s="13"/>
      <c r="T273" s="13"/>
      <c r="U273" s="12"/>
      <c r="V273" s="14"/>
      <c r="W273" s="16"/>
      <c r="X273" s="16"/>
      <c r="Y273" s="16"/>
      <c r="Z273" s="16"/>
      <c r="AA273" s="15" t="str">
        <f aca="false">IF(AND(ISNUMBER(L273),ISNUMBER(M273)),M273-L273,"")</f>
        <v/>
      </c>
      <c r="AB273" s="15" t="str">
        <f aca="false">IF(AND(ISNUMBER(M273),ISNUMBER(P273)),P273-M273,"")</f>
        <v/>
      </c>
      <c r="AC273" s="15" t="str">
        <f aca="false">IF(AND(ISNUMBER(L273),ISNUMBER(P273)),P273-L273,"")</f>
        <v/>
      </c>
      <c r="AD273" s="15" t="str">
        <f aca="false">IF(AND(ISNUMBER(P273),ISNUMBER(Q273)),Q273-P273,"")</f>
        <v/>
      </c>
      <c r="AE273" s="15" t="str">
        <f aca="false">IF(AND(ISNUMBER(Q273),ISNUMBER(R273)),R273-Q273,IF(ISNUMBER(Y273),Y273,""))</f>
        <v/>
      </c>
      <c r="AF273" s="15" t="str">
        <f aca="false">IF(AND(ISNUMBER(R273),ISNUMBER(S273)),S273-R273,"")</f>
        <v/>
      </c>
      <c r="AG273" s="15" t="str">
        <f aca="false">IF(AND(ISNUMBER(S273),ISNUMBER(T273)),T273-S273,"")</f>
        <v/>
      </c>
      <c r="AH273" s="15" t="str">
        <f aca="false">IF(AND(ISNUMBER(L273),ISNUMBER(T273)),T273-L273,"")</f>
        <v/>
      </c>
      <c r="AI273" s="15" t="str">
        <f aca="false">IF(AND(ISNUMBER(O273),ISNUMBER(Q273)),Q273-O273,"")</f>
        <v/>
      </c>
      <c r="AJ273" s="15" t="str">
        <f aca="false">IF(B273="","",COUNT(L273:M273,P273:T273)&amp;"/7")</f>
        <v/>
      </c>
      <c r="AK273" s="15" t="str">
        <f aca="false">IF(B273="","",IF(OR(AND(ISNUMBER(L273),ISNUMBER(M273),M273&lt;L273),AND(ISNUMBER(M273),ISNUMBER(P273),P273&lt;M273),AND(ISNUMBER(P273),ISNUMBER(Q273),Q273&lt;P273),AND(ISNUMBER(Q273),ISNUMBER(R273),R273&lt;Q273),AND(ISNUMBER(R273),ISNUMBER(S273),S273&lt;R273),AND(ISNUMBER(S273),ISNUMBER(T273),T273&lt;S273),AND(ISNUMBER(N273),ISNUMBER(O273),O273&lt;N273)),"Urutan tanggal salah",IF(AND(ISNUMBER(Q273),ISNUMBER(R273),ISNUMBER(Y273),ABS(R273-Q273-Y273)&gt;2),"S tanggal ≠ Sailing tercatat",IF(AND(ISNUMBER(Q273),ISNUMBER(O273),ABS(Q273-O273)&gt;60),"Cek tahun laycan",IF(AND(ISNUMBER(Q273),ISNUMBER(N273),Q273&lt;N273),"Berangkat sebelum laycan",IF(NOT(ISNUMBER(AE273)),"S belum ada","OK"))))))</f>
        <v/>
      </c>
    </row>
    <row r="274" customFormat="false" ht="15" hidden="false" customHeight="false" outlineLevel="0" collapsed="false">
      <c r="A274" s="16" t="str">
        <f aca="false">IF(B274="","",ROW()-4)</f>
        <v/>
      </c>
      <c r="B274" s="12"/>
      <c r="C274" s="16"/>
      <c r="D274" s="16"/>
      <c r="E274" s="16"/>
      <c r="F274" s="16"/>
      <c r="G274" s="16"/>
      <c r="H274" s="16"/>
      <c r="I274" s="16"/>
      <c r="J274" s="16"/>
      <c r="K274" s="16"/>
      <c r="L274" s="13"/>
      <c r="M274" s="13"/>
      <c r="N274" s="13"/>
      <c r="O274" s="13"/>
      <c r="P274" s="13"/>
      <c r="Q274" s="13"/>
      <c r="R274" s="13"/>
      <c r="S274" s="13"/>
      <c r="T274" s="13"/>
      <c r="U274" s="12"/>
      <c r="V274" s="14"/>
      <c r="W274" s="16"/>
      <c r="X274" s="16"/>
      <c r="Y274" s="16"/>
      <c r="Z274" s="16"/>
      <c r="AA274" s="15" t="str">
        <f aca="false">IF(AND(ISNUMBER(L274),ISNUMBER(M274)),M274-L274,"")</f>
        <v/>
      </c>
      <c r="AB274" s="15" t="str">
        <f aca="false">IF(AND(ISNUMBER(M274),ISNUMBER(P274)),P274-M274,"")</f>
        <v/>
      </c>
      <c r="AC274" s="15" t="str">
        <f aca="false">IF(AND(ISNUMBER(L274),ISNUMBER(P274)),P274-L274,"")</f>
        <v/>
      </c>
      <c r="AD274" s="15" t="str">
        <f aca="false">IF(AND(ISNUMBER(P274),ISNUMBER(Q274)),Q274-P274,"")</f>
        <v/>
      </c>
      <c r="AE274" s="15" t="str">
        <f aca="false">IF(AND(ISNUMBER(Q274),ISNUMBER(R274)),R274-Q274,IF(ISNUMBER(Y274),Y274,""))</f>
        <v/>
      </c>
      <c r="AF274" s="15" t="str">
        <f aca="false">IF(AND(ISNUMBER(R274),ISNUMBER(S274)),S274-R274,"")</f>
        <v/>
      </c>
      <c r="AG274" s="15" t="str">
        <f aca="false">IF(AND(ISNUMBER(S274),ISNUMBER(T274)),T274-S274,"")</f>
        <v/>
      </c>
      <c r="AH274" s="15" t="str">
        <f aca="false">IF(AND(ISNUMBER(L274),ISNUMBER(T274)),T274-L274,"")</f>
        <v/>
      </c>
      <c r="AI274" s="15" t="str">
        <f aca="false">IF(AND(ISNUMBER(O274),ISNUMBER(Q274)),Q274-O274,"")</f>
        <v/>
      </c>
      <c r="AJ274" s="15" t="str">
        <f aca="false">IF(B274="","",COUNT(L274:M274,P274:T274)&amp;"/7")</f>
        <v/>
      </c>
      <c r="AK274" s="15" t="str">
        <f aca="false">IF(B274="","",IF(OR(AND(ISNUMBER(L274),ISNUMBER(M274),M274&lt;L274),AND(ISNUMBER(M274),ISNUMBER(P274),P274&lt;M274),AND(ISNUMBER(P274),ISNUMBER(Q274),Q274&lt;P274),AND(ISNUMBER(Q274),ISNUMBER(R274),R274&lt;Q274),AND(ISNUMBER(R274),ISNUMBER(S274),S274&lt;R274),AND(ISNUMBER(S274),ISNUMBER(T274),T274&lt;S274),AND(ISNUMBER(N274),ISNUMBER(O274),O274&lt;N274)),"Urutan tanggal salah",IF(AND(ISNUMBER(Q274),ISNUMBER(R274),ISNUMBER(Y274),ABS(R274-Q274-Y274)&gt;2),"S tanggal ≠ Sailing tercatat",IF(AND(ISNUMBER(Q274),ISNUMBER(O274),ABS(Q274-O274)&gt;60),"Cek tahun laycan",IF(AND(ISNUMBER(Q274),ISNUMBER(N274),Q274&lt;N274),"Berangkat sebelum laycan",IF(NOT(ISNUMBER(AE274)),"S belum ada","OK"))))))</f>
        <v/>
      </c>
    </row>
    <row r="275" customFormat="false" ht="15" hidden="false" customHeight="false" outlineLevel="0" collapsed="false">
      <c r="A275" s="16" t="str">
        <f aca="false">IF(B275="","",ROW()-4)</f>
        <v/>
      </c>
      <c r="B275" s="12"/>
      <c r="C275" s="16"/>
      <c r="D275" s="16"/>
      <c r="E275" s="16"/>
      <c r="F275" s="16"/>
      <c r="G275" s="16"/>
      <c r="H275" s="16"/>
      <c r="I275" s="16"/>
      <c r="J275" s="16"/>
      <c r="K275" s="16"/>
      <c r="L275" s="13"/>
      <c r="M275" s="13"/>
      <c r="N275" s="13"/>
      <c r="O275" s="13"/>
      <c r="P275" s="13"/>
      <c r="Q275" s="13"/>
      <c r="R275" s="13"/>
      <c r="S275" s="13"/>
      <c r="T275" s="13"/>
      <c r="U275" s="12"/>
      <c r="V275" s="14"/>
      <c r="W275" s="16"/>
      <c r="X275" s="16"/>
      <c r="Y275" s="16"/>
      <c r="Z275" s="16"/>
      <c r="AA275" s="15" t="str">
        <f aca="false">IF(AND(ISNUMBER(L275),ISNUMBER(M275)),M275-L275,"")</f>
        <v/>
      </c>
      <c r="AB275" s="15" t="str">
        <f aca="false">IF(AND(ISNUMBER(M275),ISNUMBER(P275)),P275-M275,"")</f>
        <v/>
      </c>
      <c r="AC275" s="15" t="str">
        <f aca="false">IF(AND(ISNUMBER(L275),ISNUMBER(P275)),P275-L275,"")</f>
        <v/>
      </c>
      <c r="AD275" s="15" t="str">
        <f aca="false">IF(AND(ISNUMBER(P275),ISNUMBER(Q275)),Q275-P275,"")</f>
        <v/>
      </c>
      <c r="AE275" s="15" t="str">
        <f aca="false">IF(AND(ISNUMBER(Q275),ISNUMBER(R275)),R275-Q275,IF(ISNUMBER(Y275),Y275,""))</f>
        <v/>
      </c>
      <c r="AF275" s="15" t="str">
        <f aca="false">IF(AND(ISNUMBER(R275),ISNUMBER(S275)),S275-R275,"")</f>
        <v/>
      </c>
      <c r="AG275" s="15" t="str">
        <f aca="false">IF(AND(ISNUMBER(S275),ISNUMBER(T275)),T275-S275,"")</f>
        <v/>
      </c>
      <c r="AH275" s="15" t="str">
        <f aca="false">IF(AND(ISNUMBER(L275),ISNUMBER(T275)),T275-L275,"")</f>
        <v/>
      </c>
      <c r="AI275" s="15" t="str">
        <f aca="false">IF(AND(ISNUMBER(O275),ISNUMBER(Q275)),Q275-O275,"")</f>
        <v/>
      </c>
      <c r="AJ275" s="15" t="str">
        <f aca="false">IF(B275="","",COUNT(L275:M275,P275:T275)&amp;"/7")</f>
        <v/>
      </c>
      <c r="AK275" s="15" t="str">
        <f aca="false">IF(B275="","",IF(OR(AND(ISNUMBER(L275),ISNUMBER(M275),M275&lt;L275),AND(ISNUMBER(M275),ISNUMBER(P275),P275&lt;M275),AND(ISNUMBER(P275),ISNUMBER(Q275),Q275&lt;P275),AND(ISNUMBER(Q275),ISNUMBER(R275),R275&lt;Q275),AND(ISNUMBER(R275),ISNUMBER(S275),S275&lt;R275),AND(ISNUMBER(S275),ISNUMBER(T275),T275&lt;S275),AND(ISNUMBER(N275),ISNUMBER(O275),O275&lt;N275)),"Urutan tanggal salah",IF(AND(ISNUMBER(Q275),ISNUMBER(R275),ISNUMBER(Y275),ABS(R275-Q275-Y275)&gt;2),"S tanggal ≠ Sailing tercatat",IF(AND(ISNUMBER(Q275),ISNUMBER(O275),ABS(Q275-O275)&gt;60),"Cek tahun laycan",IF(AND(ISNUMBER(Q275),ISNUMBER(N275),Q275&lt;N275),"Berangkat sebelum laycan",IF(NOT(ISNUMBER(AE275)),"S belum ada","OK"))))))</f>
        <v/>
      </c>
    </row>
    <row r="276" customFormat="false" ht="15" hidden="false" customHeight="false" outlineLevel="0" collapsed="false">
      <c r="A276" s="16" t="str">
        <f aca="false">IF(B276="","",ROW()-4)</f>
        <v/>
      </c>
      <c r="B276" s="12"/>
      <c r="C276" s="16"/>
      <c r="D276" s="16"/>
      <c r="E276" s="16"/>
      <c r="F276" s="16"/>
      <c r="G276" s="16"/>
      <c r="H276" s="16"/>
      <c r="I276" s="16"/>
      <c r="J276" s="16"/>
      <c r="K276" s="16"/>
      <c r="L276" s="13"/>
      <c r="M276" s="13"/>
      <c r="N276" s="13"/>
      <c r="O276" s="13"/>
      <c r="P276" s="13"/>
      <c r="Q276" s="13"/>
      <c r="R276" s="13"/>
      <c r="S276" s="13"/>
      <c r="T276" s="13"/>
      <c r="U276" s="12"/>
      <c r="V276" s="14"/>
      <c r="W276" s="16"/>
      <c r="X276" s="16"/>
      <c r="Y276" s="16"/>
      <c r="Z276" s="16"/>
      <c r="AA276" s="15" t="str">
        <f aca="false">IF(AND(ISNUMBER(L276),ISNUMBER(M276)),M276-L276,"")</f>
        <v/>
      </c>
      <c r="AB276" s="15" t="str">
        <f aca="false">IF(AND(ISNUMBER(M276),ISNUMBER(P276)),P276-M276,"")</f>
        <v/>
      </c>
      <c r="AC276" s="15" t="str">
        <f aca="false">IF(AND(ISNUMBER(L276),ISNUMBER(P276)),P276-L276,"")</f>
        <v/>
      </c>
      <c r="AD276" s="15" t="str">
        <f aca="false">IF(AND(ISNUMBER(P276),ISNUMBER(Q276)),Q276-P276,"")</f>
        <v/>
      </c>
      <c r="AE276" s="15" t="str">
        <f aca="false">IF(AND(ISNUMBER(Q276),ISNUMBER(R276)),R276-Q276,IF(ISNUMBER(Y276),Y276,""))</f>
        <v/>
      </c>
      <c r="AF276" s="15" t="str">
        <f aca="false">IF(AND(ISNUMBER(R276),ISNUMBER(S276)),S276-R276,"")</f>
        <v/>
      </c>
      <c r="AG276" s="15" t="str">
        <f aca="false">IF(AND(ISNUMBER(S276),ISNUMBER(T276)),T276-S276,"")</f>
        <v/>
      </c>
      <c r="AH276" s="15" t="str">
        <f aca="false">IF(AND(ISNUMBER(L276),ISNUMBER(T276)),T276-L276,"")</f>
        <v/>
      </c>
      <c r="AI276" s="15" t="str">
        <f aca="false">IF(AND(ISNUMBER(O276),ISNUMBER(Q276)),Q276-O276,"")</f>
        <v/>
      </c>
      <c r="AJ276" s="15" t="str">
        <f aca="false">IF(B276="","",COUNT(L276:M276,P276:T276)&amp;"/7")</f>
        <v/>
      </c>
      <c r="AK276" s="15" t="str">
        <f aca="false">IF(B276="","",IF(OR(AND(ISNUMBER(L276),ISNUMBER(M276),M276&lt;L276),AND(ISNUMBER(M276),ISNUMBER(P276),P276&lt;M276),AND(ISNUMBER(P276),ISNUMBER(Q276),Q276&lt;P276),AND(ISNUMBER(Q276),ISNUMBER(R276),R276&lt;Q276),AND(ISNUMBER(R276),ISNUMBER(S276),S276&lt;R276),AND(ISNUMBER(S276),ISNUMBER(T276),T276&lt;S276),AND(ISNUMBER(N276),ISNUMBER(O276),O276&lt;N276)),"Urutan tanggal salah",IF(AND(ISNUMBER(Q276),ISNUMBER(R276),ISNUMBER(Y276),ABS(R276-Q276-Y276)&gt;2),"S tanggal ≠ Sailing tercatat",IF(AND(ISNUMBER(Q276),ISNUMBER(O276),ABS(Q276-O276)&gt;60),"Cek tahun laycan",IF(AND(ISNUMBER(Q276),ISNUMBER(N276),Q276&lt;N276),"Berangkat sebelum laycan",IF(NOT(ISNUMBER(AE276)),"S belum ada","OK"))))))</f>
        <v/>
      </c>
    </row>
    <row r="277" customFormat="false" ht="15" hidden="false" customHeight="false" outlineLevel="0" collapsed="false">
      <c r="A277" s="16" t="str">
        <f aca="false">IF(B277="","",ROW()-4)</f>
        <v/>
      </c>
      <c r="B277" s="12"/>
      <c r="C277" s="16"/>
      <c r="D277" s="16"/>
      <c r="E277" s="16"/>
      <c r="F277" s="16"/>
      <c r="G277" s="16"/>
      <c r="H277" s="16"/>
      <c r="I277" s="16"/>
      <c r="J277" s="16"/>
      <c r="K277" s="16"/>
      <c r="L277" s="13"/>
      <c r="M277" s="13"/>
      <c r="N277" s="13"/>
      <c r="O277" s="13"/>
      <c r="P277" s="13"/>
      <c r="Q277" s="13"/>
      <c r="R277" s="13"/>
      <c r="S277" s="13"/>
      <c r="T277" s="13"/>
      <c r="U277" s="12"/>
      <c r="V277" s="14"/>
      <c r="W277" s="16"/>
      <c r="X277" s="16"/>
      <c r="Y277" s="16"/>
      <c r="Z277" s="16"/>
      <c r="AA277" s="15" t="str">
        <f aca="false">IF(AND(ISNUMBER(L277),ISNUMBER(M277)),M277-L277,"")</f>
        <v/>
      </c>
      <c r="AB277" s="15" t="str">
        <f aca="false">IF(AND(ISNUMBER(M277),ISNUMBER(P277)),P277-M277,"")</f>
        <v/>
      </c>
      <c r="AC277" s="15" t="str">
        <f aca="false">IF(AND(ISNUMBER(L277),ISNUMBER(P277)),P277-L277,"")</f>
        <v/>
      </c>
      <c r="AD277" s="15" t="str">
        <f aca="false">IF(AND(ISNUMBER(P277),ISNUMBER(Q277)),Q277-P277,"")</f>
        <v/>
      </c>
      <c r="AE277" s="15" t="str">
        <f aca="false">IF(AND(ISNUMBER(Q277),ISNUMBER(R277)),R277-Q277,IF(ISNUMBER(Y277),Y277,""))</f>
        <v/>
      </c>
      <c r="AF277" s="15" t="str">
        <f aca="false">IF(AND(ISNUMBER(R277),ISNUMBER(S277)),S277-R277,"")</f>
        <v/>
      </c>
      <c r="AG277" s="15" t="str">
        <f aca="false">IF(AND(ISNUMBER(S277),ISNUMBER(T277)),T277-S277,"")</f>
        <v/>
      </c>
      <c r="AH277" s="15" t="str">
        <f aca="false">IF(AND(ISNUMBER(L277),ISNUMBER(T277)),T277-L277,"")</f>
        <v/>
      </c>
      <c r="AI277" s="15" t="str">
        <f aca="false">IF(AND(ISNUMBER(O277),ISNUMBER(Q277)),Q277-O277,"")</f>
        <v/>
      </c>
      <c r="AJ277" s="15" t="str">
        <f aca="false">IF(B277="","",COUNT(L277:M277,P277:T277)&amp;"/7")</f>
        <v/>
      </c>
      <c r="AK277" s="15" t="str">
        <f aca="false">IF(B277="","",IF(OR(AND(ISNUMBER(L277),ISNUMBER(M277),M277&lt;L277),AND(ISNUMBER(M277),ISNUMBER(P277),P277&lt;M277),AND(ISNUMBER(P277),ISNUMBER(Q277),Q277&lt;P277),AND(ISNUMBER(Q277),ISNUMBER(R277),R277&lt;Q277),AND(ISNUMBER(R277),ISNUMBER(S277),S277&lt;R277),AND(ISNUMBER(S277),ISNUMBER(T277),T277&lt;S277),AND(ISNUMBER(N277),ISNUMBER(O277),O277&lt;N277)),"Urutan tanggal salah",IF(AND(ISNUMBER(Q277),ISNUMBER(R277),ISNUMBER(Y277),ABS(R277-Q277-Y277)&gt;2),"S tanggal ≠ Sailing tercatat",IF(AND(ISNUMBER(Q277),ISNUMBER(O277),ABS(Q277-O277)&gt;60),"Cek tahun laycan",IF(AND(ISNUMBER(Q277),ISNUMBER(N277),Q277&lt;N277),"Berangkat sebelum laycan",IF(NOT(ISNUMBER(AE277)),"S belum ada","OK"))))))</f>
        <v/>
      </c>
    </row>
    <row r="278" customFormat="false" ht="15" hidden="false" customHeight="false" outlineLevel="0" collapsed="false">
      <c r="A278" s="16" t="str">
        <f aca="false">IF(B278="","",ROW()-4)</f>
        <v/>
      </c>
      <c r="B278" s="12"/>
      <c r="C278" s="16"/>
      <c r="D278" s="16"/>
      <c r="E278" s="16"/>
      <c r="F278" s="16"/>
      <c r="G278" s="16"/>
      <c r="H278" s="16"/>
      <c r="I278" s="16"/>
      <c r="J278" s="16"/>
      <c r="K278" s="16"/>
      <c r="L278" s="13"/>
      <c r="M278" s="13"/>
      <c r="N278" s="13"/>
      <c r="O278" s="13"/>
      <c r="P278" s="13"/>
      <c r="Q278" s="13"/>
      <c r="R278" s="13"/>
      <c r="S278" s="13"/>
      <c r="T278" s="13"/>
      <c r="U278" s="12"/>
      <c r="V278" s="14"/>
      <c r="W278" s="16"/>
      <c r="X278" s="16"/>
      <c r="Y278" s="16"/>
      <c r="Z278" s="16"/>
      <c r="AA278" s="15" t="str">
        <f aca="false">IF(AND(ISNUMBER(L278),ISNUMBER(M278)),M278-L278,"")</f>
        <v/>
      </c>
      <c r="AB278" s="15" t="str">
        <f aca="false">IF(AND(ISNUMBER(M278),ISNUMBER(P278)),P278-M278,"")</f>
        <v/>
      </c>
      <c r="AC278" s="15" t="str">
        <f aca="false">IF(AND(ISNUMBER(L278),ISNUMBER(P278)),P278-L278,"")</f>
        <v/>
      </c>
      <c r="AD278" s="15" t="str">
        <f aca="false">IF(AND(ISNUMBER(P278),ISNUMBER(Q278)),Q278-P278,"")</f>
        <v/>
      </c>
      <c r="AE278" s="15" t="str">
        <f aca="false">IF(AND(ISNUMBER(Q278),ISNUMBER(R278)),R278-Q278,IF(ISNUMBER(Y278),Y278,""))</f>
        <v/>
      </c>
      <c r="AF278" s="15" t="str">
        <f aca="false">IF(AND(ISNUMBER(R278),ISNUMBER(S278)),S278-R278,"")</f>
        <v/>
      </c>
      <c r="AG278" s="15" t="str">
        <f aca="false">IF(AND(ISNUMBER(S278),ISNUMBER(T278)),T278-S278,"")</f>
        <v/>
      </c>
      <c r="AH278" s="15" t="str">
        <f aca="false">IF(AND(ISNUMBER(L278),ISNUMBER(T278)),T278-L278,"")</f>
        <v/>
      </c>
      <c r="AI278" s="15" t="str">
        <f aca="false">IF(AND(ISNUMBER(O278),ISNUMBER(Q278)),Q278-O278,"")</f>
        <v/>
      </c>
      <c r="AJ278" s="15" t="str">
        <f aca="false">IF(B278="","",COUNT(L278:M278,P278:T278)&amp;"/7")</f>
        <v/>
      </c>
      <c r="AK278" s="15" t="str">
        <f aca="false">IF(B278="","",IF(OR(AND(ISNUMBER(L278),ISNUMBER(M278),M278&lt;L278),AND(ISNUMBER(M278),ISNUMBER(P278),P278&lt;M278),AND(ISNUMBER(P278),ISNUMBER(Q278),Q278&lt;P278),AND(ISNUMBER(Q278),ISNUMBER(R278),R278&lt;Q278),AND(ISNUMBER(R278),ISNUMBER(S278),S278&lt;R278),AND(ISNUMBER(S278),ISNUMBER(T278),T278&lt;S278),AND(ISNUMBER(N278),ISNUMBER(O278),O278&lt;N278)),"Urutan tanggal salah",IF(AND(ISNUMBER(Q278),ISNUMBER(R278),ISNUMBER(Y278),ABS(R278-Q278-Y278)&gt;2),"S tanggal ≠ Sailing tercatat",IF(AND(ISNUMBER(Q278),ISNUMBER(O278),ABS(Q278-O278)&gt;60),"Cek tahun laycan",IF(AND(ISNUMBER(Q278),ISNUMBER(N278),Q278&lt;N278),"Berangkat sebelum laycan",IF(NOT(ISNUMBER(AE278)),"S belum ada","OK"))))))</f>
        <v/>
      </c>
    </row>
    <row r="279" customFormat="false" ht="15" hidden="false" customHeight="false" outlineLevel="0" collapsed="false">
      <c r="A279" s="16" t="str">
        <f aca="false">IF(B279="","",ROW()-4)</f>
        <v/>
      </c>
      <c r="B279" s="12"/>
      <c r="C279" s="16"/>
      <c r="D279" s="16"/>
      <c r="E279" s="16"/>
      <c r="F279" s="16"/>
      <c r="G279" s="16"/>
      <c r="H279" s="16"/>
      <c r="I279" s="16"/>
      <c r="J279" s="16"/>
      <c r="K279" s="16"/>
      <c r="L279" s="13"/>
      <c r="M279" s="13"/>
      <c r="N279" s="13"/>
      <c r="O279" s="13"/>
      <c r="P279" s="13"/>
      <c r="Q279" s="13"/>
      <c r="R279" s="13"/>
      <c r="S279" s="13"/>
      <c r="T279" s="13"/>
      <c r="U279" s="12"/>
      <c r="V279" s="14"/>
      <c r="W279" s="16"/>
      <c r="X279" s="16"/>
      <c r="Y279" s="16"/>
      <c r="Z279" s="16"/>
      <c r="AA279" s="15" t="str">
        <f aca="false">IF(AND(ISNUMBER(L279),ISNUMBER(M279)),M279-L279,"")</f>
        <v/>
      </c>
      <c r="AB279" s="15" t="str">
        <f aca="false">IF(AND(ISNUMBER(M279),ISNUMBER(P279)),P279-M279,"")</f>
        <v/>
      </c>
      <c r="AC279" s="15" t="str">
        <f aca="false">IF(AND(ISNUMBER(L279),ISNUMBER(P279)),P279-L279,"")</f>
        <v/>
      </c>
      <c r="AD279" s="15" t="str">
        <f aca="false">IF(AND(ISNUMBER(P279),ISNUMBER(Q279)),Q279-P279,"")</f>
        <v/>
      </c>
      <c r="AE279" s="15" t="str">
        <f aca="false">IF(AND(ISNUMBER(Q279),ISNUMBER(R279)),R279-Q279,IF(ISNUMBER(Y279),Y279,""))</f>
        <v/>
      </c>
      <c r="AF279" s="15" t="str">
        <f aca="false">IF(AND(ISNUMBER(R279),ISNUMBER(S279)),S279-R279,"")</f>
        <v/>
      </c>
      <c r="AG279" s="15" t="str">
        <f aca="false">IF(AND(ISNUMBER(S279),ISNUMBER(T279)),T279-S279,"")</f>
        <v/>
      </c>
      <c r="AH279" s="15" t="str">
        <f aca="false">IF(AND(ISNUMBER(L279),ISNUMBER(T279)),T279-L279,"")</f>
        <v/>
      </c>
      <c r="AI279" s="15" t="str">
        <f aca="false">IF(AND(ISNUMBER(O279),ISNUMBER(Q279)),Q279-O279,"")</f>
        <v/>
      </c>
      <c r="AJ279" s="15" t="str">
        <f aca="false">IF(B279="","",COUNT(L279:M279,P279:T279)&amp;"/7")</f>
        <v/>
      </c>
      <c r="AK279" s="15" t="str">
        <f aca="false">IF(B279="","",IF(OR(AND(ISNUMBER(L279),ISNUMBER(M279),M279&lt;L279),AND(ISNUMBER(M279),ISNUMBER(P279),P279&lt;M279),AND(ISNUMBER(P279),ISNUMBER(Q279),Q279&lt;P279),AND(ISNUMBER(Q279),ISNUMBER(R279),R279&lt;Q279),AND(ISNUMBER(R279),ISNUMBER(S279),S279&lt;R279),AND(ISNUMBER(S279),ISNUMBER(T279),T279&lt;S279),AND(ISNUMBER(N279),ISNUMBER(O279),O279&lt;N279)),"Urutan tanggal salah",IF(AND(ISNUMBER(Q279),ISNUMBER(R279),ISNUMBER(Y279),ABS(R279-Q279-Y279)&gt;2),"S tanggal ≠ Sailing tercatat",IF(AND(ISNUMBER(Q279),ISNUMBER(O279),ABS(Q279-O279)&gt;60),"Cek tahun laycan",IF(AND(ISNUMBER(Q279),ISNUMBER(N279),Q279&lt;N279),"Berangkat sebelum laycan",IF(NOT(ISNUMBER(AE279)),"S belum ada","OK"))))))</f>
        <v/>
      </c>
    </row>
    <row r="280" customFormat="false" ht="15" hidden="false" customHeight="false" outlineLevel="0" collapsed="false">
      <c r="A280" s="16" t="str">
        <f aca="false">IF(B280="","",ROW()-4)</f>
        <v/>
      </c>
      <c r="B280" s="12"/>
      <c r="C280" s="16"/>
      <c r="D280" s="16"/>
      <c r="E280" s="16"/>
      <c r="F280" s="16"/>
      <c r="G280" s="16"/>
      <c r="H280" s="16"/>
      <c r="I280" s="16"/>
      <c r="J280" s="16"/>
      <c r="K280" s="16"/>
      <c r="L280" s="13"/>
      <c r="M280" s="13"/>
      <c r="N280" s="13"/>
      <c r="O280" s="13"/>
      <c r="P280" s="13"/>
      <c r="Q280" s="13"/>
      <c r="R280" s="13"/>
      <c r="S280" s="13"/>
      <c r="T280" s="13"/>
      <c r="U280" s="12"/>
      <c r="V280" s="14"/>
      <c r="W280" s="16"/>
      <c r="X280" s="16"/>
      <c r="Y280" s="16"/>
      <c r="Z280" s="16"/>
      <c r="AA280" s="15" t="str">
        <f aca="false">IF(AND(ISNUMBER(L280),ISNUMBER(M280)),M280-L280,"")</f>
        <v/>
      </c>
      <c r="AB280" s="15" t="str">
        <f aca="false">IF(AND(ISNUMBER(M280),ISNUMBER(P280)),P280-M280,"")</f>
        <v/>
      </c>
      <c r="AC280" s="15" t="str">
        <f aca="false">IF(AND(ISNUMBER(L280),ISNUMBER(P280)),P280-L280,"")</f>
        <v/>
      </c>
      <c r="AD280" s="15" t="str">
        <f aca="false">IF(AND(ISNUMBER(P280),ISNUMBER(Q280)),Q280-P280,"")</f>
        <v/>
      </c>
      <c r="AE280" s="15" t="str">
        <f aca="false">IF(AND(ISNUMBER(Q280),ISNUMBER(R280)),R280-Q280,IF(ISNUMBER(Y280),Y280,""))</f>
        <v/>
      </c>
      <c r="AF280" s="15" t="str">
        <f aca="false">IF(AND(ISNUMBER(R280),ISNUMBER(S280)),S280-R280,"")</f>
        <v/>
      </c>
      <c r="AG280" s="15" t="str">
        <f aca="false">IF(AND(ISNUMBER(S280),ISNUMBER(T280)),T280-S280,"")</f>
        <v/>
      </c>
      <c r="AH280" s="15" t="str">
        <f aca="false">IF(AND(ISNUMBER(L280),ISNUMBER(T280)),T280-L280,"")</f>
        <v/>
      </c>
      <c r="AI280" s="15" t="str">
        <f aca="false">IF(AND(ISNUMBER(O280),ISNUMBER(Q280)),Q280-O280,"")</f>
        <v/>
      </c>
      <c r="AJ280" s="15" t="str">
        <f aca="false">IF(B280="","",COUNT(L280:M280,P280:T280)&amp;"/7")</f>
        <v/>
      </c>
      <c r="AK280" s="15" t="str">
        <f aca="false">IF(B280="","",IF(OR(AND(ISNUMBER(L280),ISNUMBER(M280),M280&lt;L280),AND(ISNUMBER(M280),ISNUMBER(P280),P280&lt;M280),AND(ISNUMBER(P280),ISNUMBER(Q280),Q280&lt;P280),AND(ISNUMBER(Q280),ISNUMBER(R280),R280&lt;Q280),AND(ISNUMBER(R280),ISNUMBER(S280),S280&lt;R280),AND(ISNUMBER(S280),ISNUMBER(T280),T280&lt;S280),AND(ISNUMBER(N280),ISNUMBER(O280),O280&lt;N280)),"Urutan tanggal salah",IF(AND(ISNUMBER(Q280),ISNUMBER(R280),ISNUMBER(Y280),ABS(R280-Q280-Y280)&gt;2),"S tanggal ≠ Sailing tercatat",IF(AND(ISNUMBER(Q280),ISNUMBER(O280),ABS(Q280-O280)&gt;60),"Cek tahun laycan",IF(AND(ISNUMBER(Q280),ISNUMBER(N280),Q280&lt;N280),"Berangkat sebelum laycan",IF(NOT(ISNUMBER(AE280)),"S belum ada","OK"))))))</f>
        <v/>
      </c>
    </row>
    <row r="281" customFormat="false" ht="15" hidden="false" customHeight="false" outlineLevel="0" collapsed="false">
      <c r="A281" s="16" t="str">
        <f aca="false">IF(B281="","",ROW()-4)</f>
        <v/>
      </c>
      <c r="B281" s="12"/>
      <c r="C281" s="16"/>
      <c r="D281" s="16"/>
      <c r="E281" s="16"/>
      <c r="F281" s="16"/>
      <c r="G281" s="16"/>
      <c r="H281" s="16"/>
      <c r="I281" s="16"/>
      <c r="J281" s="16"/>
      <c r="K281" s="16"/>
      <c r="L281" s="13"/>
      <c r="M281" s="13"/>
      <c r="N281" s="13"/>
      <c r="O281" s="13"/>
      <c r="P281" s="13"/>
      <c r="Q281" s="13"/>
      <c r="R281" s="13"/>
      <c r="S281" s="13"/>
      <c r="T281" s="13"/>
      <c r="U281" s="12"/>
      <c r="V281" s="14"/>
      <c r="W281" s="16"/>
      <c r="X281" s="16"/>
      <c r="Y281" s="16"/>
      <c r="Z281" s="16"/>
      <c r="AA281" s="15" t="str">
        <f aca="false">IF(AND(ISNUMBER(L281),ISNUMBER(M281)),M281-L281,"")</f>
        <v/>
      </c>
      <c r="AB281" s="15" t="str">
        <f aca="false">IF(AND(ISNUMBER(M281),ISNUMBER(P281)),P281-M281,"")</f>
        <v/>
      </c>
      <c r="AC281" s="15" t="str">
        <f aca="false">IF(AND(ISNUMBER(L281),ISNUMBER(P281)),P281-L281,"")</f>
        <v/>
      </c>
      <c r="AD281" s="15" t="str">
        <f aca="false">IF(AND(ISNUMBER(P281),ISNUMBER(Q281)),Q281-P281,"")</f>
        <v/>
      </c>
      <c r="AE281" s="15" t="str">
        <f aca="false">IF(AND(ISNUMBER(Q281),ISNUMBER(R281)),R281-Q281,IF(ISNUMBER(Y281),Y281,""))</f>
        <v/>
      </c>
      <c r="AF281" s="15" t="str">
        <f aca="false">IF(AND(ISNUMBER(R281),ISNUMBER(S281)),S281-R281,"")</f>
        <v/>
      </c>
      <c r="AG281" s="15" t="str">
        <f aca="false">IF(AND(ISNUMBER(S281),ISNUMBER(T281)),T281-S281,"")</f>
        <v/>
      </c>
      <c r="AH281" s="15" t="str">
        <f aca="false">IF(AND(ISNUMBER(L281),ISNUMBER(T281)),T281-L281,"")</f>
        <v/>
      </c>
      <c r="AI281" s="15" t="str">
        <f aca="false">IF(AND(ISNUMBER(O281),ISNUMBER(Q281)),Q281-O281,"")</f>
        <v/>
      </c>
      <c r="AJ281" s="15" t="str">
        <f aca="false">IF(B281="","",COUNT(L281:M281,P281:T281)&amp;"/7")</f>
        <v/>
      </c>
      <c r="AK281" s="15" t="str">
        <f aca="false">IF(B281="","",IF(OR(AND(ISNUMBER(L281),ISNUMBER(M281),M281&lt;L281),AND(ISNUMBER(M281),ISNUMBER(P281),P281&lt;M281),AND(ISNUMBER(P281),ISNUMBER(Q281),Q281&lt;P281),AND(ISNUMBER(Q281),ISNUMBER(R281),R281&lt;Q281),AND(ISNUMBER(R281),ISNUMBER(S281),S281&lt;R281),AND(ISNUMBER(S281),ISNUMBER(T281),T281&lt;S281),AND(ISNUMBER(N281),ISNUMBER(O281),O281&lt;N281)),"Urutan tanggal salah",IF(AND(ISNUMBER(Q281),ISNUMBER(R281),ISNUMBER(Y281),ABS(R281-Q281-Y281)&gt;2),"S tanggal ≠ Sailing tercatat",IF(AND(ISNUMBER(Q281),ISNUMBER(O281),ABS(Q281-O281)&gt;60),"Cek tahun laycan",IF(AND(ISNUMBER(Q281),ISNUMBER(N281),Q281&lt;N281),"Berangkat sebelum laycan",IF(NOT(ISNUMBER(AE281)),"S belum ada","OK"))))))</f>
        <v/>
      </c>
    </row>
    <row r="282" customFormat="false" ht="15" hidden="false" customHeight="false" outlineLevel="0" collapsed="false">
      <c r="A282" s="16" t="str">
        <f aca="false">IF(B282="","",ROW()-4)</f>
        <v/>
      </c>
      <c r="B282" s="12"/>
      <c r="C282" s="16"/>
      <c r="D282" s="16"/>
      <c r="E282" s="16"/>
      <c r="F282" s="16"/>
      <c r="G282" s="16"/>
      <c r="H282" s="16"/>
      <c r="I282" s="16"/>
      <c r="J282" s="16"/>
      <c r="K282" s="16"/>
      <c r="L282" s="13"/>
      <c r="M282" s="13"/>
      <c r="N282" s="13"/>
      <c r="O282" s="13"/>
      <c r="P282" s="13"/>
      <c r="Q282" s="13"/>
      <c r="R282" s="13"/>
      <c r="S282" s="13"/>
      <c r="T282" s="13"/>
      <c r="U282" s="12"/>
      <c r="V282" s="14"/>
      <c r="W282" s="16"/>
      <c r="X282" s="16"/>
      <c r="Y282" s="16"/>
      <c r="Z282" s="16"/>
      <c r="AA282" s="15" t="str">
        <f aca="false">IF(AND(ISNUMBER(L282),ISNUMBER(M282)),M282-L282,"")</f>
        <v/>
      </c>
      <c r="AB282" s="15" t="str">
        <f aca="false">IF(AND(ISNUMBER(M282),ISNUMBER(P282)),P282-M282,"")</f>
        <v/>
      </c>
      <c r="AC282" s="15" t="str">
        <f aca="false">IF(AND(ISNUMBER(L282),ISNUMBER(P282)),P282-L282,"")</f>
        <v/>
      </c>
      <c r="AD282" s="15" t="str">
        <f aca="false">IF(AND(ISNUMBER(P282),ISNUMBER(Q282)),Q282-P282,"")</f>
        <v/>
      </c>
      <c r="AE282" s="15" t="str">
        <f aca="false">IF(AND(ISNUMBER(Q282),ISNUMBER(R282)),R282-Q282,IF(ISNUMBER(Y282),Y282,""))</f>
        <v/>
      </c>
      <c r="AF282" s="15" t="str">
        <f aca="false">IF(AND(ISNUMBER(R282),ISNUMBER(S282)),S282-R282,"")</f>
        <v/>
      </c>
      <c r="AG282" s="15" t="str">
        <f aca="false">IF(AND(ISNUMBER(S282),ISNUMBER(T282)),T282-S282,"")</f>
        <v/>
      </c>
      <c r="AH282" s="15" t="str">
        <f aca="false">IF(AND(ISNUMBER(L282),ISNUMBER(T282)),T282-L282,"")</f>
        <v/>
      </c>
      <c r="AI282" s="15" t="str">
        <f aca="false">IF(AND(ISNUMBER(O282),ISNUMBER(Q282)),Q282-O282,"")</f>
        <v/>
      </c>
      <c r="AJ282" s="15" t="str">
        <f aca="false">IF(B282="","",COUNT(L282:M282,P282:T282)&amp;"/7")</f>
        <v/>
      </c>
      <c r="AK282" s="15" t="str">
        <f aca="false">IF(B282="","",IF(OR(AND(ISNUMBER(L282),ISNUMBER(M282),M282&lt;L282),AND(ISNUMBER(M282),ISNUMBER(P282),P282&lt;M282),AND(ISNUMBER(P282),ISNUMBER(Q282),Q282&lt;P282),AND(ISNUMBER(Q282),ISNUMBER(R282),R282&lt;Q282),AND(ISNUMBER(R282),ISNUMBER(S282),S282&lt;R282),AND(ISNUMBER(S282),ISNUMBER(T282),T282&lt;S282),AND(ISNUMBER(N282),ISNUMBER(O282),O282&lt;N282)),"Urutan tanggal salah",IF(AND(ISNUMBER(Q282),ISNUMBER(R282),ISNUMBER(Y282),ABS(R282-Q282-Y282)&gt;2),"S tanggal ≠ Sailing tercatat",IF(AND(ISNUMBER(Q282),ISNUMBER(O282),ABS(Q282-O282)&gt;60),"Cek tahun laycan",IF(AND(ISNUMBER(Q282),ISNUMBER(N282),Q282&lt;N282),"Berangkat sebelum laycan",IF(NOT(ISNUMBER(AE282)),"S belum ada","OK"))))))</f>
        <v/>
      </c>
    </row>
    <row r="283" customFormat="false" ht="15" hidden="false" customHeight="false" outlineLevel="0" collapsed="false">
      <c r="A283" s="16" t="str">
        <f aca="false">IF(B283="","",ROW()-4)</f>
        <v/>
      </c>
      <c r="B283" s="12"/>
      <c r="C283" s="16"/>
      <c r="D283" s="16"/>
      <c r="E283" s="16"/>
      <c r="F283" s="16"/>
      <c r="G283" s="16"/>
      <c r="H283" s="16"/>
      <c r="I283" s="16"/>
      <c r="J283" s="16"/>
      <c r="K283" s="16"/>
      <c r="L283" s="13"/>
      <c r="M283" s="13"/>
      <c r="N283" s="13"/>
      <c r="O283" s="13"/>
      <c r="P283" s="13"/>
      <c r="Q283" s="13"/>
      <c r="R283" s="13"/>
      <c r="S283" s="13"/>
      <c r="T283" s="13"/>
      <c r="U283" s="12"/>
      <c r="V283" s="14"/>
      <c r="W283" s="16"/>
      <c r="X283" s="16"/>
      <c r="Y283" s="16"/>
      <c r="Z283" s="16"/>
      <c r="AA283" s="15" t="str">
        <f aca="false">IF(AND(ISNUMBER(L283),ISNUMBER(M283)),M283-L283,"")</f>
        <v/>
      </c>
      <c r="AB283" s="15" t="str">
        <f aca="false">IF(AND(ISNUMBER(M283),ISNUMBER(P283)),P283-M283,"")</f>
        <v/>
      </c>
      <c r="AC283" s="15" t="str">
        <f aca="false">IF(AND(ISNUMBER(L283),ISNUMBER(P283)),P283-L283,"")</f>
        <v/>
      </c>
      <c r="AD283" s="15" t="str">
        <f aca="false">IF(AND(ISNUMBER(P283),ISNUMBER(Q283)),Q283-P283,"")</f>
        <v/>
      </c>
      <c r="AE283" s="15" t="str">
        <f aca="false">IF(AND(ISNUMBER(Q283),ISNUMBER(R283)),R283-Q283,IF(ISNUMBER(Y283),Y283,""))</f>
        <v/>
      </c>
      <c r="AF283" s="15" t="str">
        <f aca="false">IF(AND(ISNUMBER(R283),ISNUMBER(S283)),S283-R283,"")</f>
        <v/>
      </c>
      <c r="AG283" s="15" t="str">
        <f aca="false">IF(AND(ISNUMBER(S283),ISNUMBER(T283)),T283-S283,"")</f>
        <v/>
      </c>
      <c r="AH283" s="15" t="str">
        <f aca="false">IF(AND(ISNUMBER(L283),ISNUMBER(T283)),T283-L283,"")</f>
        <v/>
      </c>
      <c r="AI283" s="15" t="str">
        <f aca="false">IF(AND(ISNUMBER(O283),ISNUMBER(Q283)),Q283-O283,"")</f>
        <v/>
      </c>
      <c r="AJ283" s="15" t="str">
        <f aca="false">IF(B283="","",COUNT(L283:M283,P283:T283)&amp;"/7")</f>
        <v/>
      </c>
      <c r="AK283" s="15" t="str">
        <f aca="false">IF(B283="","",IF(OR(AND(ISNUMBER(L283),ISNUMBER(M283),M283&lt;L283),AND(ISNUMBER(M283),ISNUMBER(P283),P283&lt;M283),AND(ISNUMBER(P283),ISNUMBER(Q283),Q283&lt;P283),AND(ISNUMBER(Q283),ISNUMBER(R283),R283&lt;Q283),AND(ISNUMBER(R283),ISNUMBER(S283),S283&lt;R283),AND(ISNUMBER(S283),ISNUMBER(T283),T283&lt;S283),AND(ISNUMBER(N283),ISNUMBER(O283),O283&lt;N283)),"Urutan tanggal salah",IF(AND(ISNUMBER(Q283),ISNUMBER(R283),ISNUMBER(Y283),ABS(R283-Q283-Y283)&gt;2),"S tanggal ≠ Sailing tercatat",IF(AND(ISNUMBER(Q283),ISNUMBER(O283),ABS(Q283-O283)&gt;60),"Cek tahun laycan",IF(AND(ISNUMBER(Q283),ISNUMBER(N283),Q283&lt;N283),"Berangkat sebelum laycan",IF(NOT(ISNUMBER(AE283)),"S belum ada","OK"))))))</f>
        <v/>
      </c>
    </row>
    <row r="284" customFormat="false" ht="15" hidden="false" customHeight="false" outlineLevel="0" collapsed="false">
      <c r="A284" s="16" t="str">
        <f aca="false">IF(B284="","",ROW()-4)</f>
        <v/>
      </c>
      <c r="B284" s="12"/>
      <c r="C284" s="16"/>
      <c r="D284" s="16"/>
      <c r="E284" s="16"/>
      <c r="F284" s="16"/>
      <c r="G284" s="16"/>
      <c r="H284" s="16"/>
      <c r="I284" s="16"/>
      <c r="J284" s="16"/>
      <c r="K284" s="16"/>
      <c r="L284" s="13"/>
      <c r="M284" s="13"/>
      <c r="N284" s="13"/>
      <c r="O284" s="13"/>
      <c r="P284" s="13"/>
      <c r="Q284" s="13"/>
      <c r="R284" s="13"/>
      <c r="S284" s="13"/>
      <c r="T284" s="13"/>
      <c r="U284" s="12"/>
      <c r="V284" s="14"/>
      <c r="W284" s="16"/>
      <c r="X284" s="16"/>
      <c r="Y284" s="16"/>
      <c r="Z284" s="16"/>
      <c r="AA284" s="15" t="str">
        <f aca="false">IF(AND(ISNUMBER(L284),ISNUMBER(M284)),M284-L284,"")</f>
        <v/>
      </c>
      <c r="AB284" s="15" t="str">
        <f aca="false">IF(AND(ISNUMBER(M284),ISNUMBER(P284)),P284-M284,"")</f>
        <v/>
      </c>
      <c r="AC284" s="15" t="str">
        <f aca="false">IF(AND(ISNUMBER(L284),ISNUMBER(P284)),P284-L284,"")</f>
        <v/>
      </c>
      <c r="AD284" s="15" t="str">
        <f aca="false">IF(AND(ISNUMBER(P284),ISNUMBER(Q284)),Q284-P284,"")</f>
        <v/>
      </c>
      <c r="AE284" s="15" t="str">
        <f aca="false">IF(AND(ISNUMBER(Q284),ISNUMBER(R284)),R284-Q284,IF(ISNUMBER(Y284),Y284,""))</f>
        <v/>
      </c>
      <c r="AF284" s="15" t="str">
        <f aca="false">IF(AND(ISNUMBER(R284),ISNUMBER(S284)),S284-R284,"")</f>
        <v/>
      </c>
      <c r="AG284" s="15" t="str">
        <f aca="false">IF(AND(ISNUMBER(S284),ISNUMBER(T284)),T284-S284,"")</f>
        <v/>
      </c>
      <c r="AH284" s="15" t="str">
        <f aca="false">IF(AND(ISNUMBER(L284),ISNUMBER(T284)),T284-L284,"")</f>
        <v/>
      </c>
      <c r="AI284" s="15" t="str">
        <f aca="false">IF(AND(ISNUMBER(O284),ISNUMBER(Q284)),Q284-O284,"")</f>
        <v/>
      </c>
      <c r="AJ284" s="15" t="str">
        <f aca="false">IF(B284="","",COUNT(L284:M284,P284:T284)&amp;"/7")</f>
        <v/>
      </c>
      <c r="AK284" s="15" t="str">
        <f aca="false">IF(B284="","",IF(OR(AND(ISNUMBER(L284),ISNUMBER(M284),M284&lt;L284),AND(ISNUMBER(M284),ISNUMBER(P284),P284&lt;M284),AND(ISNUMBER(P284),ISNUMBER(Q284),Q284&lt;P284),AND(ISNUMBER(Q284),ISNUMBER(R284),R284&lt;Q284),AND(ISNUMBER(R284),ISNUMBER(S284),S284&lt;R284),AND(ISNUMBER(S284),ISNUMBER(T284),T284&lt;S284),AND(ISNUMBER(N284),ISNUMBER(O284),O284&lt;N284)),"Urutan tanggal salah",IF(AND(ISNUMBER(Q284),ISNUMBER(R284),ISNUMBER(Y284),ABS(R284-Q284-Y284)&gt;2),"S tanggal ≠ Sailing tercatat",IF(AND(ISNUMBER(Q284),ISNUMBER(O284),ABS(Q284-O284)&gt;60),"Cek tahun laycan",IF(AND(ISNUMBER(Q284),ISNUMBER(N284),Q284&lt;N284),"Berangkat sebelum laycan",IF(NOT(ISNUMBER(AE284)),"S belum ada","OK"))))))</f>
        <v/>
      </c>
    </row>
    <row r="285" customFormat="false" ht="15" hidden="false" customHeight="false" outlineLevel="0" collapsed="false">
      <c r="A285" s="16" t="str">
        <f aca="false">IF(B285="","",ROW()-4)</f>
        <v/>
      </c>
      <c r="B285" s="12"/>
      <c r="C285" s="16"/>
      <c r="D285" s="16"/>
      <c r="E285" s="16"/>
      <c r="F285" s="16"/>
      <c r="G285" s="16"/>
      <c r="H285" s="16"/>
      <c r="I285" s="16"/>
      <c r="J285" s="16"/>
      <c r="K285" s="16"/>
      <c r="L285" s="13"/>
      <c r="M285" s="13"/>
      <c r="N285" s="13"/>
      <c r="O285" s="13"/>
      <c r="P285" s="13"/>
      <c r="Q285" s="13"/>
      <c r="R285" s="13"/>
      <c r="S285" s="13"/>
      <c r="T285" s="13"/>
      <c r="U285" s="12"/>
      <c r="V285" s="14"/>
      <c r="W285" s="16"/>
      <c r="X285" s="16"/>
      <c r="Y285" s="16"/>
      <c r="Z285" s="16"/>
      <c r="AA285" s="15" t="str">
        <f aca="false">IF(AND(ISNUMBER(L285),ISNUMBER(M285)),M285-L285,"")</f>
        <v/>
      </c>
      <c r="AB285" s="15" t="str">
        <f aca="false">IF(AND(ISNUMBER(M285),ISNUMBER(P285)),P285-M285,"")</f>
        <v/>
      </c>
      <c r="AC285" s="15" t="str">
        <f aca="false">IF(AND(ISNUMBER(L285),ISNUMBER(P285)),P285-L285,"")</f>
        <v/>
      </c>
      <c r="AD285" s="15" t="str">
        <f aca="false">IF(AND(ISNUMBER(P285),ISNUMBER(Q285)),Q285-P285,"")</f>
        <v/>
      </c>
      <c r="AE285" s="15" t="str">
        <f aca="false">IF(AND(ISNUMBER(Q285),ISNUMBER(R285)),R285-Q285,IF(ISNUMBER(Y285),Y285,""))</f>
        <v/>
      </c>
      <c r="AF285" s="15" t="str">
        <f aca="false">IF(AND(ISNUMBER(R285),ISNUMBER(S285)),S285-R285,"")</f>
        <v/>
      </c>
      <c r="AG285" s="15" t="str">
        <f aca="false">IF(AND(ISNUMBER(S285),ISNUMBER(T285)),T285-S285,"")</f>
        <v/>
      </c>
      <c r="AH285" s="15" t="str">
        <f aca="false">IF(AND(ISNUMBER(L285),ISNUMBER(T285)),T285-L285,"")</f>
        <v/>
      </c>
      <c r="AI285" s="15" t="str">
        <f aca="false">IF(AND(ISNUMBER(O285),ISNUMBER(Q285)),Q285-O285,"")</f>
        <v/>
      </c>
      <c r="AJ285" s="15" t="str">
        <f aca="false">IF(B285="","",COUNT(L285:M285,P285:T285)&amp;"/7")</f>
        <v/>
      </c>
      <c r="AK285" s="15" t="str">
        <f aca="false">IF(B285="","",IF(OR(AND(ISNUMBER(L285),ISNUMBER(M285),M285&lt;L285),AND(ISNUMBER(M285),ISNUMBER(P285),P285&lt;M285),AND(ISNUMBER(P285),ISNUMBER(Q285),Q285&lt;P285),AND(ISNUMBER(Q285),ISNUMBER(R285),R285&lt;Q285),AND(ISNUMBER(R285),ISNUMBER(S285),S285&lt;R285),AND(ISNUMBER(S285),ISNUMBER(T285),T285&lt;S285),AND(ISNUMBER(N285),ISNUMBER(O285),O285&lt;N285)),"Urutan tanggal salah",IF(AND(ISNUMBER(Q285),ISNUMBER(R285),ISNUMBER(Y285),ABS(R285-Q285-Y285)&gt;2),"S tanggal ≠ Sailing tercatat",IF(AND(ISNUMBER(Q285),ISNUMBER(O285),ABS(Q285-O285)&gt;60),"Cek tahun laycan",IF(AND(ISNUMBER(Q285),ISNUMBER(N285),Q285&lt;N285),"Berangkat sebelum laycan",IF(NOT(ISNUMBER(AE285)),"S belum ada","OK"))))))</f>
        <v/>
      </c>
    </row>
    <row r="286" customFormat="false" ht="15" hidden="false" customHeight="false" outlineLevel="0" collapsed="false">
      <c r="A286" s="16" t="str">
        <f aca="false">IF(B286="","",ROW()-4)</f>
        <v/>
      </c>
      <c r="B286" s="12"/>
      <c r="C286" s="16"/>
      <c r="D286" s="16"/>
      <c r="E286" s="16"/>
      <c r="F286" s="16"/>
      <c r="G286" s="16"/>
      <c r="H286" s="16"/>
      <c r="I286" s="16"/>
      <c r="J286" s="16"/>
      <c r="K286" s="16"/>
      <c r="L286" s="13"/>
      <c r="M286" s="13"/>
      <c r="N286" s="13"/>
      <c r="O286" s="13"/>
      <c r="P286" s="13"/>
      <c r="Q286" s="13"/>
      <c r="R286" s="13"/>
      <c r="S286" s="13"/>
      <c r="T286" s="13"/>
      <c r="U286" s="12"/>
      <c r="V286" s="14"/>
      <c r="W286" s="16"/>
      <c r="X286" s="16"/>
      <c r="Y286" s="16"/>
      <c r="Z286" s="16"/>
      <c r="AA286" s="15" t="str">
        <f aca="false">IF(AND(ISNUMBER(L286),ISNUMBER(M286)),M286-L286,"")</f>
        <v/>
      </c>
      <c r="AB286" s="15" t="str">
        <f aca="false">IF(AND(ISNUMBER(M286),ISNUMBER(P286)),P286-M286,"")</f>
        <v/>
      </c>
      <c r="AC286" s="15" t="str">
        <f aca="false">IF(AND(ISNUMBER(L286),ISNUMBER(P286)),P286-L286,"")</f>
        <v/>
      </c>
      <c r="AD286" s="15" t="str">
        <f aca="false">IF(AND(ISNUMBER(P286),ISNUMBER(Q286)),Q286-P286,"")</f>
        <v/>
      </c>
      <c r="AE286" s="15" t="str">
        <f aca="false">IF(AND(ISNUMBER(Q286),ISNUMBER(R286)),R286-Q286,IF(ISNUMBER(Y286),Y286,""))</f>
        <v/>
      </c>
      <c r="AF286" s="15" t="str">
        <f aca="false">IF(AND(ISNUMBER(R286),ISNUMBER(S286)),S286-R286,"")</f>
        <v/>
      </c>
      <c r="AG286" s="15" t="str">
        <f aca="false">IF(AND(ISNUMBER(S286),ISNUMBER(T286)),T286-S286,"")</f>
        <v/>
      </c>
      <c r="AH286" s="15" t="str">
        <f aca="false">IF(AND(ISNUMBER(L286),ISNUMBER(T286)),T286-L286,"")</f>
        <v/>
      </c>
      <c r="AI286" s="15" t="str">
        <f aca="false">IF(AND(ISNUMBER(O286),ISNUMBER(Q286)),Q286-O286,"")</f>
        <v/>
      </c>
      <c r="AJ286" s="15" t="str">
        <f aca="false">IF(B286="","",COUNT(L286:M286,P286:T286)&amp;"/7")</f>
        <v/>
      </c>
      <c r="AK286" s="15" t="str">
        <f aca="false">IF(B286="","",IF(OR(AND(ISNUMBER(L286),ISNUMBER(M286),M286&lt;L286),AND(ISNUMBER(M286),ISNUMBER(P286),P286&lt;M286),AND(ISNUMBER(P286),ISNUMBER(Q286),Q286&lt;P286),AND(ISNUMBER(Q286),ISNUMBER(R286),R286&lt;Q286),AND(ISNUMBER(R286),ISNUMBER(S286),S286&lt;R286),AND(ISNUMBER(S286),ISNUMBER(T286),T286&lt;S286),AND(ISNUMBER(N286),ISNUMBER(O286),O286&lt;N286)),"Urutan tanggal salah",IF(AND(ISNUMBER(Q286),ISNUMBER(R286),ISNUMBER(Y286),ABS(R286-Q286-Y286)&gt;2),"S tanggal ≠ Sailing tercatat",IF(AND(ISNUMBER(Q286),ISNUMBER(O286),ABS(Q286-O286)&gt;60),"Cek tahun laycan",IF(AND(ISNUMBER(Q286),ISNUMBER(N286),Q286&lt;N286),"Berangkat sebelum laycan",IF(NOT(ISNUMBER(AE286)),"S belum ada","OK"))))))</f>
        <v/>
      </c>
    </row>
    <row r="287" customFormat="false" ht="15" hidden="false" customHeight="false" outlineLevel="0" collapsed="false">
      <c r="A287" s="16" t="str">
        <f aca="false">IF(B287="","",ROW()-4)</f>
        <v/>
      </c>
      <c r="B287" s="12"/>
      <c r="C287" s="16"/>
      <c r="D287" s="16"/>
      <c r="E287" s="16"/>
      <c r="F287" s="16"/>
      <c r="G287" s="16"/>
      <c r="H287" s="16"/>
      <c r="I287" s="16"/>
      <c r="J287" s="16"/>
      <c r="K287" s="16"/>
      <c r="L287" s="13"/>
      <c r="M287" s="13"/>
      <c r="N287" s="13"/>
      <c r="O287" s="13"/>
      <c r="P287" s="13"/>
      <c r="Q287" s="13"/>
      <c r="R287" s="13"/>
      <c r="S287" s="13"/>
      <c r="T287" s="13"/>
      <c r="U287" s="12"/>
      <c r="V287" s="14"/>
      <c r="W287" s="16"/>
      <c r="X287" s="16"/>
      <c r="Y287" s="16"/>
      <c r="Z287" s="16"/>
      <c r="AA287" s="15" t="str">
        <f aca="false">IF(AND(ISNUMBER(L287),ISNUMBER(M287)),M287-L287,"")</f>
        <v/>
      </c>
      <c r="AB287" s="15" t="str">
        <f aca="false">IF(AND(ISNUMBER(M287),ISNUMBER(P287)),P287-M287,"")</f>
        <v/>
      </c>
      <c r="AC287" s="15" t="str">
        <f aca="false">IF(AND(ISNUMBER(L287),ISNUMBER(P287)),P287-L287,"")</f>
        <v/>
      </c>
      <c r="AD287" s="15" t="str">
        <f aca="false">IF(AND(ISNUMBER(P287),ISNUMBER(Q287)),Q287-P287,"")</f>
        <v/>
      </c>
      <c r="AE287" s="15" t="str">
        <f aca="false">IF(AND(ISNUMBER(Q287),ISNUMBER(R287)),R287-Q287,IF(ISNUMBER(Y287),Y287,""))</f>
        <v/>
      </c>
      <c r="AF287" s="15" t="str">
        <f aca="false">IF(AND(ISNUMBER(R287),ISNUMBER(S287)),S287-R287,"")</f>
        <v/>
      </c>
      <c r="AG287" s="15" t="str">
        <f aca="false">IF(AND(ISNUMBER(S287),ISNUMBER(T287)),T287-S287,"")</f>
        <v/>
      </c>
      <c r="AH287" s="15" t="str">
        <f aca="false">IF(AND(ISNUMBER(L287),ISNUMBER(T287)),T287-L287,"")</f>
        <v/>
      </c>
      <c r="AI287" s="15" t="str">
        <f aca="false">IF(AND(ISNUMBER(O287),ISNUMBER(Q287)),Q287-O287,"")</f>
        <v/>
      </c>
      <c r="AJ287" s="15" t="str">
        <f aca="false">IF(B287="","",COUNT(L287:M287,P287:T287)&amp;"/7")</f>
        <v/>
      </c>
      <c r="AK287" s="15" t="str">
        <f aca="false">IF(B287="","",IF(OR(AND(ISNUMBER(L287),ISNUMBER(M287),M287&lt;L287),AND(ISNUMBER(M287),ISNUMBER(P287),P287&lt;M287),AND(ISNUMBER(P287),ISNUMBER(Q287),Q287&lt;P287),AND(ISNUMBER(Q287),ISNUMBER(R287),R287&lt;Q287),AND(ISNUMBER(R287),ISNUMBER(S287),S287&lt;R287),AND(ISNUMBER(S287),ISNUMBER(T287),T287&lt;S287),AND(ISNUMBER(N287),ISNUMBER(O287),O287&lt;N287)),"Urutan tanggal salah",IF(AND(ISNUMBER(Q287),ISNUMBER(R287),ISNUMBER(Y287),ABS(R287-Q287-Y287)&gt;2),"S tanggal ≠ Sailing tercatat",IF(AND(ISNUMBER(Q287),ISNUMBER(O287),ABS(Q287-O287)&gt;60),"Cek tahun laycan",IF(AND(ISNUMBER(Q287),ISNUMBER(N287),Q287&lt;N287),"Berangkat sebelum laycan",IF(NOT(ISNUMBER(AE287)),"S belum ada","OK"))))))</f>
        <v/>
      </c>
    </row>
    <row r="288" customFormat="false" ht="15" hidden="false" customHeight="false" outlineLevel="0" collapsed="false">
      <c r="A288" s="16" t="str">
        <f aca="false">IF(B288="","",ROW()-4)</f>
        <v/>
      </c>
      <c r="B288" s="12"/>
      <c r="C288" s="16"/>
      <c r="D288" s="16"/>
      <c r="E288" s="16"/>
      <c r="F288" s="16"/>
      <c r="G288" s="16"/>
      <c r="H288" s="16"/>
      <c r="I288" s="16"/>
      <c r="J288" s="16"/>
      <c r="K288" s="16"/>
      <c r="L288" s="13"/>
      <c r="M288" s="13"/>
      <c r="N288" s="13"/>
      <c r="O288" s="13"/>
      <c r="P288" s="13"/>
      <c r="Q288" s="13"/>
      <c r="R288" s="13"/>
      <c r="S288" s="13"/>
      <c r="T288" s="13"/>
      <c r="U288" s="12"/>
      <c r="V288" s="14"/>
      <c r="W288" s="16"/>
      <c r="X288" s="16"/>
      <c r="Y288" s="16"/>
      <c r="Z288" s="16"/>
      <c r="AA288" s="15" t="str">
        <f aca="false">IF(AND(ISNUMBER(L288),ISNUMBER(M288)),M288-L288,"")</f>
        <v/>
      </c>
      <c r="AB288" s="15" t="str">
        <f aca="false">IF(AND(ISNUMBER(M288),ISNUMBER(P288)),P288-M288,"")</f>
        <v/>
      </c>
      <c r="AC288" s="15" t="str">
        <f aca="false">IF(AND(ISNUMBER(L288),ISNUMBER(P288)),P288-L288,"")</f>
        <v/>
      </c>
      <c r="AD288" s="15" t="str">
        <f aca="false">IF(AND(ISNUMBER(P288),ISNUMBER(Q288)),Q288-P288,"")</f>
        <v/>
      </c>
      <c r="AE288" s="15" t="str">
        <f aca="false">IF(AND(ISNUMBER(Q288),ISNUMBER(R288)),R288-Q288,IF(ISNUMBER(Y288),Y288,""))</f>
        <v/>
      </c>
      <c r="AF288" s="15" t="str">
        <f aca="false">IF(AND(ISNUMBER(R288),ISNUMBER(S288)),S288-R288,"")</f>
        <v/>
      </c>
      <c r="AG288" s="15" t="str">
        <f aca="false">IF(AND(ISNUMBER(S288),ISNUMBER(T288)),T288-S288,"")</f>
        <v/>
      </c>
      <c r="AH288" s="15" t="str">
        <f aca="false">IF(AND(ISNUMBER(L288),ISNUMBER(T288)),T288-L288,"")</f>
        <v/>
      </c>
      <c r="AI288" s="15" t="str">
        <f aca="false">IF(AND(ISNUMBER(O288),ISNUMBER(Q288)),Q288-O288,"")</f>
        <v/>
      </c>
      <c r="AJ288" s="15" t="str">
        <f aca="false">IF(B288="","",COUNT(L288:M288,P288:T288)&amp;"/7")</f>
        <v/>
      </c>
      <c r="AK288" s="15" t="str">
        <f aca="false">IF(B288="","",IF(OR(AND(ISNUMBER(L288),ISNUMBER(M288),M288&lt;L288),AND(ISNUMBER(M288),ISNUMBER(P288),P288&lt;M288),AND(ISNUMBER(P288),ISNUMBER(Q288),Q288&lt;P288),AND(ISNUMBER(Q288),ISNUMBER(R288),R288&lt;Q288),AND(ISNUMBER(R288),ISNUMBER(S288),S288&lt;R288),AND(ISNUMBER(S288),ISNUMBER(T288),T288&lt;S288),AND(ISNUMBER(N288),ISNUMBER(O288),O288&lt;N288)),"Urutan tanggal salah",IF(AND(ISNUMBER(Q288),ISNUMBER(R288),ISNUMBER(Y288),ABS(R288-Q288-Y288)&gt;2),"S tanggal ≠ Sailing tercatat",IF(AND(ISNUMBER(Q288),ISNUMBER(O288),ABS(Q288-O288)&gt;60),"Cek tahun laycan",IF(AND(ISNUMBER(Q288),ISNUMBER(N288),Q288&lt;N288),"Berangkat sebelum laycan",IF(NOT(ISNUMBER(AE288)),"S belum ada","OK"))))))</f>
        <v/>
      </c>
    </row>
    <row r="289" customFormat="false" ht="15" hidden="false" customHeight="false" outlineLevel="0" collapsed="false">
      <c r="A289" s="16" t="str">
        <f aca="false">IF(B289="","",ROW()-4)</f>
        <v/>
      </c>
      <c r="B289" s="12"/>
      <c r="C289" s="16"/>
      <c r="D289" s="16"/>
      <c r="E289" s="16"/>
      <c r="F289" s="16"/>
      <c r="G289" s="16"/>
      <c r="H289" s="16"/>
      <c r="I289" s="16"/>
      <c r="J289" s="16"/>
      <c r="K289" s="16"/>
      <c r="L289" s="13"/>
      <c r="M289" s="13"/>
      <c r="N289" s="13"/>
      <c r="O289" s="13"/>
      <c r="P289" s="13"/>
      <c r="Q289" s="13"/>
      <c r="R289" s="13"/>
      <c r="S289" s="13"/>
      <c r="T289" s="13"/>
      <c r="U289" s="12"/>
      <c r="V289" s="14"/>
      <c r="W289" s="16"/>
      <c r="X289" s="16"/>
      <c r="Y289" s="16"/>
      <c r="Z289" s="16"/>
      <c r="AA289" s="15" t="str">
        <f aca="false">IF(AND(ISNUMBER(L289),ISNUMBER(M289)),M289-L289,"")</f>
        <v/>
      </c>
      <c r="AB289" s="15" t="str">
        <f aca="false">IF(AND(ISNUMBER(M289),ISNUMBER(P289)),P289-M289,"")</f>
        <v/>
      </c>
      <c r="AC289" s="15" t="str">
        <f aca="false">IF(AND(ISNUMBER(L289),ISNUMBER(P289)),P289-L289,"")</f>
        <v/>
      </c>
      <c r="AD289" s="15" t="str">
        <f aca="false">IF(AND(ISNUMBER(P289),ISNUMBER(Q289)),Q289-P289,"")</f>
        <v/>
      </c>
      <c r="AE289" s="15" t="str">
        <f aca="false">IF(AND(ISNUMBER(Q289),ISNUMBER(R289)),R289-Q289,IF(ISNUMBER(Y289),Y289,""))</f>
        <v/>
      </c>
      <c r="AF289" s="15" t="str">
        <f aca="false">IF(AND(ISNUMBER(R289),ISNUMBER(S289)),S289-R289,"")</f>
        <v/>
      </c>
      <c r="AG289" s="15" t="str">
        <f aca="false">IF(AND(ISNUMBER(S289),ISNUMBER(T289)),T289-S289,"")</f>
        <v/>
      </c>
      <c r="AH289" s="15" t="str">
        <f aca="false">IF(AND(ISNUMBER(L289),ISNUMBER(T289)),T289-L289,"")</f>
        <v/>
      </c>
      <c r="AI289" s="15" t="str">
        <f aca="false">IF(AND(ISNUMBER(O289),ISNUMBER(Q289)),Q289-O289,"")</f>
        <v/>
      </c>
      <c r="AJ289" s="15" t="str">
        <f aca="false">IF(B289="","",COUNT(L289:M289,P289:T289)&amp;"/7")</f>
        <v/>
      </c>
      <c r="AK289" s="15" t="str">
        <f aca="false">IF(B289="","",IF(OR(AND(ISNUMBER(L289),ISNUMBER(M289),M289&lt;L289),AND(ISNUMBER(M289),ISNUMBER(P289),P289&lt;M289),AND(ISNUMBER(P289),ISNUMBER(Q289),Q289&lt;P289),AND(ISNUMBER(Q289),ISNUMBER(R289),R289&lt;Q289),AND(ISNUMBER(R289),ISNUMBER(S289),S289&lt;R289),AND(ISNUMBER(S289),ISNUMBER(T289),T289&lt;S289),AND(ISNUMBER(N289),ISNUMBER(O289),O289&lt;N289)),"Urutan tanggal salah",IF(AND(ISNUMBER(Q289),ISNUMBER(R289),ISNUMBER(Y289),ABS(R289-Q289-Y289)&gt;2),"S tanggal ≠ Sailing tercatat",IF(AND(ISNUMBER(Q289),ISNUMBER(O289),ABS(Q289-O289)&gt;60),"Cek tahun laycan",IF(AND(ISNUMBER(Q289),ISNUMBER(N289),Q289&lt;N289),"Berangkat sebelum laycan",IF(NOT(ISNUMBER(AE289)),"S belum ada","OK"))))))</f>
        <v/>
      </c>
    </row>
    <row r="290" customFormat="false" ht="15" hidden="false" customHeight="false" outlineLevel="0" collapsed="false">
      <c r="A290" s="16" t="str">
        <f aca="false">IF(B290="","",ROW()-4)</f>
        <v/>
      </c>
      <c r="B290" s="12"/>
      <c r="C290" s="16"/>
      <c r="D290" s="16"/>
      <c r="E290" s="16"/>
      <c r="F290" s="16"/>
      <c r="G290" s="16"/>
      <c r="H290" s="16"/>
      <c r="I290" s="16"/>
      <c r="J290" s="16"/>
      <c r="K290" s="16"/>
      <c r="L290" s="13"/>
      <c r="M290" s="13"/>
      <c r="N290" s="13"/>
      <c r="O290" s="13"/>
      <c r="P290" s="13"/>
      <c r="Q290" s="13"/>
      <c r="R290" s="13"/>
      <c r="S290" s="13"/>
      <c r="T290" s="13"/>
      <c r="U290" s="12"/>
      <c r="V290" s="14"/>
      <c r="W290" s="16"/>
      <c r="X290" s="16"/>
      <c r="Y290" s="16"/>
      <c r="Z290" s="16"/>
      <c r="AA290" s="15" t="str">
        <f aca="false">IF(AND(ISNUMBER(L290),ISNUMBER(M290)),M290-L290,"")</f>
        <v/>
      </c>
      <c r="AB290" s="15" t="str">
        <f aca="false">IF(AND(ISNUMBER(M290),ISNUMBER(P290)),P290-M290,"")</f>
        <v/>
      </c>
      <c r="AC290" s="15" t="str">
        <f aca="false">IF(AND(ISNUMBER(L290),ISNUMBER(P290)),P290-L290,"")</f>
        <v/>
      </c>
      <c r="AD290" s="15" t="str">
        <f aca="false">IF(AND(ISNUMBER(P290),ISNUMBER(Q290)),Q290-P290,"")</f>
        <v/>
      </c>
      <c r="AE290" s="15" t="str">
        <f aca="false">IF(AND(ISNUMBER(Q290),ISNUMBER(R290)),R290-Q290,IF(ISNUMBER(Y290),Y290,""))</f>
        <v/>
      </c>
      <c r="AF290" s="15" t="str">
        <f aca="false">IF(AND(ISNUMBER(R290),ISNUMBER(S290)),S290-R290,"")</f>
        <v/>
      </c>
      <c r="AG290" s="15" t="str">
        <f aca="false">IF(AND(ISNUMBER(S290),ISNUMBER(T290)),T290-S290,"")</f>
        <v/>
      </c>
      <c r="AH290" s="15" t="str">
        <f aca="false">IF(AND(ISNUMBER(L290),ISNUMBER(T290)),T290-L290,"")</f>
        <v/>
      </c>
      <c r="AI290" s="15" t="str">
        <f aca="false">IF(AND(ISNUMBER(O290),ISNUMBER(Q290)),Q290-O290,"")</f>
        <v/>
      </c>
      <c r="AJ290" s="15" t="str">
        <f aca="false">IF(B290="","",COUNT(L290:M290,P290:T290)&amp;"/7")</f>
        <v/>
      </c>
      <c r="AK290" s="15" t="str">
        <f aca="false">IF(B290="","",IF(OR(AND(ISNUMBER(L290),ISNUMBER(M290),M290&lt;L290),AND(ISNUMBER(M290),ISNUMBER(P290),P290&lt;M290),AND(ISNUMBER(P290),ISNUMBER(Q290),Q290&lt;P290),AND(ISNUMBER(Q290),ISNUMBER(R290),R290&lt;Q290),AND(ISNUMBER(R290),ISNUMBER(S290),S290&lt;R290),AND(ISNUMBER(S290),ISNUMBER(T290),T290&lt;S290),AND(ISNUMBER(N290),ISNUMBER(O290),O290&lt;N290)),"Urutan tanggal salah",IF(AND(ISNUMBER(Q290),ISNUMBER(R290),ISNUMBER(Y290),ABS(R290-Q290-Y290)&gt;2),"S tanggal ≠ Sailing tercatat",IF(AND(ISNUMBER(Q290),ISNUMBER(O290),ABS(Q290-O290)&gt;60),"Cek tahun laycan",IF(AND(ISNUMBER(Q290),ISNUMBER(N290),Q290&lt;N290),"Berangkat sebelum laycan",IF(NOT(ISNUMBER(AE290)),"S belum ada","OK"))))))</f>
        <v/>
      </c>
    </row>
    <row r="291" customFormat="false" ht="15" hidden="false" customHeight="false" outlineLevel="0" collapsed="false">
      <c r="A291" s="16" t="str">
        <f aca="false">IF(B291="","",ROW()-4)</f>
        <v/>
      </c>
      <c r="B291" s="12"/>
      <c r="C291" s="16"/>
      <c r="D291" s="16"/>
      <c r="E291" s="16"/>
      <c r="F291" s="16"/>
      <c r="G291" s="16"/>
      <c r="H291" s="16"/>
      <c r="I291" s="16"/>
      <c r="J291" s="16"/>
      <c r="K291" s="16"/>
      <c r="L291" s="13"/>
      <c r="M291" s="13"/>
      <c r="N291" s="13"/>
      <c r="O291" s="13"/>
      <c r="P291" s="13"/>
      <c r="Q291" s="13"/>
      <c r="R291" s="13"/>
      <c r="S291" s="13"/>
      <c r="T291" s="13"/>
      <c r="U291" s="12"/>
      <c r="V291" s="14"/>
      <c r="W291" s="16"/>
      <c r="X291" s="16"/>
      <c r="Y291" s="16"/>
      <c r="Z291" s="16"/>
      <c r="AA291" s="15" t="str">
        <f aca="false">IF(AND(ISNUMBER(L291),ISNUMBER(M291)),M291-L291,"")</f>
        <v/>
      </c>
      <c r="AB291" s="15" t="str">
        <f aca="false">IF(AND(ISNUMBER(M291),ISNUMBER(P291)),P291-M291,"")</f>
        <v/>
      </c>
      <c r="AC291" s="15" t="str">
        <f aca="false">IF(AND(ISNUMBER(L291),ISNUMBER(P291)),P291-L291,"")</f>
        <v/>
      </c>
      <c r="AD291" s="15" t="str">
        <f aca="false">IF(AND(ISNUMBER(P291),ISNUMBER(Q291)),Q291-P291,"")</f>
        <v/>
      </c>
      <c r="AE291" s="15" t="str">
        <f aca="false">IF(AND(ISNUMBER(Q291),ISNUMBER(R291)),R291-Q291,IF(ISNUMBER(Y291),Y291,""))</f>
        <v/>
      </c>
      <c r="AF291" s="15" t="str">
        <f aca="false">IF(AND(ISNUMBER(R291),ISNUMBER(S291)),S291-R291,"")</f>
        <v/>
      </c>
      <c r="AG291" s="15" t="str">
        <f aca="false">IF(AND(ISNUMBER(S291),ISNUMBER(T291)),T291-S291,"")</f>
        <v/>
      </c>
      <c r="AH291" s="15" t="str">
        <f aca="false">IF(AND(ISNUMBER(L291),ISNUMBER(T291)),T291-L291,"")</f>
        <v/>
      </c>
      <c r="AI291" s="15" t="str">
        <f aca="false">IF(AND(ISNUMBER(O291),ISNUMBER(Q291)),Q291-O291,"")</f>
        <v/>
      </c>
      <c r="AJ291" s="15" t="str">
        <f aca="false">IF(B291="","",COUNT(L291:M291,P291:T291)&amp;"/7")</f>
        <v/>
      </c>
      <c r="AK291" s="15" t="str">
        <f aca="false">IF(B291="","",IF(OR(AND(ISNUMBER(L291),ISNUMBER(M291),M291&lt;L291),AND(ISNUMBER(M291),ISNUMBER(P291),P291&lt;M291),AND(ISNUMBER(P291),ISNUMBER(Q291),Q291&lt;P291),AND(ISNUMBER(Q291),ISNUMBER(R291),R291&lt;Q291),AND(ISNUMBER(R291),ISNUMBER(S291),S291&lt;R291),AND(ISNUMBER(S291),ISNUMBER(T291),T291&lt;S291),AND(ISNUMBER(N291),ISNUMBER(O291),O291&lt;N291)),"Urutan tanggal salah",IF(AND(ISNUMBER(Q291),ISNUMBER(R291),ISNUMBER(Y291),ABS(R291-Q291-Y291)&gt;2),"S tanggal ≠ Sailing tercatat",IF(AND(ISNUMBER(Q291),ISNUMBER(O291),ABS(Q291-O291)&gt;60),"Cek tahun laycan",IF(AND(ISNUMBER(Q291),ISNUMBER(N291),Q291&lt;N291),"Berangkat sebelum laycan",IF(NOT(ISNUMBER(AE291)),"S belum ada","OK"))))))</f>
        <v/>
      </c>
    </row>
    <row r="292" customFormat="false" ht="15" hidden="false" customHeight="false" outlineLevel="0" collapsed="false">
      <c r="A292" s="16" t="str">
        <f aca="false">IF(B292="","",ROW()-4)</f>
        <v/>
      </c>
      <c r="B292" s="12"/>
      <c r="C292" s="16"/>
      <c r="D292" s="16"/>
      <c r="E292" s="16"/>
      <c r="F292" s="16"/>
      <c r="G292" s="16"/>
      <c r="H292" s="16"/>
      <c r="I292" s="16"/>
      <c r="J292" s="16"/>
      <c r="K292" s="16"/>
      <c r="L292" s="13"/>
      <c r="M292" s="13"/>
      <c r="N292" s="13"/>
      <c r="O292" s="13"/>
      <c r="P292" s="13"/>
      <c r="Q292" s="13"/>
      <c r="R292" s="13"/>
      <c r="S292" s="13"/>
      <c r="T292" s="13"/>
      <c r="U292" s="12"/>
      <c r="V292" s="14"/>
      <c r="W292" s="16"/>
      <c r="X292" s="16"/>
      <c r="Y292" s="16"/>
      <c r="Z292" s="16"/>
      <c r="AA292" s="15" t="str">
        <f aca="false">IF(AND(ISNUMBER(L292),ISNUMBER(M292)),M292-L292,"")</f>
        <v/>
      </c>
      <c r="AB292" s="15" t="str">
        <f aca="false">IF(AND(ISNUMBER(M292),ISNUMBER(P292)),P292-M292,"")</f>
        <v/>
      </c>
      <c r="AC292" s="15" t="str">
        <f aca="false">IF(AND(ISNUMBER(L292),ISNUMBER(P292)),P292-L292,"")</f>
        <v/>
      </c>
      <c r="AD292" s="15" t="str">
        <f aca="false">IF(AND(ISNUMBER(P292),ISNUMBER(Q292)),Q292-P292,"")</f>
        <v/>
      </c>
      <c r="AE292" s="15" t="str">
        <f aca="false">IF(AND(ISNUMBER(Q292),ISNUMBER(R292)),R292-Q292,IF(ISNUMBER(Y292),Y292,""))</f>
        <v/>
      </c>
      <c r="AF292" s="15" t="str">
        <f aca="false">IF(AND(ISNUMBER(R292),ISNUMBER(S292)),S292-R292,"")</f>
        <v/>
      </c>
      <c r="AG292" s="15" t="str">
        <f aca="false">IF(AND(ISNUMBER(S292),ISNUMBER(T292)),T292-S292,"")</f>
        <v/>
      </c>
      <c r="AH292" s="15" t="str">
        <f aca="false">IF(AND(ISNUMBER(L292),ISNUMBER(T292)),T292-L292,"")</f>
        <v/>
      </c>
      <c r="AI292" s="15" t="str">
        <f aca="false">IF(AND(ISNUMBER(O292),ISNUMBER(Q292)),Q292-O292,"")</f>
        <v/>
      </c>
      <c r="AJ292" s="15" t="str">
        <f aca="false">IF(B292="","",COUNT(L292:M292,P292:T292)&amp;"/7")</f>
        <v/>
      </c>
      <c r="AK292" s="15" t="str">
        <f aca="false">IF(B292="","",IF(OR(AND(ISNUMBER(L292),ISNUMBER(M292),M292&lt;L292),AND(ISNUMBER(M292),ISNUMBER(P292),P292&lt;M292),AND(ISNUMBER(P292),ISNUMBER(Q292),Q292&lt;P292),AND(ISNUMBER(Q292),ISNUMBER(R292),R292&lt;Q292),AND(ISNUMBER(R292),ISNUMBER(S292),S292&lt;R292),AND(ISNUMBER(S292),ISNUMBER(T292),T292&lt;S292),AND(ISNUMBER(N292),ISNUMBER(O292),O292&lt;N292)),"Urutan tanggal salah",IF(AND(ISNUMBER(Q292),ISNUMBER(R292),ISNUMBER(Y292),ABS(R292-Q292-Y292)&gt;2),"S tanggal ≠ Sailing tercatat",IF(AND(ISNUMBER(Q292),ISNUMBER(O292),ABS(Q292-O292)&gt;60),"Cek tahun laycan",IF(AND(ISNUMBER(Q292),ISNUMBER(N292),Q292&lt;N292),"Berangkat sebelum laycan",IF(NOT(ISNUMBER(AE292)),"S belum ada","OK"))))))</f>
        <v/>
      </c>
    </row>
    <row r="293" customFormat="false" ht="15" hidden="false" customHeight="false" outlineLevel="0" collapsed="false">
      <c r="A293" s="16" t="str">
        <f aca="false">IF(B293="","",ROW()-4)</f>
        <v/>
      </c>
      <c r="B293" s="12"/>
      <c r="C293" s="16"/>
      <c r="D293" s="16"/>
      <c r="E293" s="16"/>
      <c r="F293" s="16"/>
      <c r="G293" s="16"/>
      <c r="H293" s="16"/>
      <c r="I293" s="16"/>
      <c r="J293" s="16"/>
      <c r="K293" s="16"/>
      <c r="L293" s="13"/>
      <c r="M293" s="13"/>
      <c r="N293" s="13"/>
      <c r="O293" s="13"/>
      <c r="P293" s="13"/>
      <c r="Q293" s="13"/>
      <c r="R293" s="13"/>
      <c r="S293" s="13"/>
      <c r="T293" s="13"/>
      <c r="U293" s="12"/>
      <c r="V293" s="14"/>
      <c r="W293" s="16"/>
      <c r="X293" s="16"/>
      <c r="Y293" s="16"/>
      <c r="Z293" s="16"/>
      <c r="AA293" s="15" t="str">
        <f aca="false">IF(AND(ISNUMBER(L293),ISNUMBER(M293)),M293-L293,"")</f>
        <v/>
      </c>
      <c r="AB293" s="15" t="str">
        <f aca="false">IF(AND(ISNUMBER(M293),ISNUMBER(P293)),P293-M293,"")</f>
        <v/>
      </c>
      <c r="AC293" s="15" t="str">
        <f aca="false">IF(AND(ISNUMBER(L293),ISNUMBER(P293)),P293-L293,"")</f>
        <v/>
      </c>
      <c r="AD293" s="15" t="str">
        <f aca="false">IF(AND(ISNUMBER(P293),ISNUMBER(Q293)),Q293-P293,"")</f>
        <v/>
      </c>
      <c r="AE293" s="15" t="str">
        <f aca="false">IF(AND(ISNUMBER(Q293),ISNUMBER(R293)),R293-Q293,IF(ISNUMBER(Y293),Y293,""))</f>
        <v/>
      </c>
      <c r="AF293" s="15" t="str">
        <f aca="false">IF(AND(ISNUMBER(R293),ISNUMBER(S293)),S293-R293,"")</f>
        <v/>
      </c>
      <c r="AG293" s="15" t="str">
        <f aca="false">IF(AND(ISNUMBER(S293),ISNUMBER(T293)),T293-S293,"")</f>
        <v/>
      </c>
      <c r="AH293" s="15" t="str">
        <f aca="false">IF(AND(ISNUMBER(L293),ISNUMBER(T293)),T293-L293,"")</f>
        <v/>
      </c>
      <c r="AI293" s="15" t="str">
        <f aca="false">IF(AND(ISNUMBER(O293),ISNUMBER(Q293)),Q293-O293,"")</f>
        <v/>
      </c>
      <c r="AJ293" s="15" t="str">
        <f aca="false">IF(B293="","",COUNT(L293:M293,P293:T293)&amp;"/7")</f>
        <v/>
      </c>
      <c r="AK293" s="15" t="str">
        <f aca="false">IF(B293="","",IF(OR(AND(ISNUMBER(L293),ISNUMBER(M293),M293&lt;L293),AND(ISNUMBER(M293),ISNUMBER(P293),P293&lt;M293),AND(ISNUMBER(P293),ISNUMBER(Q293),Q293&lt;P293),AND(ISNUMBER(Q293),ISNUMBER(R293),R293&lt;Q293),AND(ISNUMBER(R293),ISNUMBER(S293),S293&lt;R293),AND(ISNUMBER(S293),ISNUMBER(T293),T293&lt;S293),AND(ISNUMBER(N293),ISNUMBER(O293),O293&lt;N293)),"Urutan tanggal salah",IF(AND(ISNUMBER(Q293),ISNUMBER(R293),ISNUMBER(Y293),ABS(R293-Q293-Y293)&gt;2),"S tanggal ≠ Sailing tercatat",IF(AND(ISNUMBER(Q293),ISNUMBER(O293),ABS(Q293-O293)&gt;60),"Cek tahun laycan",IF(AND(ISNUMBER(Q293),ISNUMBER(N293),Q293&lt;N293),"Berangkat sebelum laycan",IF(NOT(ISNUMBER(AE293)),"S belum ada","OK"))))))</f>
        <v/>
      </c>
    </row>
    <row r="294" customFormat="false" ht="15" hidden="false" customHeight="false" outlineLevel="0" collapsed="false">
      <c r="A294" s="16" t="str">
        <f aca="false">IF(B294="","",ROW()-4)</f>
        <v/>
      </c>
      <c r="B294" s="12"/>
      <c r="C294" s="16"/>
      <c r="D294" s="16"/>
      <c r="E294" s="16"/>
      <c r="F294" s="16"/>
      <c r="G294" s="16"/>
      <c r="H294" s="16"/>
      <c r="I294" s="16"/>
      <c r="J294" s="16"/>
      <c r="K294" s="16"/>
      <c r="L294" s="13"/>
      <c r="M294" s="13"/>
      <c r="N294" s="13"/>
      <c r="O294" s="13"/>
      <c r="P294" s="13"/>
      <c r="Q294" s="13"/>
      <c r="R294" s="13"/>
      <c r="S294" s="13"/>
      <c r="T294" s="13"/>
      <c r="U294" s="12"/>
      <c r="V294" s="14"/>
      <c r="W294" s="16"/>
      <c r="X294" s="16"/>
      <c r="Y294" s="16"/>
      <c r="Z294" s="16"/>
      <c r="AA294" s="15" t="str">
        <f aca="false">IF(AND(ISNUMBER(L294),ISNUMBER(M294)),M294-L294,"")</f>
        <v/>
      </c>
      <c r="AB294" s="15" t="str">
        <f aca="false">IF(AND(ISNUMBER(M294),ISNUMBER(P294)),P294-M294,"")</f>
        <v/>
      </c>
      <c r="AC294" s="15" t="str">
        <f aca="false">IF(AND(ISNUMBER(L294),ISNUMBER(P294)),P294-L294,"")</f>
        <v/>
      </c>
      <c r="AD294" s="15" t="str">
        <f aca="false">IF(AND(ISNUMBER(P294),ISNUMBER(Q294)),Q294-P294,"")</f>
        <v/>
      </c>
      <c r="AE294" s="15" t="str">
        <f aca="false">IF(AND(ISNUMBER(Q294),ISNUMBER(R294)),R294-Q294,IF(ISNUMBER(Y294),Y294,""))</f>
        <v/>
      </c>
      <c r="AF294" s="15" t="str">
        <f aca="false">IF(AND(ISNUMBER(R294),ISNUMBER(S294)),S294-R294,"")</f>
        <v/>
      </c>
      <c r="AG294" s="15" t="str">
        <f aca="false">IF(AND(ISNUMBER(S294),ISNUMBER(T294)),T294-S294,"")</f>
        <v/>
      </c>
      <c r="AH294" s="15" t="str">
        <f aca="false">IF(AND(ISNUMBER(L294),ISNUMBER(T294)),T294-L294,"")</f>
        <v/>
      </c>
      <c r="AI294" s="15" t="str">
        <f aca="false">IF(AND(ISNUMBER(O294),ISNUMBER(Q294)),Q294-O294,"")</f>
        <v/>
      </c>
      <c r="AJ294" s="15" t="str">
        <f aca="false">IF(B294="","",COUNT(L294:M294,P294:T294)&amp;"/7")</f>
        <v/>
      </c>
      <c r="AK294" s="15" t="str">
        <f aca="false">IF(B294="","",IF(OR(AND(ISNUMBER(L294),ISNUMBER(M294),M294&lt;L294),AND(ISNUMBER(M294),ISNUMBER(P294),P294&lt;M294),AND(ISNUMBER(P294),ISNUMBER(Q294),Q294&lt;P294),AND(ISNUMBER(Q294),ISNUMBER(R294),R294&lt;Q294),AND(ISNUMBER(R294),ISNUMBER(S294),S294&lt;R294),AND(ISNUMBER(S294),ISNUMBER(T294),T294&lt;S294),AND(ISNUMBER(N294),ISNUMBER(O294),O294&lt;N294)),"Urutan tanggal salah",IF(AND(ISNUMBER(Q294),ISNUMBER(R294),ISNUMBER(Y294),ABS(R294-Q294-Y294)&gt;2),"S tanggal ≠ Sailing tercatat",IF(AND(ISNUMBER(Q294),ISNUMBER(O294),ABS(Q294-O294)&gt;60),"Cek tahun laycan",IF(AND(ISNUMBER(Q294),ISNUMBER(N294),Q294&lt;N294),"Berangkat sebelum laycan",IF(NOT(ISNUMBER(AE294)),"S belum ada","OK"))))))</f>
        <v/>
      </c>
    </row>
    <row r="295" customFormat="false" ht="15" hidden="false" customHeight="false" outlineLevel="0" collapsed="false">
      <c r="A295" s="16" t="str">
        <f aca="false">IF(B295="","",ROW()-4)</f>
        <v/>
      </c>
      <c r="B295" s="12"/>
      <c r="C295" s="16"/>
      <c r="D295" s="16"/>
      <c r="E295" s="16"/>
      <c r="F295" s="16"/>
      <c r="G295" s="16"/>
      <c r="H295" s="16"/>
      <c r="I295" s="16"/>
      <c r="J295" s="16"/>
      <c r="K295" s="16"/>
      <c r="L295" s="13"/>
      <c r="M295" s="13"/>
      <c r="N295" s="13"/>
      <c r="O295" s="13"/>
      <c r="P295" s="13"/>
      <c r="Q295" s="13"/>
      <c r="R295" s="13"/>
      <c r="S295" s="13"/>
      <c r="T295" s="13"/>
      <c r="U295" s="12"/>
      <c r="V295" s="14"/>
      <c r="W295" s="16"/>
      <c r="X295" s="16"/>
      <c r="Y295" s="16"/>
      <c r="Z295" s="16"/>
      <c r="AA295" s="15" t="str">
        <f aca="false">IF(AND(ISNUMBER(L295),ISNUMBER(M295)),M295-L295,"")</f>
        <v/>
      </c>
      <c r="AB295" s="15" t="str">
        <f aca="false">IF(AND(ISNUMBER(M295),ISNUMBER(P295)),P295-M295,"")</f>
        <v/>
      </c>
      <c r="AC295" s="15" t="str">
        <f aca="false">IF(AND(ISNUMBER(L295),ISNUMBER(P295)),P295-L295,"")</f>
        <v/>
      </c>
      <c r="AD295" s="15" t="str">
        <f aca="false">IF(AND(ISNUMBER(P295),ISNUMBER(Q295)),Q295-P295,"")</f>
        <v/>
      </c>
      <c r="AE295" s="15" t="str">
        <f aca="false">IF(AND(ISNUMBER(Q295),ISNUMBER(R295)),R295-Q295,IF(ISNUMBER(Y295),Y295,""))</f>
        <v/>
      </c>
      <c r="AF295" s="15" t="str">
        <f aca="false">IF(AND(ISNUMBER(R295),ISNUMBER(S295)),S295-R295,"")</f>
        <v/>
      </c>
      <c r="AG295" s="15" t="str">
        <f aca="false">IF(AND(ISNUMBER(S295),ISNUMBER(T295)),T295-S295,"")</f>
        <v/>
      </c>
      <c r="AH295" s="15" t="str">
        <f aca="false">IF(AND(ISNUMBER(L295),ISNUMBER(T295)),T295-L295,"")</f>
        <v/>
      </c>
      <c r="AI295" s="15" t="str">
        <f aca="false">IF(AND(ISNUMBER(O295),ISNUMBER(Q295)),Q295-O295,"")</f>
        <v/>
      </c>
      <c r="AJ295" s="15" t="str">
        <f aca="false">IF(B295="","",COUNT(L295:M295,P295:T295)&amp;"/7")</f>
        <v/>
      </c>
      <c r="AK295" s="15" t="str">
        <f aca="false">IF(B295="","",IF(OR(AND(ISNUMBER(L295),ISNUMBER(M295),M295&lt;L295),AND(ISNUMBER(M295),ISNUMBER(P295),P295&lt;M295),AND(ISNUMBER(P295),ISNUMBER(Q295),Q295&lt;P295),AND(ISNUMBER(Q295),ISNUMBER(R295),R295&lt;Q295),AND(ISNUMBER(R295),ISNUMBER(S295),S295&lt;R295),AND(ISNUMBER(S295),ISNUMBER(T295),T295&lt;S295),AND(ISNUMBER(N295),ISNUMBER(O295),O295&lt;N295)),"Urutan tanggal salah",IF(AND(ISNUMBER(Q295),ISNUMBER(R295),ISNUMBER(Y295),ABS(R295-Q295-Y295)&gt;2),"S tanggal ≠ Sailing tercatat",IF(AND(ISNUMBER(Q295),ISNUMBER(O295),ABS(Q295-O295)&gt;60),"Cek tahun laycan",IF(AND(ISNUMBER(Q295),ISNUMBER(N295),Q295&lt;N295),"Berangkat sebelum laycan",IF(NOT(ISNUMBER(AE295)),"S belum ada","OK"))))))</f>
        <v/>
      </c>
    </row>
    <row r="296" customFormat="false" ht="15" hidden="false" customHeight="false" outlineLevel="0" collapsed="false">
      <c r="A296" s="16" t="str">
        <f aca="false">IF(B296="","",ROW()-4)</f>
        <v/>
      </c>
      <c r="B296" s="12"/>
      <c r="C296" s="16"/>
      <c r="D296" s="16"/>
      <c r="E296" s="16"/>
      <c r="F296" s="16"/>
      <c r="G296" s="16"/>
      <c r="H296" s="16"/>
      <c r="I296" s="16"/>
      <c r="J296" s="16"/>
      <c r="K296" s="16"/>
      <c r="L296" s="13"/>
      <c r="M296" s="13"/>
      <c r="N296" s="13"/>
      <c r="O296" s="13"/>
      <c r="P296" s="13"/>
      <c r="Q296" s="13"/>
      <c r="R296" s="13"/>
      <c r="S296" s="13"/>
      <c r="T296" s="13"/>
      <c r="U296" s="12"/>
      <c r="V296" s="14"/>
      <c r="W296" s="16"/>
      <c r="X296" s="16"/>
      <c r="Y296" s="16"/>
      <c r="Z296" s="16"/>
      <c r="AA296" s="15" t="str">
        <f aca="false">IF(AND(ISNUMBER(L296),ISNUMBER(M296)),M296-L296,"")</f>
        <v/>
      </c>
      <c r="AB296" s="15" t="str">
        <f aca="false">IF(AND(ISNUMBER(M296),ISNUMBER(P296)),P296-M296,"")</f>
        <v/>
      </c>
      <c r="AC296" s="15" t="str">
        <f aca="false">IF(AND(ISNUMBER(L296),ISNUMBER(P296)),P296-L296,"")</f>
        <v/>
      </c>
      <c r="AD296" s="15" t="str">
        <f aca="false">IF(AND(ISNUMBER(P296),ISNUMBER(Q296)),Q296-P296,"")</f>
        <v/>
      </c>
      <c r="AE296" s="15" t="str">
        <f aca="false">IF(AND(ISNUMBER(Q296),ISNUMBER(R296)),R296-Q296,IF(ISNUMBER(Y296),Y296,""))</f>
        <v/>
      </c>
      <c r="AF296" s="15" t="str">
        <f aca="false">IF(AND(ISNUMBER(R296),ISNUMBER(S296)),S296-R296,"")</f>
        <v/>
      </c>
      <c r="AG296" s="15" t="str">
        <f aca="false">IF(AND(ISNUMBER(S296),ISNUMBER(T296)),T296-S296,"")</f>
        <v/>
      </c>
      <c r="AH296" s="15" t="str">
        <f aca="false">IF(AND(ISNUMBER(L296),ISNUMBER(T296)),T296-L296,"")</f>
        <v/>
      </c>
      <c r="AI296" s="15" t="str">
        <f aca="false">IF(AND(ISNUMBER(O296),ISNUMBER(Q296)),Q296-O296,"")</f>
        <v/>
      </c>
      <c r="AJ296" s="15" t="str">
        <f aca="false">IF(B296="","",COUNT(L296:M296,P296:T296)&amp;"/7")</f>
        <v/>
      </c>
      <c r="AK296" s="15" t="str">
        <f aca="false">IF(B296="","",IF(OR(AND(ISNUMBER(L296),ISNUMBER(M296),M296&lt;L296),AND(ISNUMBER(M296),ISNUMBER(P296),P296&lt;M296),AND(ISNUMBER(P296),ISNUMBER(Q296),Q296&lt;P296),AND(ISNUMBER(Q296),ISNUMBER(R296),R296&lt;Q296),AND(ISNUMBER(R296),ISNUMBER(S296),S296&lt;R296),AND(ISNUMBER(S296),ISNUMBER(T296),T296&lt;S296),AND(ISNUMBER(N296),ISNUMBER(O296),O296&lt;N296)),"Urutan tanggal salah",IF(AND(ISNUMBER(Q296),ISNUMBER(R296),ISNUMBER(Y296),ABS(R296-Q296-Y296)&gt;2),"S tanggal ≠ Sailing tercatat",IF(AND(ISNUMBER(Q296),ISNUMBER(O296),ABS(Q296-O296)&gt;60),"Cek tahun laycan",IF(AND(ISNUMBER(Q296),ISNUMBER(N296),Q296&lt;N296),"Berangkat sebelum laycan",IF(NOT(ISNUMBER(AE296)),"S belum ada","OK"))))))</f>
        <v/>
      </c>
    </row>
    <row r="297" customFormat="false" ht="15" hidden="false" customHeight="false" outlineLevel="0" collapsed="false">
      <c r="A297" s="16" t="str">
        <f aca="false">IF(B297="","",ROW()-4)</f>
        <v/>
      </c>
      <c r="B297" s="12"/>
      <c r="C297" s="16"/>
      <c r="D297" s="16"/>
      <c r="E297" s="16"/>
      <c r="F297" s="16"/>
      <c r="G297" s="16"/>
      <c r="H297" s="16"/>
      <c r="I297" s="16"/>
      <c r="J297" s="16"/>
      <c r="K297" s="16"/>
      <c r="L297" s="13"/>
      <c r="M297" s="13"/>
      <c r="N297" s="13"/>
      <c r="O297" s="13"/>
      <c r="P297" s="13"/>
      <c r="Q297" s="13"/>
      <c r="R297" s="13"/>
      <c r="S297" s="13"/>
      <c r="T297" s="13"/>
      <c r="U297" s="12"/>
      <c r="V297" s="14"/>
      <c r="W297" s="16"/>
      <c r="X297" s="16"/>
      <c r="Y297" s="16"/>
      <c r="Z297" s="16"/>
      <c r="AA297" s="15" t="str">
        <f aca="false">IF(AND(ISNUMBER(L297),ISNUMBER(M297)),M297-L297,"")</f>
        <v/>
      </c>
      <c r="AB297" s="15" t="str">
        <f aca="false">IF(AND(ISNUMBER(M297),ISNUMBER(P297)),P297-M297,"")</f>
        <v/>
      </c>
      <c r="AC297" s="15" t="str">
        <f aca="false">IF(AND(ISNUMBER(L297),ISNUMBER(P297)),P297-L297,"")</f>
        <v/>
      </c>
      <c r="AD297" s="15" t="str">
        <f aca="false">IF(AND(ISNUMBER(P297),ISNUMBER(Q297)),Q297-P297,"")</f>
        <v/>
      </c>
      <c r="AE297" s="15" t="str">
        <f aca="false">IF(AND(ISNUMBER(Q297),ISNUMBER(R297)),R297-Q297,IF(ISNUMBER(Y297),Y297,""))</f>
        <v/>
      </c>
      <c r="AF297" s="15" t="str">
        <f aca="false">IF(AND(ISNUMBER(R297),ISNUMBER(S297)),S297-R297,"")</f>
        <v/>
      </c>
      <c r="AG297" s="15" t="str">
        <f aca="false">IF(AND(ISNUMBER(S297),ISNUMBER(T297)),T297-S297,"")</f>
        <v/>
      </c>
      <c r="AH297" s="15" t="str">
        <f aca="false">IF(AND(ISNUMBER(L297),ISNUMBER(T297)),T297-L297,"")</f>
        <v/>
      </c>
      <c r="AI297" s="15" t="str">
        <f aca="false">IF(AND(ISNUMBER(O297),ISNUMBER(Q297)),Q297-O297,"")</f>
        <v/>
      </c>
      <c r="AJ297" s="15" t="str">
        <f aca="false">IF(B297="","",COUNT(L297:M297,P297:T297)&amp;"/7")</f>
        <v/>
      </c>
      <c r="AK297" s="15" t="str">
        <f aca="false">IF(B297="","",IF(OR(AND(ISNUMBER(L297),ISNUMBER(M297),M297&lt;L297),AND(ISNUMBER(M297),ISNUMBER(P297),P297&lt;M297),AND(ISNUMBER(P297),ISNUMBER(Q297),Q297&lt;P297),AND(ISNUMBER(Q297),ISNUMBER(R297),R297&lt;Q297),AND(ISNUMBER(R297),ISNUMBER(S297),S297&lt;R297),AND(ISNUMBER(S297),ISNUMBER(T297),T297&lt;S297),AND(ISNUMBER(N297),ISNUMBER(O297),O297&lt;N297)),"Urutan tanggal salah",IF(AND(ISNUMBER(Q297),ISNUMBER(R297),ISNUMBER(Y297),ABS(R297-Q297-Y297)&gt;2),"S tanggal ≠ Sailing tercatat",IF(AND(ISNUMBER(Q297),ISNUMBER(O297),ABS(Q297-O297)&gt;60),"Cek tahun laycan",IF(AND(ISNUMBER(Q297),ISNUMBER(N297),Q297&lt;N297),"Berangkat sebelum laycan",IF(NOT(ISNUMBER(AE297)),"S belum ada","OK"))))))</f>
        <v/>
      </c>
    </row>
    <row r="298" customFormat="false" ht="15" hidden="false" customHeight="false" outlineLevel="0" collapsed="false">
      <c r="A298" s="16" t="str">
        <f aca="false">IF(B298="","",ROW()-4)</f>
        <v/>
      </c>
      <c r="B298" s="12"/>
      <c r="C298" s="16"/>
      <c r="D298" s="16"/>
      <c r="E298" s="16"/>
      <c r="F298" s="16"/>
      <c r="G298" s="16"/>
      <c r="H298" s="16"/>
      <c r="I298" s="16"/>
      <c r="J298" s="16"/>
      <c r="K298" s="16"/>
      <c r="L298" s="13"/>
      <c r="M298" s="13"/>
      <c r="N298" s="13"/>
      <c r="O298" s="13"/>
      <c r="P298" s="13"/>
      <c r="Q298" s="13"/>
      <c r="R298" s="13"/>
      <c r="S298" s="13"/>
      <c r="T298" s="13"/>
      <c r="U298" s="12"/>
      <c r="V298" s="14"/>
      <c r="W298" s="16"/>
      <c r="X298" s="16"/>
      <c r="Y298" s="16"/>
      <c r="Z298" s="16"/>
      <c r="AA298" s="15" t="str">
        <f aca="false">IF(AND(ISNUMBER(L298),ISNUMBER(M298)),M298-L298,"")</f>
        <v/>
      </c>
      <c r="AB298" s="15" t="str">
        <f aca="false">IF(AND(ISNUMBER(M298),ISNUMBER(P298)),P298-M298,"")</f>
        <v/>
      </c>
      <c r="AC298" s="15" t="str">
        <f aca="false">IF(AND(ISNUMBER(L298),ISNUMBER(P298)),P298-L298,"")</f>
        <v/>
      </c>
      <c r="AD298" s="15" t="str">
        <f aca="false">IF(AND(ISNUMBER(P298),ISNUMBER(Q298)),Q298-P298,"")</f>
        <v/>
      </c>
      <c r="AE298" s="15" t="str">
        <f aca="false">IF(AND(ISNUMBER(Q298),ISNUMBER(R298)),R298-Q298,IF(ISNUMBER(Y298),Y298,""))</f>
        <v/>
      </c>
      <c r="AF298" s="15" t="str">
        <f aca="false">IF(AND(ISNUMBER(R298),ISNUMBER(S298)),S298-R298,"")</f>
        <v/>
      </c>
      <c r="AG298" s="15" t="str">
        <f aca="false">IF(AND(ISNUMBER(S298),ISNUMBER(T298)),T298-S298,"")</f>
        <v/>
      </c>
      <c r="AH298" s="15" t="str">
        <f aca="false">IF(AND(ISNUMBER(L298),ISNUMBER(T298)),T298-L298,"")</f>
        <v/>
      </c>
      <c r="AI298" s="15" t="str">
        <f aca="false">IF(AND(ISNUMBER(O298),ISNUMBER(Q298)),Q298-O298,"")</f>
        <v/>
      </c>
      <c r="AJ298" s="15" t="str">
        <f aca="false">IF(B298="","",COUNT(L298:M298,P298:T298)&amp;"/7")</f>
        <v/>
      </c>
      <c r="AK298" s="15" t="str">
        <f aca="false">IF(B298="","",IF(OR(AND(ISNUMBER(L298),ISNUMBER(M298),M298&lt;L298),AND(ISNUMBER(M298),ISNUMBER(P298),P298&lt;M298),AND(ISNUMBER(P298),ISNUMBER(Q298),Q298&lt;P298),AND(ISNUMBER(Q298),ISNUMBER(R298),R298&lt;Q298),AND(ISNUMBER(R298),ISNUMBER(S298),S298&lt;R298),AND(ISNUMBER(S298),ISNUMBER(T298),T298&lt;S298),AND(ISNUMBER(N298),ISNUMBER(O298),O298&lt;N298)),"Urutan tanggal salah",IF(AND(ISNUMBER(Q298),ISNUMBER(R298),ISNUMBER(Y298),ABS(R298-Q298-Y298)&gt;2),"S tanggal ≠ Sailing tercatat",IF(AND(ISNUMBER(Q298),ISNUMBER(O298),ABS(Q298-O298)&gt;60),"Cek tahun laycan",IF(AND(ISNUMBER(Q298),ISNUMBER(N298),Q298&lt;N298),"Berangkat sebelum laycan",IF(NOT(ISNUMBER(AE298)),"S belum ada","OK"))))))</f>
        <v/>
      </c>
    </row>
    <row r="299" customFormat="false" ht="15" hidden="false" customHeight="false" outlineLevel="0" collapsed="false">
      <c r="A299" s="16" t="str">
        <f aca="false">IF(B299="","",ROW()-4)</f>
        <v/>
      </c>
      <c r="B299" s="12"/>
      <c r="C299" s="16"/>
      <c r="D299" s="16"/>
      <c r="E299" s="16"/>
      <c r="F299" s="16"/>
      <c r="G299" s="16"/>
      <c r="H299" s="16"/>
      <c r="I299" s="16"/>
      <c r="J299" s="16"/>
      <c r="K299" s="16"/>
      <c r="L299" s="13"/>
      <c r="M299" s="13"/>
      <c r="N299" s="13"/>
      <c r="O299" s="13"/>
      <c r="P299" s="13"/>
      <c r="Q299" s="13"/>
      <c r="R299" s="13"/>
      <c r="S299" s="13"/>
      <c r="T299" s="13"/>
      <c r="U299" s="12"/>
      <c r="V299" s="14"/>
      <c r="W299" s="16"/>
      <c r="X299" s="16"/>
      <c r="Y299" s="16"/>
      <c r="Z299" s="16"/>
      <c r="AA299" s="15" t="str">
        <f aca="false">IF(AND(ISNUMBER(L299),ISNUMBER(M299)),M299-L299,"")</f>
        <v/>
      </c>
      <c r="AB299" s="15" t="str">
        <f aca="false">IF(AND(ISNUMBER(M299),ISNUMBER(P299)),P299-M299,"")</f>
        <v/>
      </c>
      <c r="AC299" s="15" t="str">
        <f aca="false">IF(AND(ISNUMBER(L299),ISNUMBER(P299)),P299-L299,"")</f>
        <v/>
      </c>
      <c r="AD299" s="15" t="str">
        <f aca="false">IF(AND(ISNUMBER(P299),ISNUMBER(Q299)),Q299-P299,"")</f>
        <v/>
      </c>
      <c r="AE299" s="15" t="str">
        <f aca="false">IF(AND(ISNUMBER(Q299),ISNUMBER(R299)),R299-Q299,IF(ISNUMBER(Y299),Y299,""))</f>
        <v/>
      </c>
      <c r="AF299" s="15" t="str">
        <f aca="false">IF(AND(ISNUMBER(R299),ISNUMBER(S299)),S299-R299,"")</f>
        <v/>
      </c>
      <c r="AG299" s="15" t="str">
        <f aca="false">IF(AND(ISNUMBER(S299),ISNUMBER(T299)),T299-S299,"")</f>
        <v/>
      </c>
      <c r="AH299" s="15" t="str">
        <f aca="false">IF(AND(ISNUMBER(L299),ISNUMBER(T299)),T299-L299,"")</f>
        <v/>
      </c>
      <c r="AI299" s="15" t="str">
        <f aca="false">IF(AND(ISNUMBER(O299),ISNUMBER(Q299)),Q299-O299,"")</f>
        <v/>
      </c>
      <c r="AJ299" s="15" t="str">
        <f aca="false">IF(B299="","",COUNT(L299:M299,P299:T299)&amp;"/7")</f>
        <v/>
      </c>
      <c r="AK299" s="15" t="str">
        <f aca="false">IF(B299="","",IF(OR(AND(ISNUMBER(L299),ISNUMBER(M299),M299&lt;L299),AND(ISNUMBER(M299),ISNUMBER(P299),P299&lt;M299),AND(ISNUMBER(P299),ISNUMBER(Q299),Q299&lt;P299),AND(ISNUMBER(Q299),ISNUMBER(R299),R299&lt;Q299),AND(ISNUMBER(R299),ISNUMBER(S299),S299&lt;R299),AND(ISNUMBER(S299),ISNUMBER(T299),T299&lt;S299),AND(ISNUMBER(N299),ISNUMBER(O299),O299&lt;N299)),"Urutan tanggal salah",IF(AND(ISNUMBER(Q299),ISNUMBER(R299),ISNUMBER(Y299),ABS(R299-Q299-Y299)&gt;2),"S tanggal ≠ Sailing tercatat",IF(AND(ISNUMBER(Q299),ISNUMBER(O299),ABS(Q299-O299)&gt;60),"Cek tahun laycan",IF(AND(ISNUMBER(Q299),ISNUMBER(N299),Q299&lt;N299),"Berangkat sebelum laycan",IF(NOT(ISNUMBER(AE299)),"S belum ada","OK"))))))</f>
        <v/>
      </c>
    </row>
    <row r="300" customFormat="false" ht="15" hidden="false" customHeight="false" outlineLevel="0" collapsed="false">
      <c r="A300" s="16" t="str">
        <f aca="false">IF(B300="","",ROW()-4)</f>
        <v/>
      </c>
      <c r="B300" s="12"/>
      <c r="C300" s="16"/>
      <c r="D300" s="16"/>
      <c r="E300" s="16"/>
      <c r="F300" s="16"/>
      <c r="G300" s="16"/>
      <c r="H300" s="16"/>
      <c r="I300" s="16"/>
      <c r="J300" s="16"/>
      <c r="K300" s="16"/>
      <c r="L300" s="13"/>
      <c r="M300" s="13"/>
      <c r="N300" s="13"/>
      <c r="O300" s="13"/>
      <c r="P300" s="13"/>
      <c r="Q300" s="13"/>
      <c r="R300" s="13"/>
      <c r="S300" s="13"/>
      <c r="T300" s="13"/>
      <c r="U300" s="12"/>
      <c r="V300" s="14"/>
      <c r="W300" s="16"/>
      <c r="X300" s="16"/>
      <c r="Y300" s="16"/>
      <c r="Z300" s="16"/>
      <c r="AA300" s="15" t="str">
        <f aca="false">IF(AND(ISNUMBER(L300),ISNUMBER(M300)),M300-L300,"")</f>
        <v/>
      </c>
      <c r="AB300" s="15" t="str">
        <f aca="false">IF(AND(ISNUMBER(M300),ISNUMBER(P300)),P300-M300,"")</f>
        <v/>
      </c>
      <c r="AC300" s="15" t="str">
        <f aca="false">IF(AND(ISNUMBER(L300),ISNUMBER(P300)),P300-L300,"")</f>
        <v/>
      </c>
      <c r="AD300" s="15" t="str">
        <f aca="false">IF(AND(ISNUMBER(P300),ISNUMBER(Q300)),Q300-P300,"")</f>
        <v/>
      </c>
      <c r="AE300" s="15" t="str">
        <f aca="false">IF(AND(ISNUMBER(Q300),ISNUMBER(R300)),R300-Q300,IF(ISNUMBER(Y300),Y300,""))</f>
        <v/>
      </c>
      <c r="AF300" s="15" t="str">
        <f aca="false">IF(AND(ISNUMBER(R300),ISNUMBER(S300)),S300-R300,"")</f>
        <v/>
      </c>
      <c r="AG300" s="15" t="str">
        <f aca="false">IF(AND(ISNUMBER(S300),ISNUMBER(T300)),T300-S300,"")</f>
        <v/>
      </c>
      <c r="AH300" s="15" t="str">
        <f aca="false">IF(AND(ISNUMBER(L300),ISNUMBER(T300)),T300-L300,"")</f>
        <v/>
      </c>
      <c r="AI300" s="15" t="str">
        <f aca="false">IF(AND(ISNUMBER(O300),ISNUMBER(Q300)),Q300-O300,"")</f>
        <v/>
      </c>
      <c r="AJ300" s="15" t="str">
        <f aca="false">IF(B300="","",COUNT(L300:M300,P300:T300)&amp;"/7")</f>
        <v/>
      </c>
      <c r="AK300" s="15" t="str">
        <f aca="false">IF(B300="","",IF(OR(AND(ISNUMBER(L300),ISNUMBER(M300),M300&lt;L300),AND(ISNUMBER(M300),ISNUMBER(P300),P300&lt;M300),AND(ISNUMBER(P300),ISNUMBER(Q300),Q300&lt;P300),AND(ISNUMBER(Q300),ISNUMBER(R300),R300&lt;Q300),AND(ISNUMBER(R300),ISNUMBER(S300),S300&lt;R300),AND(ISNUMBER(S300),ISNUMBER(T300),T300&lt;S300),AND(ISNUMBER(N300),ISNUMBER(O300),O300&lt;N300)),"Urutan tanggal salah",IF(AND(ISNUMBER(Q300),ISNUMBER(R300),ISNUMBER(Y300),ABS(R300-Q300-Y300)&gt;2),"S tanggal ≠ Sailing tercatat",IF(AND(ISNUMBER(Q300),ISNUMBER(O300),ABS(Q300-O300)&gt;60),"Cek tahun laycan",IF(AND(ISNUMBER(Q300),ISNUMBER(N300),Q300&lt;N300),"Berangkat sebelum laycan",IF(NOT(ISNUMBER(AE300)),"S belum ada","OK"))))))</f>
        <v/>
      </c>
    </row>
    <row r="301" customFormat="false" ht="15" hidden="false" customHeight="false" outlineLevel="0" collapsed="false">
      <c r="A301" s="16" t="str">
        <f aca="false">IF(B301="","",ROW()-4)</f>
        <v/>
      </c>
      <c r="B301" s="12"/>
      <c r="C301" s="16"/>
      <c r="D301" s="16"/>
      <c r="E301" s="16"/>
      <c r="F301" s="16"/>
      <c r="G301" s="16"/>
      <c r="H301" s="16"/>
      <c r="I301" s="16"/>
      <c r="J301" s="16"/>
      <c r="K301" s="16"/>
      <c r="L301" s="13"/>
      <c r="M301" s="13"/>
      <c r="N301" s="13"/>
      <c r="O301" s="13"/>
      <c r="P301" s="13"/>
      <c r="Q301" s="13"/>
      <c r="R301" s="13"/>
      <c r="S301" s="13"/>
      <c r="T301" s="13"/>
      <c r="U301" s="12"/>
      <c r="V301" s="14"/>
      <c r="W301" s="16"/>
      <c r="X301" s="16"/>
      <c r="Y301" s="16"/>
      <c r="Z301" s="16"/>
      <c r="AA301" s="15" t="str">
        <f aca="false">IF(AND(ISNUMBER(L301),ISNUMBER(M301)),M301-L301,"")</f>
        <v/>
      </c>
      <c r="AB301" s="15" t="str">
        <f aca="false">IF(AND(ISNUMBER(M301),ISNUMBER(P301)),P301-M301,"")</f>
        <v/>
      </c>
      <c r="AC301" s="15" t="str">
        <f aca="false">IF(AND(ISNUMBER(L301),ISNUMBER(P301)),P301-L301,"")</f>
        <v/>
      </c>
      <c r="AD301" s="15" t="str">
        <f aca="false">IF(AND(ISNUMBER(P301),ISNUMBER(Q301)),Q301-P301,"")</f>
        <v/>
      </c>
      <c r="AE301" s="15" t="str">
        <f aca="false">IF(AND(ISNUMBER(Q301),ISNUMBER(R301)),R301-Q301,IF(ISNUMBER(Y301),Y301,""))</f>
        <v/>
      </c>
      <c r="AF301" s="15" t="str">
        <f aca="false">IF(AND(ISNUMBER(R301),ISNUMBER(S301)),S301-R301,"")</f>
        <v/>
      </c>
      <c r="AG301" s="15" t="str">
        <f aca="false">IF(AND(ISNUMBER(S301),ISNUMBER(T301)),T301-S301,"")</f>
        <v/>
      </c>
      <c r="AH301" s="15" t="str">
        <f aca="false">IF(AND(ISNUMBER(L301),ISNUMBER(T301)),T301-L301,"")</f>
        <v/>
      </c>
      <c r="AI301" s="15" t="str">
        <f aca="false">IF(AND(ISNUMBER(O301),ISNUMBER(Q301)),Q301-O301,"")</f>
        <v/>
      </c>
      <c r="AJ301" s="15" t="str">
        <f aca="false">IF(B301="","",COUNT(L301:M301,P301:T301)&amp;"/7")</f>
        <v/>
      </c>
      <c r="AK301" s="15" t="str">
        <f aca="false">IF(B301="","",IF(OR(AND(ISNUMBER(L301),ISNUMBER(M301),M301&lt;L301),AND(ISNUMBER(M301),ISNUMBER(P301),P301&lt;M301),AND(ISNUMBER(P301),ISNUMBER(Q301),Q301&lt;P301),AND(ISNUMBER(Q301),ISNUMBER(R301),R301&lt;Q301),AND(ISNUMBER(R301),ISNUMBER(S301),S301&lt;R301),AND(ISNUMBER(S301),ISNUMBER(T301),T301&lt;S301),AND(ISNUMBER(N301),ISNUMBER(O301),O301&lt;N301)),"Urutan tanggal salah",IF(AND(ISNUMBER(Q301),ISNUMBER(R301),ISNUMBER(Y301),ABS(R301-Q301-Y301)&gt;2),"S tanggal ≠ Sailing tercatat",IF(AND(ISNUMBER(Q301),ISNUMBER(O301),ABS(Q301-O301)&gt;60),"Cek tahun laycan",IF(AND(ISNUMBER(Q301),ISNUMBER(N301),Q301&lt;N301),"Berangkat sebelum laycan",IF(NOT(ISNUMBER(AE301)),"S belum ada","OK"))))))</f>
        <v/>
      </c>
    </row>
    <row r="302" customFormat="false" ht="15" hidden="false" customHeight="false" outlineLevel="0" collapsed="false">
      <c r="A302" s="16" t="str">
        <f aca="false">IF(B302="","",ROW()-4)</f>
        <v/>
      </c>
      <c r="B302" s="12"/>
      <c r="C302" s="16"/>
      <c r="D302" s="16"/>
      <c r="E302" s="16"/>
      <c r="F302" s="16"/>
      <c r="G302" s="16"/>
      <c r="H302" s="16"/>
      <c r="I302" s="16"/>
      <c r="J302" s="16"/>
      <c r="K302" s="16"/>
      <c r="L302" s="13"/>
      <c r="M302" s="13"/>
      <c r="N302" s="13"/>
      <c r="O302" s="13"/>
      <c r="P302" s="13"/>
      <c r="Q302" s="13"/>
      <c r="R302" s="13"/>
      <c r="S302" s="13"/>
      <c r="T302" s="13"/>
      <c r="U302" s="12"/>
      <c r="V302" s="14"/>
      <c r="W302" s="16"/>
      <c r="X302" s="16"/>
      <c r="Y302" s="16"/>
      <c r="Z302" s="16"/>
      <c r="AA302" s="15" t="str">
        <f aca="false">IF(AND(ISNUMBER(L302),ISNUMBER(M302)),M302-L302,"")</f>
        <v/>
      </c>
      <c r="AB302" s="15" t="str">
        <f aca="false">IF(AND(ISNUMBER(M302),ISNUMBER(P302)),P302-M302,"")</f>
        <v/>
      </c>
      <c r="AC302" s="15" t="str">
        <f aca="false">IF(AND(ISNUMBER(L302),ISNUMBER(P302)),P302-L302,"")</f>
        <v/>
      </c>
      <c r="AD302" s="15" t="str">
        <f aca="false">IF(AND(ISNUMBER(P302),ISNUMBER(Q302)),Q302-P302,"")</f>
        <v/>
      </c>
      <c r="AE302" s="15" t="str">
        <f aca="false">IF(AND(ISNUMBER(Q302),ISNUMBER(R302)),R302-Q302,IF(ISNUMBER(Y302),Y302,""))</f>
        <v/>
      </c>
      <c r="AF302" s="15" t="str">
        <f aca="false">IF(AND(ISNUMBER(R302),ISNUMBER(S302)),S302-R302,"")</f>
        <v/>
      </c>
      <c r="AG302" s="15" t="str">
        <f aca="false">IF(AND(ISNUMBER(S302),ISNUMBER(T302)),T302-S302,"")</f>
        <v/>
      </c>
      <c r="AH302" s="15" t="str">
        <f aca="false">IF(AND(ISNUMBER(L302),ISNUMBER(T302)),T302-L302,"")</f>
        <v/>
      </c>
      <c r="AI302" s="15" t="str">
        <f aca="false">IF(AND(ISNUMBER(O302),ISNUMBER(Q302)),Q302-O302,"")</f>
        <v/>
      </c>
      <c r="AJ302" s="15" t="str">
        <f aca="false">IF(B302="","",COUNT(L302:M302,P302:T302)&amp;"/7")</f>
        <v/>
      </c>
      <c r="AK302" s="15" t="str">
        <f aca="false">IF(B302="","",IF(OR(AND(ISNUMBER(L302),ISNUMBER(M302),M302&lt;L302),AND(ISNUMBER(M302),ISNUMBER(P302),P302&lt;M302),AND(ISNUMBER(P302),ISNUMBER(Q302),Q302&lt;P302),AND(ISNUMBER(Q302),ISNUMBER(R302),R302&lt;Q302),AND(ISNUMBER(R302),ISNUMBER(S302),S302&lt;R302),AND(ISNUMBER(S302),ISNUMBER(T302),T302&lt;S302),AND(ISNUMBER(N302),ISNUMBER(O302),O302&lt;N302)),"Urutan tanggal salah",IF(AND(ISNUMBER(Q302),ISNUMBER(R302),ISNUMBER(Y302),ABS(R302-Q302-Y302)&gt;2),"S tanggal ≠ Sailing tercatat",IF(AND(ISNUMBER(Q302),ISNUMBER(O302),ABS(Q302-O302)&gt;60),"Cek tahun laycan",IF(AND(ISNUMBER(Q302),ISNUMBER(N302),Q302&lt;N302),"Berangkat sebelum laycan",IF(NOT(ISNUMBER(AE302)),"S belum ada","OK"))))))</f>
        <v/>
      </c>
    </row>
    <row r="303" customFormat="false" ht="15" hidden="false" customHeight="false" outlineLevel="0" collapsed="false">
      <c r="A303" s="16" t="str">
        <f aca="false">IF(B303="","",ROW()-4)</f>
        <v/>
      </c>
      <c r="B303" s="12"/>
      <c r="C303" s="16"/>
      <c r="D303" s="16"/>
      <c r="E303" s="16"/>
      <c r="F303" s="16"/>
      <c r="G303" s="16"/>
      <c r="H303" s="16"/>
      <c r="I303" s="16"/>
      <c r="J303" s="16"/>
      <c r="K303" s="16"/>
      <c r="L303" s="13"/>
      <c r="M303" s="13"/>
      <c r="N303" s="13"/>
      <c r="O303" s="13"/>
      <c r="P303" s="13"/>
      <c r="Q303" s="13"/>
      <c r="R303" s="13"/>
      <c r="S303" s="13"/>
      <c r="T303" s="13"/>
      <c r="U303" s="12"/>
      <c r="V303" s="14"/>
      <c r="W303" s="16"/>
      <c r="X303" s="16"/>
      <c r="Y303" s="16"/>
      <c r="Z303" s="16"/>
      <c r="AA303" s="15" t="str">
        <f aca="false">IF(AND(ISNUMBER(L303),ISNUMBER(M303)),M303-L303,"")</f>
        <v/>
      </c>
      <c r="AB303" s="15" t="str">
        <f aca="false">IF(AND(ISNUMBER(M303),ISNUMBER(P303)),P303-M303,"")</f>
        <v/>
      </c>
      <c r="AC303" s="15" t="str">
        <f aca="false">IF(AND(ISNUMBER(L303),ISNUMBER(P303)),P303-L303,"")</f>
        <v/>
      </c>
      <c r="AD303" s="15" t="str">
        <f aca="false">IF(AND(ISNUMBER(P303),ISNUMBER(Q303)),Q303-P303,"")</f>
        <v/>
      </c>
      <c r="AE303" s="15" t="str">
        <f aca="false">IF(AND(ISNUMBER(Q303),ISNUMBER(R303)),R303-Q303,IF(ISNUMBER(Y303),Y303,""))</f>
        <v/>
      </c>
      <c r="AF303" s="15" t="str">
        <f aca="false">IF(AND(ISNUMBER(R303),ISNUMBER(S303)),S303-R303,"")</f>
        <v/>
      </c>
      <c r="AG303" s="15" t="str">
        <f aca="false">IF(AND(ISNUMBER(S303),ISNUMBER(T303)),T303-S303,"")</f>
        <v/>
      </c>
      <c r="AH303" s="15" t="str">
        <f aca="false">IF(AND(ISNUMBER(L303),ISNUMBER(T303)),T303-L303,"")</f>
        <v/>
      </c>
      <c r="AI303" s="15" t="str">
        <f aca="false">IF(AND(ISNUMBER(O303),ISNUMBER(Q303)),Q303-O303,"")</f>
        <v/>
      </c>
      <c r="AJ303" s="15" t="str">
        <f aca="false">IF(B303="","",COUNT(L303:M303,P303:T303)&amp;"/7")</f>
        <v/>
      </c>
      <c r="AK303" s="15" t="str">
        <f aca="false">IF(B303="","",IF(OR(AND(ISNUMBER(L303),ISNUMBER(M303),M303&lt;L303),AND(ISNUMBER(M303),ISNUMBER(P303),P303&lt;M303),AND(ISNUMBER(P303),ISNUMBER(Q303),Q303&lt;P303),AND(ISNUMBER(Q303),ISNUMBER(R303),R303&lt;Q303),AND(ISNUMBER(R303),ISNUMBER(S303),S303&lt;R303),AND(ISNUMBER(S303),ISNUMBER(T303),T303&lt;S303),AND(ISNUMBER(N303),ISNUMBER(O303),O303&lt;N303)),"Urutan tanggal salah",IF(AND(ISNUMBER(Q303),ISNUMBER(R303),ISNUMBER(Y303),ABS(R303-Q303-Y303)&gt;2),"S tanggal ≠ Sailing tercatat",IF(AND(ISNUMBER(Q303),ISNUMBER(O303),ABS(Q303-O303)&gt;60),"Cek tahun laycan",IF(AND(ISNUMBER(Q303),ISNUMBER(N303),Q303&lt;N303),"Berangkat sebelum laycan",IF(NOT(ISNUMBER(AE303)),"S belum ada","OK"))))))</f>
        <v/>
      </c>
    </row>
    <row r="304" customFormat="false" ht="15" hidden="false" customHeight="false" outlineLevel="0" collapsed="false">
      <c r="A304" s="16" t="str">
        <f aca="false">IF(B304="","",ROW()-4)</f>
        <v/>
      </c>
      <c r="B304" s="12"/>
      <c r="C304" s="16"/>
      <c r="D304" s="16"/>
      <c r="E304" s="16"/>
      <c r="F304" s="16"/>
      <c r="G304" s="16"/>
      <c r="H304" s="16"/>
      <c r="I304" s="16"/>
      <c r="J304" s="16"/>
      <c r="K304" s="16"/>
      <c r="L304" s="13"/>
      <c r="M304" s="13"/>
      <c r="N304" s="13"/>
      <c r="O304" s="13"/>
      <c r="P304" s="13"/>
      <c r="Q304" s="13"/>
      <c r="R304" s="13"/>
      <c r="S304" s="13"/>
      <c r="T304" s="13"/>
      <c r="U304" s="12"/>
      <c r="V304" s="14"/>
      <c r="W304" s="16"/>
      <c r="X304" s="16"/>
      <c r="Y304" s="16"/>
      <c r="Z304" s="16"/>
      <c r="AA304" s="15" t="str">
        <f aca="false">IF(AND(ISNUMBER(L304),ISNUMBER(M304)),M304-L304,"")</f>
        <v/>
      </c>
      <c r="AB304" s="15" t="str">
        <f aca="false">IF(AND(ISNUMBER(M304),ISNUMBER(P304)),P304-M304,"")</f>
        <v/>
      </c>
      <c r="AC304" s="15" t="str">
        <f aca="false">IF(AND(ISNUMBER(L304),ISNUMBER(P304)),P304-L304,"")</f>
        <v/>
      </c>
      <c r="AD304" s="15" t="str">
        <f aca="false">IF(AND(ISNUMBER(P304),ISNUMBER(Q304)),Q304-P304,"")</f>
        <v/>
      </c>
      <c r="AE304" s="15" t="str">
        <f aca="false">IF(AND(ISNUMBER(Q304),ISNUMBER(R304)),R304-Q304,IF(ISNUMBER(Y304),Y304,""))</f>
        <v/>
      </c>
      <c r="AF304" s="15" t="str">
        <f aca="false">IF(AND(ISNUMBER(R304),ISNUMBER(S304)),S304-R304,"")</f>
        <v/>
      </c>
      <c r="AG304" s="15" t="str">
        <f aca="false">IF(AND(ISNUMBER(S304),ISNUMBER(T304)),T304-S304,"")</f>
        <v/>
      </c>
      <c r="AH304" s="15" t="str">
        <f aca="false">IF(AND(ISNUMBER(L304),ISNUMBER(T304)),T304-L304,"")</f>
        <v/>
      </c>
      <c r="AI304" s="15" t="str">
        <f aca="false">IF(AND(ISNUMBER(O304),ISNUMBER(Q304)),Q304-O304,"")</f>
        <v/>
      </c>
      <c r="AJ304" s="15" t="str">
        <f aca="false">IF(B304="","",COUNT(L304:M304,P304:T304)&amp;"/7")</f>
        <v/>
      </c>
      <c r="AK304" s="15" t="str">
        <f aca="false">IF(B304="","",IF(OR(AND(ISNUMBER(L304),ISNUMBER(M304),M304&lt;L304),AND(ISNUMBER(M304),ISNUMBER(P304),P304&lt;M304),AND(ISNUMBER(P304),ISNUMBER(Q304),Q304&lt;P304),AND(ISNUMBER(Q304),ISNUMBER(R304),R304&lt;Q304),AND(ISNUMBER(R304),ISNUMBER(S304),S304&lt;R304),AND(ISNUMBER(S304),ISNUMBER(T304),T304&lt;S304),AND(ISNUMBER(N304),ISNUMBER(O304),O304&lt;N304)),"Urutan tanggal salah",IF(AND(ISNUMBER(Q304),ISNUMBER(R304),ISNUMBER(Y304),ABS(R304-Q304-Y304)&gt;2),"S tanggal ≠ Sailing tercatat",IF(AND(ISNUMBER(Q304),ISNUMBER(O304),ABS(Q304-O304)&gt;60),"Cek tahun laycan",IF(AND(ISNUMBER(Q304),ISNUMBER(N304),Q304&lt;N304),"Berangkat sebelum laycan",IF(NOT(ISNUMBER(AE304)),"S belum ada","OK"))))))</f>
        <v/>
      </c>
    </row>
    <row r="305" customFormat="false" ht="15" hidden="false" customHeight="false" outlineLevel="0" collapsed="false">
      <c r="A305" s="16" t="str">
        <f aca="false">IF(B305="","",ROW()-4)</f>
        <v/>
      </c>
      <c r="B305" s="12"/>
      <c r="C305" s="16"/>
      <c r="D305" s="16"/>
      <c r="E305" s="16"/>
      <c r="F305" s="16"/>
      <c r="G305" s="16"/>
      <c r="H305" s="16"/>
      <c r="I305" s="16"/>
      <c r="J305" s="16"/>
      <c r="K305" s="16"/>
      <c r="L305" s="13"/>
      <c r="M305" s="13"/>
      <c r="N305" s="13"/>
      <c r="O305" s="13"/>
      <c r="P305" s="13"/>
      <c r="Q305" s="13"/>
      <c r="R305" s="13"/>
      <c r="S305" s="13"/>
      <c r="T305" s="13"/>
      <c r="U305" s="12"/>
      <c r="V305" s="14"/>
      <c r="W305" s="16"/>
      <c r="X305" s="16"/>
      <c r="Y305" s="16"/>
      <c r="Z305" s="16"/>
      <c r="AA305" s="15" t="str">
        <f aca="false">IF(AND(ISNUMBER(L305),ISNUMBER(M305)),M305-L305,"")</f>
        <v/>
      </c>
      <c r="AB305" s="15" t="str">
        <f aca="false">IF(AND(ISNUMBER(M305),ISNUMBER(P305)),P305-M305,"")</f>
        <v/>
      </c>
      <c r="AC305" s="15" t="str">
        <f aca="false">IF(AND(ISNUMBER(L305),ISNUMBER(P305)),P305-L305,"")</f>
        <v/>
      </c>
      <c r="AD305" s="15" t="str">
        <f aca="false">IF(AND(ISNUMBER(P305),ISNUMBER(Q305)),Q305-P305,"")</f>
        <v/>
      </c>
      <c r="AE305" s="15" t="str">
        <f aca="false">IF(AND(ISNUMBER(Q305),ISNUMBER(R305)),R305-Q305,IF(ISNUMBER(Y305),Y305,""))</f>
        <v/>
      </c>
      <c r="AF305" s="15" t="str">
        <f aca="false">IF(AND(ISNUMBER(R305),ISNUMBER(S305)),S305-R305,"")</f>
        <v/>
      </c>
      <c r="AG305" s="15" t="str">
        <f aca="false">IF(AND(ISNUMBER(S305),ISNUMBER(T305)),T305-S305,"")</f>
        <v/>
      </c>
      <c r="AH305" s="15" t="str">
        <f aca="false">IF(AND(ISNUMBER(L305),ISNUMBER(T305)),T305-L305,"")</f>
        <v/>
      </c>
      <c r="AI305" s="15" t="str">
        <f aca="false">IF(AND(ISNUMBER(O305),ISNUMBER(Q305)),Q305-O305,"")</f>
        <v/>
      </c>
      <c r="AJ305" s="15" t="str">
        <f aca="false">IF(B305="","",COUNT(L305:M305,P305:T305)&amp;"/7")</f>
        <v/>
      </c>
      <c r="AK305" s="15" t="str">
        <f aca="false">IF(B305="","",IF(OR(AND(ISNUMBER(L305),ISNUMBER(M305),M305&lt;L305),AND(ISNUMBER(M305),ISNUMBER(P305),P305&lt;M305),AND(ISNUMBER(P305),ISNUMBER(Q305),Q305&lt;P305),AND(ISNUMBER(Q305),ISNUMBER(R305),R305&lt;Q305),AND(ISNUMBER(R305),ISNUMBER(S305),S305&lt;R305),AND(ISNUMBER(S305),ISNUMBER(T305),T305&lt;S305),AND(ISNUMBER(N305),ISNUMBER(O305),O305&lt;N305)),"Urutan tanggal salah",IF(AND(ISNUMBER(Q305),ISNUMBER(R305),ISNUMBER(Y305),ABS(R305-Q305-Y305)&gt;2),"S tanggal ≠ Sailing tercatat",IF(AND(ISNUMBER(Q305),ISNUMBER(O305),ABS(Q305-O305)&gt;60),"Cek tahun laycan",IF(AND(ISNUMBER(Q305),ISNUMBER(N305),Q305&lt;N305),"Berangkat sebelum laycan",IF(NOT(ISNUMBER(AE305)),"S belum ada","OK"))))))</f>
        <v/>
      </c>
    </row>
    <row r="306" customFormat="false" ht="15" hidden="false" customHeight="false" outlineLevel="0" collapsed="false">
      <c r="A306" s="16" t="str">
        <f aca="false">IF(B306="","",ROW()-4)</f>
        <v/>
      </c>
      <c r="B306" s="12"/>
      <c r="C306" s="16"/>
      <c r="D306" s="16"/>
      <c r="E306" s="16"/>
      <c r="F306" s="16"/>
      <c r="G306" s="16"/>
      <c r="H306" s="16"/>
      <c r="I306" s="16"/>
      <c r="J306" s="16"/>
      <c r="K306" s="16"/>
      <c r="L306" s="13"/>
      <c r="M306" s="13"/>
      <c r="N306" s="13"/>
      <c r="O306" s="13"/>
      <c r="P306" s="13"/>
      <c r="Q306" s="13"/>
      <c r="R306" s="13"/>
      <c r="S306" s="13"/>
      <c r="T306" s="13"/>
      <c r="U306" s="12"/>
      <c r="V306" s="14"/>
      <c r="W306" s="16"/>
      <c r="X306" s="16"/>
      <c r="Y306" s="16"/>
      <c r="Z306" s="16"/>
      <c r="AA306" s="15" t="str">
        <f aca="false">IF(AND(ISNUMBER(L306),ISNUMBER(M306)),M306-L306,"")</f>
        <v/>
      </c>
      <c r="AB306" s="15" t="str">
        <f aca="false">IF(AND(ISNUMBER(M306),ISNUMBER(P306)),P306-M306,"")</f>
        <v/>
      </c>
      <c r="AC306" s="15" t="str">
        <f aca="false">IF(AND(ISNUMBER(L306),ISNUMBER(P306)),P306-L306,"")</f>
        <v/>
      </c>
      <c r="AD306" s="15" t="str">
        <f aca="false">IF(AND(ISNUMBER(P306),ISNUMBER(Q306)),Q306-P306,"")</f>
        <v/>
      </c>
      <c r="AE306" s="15" t="str">
        <f aca="false">IF(AND(ISNUMBER(Q306),ISNUMBER(R306)),R306-Q306,IF(ISNUMBER(Y306),Y306,""))</f>
        <v/>
      </c>
      <c r="AF306" s="15" t="str">
        <f aca="false">IF(AND(ISNUMBER(R306),ISNUMBER(S306)),S306-R306,"")</f>
        <v/>
      </c>
      <c r="AG306" s="15" t="str">
        <f aca="false">IF(AND(ISNUMBER(S306),ISNUMBER(T306)),T306-S306,"")</f>
        <v/>
      </c>
      <c r="AH306" s="15" t="str">
        <f aca="false">IF(AND(ISNUMBER(L306),ISNUMBER(T306)),T306-L306,"")</f>
        <v/>
      </c>
      <c r="AI306" s="15" t="str">
        <f aca="false">IF(AND(ISNUMBER(O306),ISNUMBER(Q306)),Q306-O306,"")</f>
        <v/>
      </c>
      <c r="AJ306" s="15" t="str">
        <f aca="false">IF(B306="","",COUNT(L306:M306,P306:T306)&amp;"/7")</f>
        <v/>
      </c>
      <c r="AK306" s="15" t="str">
        <f aca="false">IF(B306="","",IF(OR(AND(ISNUMBER(L306),ISNUMBER(M306),M306&lt;L306),AND(ISNUMBER(M306),ISNUMBER(P306),P306&lt;M306),AND(ISNUMBER(P306),ISNUMBER(Q306),Q306&lt;P306),AND(ISNUMBER(Q306),ISNUMBER(R306),R306&lt;Q306),AND(ISNUMBER(R306),ISNUMBER(S306),S306&lt;R306),AND(ISNUMBER(S306),ISNUMBER(T306),T306&lt;S306),AND(ISNUMBER(N306),ISNUMBER(O306),O306&lt;N306)),"Urutan tanggal salah",IF(AND(ISNUMBER(Q306),ISNUMBER(R306),ISNUMBER(Y306),ABS(R306-Q306-Y306)&gt;2),"S tanggal ≠ Sailing tercatat",IF(AND(ISNUMBER(Q306),ISNUMBER(O306),ABS(Q306-O306)&gt;60),"Cek tahun laycan",IF(AND(ISNUMBER(Q306),ISNUMBER(N306),Q306&lt;N306),"Berangkat sebelum laycan",IF(NOT(ISNUMBER(AE306)),"S belum ada","OK"))))))</f>
        <v/>
      </c>
    </row>
    <row r="307" customFormat="false" ht="15" hidden="false" customHeight="false" outlineLevel="0" collapsed="false">
      <c r="A307" s="16" t="str">
        <f aca="false">IF(B307="","",ROW()-4)</f>
        <v/>
      </c>
      <c r="B307" s="12"/>
      <c r="C307" s="16"/>
      <c r="D307" s="16"/>
      <c r="E307" s="16"/>
      <c r="F307" s="16"/>
      <c r="G307" s="16"/>
      <c r="H307" s="16"/>
      <c r="I307" s="16"/>
      <c r="J307" s="16"/>
      <c r="K307" s="16"/>
      <c r="L307" s="13"/>
      <c r="M307" s="13"/>
      <c r="N307" s="13"/>
      <c r="O307" s="13"/>
      <c r="P307" s="13"/>
      <c r="Q307" s="13"/>
      <c r="R307" s="13"/>
      <c r="S307" s="13"/>
      <c r="T307" s="13"/>
      <c r="U307" s="12"/>
      <c r="V307" s="14"/>
      <c r="W307" s="16"/>
      <c r="X307" s="16"/>
      <c r="Y307" s="16"/>
      <c r="Z307" s="16"/>
      <c r="AA307" s="15" t="str">
        <f aca="false">IF(AND(ISNUMBER(L307),ISNUMBER(M307)),M307-L307,"")</f>
        <v/>
      </c>
      <c r="AB307" s="15" t="str">
        <f aca="false">IF(AND(ISNUMBER(M307),ISNUMBER(P307)),P307-M307,"")</f>
        <v/>
      </c>
      <c r="AC307" s="15" t="str">
        <f aca="false">IF(AND(ISNUMBER(L307),ISNUMBER(P307)),P307-L307,"")</f>
        <v/>
      </c>
      <c r="AD307" s="15" t="str">
        <f aca="false">IF(AND(ISNUMBER(P307),ISNUMBER(Q307)),Q307-P307,"")</f>
        <v/>
      </c>
      <c r="AE307" s="15" t="str">
        <f aca="false">IF(AND(ISNUMBER(Q307),ISNUMBER(R307)),R307-Q307,IF(ISNUMBER(Y307),Y307,""))</f>
        <v/>
      </c>
      <c r="AF307" s="15" t="str">
        <f aca="false">IF(AND(ISNUMBER(R307),ISNUMBER(S307)),S307-R307,"")</f>
        <v/>
      </c>
      <c r="AG307" s="15" t="str">
        <f aca="false">IF(AND(ISNUMBER(S307),ISNUMBER(T307)),T307-S307,"")</f>
        <v/>
      </c>
      <c r="AH307" s="15" t="str">
        <f aca="false">IF(AND(ISNUMBER(L307),ISNUMBER(T307)),T307-L307,"")</f>
        <v/>
      </c>
      <c r="AI307" s="15" t="str">
        <f aca="false">IF(AND(ISNUMBER(O307),ISNUMBER(Q307)),Q307-O307,"")</f>
        <v/>
      </c>
      <c r="AJ307" s="15" t="str">
        <f aca="false">IF(B307="","",COUNT(L307:M307,P307:T307)&amp;"/7")</f>
        <v/>
      </c>
      <c r="AK307" s="15" t="str">
        <f aca="false">IF(B307="","",IF(OR(AND(ISNUMBER(L307),ISNUMBER(M307),M307&lt;L307),AND(ISNUMBER(M307),ISNUMBER(P307),P307&lt;M307),AND(ISNUMBER(P307),ISNUMBER(Q307),Q307&lt;P307),AND(ISNUMBER(Q307),ISNUMBER(R307),R307&lt;Q307),AND(ISNUMBER(R307),ISNUMBER(S307),S307&lt;R307),AND(ISNUMBER(S307),ISNUMBER(T307),T307&lt;S307),AND(ISNUMBER(N307),ISNUMBER(O307),O307&lt;N307)),"Urutan tanggal salah",IF(AND(ISNUMBER(Q307),ISNUMBER(R307),ISNUMBER(Y307),ABS(R307-Q307-Y307)&gt;2),"S tanggal ≠ Sailing tercatat",IF(AND(ISNUMBER(Q307),ISNUMBER(O307),ABS(Q307-O307)&gt;60),"Cek tahun laycan",IF(AND(ISNUMBER(Q307),ISNUMBER(N307),Q307&lt;N307),"Berangkat sebelum laycan",IF(NOT(ISNUMBER(AE307)),"S belum ada","OK"))))))</f>
        <v/>
      </c>
    </row>
    <row r="308" customFormat="false" ht="15" hidden="false" customHeight="false" outlineLevel="0" collapsed="false">
      <c r="A308" s="16" t="str">
        <f aca="false">IF(B308="","",ROW()-4)</f>
        <v/>
      </c>
      <c r="B308" s="12"/>
      <c r="C308" s="16"/>
      <c r="D308" s="16"/>
      <c r="E308" s="16"/>
      <c r="F308" s="16"/>
      <c r="G308" s="16"/>
      <c r="H308" s="16"/>
      <c r="I308" s="16"/>
      <c r="J308" s="16"/>
      <c r="K308" s="16"/>
      <c r="L308" s="13"/>
      <c r="M308" s="13"/>
      <c r="N308" s="13"/>
      <c r="O308" s="13"/>
      <c r="P308" s="13"/>
      <c r="Q308" s="13"/>
      <c r="R308" s="13"/>
      <c r="S308" s="13"/>
      <c r="T308" s="13"/>
      <c r="U308" s="12"/>
      <c r="V308" s="14"/>
      <c r="W308" s="16"/>
      <c r="X308" s="16"/>
      <c r="Y308" s="16"/>
      <c r="Z308" s="16"/>
      <c r="AA308" s="15" t="str">
        <f aca="false">IF(AND(ISNUMBER(L308),ISNUMBER(M308)),M308-L308,"")</f>
        <v/>
      </c>
      <c r="AB308" s="15" t="str">
        <f aca="false">IF(AND(ISNUMBER(M308),ISNUMBER(P308)),P308-M308,"")</f>
        <v/>
      </c>
      <c r="AC308" s="15" t="str">
        <f aca="false">IF(AND(ISNUMBER(L308),ISNUMBER(P308)),P308-L308,"")</f>
        <v/>
      </c>
      <c r="AD308" s="15" t="str">
        <f aca="false">IF(AND(ISNUMBER(P308),ISNUMBER(Q308)),Q308-P308,"")</f>
        <v/>
      </c>
      <c r="AE308" s="15" t="str">
        <f aca="false">IF(AND(ISNUMBER(Q308),ISNUMBER(R308)),R308-Q308,IF(ISNUMBER(Y308),Y308,""))</f>
        <v/>
      </c>
      <c r="AF308" s="15" t="str">
        <f aca="false">IF(AND(ISNUMBER(R308),ISNUMBER(S308)),S308-R308,"")</f>
        <v/>
      </c>
      <c r="AG308" s="15" t="str">
        <f aca="false">IF(AND(ISNUMBER(S308),ISNUMBER(T308)),T308-S308,"")</f>
        <v/>
      </c>
      <c r="AH308" s="15" t="str">
        <f aca="false">IF(AND(ISNUMBER(L308),ISNUMBER(T308)),T308-L308,"")</f>
        <v/>
      </c>
      <c r="AI308" s="15" t="str">
        <f aca="false">IF(AND(ISNUMBER(O308),ISNUMBER(Q308)),Q308-O308,"")</f>
        <v/>
      </c>
      <c r="AJ308" s="15" t="str">
        <f aca="false">IF(B308="","",COUNT(L308:M308,P308:T308)&amp;"/7")</f>
        <v/>
      </c>
      <c r="AK308" s="15" t="str">
        <f aca="false">IF(B308="","",IF(OR(AND(ISNUMBER(L308),ISNUMBER(M308),M308&lt;L308),AND(ISNUMBER(M308),ISNUMBER(P308),P308&lt;M308),AND(ISNUMBER(P308),ISNUMBER(Q308),Q308&lt;P308),AND(ISNUMBER(Q308),ISNUMBER(R308),R308&lt;Q308),AND(ISNUMBER(R308),ISNUMBER(S308),S308&lt;R308),AND(ISNUMBER(S308),ISNUMBER(T308),T308&lt;S308),AND(ISNUMBER(N308),ISNUMBER(O308),O308&lt;N308)),"Urutan tanggal salah",IF(AND(ISNUMBER(Q308),ISNUMBER(R308),ISNUMBER(Y308),ABS(R308-Q308-Y308)&gt;2),"S tanggal ≠ Sailing tercatat",IF(AND(ISNUMBER(Q308),ISNUMBER(O308),ABS(Q308-O308)&gt;60),"Cek tahun laycan",IF(AND(ISNUMBER(Q308),ISNUMBER(N308),Q308&lt;N308),"Berangkat sebelum laycan",IF(NOT(ISNUMBER(AE308)),"S belum ada","OK"))))))</f>
        <v/>
      </c>
    </row>
    <row r="309" customFormat="false" ht="15" hidden="false" customHeight="false" outlineLevel="0" collapsed="false">
      <c r="A309" s="16" t="str">
        <f aca="false">IF(B309="","",ROW()-4)</f>
        <v/>
      </c>
      <c r="B309" s="12"/>
      <c r="C309" s="16"/>
      <c r="D309" s="16"/>
      <c r="E309" s="16"/>
      <c r="F309" s="16"/>
      <c r="G309" s="16"/>
      <c r="H309" s="16"/>
      <c r="I309" s="16"/>
      <c r="J309" s="16"/>
      <c r="K309" s="16"/>
      <c r="L309" s="13"/>
      <c r="M309" s="13"/>
      <c r="N309" s="13"/>
      <c r="O309" s="13"/>
      <c r="P309" s="13"/>
      <c r="Q309" s="13"/>
      <c r="R309" s="13"/>
      <c r="S309" s="13"/>
      <c r="T309" s="13"/>
      <c r="U309" s="12"/>
      <c r="V309" s="14"/>
      <c r="W309" s="16"/>
      <c r="X309" s="16"/>
      <c r="Y309" s="16"/>
      <c r="Z309" s="16"/>
      <c r="AA309" s="15" t="str">
        <f aca="false">IF(AND(ISNUMBER(L309),ISNUMBER(M309)),M309-L309,"")</f>
        <v/>
      </c>
      <c r="AB309" s="15" t="str">
        <f aca="false">IF(AND(ISNUMBER(M309),ISNUMBER(P309)),P309-M309,"")</f>
        <v/>
      </c>
      <c r="AC309" s="15" t="str">
        <f aca="false">IF(AND(ISNUMBER(L309),ISNUMBER(P309)),P309-L309,"")</f>
        <v/>
      </c>
      <c r="AD309" s="15" t="str">
        <f aca="false">IF(AND(ISNUMBER(P309),ISNUMBER(Q309)),Q309-P309,"")</f>
        <v/>
      </c>
      <c r="AE309" s="15" t="str">
        <f aca="false">IF(AND(ISNUMBER(Q309),ISNUMBER(R309)),R309-Q309,IF(ISNUMBER(Y309),Y309,""))</f>
        <v/>
      </c>
      <c r="AF309" s="15" t="str">
        <f aca="false">IF(AND(ISNUMBER(R309),ISNUMBER(S309)),S309-R309,"")</f>
        <v/>
      </c>
      <c r="AG309" s="15" t="str">
        <f aca="false">IF(AND(ISNUMBER(S309),ISNUMBER(T309)),T309-S309,"")</f>
        <v/>
      </c>
      <c r="AH309" s="15" t="str">
        <f aca="false">IF(AND(ISNUMBER(L309),ISNUMBER(T309)),T309-L309,"")</f>
        <v/>
      </c>
      <c r="AI309" s="15" t="str">
        <f aca="false">IF(AND(ISNUMBER(O309),ISNUMBER(Q309)),Q309-O309,"")</f>
        <v/>
      </c>
      <c r="AJ309" s="15" t="str">
        <f aca="false">IF(B309="","",COUNT(L309:M309,P309:T309)&amp;"/7")</f>
        <v/>
      </c>
      <c r="AK309" s="15" t="str">
        <f aca="false">IF(B309="","",IF(OR(AND(ISNUMBER(L309),ISNUMBER(M309),M309&lt;L309),AND(ISNUMBER(M309),ISNUMBER(P309),P309&lt;M309),AND(ISNUMBER(P309),ISNUMBER(Q309),Q309&lt;P309),AND(ISNUMBER(Q309),ISNUMBER(R309),R309&lt;Q309),AND(ISNUMBER(R309),ISNUMBER(S309),S309&lt;R309),AND(ISNUMBER(S309),ISNUMBER(T309),T309&lt;S309),AND(ISNUMBER(N309),ISNUMBER(O309),O309&lt;N309)),"Urutan tanggal salah",IF(AND(ISNUMBER(Q309),ISNUMBER(R309),ISNUMBER(Y309),ABS(R309-Q309-Y309)&gt;2),"S tanggal ≠ Sailing tercatat",IF(AND(ISNUMBER(Q309),ISNUMBER(O309),ABS(Q309-O309)&gt;60),"Cek tahun laycan",IF(AND(ISNUMBER(Q309),ISNUMBER(N309),Q309&lt;N309),"Berangkat sebelum laycan",IF(NOT(ISNUMBER(AE309)),"S belum ada","OK"))))))</f>
        <v/>
      </c>
    </row>
    <row r="310" customFormat="false" ht="15" hidden="false" customHeight="false" outlineLevel="0" collapsed="false">
      <c r="A310" s="16" t="str">
        <f aca="false">IF(B310="","",ROW()-4)</f>
        <v/>
      </c>
      <c r="B310" s="12"/>
      <c r="C310" s="16"/>
      <c r="D310" s="16"/>
      <c r="E310" s="16"/>
      <c r="F310" s="16"/>
      <c r="G310" s="16"/>
      <c r="H310" s="16"/>
      <c r="I310" s="16"/>
      <c r="J310" s="16"/>
      <c r="K310" s="16"/>
      <c r="L310" s="13"/>
      <c r="M310" s="13"/>
      <c r="N310" s="13"/>
      <c r="O310" s="13"/>
      <c r="P310" s="13"/>
      <c r="Q310" s="13"/>
      <c r="R310" s="13"/>
      <c r="S310" s="13"/>
      <c r="T310" s="13"/>
      <c r="U310" s="12"/>
      <c r="V310" s="14"/>
      <c r="W310" s="16"/>
      <c r="X310" s="16"/>
      <c r="Y310" s="16"/>
      <c r="Z310" s="16"/>
      <c r="AA310" s="15" t="str">
        <f aca="false">IF(AND(ISNUMBER(L310),ISNUMBER(M310)),M310-L310,"")</f>
        <v/>
      </c>
      <c r="AB310" s="15" t="str">
        <f aca="false">IF(AND(ISNUMBER(M310),ISNUMBER(P310)),P310-M310,"")</f>
        <v/>
      </c>
      <c r="AC310" s="15" t="str">
        <f aca="false">IF(AND(ISNUMBER(L310),ISNUMBER(P310)),P310-L310,"")</f>
        <v/>
      </c>
      <c r="AD310" s="15" t="str">
        <f aca="false">IF(AND(ISNUMBER(P310),ISNUMBER(Q310)),Q310-P310,"")</f>
        <v/>
      </c>
      <c r="AE310" s="15" t="str">
        <f aca="false">IF(AND(ISNUMBER(Q310),ISNUMBER(R310)),R310-Q310,IF(ISNUMBER(Y310),Y310,""))</f>
        <v/>
      </c>
      <c r="AF310" s="15" t="str">
        <f aca="false">IF(AND(ISNUMBER(R310),ISNUMBER(S310)),S310-R310,"")</f>
        <v/>
      </c>
      <c r="AG310" s="15" t="str">
        <f aca="false">IF(AND(ISNUMBER(S310),ISNUMBER(T310)),T310-S310,"")</f>
        <v/>
      </c>
      <c r="AH310" s="15" t="str">
        <f aca="false">IF(AND(ISNUMBER(L310),ISNUMBER(T310)),T310-L310,"")</f>
        <v/>
      </c>
      <c r="AI310" s="15" t="str">
        <f aca="false">IF(AND(ISNUMBER(O310),ISNUMBER(Q310)),Q310-O310,"")</f>
        <v/>
      </c>
      <c r="AJ310" s="15" t="str">
        <f aca="false">IF(B310="","",COUNT(L310:M310,P310:T310)&amp;"/7")</f>
        <v/>
      </c>
      <c r="AK310" s="15" t="str">
        <f aca="false">IF(B310="","",IF(OR(AND(ISNUMBER(L310),ISNUMBER(M310),M310&lt;L310),AND(ISNUMBER(M310),ISNUMBER(P310),P310&lt;M310),AND(ISNUMBER(P310),ISNUMBER(Q310),Q310&lt;P310),AND(ISNUMBER(Q310),ISNUMBER(R310),R310&lt;Q310),AND(ISNUMBER(R310),ISNUMBER(S310),S310&lt;R310),AND(ISNUMBER(S310),ISNUMBER(T310),T310&lt;S310),AND(ISNUMBER(N310),ISNUMBER(O310),O310&lt;N310)),"Urutan tanggal salah",IF(AND(ISNUMBER(Q310),ISNUMBER(R310),ISNUMBER(Y310),ABS(R310-Q310-Y310)&gt;2),"S tanggal ≠ Sailing tercatat",IF(AND(ISNUMBER(Q310),ISNUMBER(O310),ABS(Q310-O310)&gt;60),"Cek tahun laycan",IF(AND(ISNUMBER(Q310),ISNUMBER(N310),Q310&lt;N310),"Berangkat sebelum laycan",IF(NOT(ISNUMBER(AE310)),"S belum ada","OK"))))))</f>
        <v/>
      </c>
    </row>
    <row r="311" customFormat="false" ht="15" hidden="false" customHeight="false" outlineLevel="0" collapsed="false">
      <c r="A311" s="16" t="str">
        <f aca="false">IF(B311="","",ROW()-4)</f>
        <v/>
      </c>
      <c r="B311" s="12"/>
      <c r="C311" s="16"/>
      <c r="D311" s="16"/>
      <c r="E311" s="16"/>
      <c r="F311" s="16"/>
      <c r="G311" s="16"/>
      <c r="H311" s="16"/>
      <c r="I311" s="16"/>
      <c r="J311" s="16"/>
      <c r="K311" s="16"/>
      <c r="L311" s="13"/>
      <c r="M311" s="13"/>
      <c r="N311" s="13"/>
      <c r="O311" s="13"/>
      <c r="P311" s="13"/>
      <c r="Q311" s="13"/>
      <c r="R311" s="13"/>
      <c r="S311" s="13"/>
      <c r="T311" s="13"/>
      <c r="U311" s="12"/>
      <c r="V311" s="14"/>
      <c r="W311" s="16"/>
      <c r="X311" s="16"/>
      <c r="Y311" s="16"/>
      <c r="Z311" s="16"/>
      <c r="AA311" s="15" t="str">
        <f aca="false">IF(AND(ISNUMBER(L311),ISNUMBER(M311)),M311-L311,"")</f>
        <v/>
      </c>
      <c r="AB311" s="15" t="str">
        <f aca="false">IF(AND(ISNUMBER(M311),ISNUMBER(P311)),P311-M311,"")</f>
        <v/>
      </c>
      <c r="AC311" s="15" t="str">
        <f aca="false">IF(AND(ISNUMBER(L311),ISNUMBER(P311)),P311-L311,"")</f>
        <v/>
      </c>
      <c r="AD311" s="15" t="str">
        <f aca="false">IF(AND(ISNUMBER(P311),ISNUMBER(Q311)),Q311-P311,"")</f>
        <v/>
      </c>
      <c r="AE311" s="15" t="str">
        <f aca="false">IF(AND(ISNUMBER(Q311),ISNUMBER(R311)),R311-Q311,IF(ISNUMBER(Y311),Y311,""))</f>
        <v/>
      </c>
      <c r="AF311" s="15" t="str">
        <f aca="false">IF(AND(ISNUMBER(R311),ISNUMBER(S311)),S311-R311,"")</f>
        <v/>
      </c>
      <c r="AG311" s="15" t="str">
        <f aca="false">IF(AND(ISNUMBER(S311),ISNUMBER(T311)),T311-S311,"")</f>
        <v/>
      </c>
      <c r="AH311" s="15" t="str">
        <f aca="false">IF(AND(ISNUMBER(L311),ISNUMBER(T311)),T311-L311,"")</f>
        <v/>
      </c>
      <c r="AI311" s="15" t="str">
        <f aca="false">IF(AND(ISNUMBER(O311),ISNUMBER(Q311)),Q311-O311,"")</f>
        <v/>
      </c>
      <c r="AJ311" s="15" t="str">
        <f aca="false">IF(B311="","",COUNT(L311:M311,P311:T311)&amp;"/7")</f>
        <v/>
      </c>
      <c r="AK311" s="15" t="str">
        <f aca="false">IF(B311="","",IF(OR(AND(ISNUMBER(L311),ISNUMBER(M311),M311&lt;L311),AND(ISNUMBER(M311),ISNUMBER(P311),P311&lt;M311),AND(ISNUMBER(P311),ISNUMBER(Q311),Q311&lt;P311),AND(ISNUMBER(Q311),ISNUMBER(R311),R311&lt;Q311),AND(ISNUMBER(R311),ISNUMBER(S311),S311&lt;R311),AND(ISNUMBER(S311),ISNUMBER(T311),T311&lt;S311),AND(ISNUMBER(N311),ISNUMBER(O311),O311&lt;N311)),"Urutan tanggal salah",IF(AND(ISNUMBER(Q311),ISNUMBER(R311),ISNUMBER(Y311),ABS(R311-Q311-Y311)&gt;2),"S tanggal ≠ Sailing tercatat",IF(AND(ISNUMBER(Q311),ISNUMBER(O311),ABS(Q311-O311)&gt;60),"Cek tahun laycan",IF(AND(ISNUMBER(Q311),ISNUMBER(N311),Q311&lt;N311),"Berangkat sebelum laycan",IF(NOT(ISNUMBER(AE311)),"S belum ada","OK"))))))</f>
        <v/>
      </c>
    </row>
    <row r="312" customFormat="false" ht="15" hidden="false" customHeight="false" outlineLevel="0" collapsed="false">
      <c r="A312" s="16" t="str">
        <f aca="false">IF(B312="","",ROW()-4)</f>
        <v/>
      </c>
      <c r="B312" s="12"/>
      <c r="C312" s="16"/>
      <c r="D312" s="16"/>
      <c r="E312" s="16"/>
      <c r="F312" s="16"/>
      <c r="G312" s="16"/>
      <c r="H312" s="16"/>
      <c r="I312" s="16"/>
      <c r="J312" s="16"/>
      <c r="K312" s="16"/>
      <c r="L312" s="13"/>
      <c r="M312" s="13"/>
      <c r="N312" s="13"/>
      <c r="O312" s="13"/>
      <c r="P312" s="13"/>
      <c r="Q312" s="13"/>
      <c r="R312" s="13"/>
      <c r="S312" s="13"/>
      <c r="T312" s="13"/>
      <c r="U312" s="12"/>
      <c r="V312" s="14"/>
      <c r="W312" s="16"/>
      <c r="X312" s="16"/>
      <c r="Y312" s="16"/>
      <c r="Z312" s="16"/>
      <c r="AA312" s="15" t="str">
        <f aca="false">IF(AND(ISNUMBER(L312),ISNUMBER(M312)),M312-L312,"")</f>
        <v/>
      </c>
      <c r="AB312" s="15" t="str">
        <f aca="false">IF(AND(ISNUMBER(M312),ISNUMBER(P312)),P312-M312,"")</f>
        <v/>
      </c>
      <c r="AC312" s="15" t="str">
        <f aca="false">IF(AND(ISNUMBER(L312),ISNUMBER(P312)),P312-L312,"")</f>
        <v/>
      </c>
      <c r="AD312" s="15" t="str">
        <f aca="false">IF(AND(ISNUMBER(P312),ISNUMBER(Q312)),Q312-P312,"")</f>
        <v/>
      </c>
      <c r="AE312" s="15" t="str">
        <f aca="false">IF(AND(ISNUMBER(Q312),ISNUMBER(R312)),R312-Q312,IF(ISNUMBER(Y312),Y312,""))</f>
        <v/>
      </c>
      <c r="AF312" s="15" t="str">
        <f aca="false">IF(AND(ISNUMBER(R312),ISNUMBER(S312)),S312-R312,"")</f>
        <v/>
      </c>
      <c r="AG312" s="15" t="str">
        <f aca="false">IF(AND(ISNUMBER(S312),ISNUMBER(T312)),T312-S312,"")</f>
        <v/>
      </c>
      <c r="AH312" s="15" t="str">
        <f aca="false">IF(AND(ISNUMBER(L312),ISNUMBER(T312)),T312-L312,"")</f>
        <v/>
      </c>
      <c r="AI312" s="15" t="str">
        <f aca="false">IF(AND(ISNUMBER(O312),ISNUMBER(Q312)),Q312-O312,"")</f>
        <v/>
      </c>
      <c r="AJ312" s="15" t="str">
        <f aca="false">IF(B312="","",COUNT(L312:M312,P312:T312)&amp;"/7")</f>
        <v/>
      </c>
      <c r="AK312" s="15" t="str">
        <f aca="false">IF(B312="","",IF(OR(AND(ISNUMBER(L312),ISNUMBER(M312),M312&lt;L312),AND(ISNUMBER(M312),ISNUMBER(P312),P312&lt;M312),AND(ISNUMBER(P312),ISNUMBER(Q312),Q312&lt;P312),AND(ISNUMBER(Q312),ISNUMBER(R312),R312&lt;Q312),AND(ISNUMBER(R312),ISNUMBER(S312),S312&lt;R312),AND(ISNUMBER(S312),ISNUMBER(T312),T312&lt;S312),AND(ISNUMBER(N312),ISNUMBER(O312),O312&lt;N312)),"Urutan tanggal salah",IF(AND(ISNUMBER(Q312),ISNUMBER(R312),ISNUMBER(Y312),ABS(R312-Q312-Y312)&gt;2),"S tanggal ≠ Sailing tercatat",IF(AND(ISNUMBER(Q312),ISNUMBER(O312),ABS(Q312-O312)&gt;60),"Cek tahun laycan",IF(AND(ISNUMBER(Q312),ISNUMBER(N312),Q312&lt;N312),"Berangkat sebelum laycan",IF(NOT(ISNUMBER(AE312)),"S belum ada","OK"))))))</f>
        <v/>
      </c>
    </row>
    <row r="313" customFormat="false" ht="15" hidden="false" customHeight="false" outlineLevel="0" collapsed="false">
      <c r="A313" s="16" t="str">
        <f aca="false">IF(B313="","",ROW()-4)</f>
        <v/>
      </c>
      <c r="B313" s="12"/>
      <c r="C313" s="16"/>
      <c r="D313" s="16"/>
      <c r="E313" s="16"/>
      <c r="F313" s="16"/>
      <c r="G313" s="16"/>
      <c r="H313" s="16"/>
      <c r="I313" s="16"/>
      <c r="J313" s="16"/>
      <c r="K313" s="16"/>
      <c r="L313" s="13"/>
      <c r="M313" s="13"/>
      <c r="N313" s="13"/>
      <c r="O313" s="13"/>
      <c r="P313" s="13"/>
      <c r="Q313" s="13"/>
      <c r="R313" s="13"/>
      <c r="S313" s="13"/>
      <c r="T313" s="13"/>
      <c r="U313" s="12"/>
      <c r="V313" s="14"/>
      <c r="W313" s="16"/>
      <c r="X313" s="16"/>
      <c r="Y313" s="16"/>
      <c r="Z313" s="16"/>
      <c r="AA313" s="15" t="str">
        <f aca="false">IF(AND(ISNUMBER(L313),ISNUMBER(M313)),M313-L313,"")</f>
        <v/>
      </c>
      <c r="AB313" s="15" t="str">
        <f aca="false">IF(AND(ISNUMBER(M313),ISNUMBER(P313)),P313-M313,"")</f>
        <v/>
      </c>
      <c r="AC313" s="15" t="str">
        <f aca="false">IF(AND(ISNUMBER(L313),ISNUMBER(P313)),P313-L313,"")</f>
        <v/>
      </c>
      <c r="AD313" s="15" t="str">
        <f aca="false">IF(AND(ISNUMBER(P313),ISNUMBER(Q313)),Q313-P313,"")</f>
        <v/>
      </c>
      <c r="AE313" s="15" t="str">
        <f aca="false">IF(AND(ISNUMBER(Q313),ISNUMBER(R313)),R313-Q313,IF(ISNUMBER(Y313),Y313,""))</f>
        <v/>
      </c>
      <c r="AF313" s="15" t="str">
        <f aca="false">IF(AND(ISNUMBER(R313),ISNUMBER(S313)),S313-R313,"")</f>
        <v/>
      </c>
      <c r="AG313" s="15" t="str">
        <f aca="false">IF(AND(ISNUMBER(S313),ISNUMBER(T313)),T313-S313,"")</f>
        <v/>
      </c>
      <c r="AH313" s="15" t="str">
        <f aca="false">IF(AND(ISNUMBER(L313),ISNUMBER(T313)),T313-L313,"")</f>
        <v/>
      </c>
      <c r="AI313" s="15" t="str">
        <f aca="false">IF(AND(ISNUMBER(O313),ISNUMBER(Q313)),Q313-O313,"")</f>
        <v/>
      </c>
      <c r="AJ313" s="15" t="str">
        <f aca="false">IF(B313="","",COUNT(L313:M313,P313:T313)&amp;"/7")</f>
        <v/>
      </c>
      <c r="AK313" s="15" t="str">
        <f aca="false">IF(B313="","",IF(OR(AND(ISNUMBER(L313),ISNUMBER(M313),M313&lt;L313),AND(ISNUMBER(M313),ISNUMBER(P313),P313&lt;M313),AND(ISNUMBER(P313),ISNUMBER(Q313),Q313&lt;P313),AND(ISNUMBER(Q313),ISNUMBER(R313),R313&lt;Q313),AND(ISNUMBER(R313),ISNUMBER(S313),S313&lt;R313),AND(ISNUMBER(S313),ISNUMBER(T313),T313&lt;S313),AND(ISNUMBER(N313),ISNUMBER(O313),O313&lt;N313)),"Urutan tanggal salah",IF(AND(ISNUMBER(Q313),ISNUMBER(R313),ISNUMBER(Y313),ABS(R313-Q313-Y313)&gt;2),"S tanggal ≠ Sailing tercatat",IF(AND(ISNUMBER(Q313),ISNUMBER(O313),ABS(Q313-O313)&gt;60),"Cek tahun laycan",IF(AND(ISNUMBER(Q313),ISNUMBER(N313),Q313&lt;N313),"Berangkat sebelum laycan",IF(NOT(ISNUMBER(AE313)),"S belum ada","OK"))))))</f>
        <v/>
      </c>
    </row>
    <row r="314" customFormat="false" ht="15" hidden="false" customHeight="false" outlineLevel="0" collapsed="false">
      <c r="A314" s="16" t="str">
        <f aca="false">IF(B314="","",ROW()-4)</f>
        <v/>
      </c>
      <c r="B314" s="12"/>
      <c r="C314" s="16"/>
      <c r="D314" s="16"/>
      <c r="E314" s="16"/>
      <c r="F314" s="16"/>
      <c r="G314" s="16"/>
      <c r="H314" s="16"/>
      <c r="I314" s="16"/>
      <c r="J314" s="16"/>
      <c r="K314" s="16"/>
      <c r="L314" s="13"/>
      <c r="M314" s="13"/>
      <c r="N314" s="13"/>
      <c r="O314" s="13"/>
      <c r="P314" s="13"/>
      <c r="Q314" s="13"/>
      <c r="R314" s="13"/>
      <c r="S314" s="13"/>
      <c r="T314" s="13"/>
      <c r="U314" s="12"/>
      <c r="V314" s="14"/>
      <c r="W314" s="16"/>
      <c r="X314" s="16"/>
      <c r="Y314" s="16"/>
      <c r="Z314" s="16"/>
      <c r="AA314" s="15" t="str">
        <f aca="false">IF(AND(ISNUMBER(L314),ISNUMBER(M314)),M314-L314,"")</f>
        <v/>
      </c>
      <c r="AB314" s="15" t="str">
        <f aca="false">IF(AND(ISNUMBER(M314),ISNUMBER(P314)),P314-M314,"")</f>
        <v/>
      </c>
      <c r="AC314" s="15" t="str">
        <f aca="false">IF(AND(ISNUMBER(L314),ISNUMBER(P314)),P314-L314,"")</f>
        <v/>
      </c>
      <c r="AD314" s="15" t="str">
        <f aca="false">IF(AND(ISNUMBER(P314),ISNUMBER(Q314)),Q314-P314,"")</f>
        <v/>
      </c>
      <c r="AE314" s="15" t="str">
        <f aca="false">IF(AND(ISNUMBER(Q314),ISNUMBER(R314)),R314-Q314,IF(ISNUMBER(Y314),Y314,""))</f>
        <v/>
      </c>
      <c r="AF314" s="15" t="str">
        <f aca="false">IF(AND(ISNUMBER(R314),ISNUMBER(S314)),S314-R314,"")</f>
        <v/>
      </c>
      <c r="AG314" s="15" t="str">
        <f aca="false">IF(AND(ISNUMBER(S314),ISNUMBER(T314)),T314-S314,"")</f>
        <v/>
      </c>
      <c r="AH314" s="15" t="str">
        <f aca="false">IF(AND(ISNUMBER(L314),ISNUMBER(T314)),T314-L314,"")</f>
        <v/>
      </c>
      <c r="AI314" s="15" t="str">
        <f aca="false">IF(AND(ISNUMBER(O314),ISNUMBER(Q314)),Q314-O314,"")</f>
        <v/>
      </c>
      <c r="AJ314" s="15" t="str">
        <f aca="false">IF(B314="","",COUNT(L314:M314,P314:T314)&amp;"/7")</f>
        <v/>
      </c>
      <c r="AK314" s="15" t="str">
        <f aca="false">IF(B314="","",IF(OR(AND(ISNUMBER(L314),ISNUMBER(M314),M314&lt;L314),AND(ISNUMBER(M314),ISNUMBER(P314),P314&lt;M314),AND(ISNUMBER(P314),ISNUMBER(Q314),Q314&lt;P314),AND(ISNUMBER(Q314),ISNUMBER(R314),R314&lt;Q314),AND(ISNUMBER(R314),ISNUMBER(S314),S314&lt;R314),AND(ISNUMBER(S314),ISNUMBER(T314),T314&lt;S314),AND(ISNUMBER(N314),ISNUMBER(O314),O314&lt;N314)),"Urutan tanggal salah",IF(AND(ISNUMBER(Q314),ISNUMBER(R314),ISNUMBER(Y314),ABS(R314-Q314-Y314)&gt;2),"S tanggal ≠ Sailing tercatat",IF(AND(ISNUMBER(Q314),ISNUMBER(O314),ABS(Q314-O314)&gt;60),"Cek tahun laycan",IF(AND(ISNUMBER(Q314),ISNUMBER(N314),Q314&lt;N314),"Berangkat sebelum laycan",IF(NOT(ISNUMBER(AE314)),"S belum ada","OK"))))))</f>
        <v/>
      </c>
    </row>
    <row r="315" customFormat="false" ht="15" hidden="false" customHeight="false" outlineLevel="0" collapsed="false">
      <c r="A315" s="16" t="str">
        <f aca="false">IF(B315="","",ROW()-4)</f>
        <v/>
      </c>
      <c r="B315" s="12"/>
      <c r="C315" s="16"/>
      <c r="D315" s="16"/>
      <c r="E315" s="16"/>
      <c r="F315" s="16"/>
      <c r="G315" s="16"/>
      <c r="H315" s="16"/>
      <c r="I315" s="16"/>
      <c r="J315" s="16"/>
      <c r="K315" s="16"/>
      <c r="L315" s="13"/>
      <c r="M315" s="13"/>
      <c r="N315" s="13"/>
      <c r="O315" s="13"/>
      <c r="P315" s="13"/>
      <c r="Q315" s="13"/>
      <c r="R315" s="13"/>
      <c r="S315" s="13"/>
      <c r="T315" s="13"/>
      <c r="U315" s="12"/>
      <c r="V315" s="14"/>
      <c r="W315" s="16"/>
      <c r="X315" s="16"/>
      <c r="Y315" s="16"/>
      <c r="Z315" s="16"/>
      <c r="AA315" s="15" t="str">
        <f aca="false">IF(AND(ISNUMBER(L315),ISNUMBER(M315)),M315-L315,"")</f>
        <v/>
      </c>
      <c r="AB315" s="15" t="str">
        <f aca="false">IF(AND(ISNUMBER(M315),ISNUMBER(P315)),P315-M315,"")</f>
        <v/>
      </c>
      <c r="AC315" s="15" t="str">
        <f aca="false">IF(AND(ISNUMBER(L315),ISNUMBER(P315)),P315-L315,"")</f>
        <v/>
      </c>
      <c r="AD315" s="15" t="str">
        <f aca="false">IF(AND(ISNUMBER(P315),ISNUMBER(Q315)),Q315-P315,"")</f>
        <v/>
      </c>
      <c r="AE315" s="15" t="str">
        <f aca="false">IF(AND(ISNUMBER(Q315),ISNUMBER(R315)),R315-Q315,IF(ISNUMBER(Y315),Y315,""))</f>
        <v/>
      </c>
      <c r="AF315" s="15" t="str">
        <f aca="false">IF(AND(ISNUMBER(R315),ISNUMBER(S315)),S315-R315,"")</f>
        <v/>
      </c>
      <c r="AG315" s="15" t="str">
        <f aca="false">IF(AND(ISNUMBER(S315),ISNUMBER(T315)),T315-S315,"")</f>
        <v/>
      </c>
      <c r="AH315" s="15" t="str">
        <f aca="false">IF(AND(ISNUMBER(L315),ISNUMBER(T315)),T315-L315,"")</f>
        <v/>
      </c>
      <c r="AI315" s="15" t="str">
        <f aca="false">IF(AND(ISNUMBER(O315),ISNUMBER(Q315)),Q315-O315,"")</f>
        <v/>
      </c>
      <c r="AJ315" s="15" t="str">
        <f aca="false">IF(B315="","",COUNT(L315:M315,P315:T315)&amp;"/7")</f>
        <v/>
      </c>
      <c r="AK315" s="15" t="str">
        <f aca="false">IF(B315="","",IF(OR(AND(ISNUMBER(L315),ISNUMBER(M315),M315&lt;L315),AND(ISNUMBER(M315),ISNUMBER(P315),P315&lt;M315),AND(ISNUMBER(P315),ISNUMBER(Q315),Q315&lt;P315),AND(ISNUMBER(Q315),ISNUMBER(R315),R315&lt;Q315),AND(ISNUMBER(R315),ISNUMBER(S315),S315&lt;R315),AND(ISNUMBER(S315),ISNUMBER(T315),T315&lt;S315),AND(ISNUMBER(N315),ISNUMBER(O315),O315&lt;N315)),"Urutan tanggal salah",IF(AND(ISNUMBER(Q315),ISNUMBER(R315),ISNUMBER(Y315),ABS(R315-Q315-Y315)&gt;2),"S tanggal ≠ Sailing tercatat",IF(AND(ISNUMBER(Q315),ISNUMBER(O315),ABS(Q315-O315)&gt;60),"Cek tahun laycan",IF(AND(ISNUMBER(Q315),ISNUMBER(N315),Q315&lt;N315),"Berangkat sebelum laycan",IF(NOT(ISNUMBER(AE315)),"S belum ada","OK"))))))</f>
        <v/>
      </c>
    </row>
    <row r="316" customFormat="false" ht="15" hidden="false" customHeight="false" outlineLevel="0" collapsed="false">
      <c r="A316" s="16" t="str">
        <f aca="false">IF(B316="","",ROW()-4)</f>
        <v/>
      </c>
      <c r="B316" s="12"/>
      <c r="C316" s="16"/>
      <c r="D316" s="16"/>
      <c r="E316" s="16"/>
      <c r="F316" s="16"/>
      <c r="G316" s="16"/>
      <c r="H316" s="16"/>
      <c r="I316" s="16"/>
      <c r="J316" s="16"/>
      <c r="K316" s="16"/>
      <c r="L316" s="13"/>
      <c r="M316" s="13"/>
      <c r="N316" s="13"/>
      <c r="O316" s="13"/>
      <c r="P316" s="13"/>
      <c r="Q316" s="13"/>
      <c r="R316" s="13"/>
      <c r="S316" s="13"/>
      <c r="T316" s="13"/>
      <c r="U316" s="12"/>
      <c r="V316" s="14"/>
      <c r="W316" s="16"/>
      <c r="X316" s="16"/>
      <c r="Y316" s="16"/>
      <c r="Z316" s="16"/>
      <c r="AA316" s="15" t="str">
        <f aca="false">IF(AND(ISNUMBER(L316),ISNUMBER(M316)),M316-L316,"")</f>
        <v/>
      </c>
      <c r="AB316" s="15" t="str">
        <f aca="false">IF(AND(ISNUMBER(M316),ISNUMBER(P316)),P316-M316,"")</f>
        <v/>
      </c>
      <c r="AC316" s="15" t="str">
        <f aca="false">IF(AND(ISNUMBER(L316),ISNUMBER(P316)),P316-L316,"")</f>
        <v/>
      </c>
      <c r="AD316" s="15" t="str">
        <f aca="false">IF(AND(ISNUMBER(P316),ISNUMBER(Q316)),Q316-P316,"")</f>
        <v/>
      </c>
      <c r="AE316" s="15" t="str">
        <f aca="false">IF(AND(ISNUMBER(Q316),ISNUMBER(R316)),R316-Q316,IF(ISNUMBER(Y316),Y316,""))</f>
        <v/>
      </c>
      <c r="AF316" s="15" t="str">
        <f aca="false">IF(AND(ISNUMBER(R316),ISNUMBER(S316)),S316-R316,"")</f>
        <v/>
      </c>
      <c r="AG316" s="15" t="str">
        <f aca="false">IF(AND(ISNUMBER(S316),ISNUMBER(T316)),T316-S316,"")</f>
        <v/>
      </c>
      <c r="AH316" s="15" t="str">
        <f aca="false">IF(AND(ISNUMBER(L316),ISNUMBER(T316)),T316-L316,"")</f>
        <v/>
      </c>
      <c r="AI316" s="15" t="str">
        <f aca="false">IF(AND(ISNUMBER(O316),ISNUMBER(Q316)),Q316-O316,"")</f>
        <v/>
      </c>
      <c r="AJ316" s="15" t="str">
        <f aca="false">IF(B316="","",COUNT(L316:M316,P316:T316)&amp;"/7")</f>
        <v/>
      </c>
      <c r="AK316" s="15" t="str">
        <f aca="false">IF(B316="","",IF(OR(AND(ISNUMBER(L316),ISNUMBER(M316),M316&lt;L316),AND(ISNUMBER(M316),ISNUMBER(P316),P316&lt;M316),AND(ISNUMBER(P316),ISNUMBER(Q316),Q316&lt;P316),AND(ISNUMBER(Q316),ISNUMBER(R316),R316&lt;Q316),AND(ISNUMBER(R316),ISNUMBER(S316),S316&lt;R316),AND(ISNUMBER(S316),ISNUMBER(T316),T316&lt;S316),AND(ISNUMBER(N316),ISNUMBER(O316),O316&lt;N316)),"Urutan tanggal salah",IF(AND(ISNUMBER(Q316),ISNUMBER(R316),ISNUMBER(Y316),ABS(R316-Q316-Y316)&gt;2),"S tanggal ≠ Sailing tercatat",IF(AND(ISNUMBER(Q316),ISNUMBER(O316),ABS(Q316-O316)&gt;60),"Cek tahun laycan",IF(AND(ISNUMBER(Q316),ISNUMBER(N316),Q316&lt;N316),"Berangkat sebelum laycan",IF(NOT(ISNUMBER(AE316)),"S belum ada","OK"))))))</f>
        <v/>
      </c>
    </row>
    <row r="317" customFormat="false" ht="15" hidden="false" customHeight="false" outlineLevel="0" collapsed="false">
      <c r="A317" s="16" t="str">
        <f aca="false">IF(B317="","",ROW()-4)</f>
        <v/>
      </c>
      <c r="B317" s="12"/>
      <c r="C317" s="16"/>
      <c r="D317" s="16"/>
      <c r="E317" s="16"/>
      <c r="F317" s="16"/>
      <c r="G317" s="16"/>
      <c r="H317" s="16"/>
      <c r="I317" s="16"/>
      <c r="J317" s="16"/>
      <c r="K317" s="16"/>
      <c r="L317" s="13"/>
      <c r="M317" s="13"/>
      <c r="N317" s="13"/>
      <c r="O317" s="13"/>
      <c r="P317" s="13"/>
      <c r="Q317" s="13"/>
      <c r="R317" s="13"/>
      <c r="S317" s="13"/>
      <c r="T317" s="13"/>
      <c r="U317" s="12"/>
      <c r="V317" s="14"/>
      <c r="W317" s="16"/>
      <c r="X317" s="16"/>
      <c r="Y317" s="16"/>
      <c r="Z317" s="16"/>
      <c r="AA317" s="15" t="str">
        <f aca="false">IF(AND(ISNUMBER(L317),ISNUMBER(M317)),M317-L317,"")</f>
        <v/>
      </c>
      <c r="AB317" s="15" t="str">
        <f aca="false">IF(AND(ISNUMBER(M317),ISNUMBER(P317)),P317-M317,"")</f>
        <v/>
      </c>
      <c r="AC317" s="15" t="str">
        <f aca="false">IF(AND(ISNUMBER(L317),ISNUMBER(P317)),P317-L317,"")</f>
        <v/>
      </c>
      <c r="AD317" s="15" t="str">
        <f aca="false">IF(AND(ISNUMBER(P317),ISNUMBER(Q317)),Q317-P317,"")</f>
        <v/>
      </c>
      <c r="AE317" s="15" t="str">
        <f aca="false">IF(AND(ISNUMBER(Q317),ISNUMBER(R317)),R317-Q317,IF(ISNUMBER(Y317),Y317,""))</f>
        <v/>
      </c>
      <c r="AF317" s="15" t="str">
        <f aca="false">IF(AND(ISNUMBER(R317),ISNUMBER(S317)),S317-R317,"")</f>
        <v/>
      </c>
      <c r="AG317" s="15" t="str">
        <f aca="false">IF(AND(ISNUMBER(S317),ISNUMBER(T317)),T317-S317,"")</f>
        <v/>
      </c>
      <c r="AH317" s="15" t="str">
        <f aca="false">IF(AND(ISNUMBER(L317),ISNUMBER(T317)),T317-L317,"")</f>
        <v/>
      </c>
      <c r="AI317" s="15" t="str">
        <f aca="false">IF(AND(ISNUMBER(O317),ISNUMBER(Q317)),Q317-O317,"")</f>
        <v/>
      </c>
      <c r="AJ317" s="15" t="str">
        <f aca="false">IF(B317="","",COUNT(L317:M317,P317:T317)&amp;"/7")</f>
        <v/>
      </c>
      <c r="AK317" s="15" t="str">
        <f aca="false">IF(B317="","",IF(OR(AND(ISNUMBER(L317),ISNUMBER(M317),M317&lt;L317),AND(ISNUMBER(M317),ISNUMBER(P317),P317&lt;M317),AND(ISNUMBER(P317),ISNUMBER(Q317),Q317&lt;P317),AND(ISNUMBER(Q317),ISNUMBER(R317),R317&lt;Q317),AND(ISNUMBER(R317),ISNUMBER(S317),S317&lt;R317),AND(ISNUMBER(S317),ISNUMBER(T317),T317&lt;S317),AND(ISNUMBER(N317),ISNUMBER(O317),O317&lt;N317)),"Urutan tanggal salah",IF(AND(ISNUMBER(Q317),ISNUMBER(R317),ISNUMBER(Y317),ABS(R317-Q317-Y317)&gt;2),"S tanggal ≠ Sailing tercatat",IF(AND(ISNUMBER(Q317),ISNUMBER(O317),ABS(Q317-O317)&gt;60),"Cek tahun laycan",IF(AND(ISNUMBER(Q317),ISNUMBER(N317),Q317&lt;N317),"Berangkat sebelum laycan",IF(NOT(ISNUMBER(AE317)),"S belum ada","OK"))))))</f>
        <v/>
      </c>
    </row>
    <row r="318" customFormat="false" ht="15" hidden="false" customHeight="false" outlineLevel="0" collapsed="false">
      <c r="A318" s="16" t="str">
        <f aca="false">IF(B318="","",ROW()-4)</f>
        <v/>
      </c>
      <c r="B318" s="12"/>
      <c r="C318" s="16"/>
      <c r="D318" s="16"/>
      <c r="E318" s="16"/>
      <c r="F318" s="16"/>
      <c r="G318" s="16"/>
      <c r="H318" s="16"/>
      <c r="I318" s="16"/>
      <c r="J318" s="16"/>
      <c r="K318" s="16"/>
      <c r="L318" s="13"/>
      <c r="M318" s="13"/>
      <c r="N318" s="13"/>
      <c r="O318" s="13"/>
      <c r="P318" s="13"/>
      <c r="Q318" s="13"/>
      <c r="R318" s="13"/>
      <c r="S318" s="13"/>
      <c r="T318" s="13"/>
      <c r="U318" s="12"/>
      <c r="V318" s="14"/>
      <c r="W318" s="16"/>
      <c r="X318" s="16"/>
      <c r="Y318" s="16"/>
      <c r="Z318" s="16"/>
      <c r="AA318" s="15" t="str">
        <f aca="false">IF(AND(ISNUMBER(L318),ISNUMBER(M318)),M318-L318,"")</f>
        <v/>
      </c>
      <c r="AB318" s="15" t="str">
        <f aca="false">IF(AND(ISNUMBER(M318),ISNUMBER(P318)),P318-M318,"")</f>
        <v/>
      </c>
      <c r="AC318" s="15" t="str">
        <f aca="false">IF(AND(ISNUMBER(L318),ISNUMBER(P318)),P318-L318,"")</f>
        <v/>
      </c>
      <c r="AD318" s="15" t="str">
        <f aca="false">IF(AND(ISNUMBER(P318),ISNUMBER(Q318)),Q318-P318,"")</f>
        <v/>
      </c>
      <c r="AE318" s="15" t="str">
        <f aca="false">IF(AND(ISNUMBER(Q318),ISNUMBER(R318)),R318-Q318,IF(ISNUMBER(Y318),Y318,""))</f>
        <v/>
      </c>
      <c r="AF318" s="15" t="str">
        <f aca="false">IF(AND(ISNUMBER(R318),ISNUMBER(S318)),S318-R318,"")</f>
        <v/>
      </c>
      <c r="AG318" s="15" t="str">
        <f aca="false">IF(AND(ISNUMBER(S318),ISNUMBER(T318)),T318-S318,"")</f>
        <v/>
      </c>
      <c r="AH318" s="15" t="str">
        <f aca="false">IF(AND(ISNUMBER(L318),ISNUMBER(T318)),T318-L318,"")</f>
        <v/>
      </c>
      <c r="AI318" s="15" t="str">
        <f aca="false">IF(AND(ISNUMBER(O318),ISNUMBER(Q318)),Q318-O318,"")</f>
        <v/>
      </c>
      <c r="AJ318" s="15" t="str">
        <f aca="false">IF(B318="","",COUNT(L318:M318,P318:T318)&amp;"/7")</f>
        <v/>
      </c>
      <c r="AK318" s="15" t="str">
        <f aca="false">IF(B318="","",IF(OR(AND(ISNUMBER(L318),ISNUMBER(M318),M318&lt;L318),AND(ISNUMBER(M318),ISNUMBER(P318),P318&lt;M318),AND(ISNUMBER(P318),ISNUMBER(Q318),Q318&lt;P318),AND(ISNUMBER(Q318),ISNUMBER(R318),R318&lt;Q318),AND(ISNUMBER(R318),ISNUMBER(S318),S318&lt;R318),AND(ISNUMBER(S318),ISNUMBER(T318),T318&lt;S318),AND(ISNUMBER(N318),ISNUMBER(O318),O318&lt;N318)),"Urutan tanggal salah",IF(AND(ISNUMBER(Q318),ISNUMBER(R318),ISNUMBER(Y318),ABS(R318-Q318-Y318)&gt;2),"S tanggal ≠ Sailing tercatat",IF(AND(ISNUMBER(Q318),ISNUMBER(O318),ABS(Q318-O318)&gt;60),"Cek tahun laycan",IF(AND(ISNUMBER(Q318),ISNUMBER(N318),Q318&lt;N318),"Berangkat sebelum laycan",IF(NOT(ISNUMBER(AE318)),"S belum ada","OK"))))))</f>
        <v/>
      </c>
    </row>
    <row r="319" customFormat="false" ht="15" hidden="false" customHeight="false" outlineLevel="0" collapsed="false">
      <c r="A319" s="16" t="str">
        <f aca="false">IF(B319="","",ROW()-4)</f>
        <v/>
      </c>
      <c r="B319" s="12"/>
      <c r="C319" s="16"/>
      <c r="D319" s="16"/>
      <c r="E319" s="16"/>
      <c r="F319" s="16"/>
      <c r="G319" s="16"/>
      <c r="H319" s="16"/>
      <c r="I319" s="16"/>
      <c r="J319" s="16"/>
      <c r="K319" s="16"/>
      <c r="L319" s="13"/>
      <c r="M319" s="13"/>
      <c r="N319" s="13"/>
      <c r="O319" s="13"/>
      <c r="P319" s="13"/>
      <c r="Q319" s="13"/>
      <c r="R319" s="13"/>
      <c r="S319" s="13"/>
      <c r="T319" s="13"/>
      <c r="U319" s="12"/>
      <c r="V319" s="14"/>
      <c r="W319" s="16"/>
      <c r="X319" s="16"/>
      <c r="Y319" s="16"/>
      <c r="Z319" s="16"/>
      <c r="AA319" s="15" t="str">
        <f aca="false">IF(AND(ISNUMBER(L319),ISNUMBER(M319)),M319-L319,"")</f>
        <v/>
      </c>
      <c r="AB319" s="15" t="str">
        <f aca="false">IF(AND(ISNUMBER(M319),ISNUMBER(P319)),P319-M319,"")</f>
        <v/>
      </c>
      <c r="AC319" s="15" t="str">
        <f aca="false">IF(AND(ISNUMBER(L319),ISNUMBER(P319)),P319-L319,"")</f>
        <v/>
      </c>
      <c r="AD319" s="15" t="str">
        <f aca="false">IF(AND(ISNUMBER(P319),ISNUMBER(Q319)),Q319-P319,"")</f>
        <v/>
      </c>
      <c r="AE319" s="15" t="str">
        <f aca="false">IF(AND(ISNUMBER(Q319),ISNUMBER(R319)),R319-Q319,IF(ISNUMBER(Y319),Y319,""))</f>
        <v/>
      </c>
      <c r="AF319" s="15" t="str">
        <f aca="false">IF(AND(ISNUMBER(R319),ISNUMBER(S319)),S319-R319,"")</f>
        <v/>
      </c>
      <c r="AG319" s="15" t="str">
        <f aca="false">IF(AND(ISNUMBER(S319),ISNUMBER(T319)),T319-S319,"")</f>
        <v/>
      </c>
      <c r="AH319" s="15" t="str">
        <f aca="false">IF(AND(ISNUMBER(L319),ISNUMBER(T319)),T319-L319,"")</f>
        <v/>
      </c>
      <c r="AI319" s="15" t="str">
        <f aca="false">IF(AND(ISNUMBER(O319),ISNUMBER(Q319)),Q319-O319,"")</f>
        <v/>
      </c>
      <c r="AJ319" s="15" t="str">
        <f aca="false">IF(B319="","",COUNT(L319:M319,P319:T319)&amp;"/7")</f>
        <v/>
      </c>
      <c r="AK319" s="15" t="str">
        <f aca="false">IF(B319="","",IF(OR(AND(ISNUMBER(L319),ISNUMBER(M319),M319&lt;L319),AND(ISNUMBER(M319),ISNUMBER(P319),P319&lt;M319),AND(ISNUMBER(P319),ISNUMBER(Q319),Q319&lt;P319),AND(ISNUMBER(Q319),ISNUMBER(R319),R319&lt;Q319),AND(ISNUMBER(R319),ISNUMBER(S319),S319&lt;R319),AND(ISNUMBER(S319),ISNUMBER(T319),T319&lt;S319),AND(ISNUMBER(N319),ISNUMBER(O319),O319&lt;N319)),"Urutan tanggal salah",IF(AND(ISNUMBER(Q319),ISNUMBER(R319),ISNUMBER(Y319),ABS(R319-Q319-Y319)&gt;2),"S tanggal ≠ Sailing tercatat",IF(AND(ISNUMBER(Q319),ISNUMBER(O319),ABS(Q319-O319)&gt;60),"Cek tahun laycan",IF(AND(ISNUMBER(Q319),ISNUMBER(N319),Q319&lt;N319),"Berangkat sebelum laycan",IF(NOT(ISNUMBER(AE319)),"S belum ada","OK"))))))</f>
        <v/>
      </c>
    </row>
    <row r="320" customFormat="false" ht="15" hidden="false" customHeight="false" outlineLevel="0" collapsed="false">
      <c r="A320" s="16" t="str">
        <f aca="false">IF(B320="","",ROW()-4)</f>
        <v/>
      </c>
      <c r="B320" s="12"/>
      <c r="C320" s="16"/>
      <c r="D320" s="16"/>
      <c r="E320" s="16"/>
      <c r="F320" s="16"/>
      <c r="G320" s="16"/>
      <c r="H320" s="16"/>
      <c r="I320" s="16"/>
      <c r="J320" s="16"/>
      <c r="K320" s="16"/>
      <c r="L320" s="13"/>
      <c r="M320" s="13"/>
      <c r="N320" s="13"/>
      <c r="O320" s="13"/>
      <c r="P320" s="13"/>
      <c r="Q320" s="13"/>
      <c r="R320" s="13"/>
      <c r="S320" s="13"/>
      <c r="T320" s="13"/>
      <c r="U320" s="12"/>
      <c r="V320" s="14"/>
      <c r="W320" s="16"/>
      <c r="X320" s="16"/>
      <c r="Y320" s="16"/>
      <c r="Z320" s="16"/>
      <c r="AA320" s="15" t="str">
        <f aca="false">IF(AND(ISNUMBER(L320),ISNUMBER(M320)),M320-L320,"")</f>
        <v/>
      </c>
      <c r="AB320" s="15" t="str">
        <f aca="false">IF(AND(ISNUMBER(M320),ISNUMBER(P320)),P320-M320,"")</f>
        <v/>
      </c>
      <c r="AC320" s="15" t="str">
        <f aca="false">IF(AND(ISNUMBER(L320),ISNUMBER(P320)),P320-L320,"")</f>
        <v/>
      </c>
      <c r="AD320" s="15" t="str">
        <f aca="false">IF(AND(ISNUMBER(P320),ISNUMBER(Q320)),Q320-P320,"")</f>
        <v/>
      </c>
      <c r="AE320" s="15" t="str">
        <f aca="false">IF(AND(ISNUMBER(Q320),ISNUMBER(R320)),R320-Q320,IF(ISNUMBER(Y320),Y320,""))</f>
        <v/>
      </c>
      <c r="AF320" s="15" t="str">
        <f aca="false">IF(AND(ISNUMBER(R320),ISNUMBER(S320)),S320-R320,"")</f>
        <v/>
      </c>
      <c r="AG320" s="15" t="str">
        <f aca="false">IF(AND(ISNUMBER(S320),ISNUMBER(T320)),T320-S320,"")</f>
        <v/>
      </c>
      <c r="AH320" s="15" t="str">
        <f aca="false">IF(AND(ISNUMBER(L320),ISNUMBER(T320)),T320-L320,"")</f>
        <v/>
      </c>
      <c r="AI320" s="15" t="str">
        <f aca="false">IF(AND(ISNUMBER(O320),ISNUMBER(Q320)),Q320-O320,"")</f>
        <v/>
      </c>
      <c r="AJ320" s="15" t="str">
        <f aca="false">IF(B320="","",COUNT(L320:M320,P320:T320)&amp;"/7")</f>
        <v/>
      </c>
      <c r="AK320" s="15" t="str">
        <f aca="false">IF(B320="","",IF(OR(AND(ISNUMBER(L320),ISNUMBER(M320),M320&lt;L320),AND(ISNUMBER(M320),ISNUMBER(P320),P320&lt;M320),AND(ISNUMBER(P320),ISNUMBER(Q320),Q320&lt;P320),AND(ISNUMBER(Q320),ISNUMBER(R320),R320&lt;Q320),AND(ISNUMBER(R320),ISNUMBER(S320),S320&lt;R320),AND(ISNUMBER(S320),ISNUMBER(T320),T320&lt;S320),AND(ISNUMBER(N320),ISNUMBER(O320),O320&lt;N320)),"Urutan tanggal salah",IF(AND(ISNUMBER(Q320),ISNUMBER(R320),ISNUMBER(Y320),ABS(R320-Q320-Y320)&gt;2),"S tanggal ≠ Sailing tercatat",IF(AND(ISNUMBER(Q320),ISNUMBER(O320),ABS(Q320-O320)&gt;60),"Cek tahun laycan",IF(AND(ISNUMBER(Q320),ISNUMBER(N320),Q320&lt;N320),"Berangkat sebelum laycan",IF(NOT(ISNUMBER(AE320)),"S belum ada","OK"))))))</f>
        <v/>
      </c>
    </row>
    <row r="321" customFormat="false" ht="15" hidden="false" customHeight="false" outlineLevel="0" collapsed="false">
      <c r="A321" s="16" t="str">
        <f aca="false">IF(B321="","",ROW()-4)</f>
        <v/>
      </c>
      <c r="B321" s="12"/>
      <c r="C321" s="16"/>
      <c r="D321" s="16"/>
      <c r="E321" s="16"/>
      <c r="F321" s="16"/>
      <c r="G321" s="16"/>
      <c r="H321" s="16"/>
      <c r="I321" s="16"/>
      <c r="J321" s="16"/>
      <c r="K321" s="16"/>
      <c r="L321" s="13"/>
      <c r="M321" s="13"/>
      <c r="N321" s="13"/>
      <c r="O321" s="13"/>
      <c r="P321" s="13"/>
      <c r="Q321" s="13"/>
      <c r="R321" s="13"/>
      <c r="S321" s="13"/>
      <c r="T321" s="13"/>
      <c r="U321" s="12"/>
      <c r="V321" s="14"/>
      <c r="W321" s="16"/>
      <c r="X321" s="16"/>
      <c r="Y321" s="16"/>
      <c r="Z321" s="16"/>
      <c r="AA321" s="15" t="str">
        <f aca="false">IF(AND(ISNUMBER(L321),ISNUMBER(M321)),M321-L321,"")</f>
        <v/>
      </c>
      <c r="AB321" s="15" t="str">
        <f aca="false">IF(AND(ISNUMBER(M321),ISNUMBER(P321)),P321-M321,"")</f>
        <v/>
      </c>
      <c r="AC321" s="15" t="str">
        <f aca="false">IF(AND(ISNUMBER(L321),ISNUMBER(P321)),P321-L321,"")</f>
        <v/>
      </c>
      <c r="AD321" s="15" t="str">
        <f aca="false">IF(AND(ISNUMBER(P321),ISNUMBER(Q321)),Q321-P321,"")</f>
        <v/>
      </c>
      <c r="AE321" s="15" t="str">
        <f aca="false">IF(AND(ISNUMBER(Q321),ISNUMBER(R321)),R321-Q321,IF(ISNUMBER(Y321),Y321,""))</f>
        <v/>
      </c>
      <c r="AF321" s="15" t="str">
        <f aca="false">IF(AND(ISNUMBER(R321),ISNUMBER(S321)),S321-R321,"")</f>
        <v/>
      </c>
      <c r="AG321" s="15" t="str">
        <f aca="false">IF(AND(ISNUMBER(S321),ISNUMBER(T321)),T321-S321,"")</f>
        <v/>
      </c>
      <c r="AH321" s="15" t="str">
        <f aca="false">IF(AND(ISNUMBER(L321),ISNUMBER(T321)),T321-L321,"")</f>
        <v/>
      </c>
      <c r="AI321" s="15" t="str">
        <f aca="false">IF(AND(ISNUMBER(O321),ISNUMBER(Q321)),Q321-O321,"")</f>
        <v/>
      </c>
      <c r="AJ321" s="15" t="str">
        <f aca="false">IF(B321="","",COUNT(L321:M321,P321:T321)&amp;"/7")</f>
        <v/>
      </c>
      <c r="AK321" s="15" t="str">
        <f aca="false">IF(B321="","",IF(OR(AND(ISNUMBER(L321),ISNUMBER(M321),M321&lt;L321),AND(ISNUMBER(M321),ISNUMBER(P321),P321&lt;M321),AND(ISNUMBER(P321),ISNUMBER(Q321),Q321&lt;P321),AND(ISNUMBER(Q321),ISNUMBER(R321),R321&lt;Q321),AND(ISNUMBER(R321),ISNUMBER(S321),S321&lt;R321),AND(ISNUMBER(S321),ISNUMBER(T321),T321&lt;S321),AND(ISNUMBER(N321),ISNUMBER(O321),O321&lt;N321)),"Urutan tanggal salah",IF(AND(ISNUMBER(Q321),ISNUMBER(R321),ISNUMBER(Y321),ABS(R321-Q321-Y321)&gt;2),"S tanggal ≠ Sailing tercatat",IF(AND(ISNUMBER(Q321),ISNUMBER(O321),ABS(Q321-O321)&gt;60),"Cek tahun laycan",IF(AND(ISNUMBER(Q321),ISNUMBER(N321),Q321&lt;N321),"Berangkat sebelum laycan",IF(NOT(ISNUMBER(AE321)),"S belum ada","OK"))))))</f>
        <v/>
      </c>
    </row>
    <row r="322" customFormat="false" ht="15" hidden="false" customHeight="false" outlineLevel="0" collapsed="false">
      <c r="A322" s="16" t="str">
        <f aca="false">IF(B322="","",ROW()-4)</f>
        <v/>
      </c>
      <c r="B322" s="12"/>
      <c r="C322" s="16"/>
      <c r="D322" s="16"/>
      <c r="E322" s="16"/>
      <c r="F322" s="16"/>
      <c r="G322" s="16"/>
      <c r="H322" s="16"/>
      <c r="I322" s="16"/>
      <c r="J322" s="16"/>
      <c r="K322" s="16"/>
      <c r="L322" s="13"/>
      <c r="M322" s="13"/>
      <c r="N322" s="13"/>
      <c r="O322" s="13"/>
      <c r="P322" s="13"/>
      <c r="Q322" s="13"/>
      <c r="R322" s="13"/>
      <c r="S322" s="13"/>
      <c r="T322" s="13"/>
      <c r="U322" s="12"/>
      <c r="V322" s="14"/>
      <c r="W322" s="16"/>
      <c r="X322" s="16"/>
      <c r="Y322" s="16"/>
      <c r="Z322" s="16"/>
      <c r="AA322" s="15" t="str">
        <f aca="false">IF(AND(ISNUMBER(L322),ISNUMBER(M322)),M322-L322,"")</f>
        <v/>
      </c>
      <c r="AB322" s="15" t="str">
        <f aca="false">IF(AND(ISNUMBER(M322),ISNUMBER(P322)),P322-M322,"")</f>
        <v/>
      </c>
      <c r="AC322" s="15" t="str">
        <f aca="false">IF(AND(ISNUMBER(L322),ISNUMBER(P322)),P322-L322,"")</f>
        <v/>
      </c>
      <c r="AD322" s="15" t="str">
        <f aca="false">IF(AND(ISNUMBER(P322),ISNUMBER(Q322)),Q322-P322,"")</f>
        <v/>
      </c>
      <c r="AE322" s="15" t="str">
        <f aca="false">IF(AND(ISNUMBER(Q322),ISNUMBER(R322)),R322-Q322,IF(ISNUMBER(Y322),Y322,""))</f>
        <v/>
      </c>
      <c r="AF322" s="15" t="str">
        <f aca="false">IF(AND(ISNUMBER(R322),ISNUMBER(S322)),S322-R322,"")</f>
        <v/>
      </c>
      <c r="AG322" s="15" t="str">
        <f aca="false">IF(AND(ISNUMBER(S322),ISNUMBER(T322)),T322-S322,"")</f>
        <v/>
      </c>
      <c r="AH322" s="15" t="str">
        <f aca="false">IF(AND(ISNUMBER(L322),ISNUMBER(T322)),T322-L322,"")</f>
        <v/>
      </c>
      <c r="AI322" s="15" t="str">
        <f aca="false">IF(AND(ISNUMBER(O322),ISNUMBER(Q322)),Q322-O322,"")</f>
        <v/>
      </c>
      <c r="AJ322" s="15" t="str">
        <f aca="false">IF(B322="","",COUNT(L322:M322,P322:T322)&amp;"/7")</f>
        <v/>
      </c>
      <c r="AK322" s="15" t="str">
        <f aca="false">IF(B322="","",IF(OR(AND(ISNUMBER(L322),ISNUMBER(M322),M322&lt;L322),AND(ISNUMBER(M322),ISNUMBER(P322),P322&lt;M322),AND(ISNUMBER(P322),ISNUMBER(Q322),Q322&lt;P322),AND(ISNUMBER(Q322),ISNUMBER(R322),R322&lt;Q322),AND(ISNUMBER(R322),ISNUMBER(S322),S322&lt;R322),AND(ISNUMBER(S322),ISNUMBER(T322),T322&lt;S322),AND(ISNUMBER(N322),ISNUMBER(O322),O322&lt;N322)),"Urutan tanggal salah",IF(AND(ISNUMBER(Q322),ISNUMBER(R322),ISNUMBER(Y322),ABS(R322-Q322-Y322)&gt;2),"S tanggal ≠ Sailing tercatat",IF(AND(ISNUMBER(Q322),ISNUMBER(O322),ABS(Q322-O322)&gt;60),"Cek tahun laycan",IF(AND(ISNUMBER(Q322),ISNUMBER(N322),Q322&lt;N322),"Berangkat sebelum laycan",IF(NOT(ISNUMBER(AE322)),"S belum ada","OK"))))))</f>
        <v/>
      </c>
    </row>
    <row r="323" customFormat="false" ht="15" hidden="false" customHeight="false" outlineLevel="0" collapsed="false">
      <c r="A323" s="16" t="str">
        <f aca="false">IF(B323="","",ROW()-4)</f>
        <v/>
      </c>
      <c r="B323" s="12"/>
      <c r="C323" s="16"/>
      <c r="D323" s="16"/>
      <c r="E323" s="16"/>
      <c r="F323" s="16"/>
      <c r="G323" s="16"/>
      <c r="H323" s="16"/>
      <c r="I323" s="16"/>
      <c r="J323" s="16"/>
      <c r="K323" s="16"/>
      <c r="L323" s="13"/>
      <c r="M323" s="13"/>
      <c r="N323" s="13"/>
      <c r="O323" s="13"/>
      <c r="P323" s="13"/>
      <c r="Q323" s="13"/>
      <c r="R323" s="13"/>
      <c r="S323" s="13"/>
      <c r="T323" s="13"/>
      <c r="U323" s="12"/>
      <c r="V323" s="14"/>
      <c r="W323" s="16"/>
      <c r="X323" s="16"/>
      <c r="Y323" s="16"/>
      <c r="Z323" s="16"/>
      <c r="AA323" s="15" t="str">
        <f aca="false">IF(AND(ISNUMBER(L323),ISNUMBER(M323)),M323-L323,"")</f>
        <v/>
      </c>
      <c r="AB323" s="15" t="str">
        <f aca="false">IF(AND(ISNUMBER(M323),ISNUMBER(P323)),P323-M323,"")</f>
        <v/>
      </c>
      <c r="AC323" s="15" t="str">
        <f aca="false">IF(AND(ISNUMBER(L323),ISNUMBER(P323)),P323-L323,"")</f>
        <v/>
      </c>
      <c r="AD323" s="15" t="str">
        <f aca="false">IF(AND(ISNUMBER(P323),ISNUMBER(Q323)),Q323-P323,"")</f>
        <v/>
      </c>
      <c r="AE323" s="15" t="str">
        <f aca="false">IF(AND(ISNUMBER(Q323),ISNUMBER(R323)),R323-Q323,IF(ISNUMBER(Y323),Y323,""))</f>
        <v/>
      </c>
      <c r="AF323" s="15" t="str">
        <f aca="false">IF(AND(ISNUMBER(R323),ISNUMBER(S323)),S323-R323,"")</f>
        <v/>
      </c>
      <c r="AG323" s="15" t="str">
        <f aca="false">IF(AND(ISNUMBER(S323),ISNUMBER(T323)),T323-S323,"")</f>
        <v/>
      </c>
      <c r="AH323" s="15" t="str">
        <f aca="false">IF(AND(ISNUMBER(L323),ISNUMBER(T323)),T323-L323,"")</f>
        <v/>
      </c>
      <c r="AI323" s="15" t="str">
        <f aca="false">IF(AND(ISNUMBER(O323),ISNUMBER(Q323)),Q323-O323,"")</f>
        <v/>
      </c>
      <c r="AJ323" s="15" t="str">
        <f aca="false">IF(B323="","",COUNT(L323:M323,P323:T323)&amp;"/7")</f>
        <v/>
      </c>
      <c r="AK323" s="15" t="str">
        <f aca="false">IF(B323="","",IF(OR(AND(ISNUMBER(L323),ISNUMBER(M323),M323&lt;L323),AND(ISNUMBER(M323),ISNUMBER(P323),P323&lt;M323),AND(ISNUMBER(P323),ISNUMBER(Q323),Q323&lt;P323),AND(ISNUMBER(Q323),ISNUMBER(R323),R323&lt;Q323),AND(ISNUMBER(R323),ISNUMBER(S323),S323&lt;R323),AND(ISNUMBER(S323),ISNUMBER(T323),T323&lt;S323),AND(ISNUMBER(N323),ISNUMBER(O323),O323&lt;N323)),"Urutan tanggal salah",IF(AND(ISNUMBER(Q323),ISNUMBER(R323),ISNUMBER(Y323),ABS(R323-Q323-Y323)&gt;2),"S tanggal ≠ Sailing tercatat",IF(AND(ISNUMBER(Q323),ISNUMBER(O323),ABS(Q323-O323)&gt;60),"Cek tahun laycan",IF(AND(ISNUMBER(Q323),ISNUMBER(N323),Q323&lt;N323),"Berangkat sebelum laycan",IF(NOT(ISNUMBER(AE323)),"S belum ada","OK"))))))</f>
        <v/>
      </c>
    </row>
    <row r="324" customFormat="false" ht="15" hidden="false" customHeight="false" outlineLevel="0" collapsed="false">
      <c r="A324" s="16" t="str">
        <f aca="false">IF(B324="","",ROW()-4)</f>
        <v/>
      </c>
      <c r="B324" s="12"/>
      <c r="C324" s="16"/>
      <c r="D324" s="16"/>
      <c r="E324" s="16"/>
      <c r="F324" s="16"/>
      <c r="G324" s="16"/>
      <c r="H324" s="16"/>
      <c r="I324" s="16"/>
      <c r="J324" s="16"/>
      <c r="K324" s="16"/>
      <c r="L324" s="13"/>
      <c r="M324" s="13"/>
      <c r="N324" s="13"/>
      <c r="O324" s="13"/>
      <c r="P324" s="13"/>
      <c r="Q324" s="13"/>
      <c r="R324" s="13"/>
      <c r="S324" s="13"/>
      <c r="T324" s="13"/>
      <c r="U324" s="12"/>
      <c r="V324" s="14"/>
      <c r="W324" s="16"/>
      <c r="X324" s="16"/>
      <c r="Y324" s="16"/>
      <c r="Z324" s="16"/>
      <c r="AA324" s="15" t="str">
        <f aca="false">IF(AND(ISNUMBER(L324),ISNUMBER(M324)),M324-L324,"")</f>
        <v/>
      </c>
      <c r="AB324" s="15" t="str">
        <f aca="false">IF(AND(ISNUMBER(M324),ISNUMBER(P324)),P324-M324,"")</f>
        <v/>
      </c>
      <c r="AC324" s="15" t="str">
        <f aca="false">IF(AND(ISNUMBER(L324),ISNUMBER(P324)),P324-L324,"")</f>
        <v/>
      </c>
      <c r="AD324" s="15" t="str">
        <f aca="false">IF(AND(ISNUMBER(P324),ISNUMBER(Q324)),Q324-P324,"")</f>
        <v/>
      </c>
      <c r="AE324" s="15" t="str">
        <f aca="false">IF(AND(ISNUMBER(Q324),ISNUMBER(R324)),R324-Q324,IF(ISNUMBER(Y324),Y324,""))</f>
        <v/>
      </c>
      <c r="AF324" s="15" t="str">
        <f aca="false">IF(AND(ISNUMBER(R324),ISNUMBER(S324)),S324-R324,"")</f>
        <v/>
      </c>
      <c r="AG324" s="15" t="str">
        <f aca="false">IF(AND(ISNUMBER(S324),ISNUMBER(T324)),T324-S324,"")</f>
        <v/>
      </c>
      <c r="AH324" s="15" t="str">
        <f aca="false">IF(AND(ISNUMBER(L324),ISNUMBER(T324)),T324-L324,"")</f>
        <v/>
      </c>
      <c r="AI324" s="15" t="str">
        <f aca="false">IF(AND(ISNUMBER(O324),ISNUMBER(Q324)),Q324-O324,"")</f>
        <v/>
      </c>
      <c r="AJ324" s="15" t="str">
        <f aca="false">IF(B324="","",COUNT(L324:M324,P324:T324)&amp;"/7")</f>
        <v/>
      </c>
      <c r="AK324" s="15" t="str">
        <f aca="false">IF(B324="","",IF(OR(AND(ISNUMBER(L324),ISNUMBER(M324),M324&lt;L324),AND(ISNUMBER(M324),ISNUMBER(P324),P324&lt;M324),AND(ISNUMBER(P324),ISNUMBER(Q324),Q324&lt;P324),AND(ISNUMBER(Q324),ISNUMBER(R324),R324&lt;Q324),AND(ISNUMBER(R324),ISNUMBER(S324),S324&lt;R324),AND(ISNUMBER(S324),ISNUMBER(T324),T324&lt;S324),AND(ISNUMBER(N324),ISNUMBER(O324),O324&lt;N324)),"Urutan tanggal salah",IF(AND(ISNUMBER(Q324),ISNUMBER(R324),ISNUMBER(Y324),ABS(R324-Q324-Y324)&gt;2),"S tanggal ≠ Sailing tercatat",IF(AND(ISNUMBER(Q324),ISNUMBER(O324),ABS(Q324-O324)&gt;60),"Cek tahun laycan",IF(AND(ISNUMBER(Q324),ISNUMBER(N324),Q324&lt;N324),"Berangkat sebelum laycan",IF(NOT(ISNUMBER(AE324)),"S belum ada","OK"))))))</f>
        <v/>
      </c>
    </row>
    <row r="325" customFormat="false" ht="15" hidden="false" customHeight="false" outlineLevel="0" collapsed="false">
      <c r="A325" s="16" t="str">
        <f aca="false">IF(B325="","",ROW()-4)</f>
        <v/>
      </c>
      <c r="B325" s="12"/>
      <c r="C325" s="16"/>
      <c r="D325" s="16"/>
      <c r="E325" s="16"/>
      <c r="F325" s="16"/>
      <c r="G325" s="16"/>
      <c r="H325" s="16"/>
      <c r="I325" s="16"/>
      <c r="J325" s="16"/>
      <c r="K325" s="16"/>
      <c r="L325" s="13"/>
      <c r="M325" s="13"/>
      <c r="N325" s="13"/>
      <c r="O325" s="13"/>
      <c r="P325" s="13"/>
      <c r="Q325" s="13"/>
      <c r="R325" s="13"/>
      <c r="S325" s="13"/>
      <c r="T325" s="13"/>
      <c r="U325" s="12"/>
      <c r="V325" s="14"/>
      <c r="W325" s="16"/>
      <c r="X325" s="16"/>
      <c r="Y325" s="16"/>
      <c r="Z325" s="16"/>
      <c r="AA325" s="15" t="str">
        <f aca="false">IF(AND(ISNUMBER(L325),ISNUMBER(M325)),M325-L325,"")</f>
        <v/>
      </c>
      <c r="AB325" s="15" t="str">
        <f aca="false">IF(AND(ISNUMBER(M325),ISNUMBER(P325)),P325-M325,"")</f>
        <v/>
      </c>
      <c r="AC325" s="15" t="str">
        <f aca="false">IF(AND(ISNUMBER(L325),ISNUMBER(P325)),P325-L325,"")</f>
        <v/>
      </c>
      <c r="AD325" s="15" t="str">
        <f aca="false">IF(AND(ISNUMBER(P325),ISNUMBER(Q325)),Q325-P325,"")</f>
        <v/>
      </c>
      <c r="AE325" s="15" t="str">
        <f aca="false">IF(AND(ISNUMBER(Q325),ISNUMBER(R325)),R325-Q325,IF(ISNUMBER(Y325),Y325,""))</f>
        <v/>
      </c>
      <c r="AF325" s="15" t="str">
        <f aca="false">IF(AND(ISNUMBER(R325),ISNUMBER(S325)),S325-R325,"")</f>
        <v/>
      </c>
      <c r="AG325" s="15" t="str">
        <f aca="false">IF(AND(ISNUMBER(S325),ISNUMBER(T325)),T325-S325,"")</f>
        <v/>
      </c>
      <c r="AH325" s="15" t="str">
        <f aca="false">IF(AND(ISNUMBER(L325),ISNUMBER(T325)),T325-L325,"")</f>
        <v/>
      </c>
      <c r="AI325" s="15" t="str">
        <f aca="false">IF(AND(ISNUMBER(O325),ISNUMBER(Q325)),Q325-O325,"")</f>
        <v/>
      </c>
      <c r="AJ325" s="15" t="str">
        <f aca="false">IF(B325="","",COUNT(L325:M325,P325:T325)&amp;"/7")</f>
        <v/>
      </c>
      <c r="AK325" s="15" t="str">
        <f aca="false">IF(B325="","",IF(OR(AND(ISNUMBER(L325),ISNUMBER(M325),M325&lt;L325),AND(ISNUMBER(M325),ISNUMBER(P325),P325&lt;M325),AND(ISNUMBER(P325),ISNUMBER(Q325),Q325&lt;P325),AND(ISNUMBER(Q325),ISNUMBER(R325),R325&lt;Q325),AND(ISNUMBER(R325),ISNUMBER(S325),S325&lt;R325),AND(ISNUMBER(S325),ISNUMBER(T325),T325&lt;S325),AND(ISNUMBER(N325),ISNUMBER(O325),O325&lt;N325)),"Urutan tanggal salah",IF(AND(ISNUMBER(Q325),ISNUMBER(R325),ISNUMBER(Y325),ABS(R325-Q325-Y325)&gt;2),"S tanggal ≠ Sailing tercatat",IF(AND(ISNUMBER(Q325),ISNUMBER(O325),ABS(Q325-O325)&gt;60),"Cek tahun laycan",IF(AND(ISNUMBER(Q325),ISNUMBER(N325),Q325&lt;N325),"Berangkat sebelum laycan",IF(NOT(ISNUMBER(AE325)),"S belum ada","OK"))))))</f>
        <v/>
      </c>
    </row>
    <row r="326" customFormat="false" ht="15" hidden="false" customHeight="false" outlineLevel="0" collapsed="false">
      <c r="A326" s="16" t="str">
        <f aca="false">IF(B326="","",ROW()-4)</f>
        <v/>
      </c>
      <c r="B326" s="12"/>
      <c r="C326" s="16"/>
      <c r="D326" s="16"/>
      <c r="E326" s="16"/>
      <c r="F326" s="16"/>
      <c r="G326" s="16"/>
      <c r="H326" s="16"/>
      <c r="I326" s="16"/>
      <c r="J326" s="16"/>
      <c r="K326" s="16"/>
      <c r="L326" s="13"/>
      <c r="M326" s="13"/>
      <c r="N326" s="13"/>
      <c r="O326" s="13"/>
      <c r="P326" s="13"/>
      <c r="Q326" s="13"/>
      <c r="R326" s="13"/>
      <c r="S326" s="13"/>
      <c r="T326" s="13"/>
      <c r="U326" s="12"/>
      <c r="V326" s="14"/>
      <c r="W326" s="16"/>
      <c r="X326" s="16"/>
      <c r="Y326" s="16"/>
      <c r="Z326" s="16"/>
      <c r="AA326" s="15" t="str">
        <f aca="false">IF(AND(ISNUMBER(L326),ISNUMBER(M326)),M326-L326,"")</f>
        <v/>
      </c>
      <c r="AB326" s="15" t="str">
        <f aca="false">IF(AND(ISNUMBER(M326),ISNUMBER(P326)),P326-M326,"")</f>
        <v/>
      </c>
      <c r="AC326" s="15" t="str">
        <f aca="false">IF(AND(ISNUMBER(L326),ISNUMBER(P326)),P326-L326,"")</f>
        <v/>
      </c>
      <c r="AD326" s="15" t="str">
        <f aca="false">IF(AND(ISNUMBER(P326),ISNUMBER(Q326)),Q326-P326,"")</f>
        <v/>
      </c>
      <c r="AE326" s="15" t="str">
        <f aca="false">IF(AND(ISNUMBER(Q326),ISNUMBER(R326)),R326-Q326,IF(ISNUMBER(Y326),Y326,""))</f>
        <v/>
      </c>
      <c r="AF326" s="15" t="str">
        <f aca="false">IF(AND(ISNUMBER(R326),ISNUMBER(S326)),S326-R326,"")</f>
        <v/>
      </c>
      <c r="AG326" s="15" t="str">
        <f aca="false">IF(AND(ISNUMBER(S326),ISNUMBER(T326)),T326-S326,"")</f>
        <v/>
      </c>
      <c r="AH326" s="15" t="str">
        <f aca="false">IF(AND(ISNUMBER(L326),ISNUMBER(T326)),T326-L326,"")</f>
        <v/>
      </c>
      <c r="AI326" s="15" t="str">
        <f aca="false">IF(AND(ISNUMBER(O326),ISNUMBER(Q326)),Q326-O326,"")</f>
        <v/>
      </c>
      <c r="AJ326" s="15" t="str">
        <f aca="false">IF(B326="","",COUNT(L326:M326,P326:T326)&amp;"/7")</f>
        <v/>
      </c>
      <c r="AK326" s="15" t="str">
        <f aca="false">IF(B326="","",IF(OR(AND(ISNUMBER(L326),ISNUMBER(M326),M326&lt;L326),AND(ISNUMBER(M326),ISNUMBER(P326),P326&lt;M326),AND(ISNUMBER(P326),ISNUMBER(Q326),Q326&lt;P326),AND(ISNUMBER(Q326),ISNUMBER(R326),R326&lt;Q326),AND(ISNUMBER(R326),ISNUMBER(S326),S326&lt;R326),AND(ISNUMBER(S326),ISNUMBER(T326),T326&lt;S326),AND(ISNUMBER(N326),ISNUMBER(O326),O326&lt;N326)),"Urutan tanggal salah",IF(AND(ISNUMBER(Q326),ISNUMBER(R326),ISNUMBER(Y326),ABS(R326-Q326-Y326)&gt;2),"S tanggal ≠ Sailing tercatat",IF(AND(ISNUMBER(Q326),ISNUMBER(O326),ABS(Q326-O326)&gt;60),"Cek tahun laycan",IF(AND(ISNUMBER(Q326),ISNUMBER(N326),Q326&lt;N326),"Berangkat sebelum laycan",IF(NOT(ISNUMBER(AE326)),"S belum ada","OK"))))))</f>
        <v/>
      </c>
    </row>
    <row r="327" customFormat="false" ht="15" hidden="false" customHeight="false" outlineLevel="0" collapsed="false">
      <c r="A327" s="16" t="str">
        <f aca="false">IF(B327="","",ROW()-4)</f>
        <v/>
      </c>
      <c r="B327" s="12"/>
      <c r="C327" s="16"/>
      <c r="D327" s="16"/>
      <c r="E327" s="16"/>
      <c r="F327" s="16"/>
      <c r="G327" s="16"/>
      <c r="H327" s="16"/>
      <c r="I327" s="16"/>
      <c r="J327" s="16"/>
      <c r="K327" s="16"/>
      <c r="L327" s="13"/>
      <c r="M327" s="13"/>
      <c r="N327" s="13"/>
      <c r="O327" s="13"/>
      <c r="P327" s="13"/>
      <c r="Q327" s="13"/>
      <c r="R327" s="13"/>
      <c r="S327" s="13"/>
      <c r="T327" s="13"/>
      <c r="U327" s="12"/>
      <c r="V327" s="14"/>
      <c r="W327" s="16"/>
      <c r="X327" s="16"/>
      <c r="Y327" s="16"/>
      <c r="Z327" s="16"/>
      <c r="AA327" s="15" t="str">
        <f aca="false">IF(AND(ISNUMBER(L327),ISNUMBER(M327)),M327-L327,"")</f>
        <v/>
      </c>
      <c r="AB327" s="15" t="str">
        <f aca="false">IF(AND(ISNUMBER(M327),ISNUMBER(P327)),P327-M327,"")</f>
        <v/>
      </c>
      <c r="AC327" s="15" t="str">
        <f aca="false">IF(AND(ISNUMBER(L327),ISNUMBER(P327)),P327-L327,"")</f>
        <v/>
      </c>
      <c r="AD327" s="15" t="str">
        <f aca="false">IF(AND(ISNUMBER(P327),ISNUMBER(Q327)),Q327-P327,"")</f>
        <v/>
      </c>
      <c r="AE327" s="15" t="str">
        <f aca="false">IF(AND(ISNUMBER(Q327),ISNUMBER(R327)),R327-Q327,IF(ISNUMBER(Y327),Y327,""))</f>
        <v/>
      </c>
      <c r="AF327" s="15" t="str">
        <f aca="false">IF(AND(ISNUMBER(R327),ISNUMBER(S327)),S327-R327,"")</f>
        <v/>
      </c>
      <c r="AG327" s="15" t="str">
        <f aca="false">IF(AND(ISNUMBER(S327),ISNUMBER(T327)),T327-S327,"")</f>
        <v/>
      </c>
      <c r="AH327" s="15" t="str">
        <f aca="false">IF(AND(ISNUMBER(L327),ISNUMBER(T327)),T327-L327,"")</f>
        <v/>
      </c>
      <c r="AI327" s="15" t="str">
        <f aca="false">IF(AND(ISNUMBER(O327),ISNUMBER(Q327)),Q327-O327,"")</f>
        <v/>
      </c>
      <c r="AJ327" s="15" t="str">
        <f aca="false">IF(B327="","",COUNT(L327:M327,P327:T327)&amp;"/7")</f>
        <v/>
      </c>
      <c r="AK327" s="15" t="str">
        <f aca="false">IF(B327="","",IF(OR(AND(ISNUMBER(L327),ISNUMBER(M327),M327&lt;L327),AND(ISNUMBER(M327),ISNUMBER(P327),P327&lt;M327),AND(ISNUMBER(P327),ISNUMBER(Q327),Q327&lt;P327),AND(ISNUMBER(Q327),ISNUMBER(R327),R327&lt;Q327),AND(ISNUMBER(R327),ISNUMBER(S327),S327&lt;R327),AND(ISNUMBER(S327),ISNUMBER(T327),T327&lt;S327),AND(ISNUMBER(N327),ISNUMBER(O327),O327&lt;N327)),"Urutan tanggal salah",IF(AND(ISNUMBER(Q327),ISNUMBER(R327),ISNUMBER(Y327),ABS(R327-Q327-Y327)&gt;2),"S tanggal ≠ Sailing tercatat",IF(AND(ISNUMBER(Q327),ISNUMBER(O327),ABS(Q327-O327)&gt;60),"Cek tahun laycan",IF(AND(ISNUMBER(Q327),ISNUMBER(N327),Q327&lt;N327),"Berangkat sebelum laycan",IF(NOT(ISNUMBER(AE327)),"S belum ada","OK"))))))</f>
        <v/>
      </c>
    </row>
    <row r="328" customFormat="false" ht="15" hidden="false" customHeight="false" outlineLevel="0" collapsed="false">
      <c r="A328" s="16" t="str">
        <f aca="false">IF(B328="","",ROW()-4)</f>
        <v/>
      </c>
      <c r="B328" s="12"/>
      <c r="C328" s="16"/>
      <c r="D328" s="16"/>
      <c r="E328" s="16"/>
      <c r="F328" s="16"/>
      <c r="G328" s="16"/>
      <c r="H328" s="16"/>
      <c r="I328" s="16"/>
      <c r="J328" s="16"/>
      <c r="K328" s="16"/>
      <c r="L328" s="13"/>
      <c r="M328" s="13"/>
      <c r="N328" s="13"/>
      <c r="O328" s="13"/>
      <c r="P328" s="13"/>
      <c r="Q328" s="13"/>
      <c r="R328" s="13"/>
      <c r="S328" s="13"/>
      <c r="T328" s="13"/>
      <c r="U328" s="12"/>
      <c r="V328" s="14"/>
      <c r="W328" s="16"/>
      <c r="X328" s="16"/>
      <c r="Y328" s="16"/>
      <c r="Z328" s="16"/>
      <c r="AA328" s="15" t="str">
        <f aca="false">IF(AND(ISNUMBER(L328),ISNUMBER(M328)),M328-L328,"")</f>
        <v/>
      </c>
      <c r="AB328" s="15" t="str">
        <f aca="false">IF(AND(ISNUMBER(M328),ISNUMBER(P328)),P328-M328,"")</f>
        <v/>
      </c>
      <c r="AC328" s="15" t="str">
        <f aca="false">IF(AND(ISNUMBER(L328),ISNUMBER(P328)),P328-L328,"")</f>
        <v/>
      </c>
      <c r="AD328" s="15" t="str">
        <f aca="false">IF(AND(ISNUMBER(P328),ISNUMBER(Q328)),Q328-P328,"")</f>
        <v/>
      </c>
      <c r="AE328" s="15" t="str">
        <f aca="false">IF(AND(ISNUMBER(Q328),ISNUMBER(R328)),R328-Q328,IF(ISNUMBER(Y328),Y328,""))</f>
        <v/>
      </c>
      <c r="AF328" s="15" t="str">
        <f aca="false">IF(AND(ISNUMBER(R328),ISNUMBER(S328)),S328-R328,"")</f>
        <v/>
      </c>
      <c r="AG328" s="15" t="str">
        <f aca="false">IF(AND(ISNUMBER(S328),ISNUMBER(T328)),T328-S328,"")</f>
        <v/>
      </c>
      <c r="AH328" s="15" t="str">
        <f aca="false">IF(AND(ISNUMBER(L328),ISNUMBER(T328)),T328-L328,"")</f>
        <v/>
      </c>
      <c r="AI328" s="15" t="str">
        <f aca="false">IF(AND(ISNUMBER(O328),ISNUMBER(Q328)),Q328-O328,"")</f>
        <v/>
      </c>
      <c r="AJ328" s="15" t="str">
        <f aca="false">IF(B328="","",COUNT(L328:M328,P328:T328)&amp;"/7")</f>
        <v/>
      </c>
      <c r="AK328" s="15" t="str">
        <f aca="false">IF(B328="","",IF(OR(AND(ISNUMBER(L328),ISNUMBER(M328),M328&lt;L328),AND(ISNUMBER(M328),ISNUMBER(P328),P328&lt;M328),AND(ISNUMBER(P328),ISNUMBER(Q328),Q328&lt;P328),AND(ISNUMBER(Q328),ISNUMBER(R328),R328&lt;Q328),AND(ISNUMBER(R328),ISNUMBER(S328),S328&lt;R328),AND(ISNUMBER(S328),ISNUMBER(T328),T328&lt;S328),AND(ISNUMBER(N328),ISNUMBER(O328),O328&lt;N328)),"Urutan tanggal salah",IF(AND(ISNUMBER(Q328),ISNUMBER(R328),ISNUMBER(Y328),ABS(R328-Q328-Y328)&gt;2),"S tanggal ≠ Sailing tercatat",IF(AND(ISNUMBER(Q328),ISNUMBER(O328),ABS(Q328-O328)&gt;60),"Cek tahun laycan",IF(AND(ISNUMBER(Q328),ISNUMBER(N328),Q328&lt;N328),"Berangkat sebelum laycan",IF(NOT(ISNUMBER(AE328)),"S belum ada","OK"))))))</f>
        <v/>
      </c>
    </row>
    <row r="329" customFormat="false" ht="15" hidden="false" customHeight="false" outlineLevel="0" collapsed="false">
      <c r="A329" s="16" t="str">
        <f aca="false">IF(B329="","",ROW()-4)</f>
        <v/>
      </c>
      <c r="B329" s="12"/>
      <c r="C329" s="16"/>
      <c r="D329" s="16"/>
      <c r="E329" s="16"/>
      <c r="F329" s="16"/>
      <c r="G329" s="16"/>
      <c r="H329" s="16"/>
      <c r="I329" s="16"/>
      <c r="J329" s="16"/>
      <c r="K329" s="16"/>
      <c r="L329" s="13"/>
      <c r="M329" s="13"/>
      <c r="N329" s="13"/>
      <c r="O329" s="13"/>
      <c r="P329" s="13"/>
      <c r="Q329" s="13"/>
      <c r="R329" s="13"/>
      <c r="S329" s="13"/>
      <c r="T329" s="13"/>
      <c r="U329" s="12"/>
      <c r="V329" s="14"/>
      <c r="W329" s="16"/>
      <c r="X329" s="16"/>
      <c r="Y329" s="16"/>
      <c r="Z329" s="16"/>
      <c r="AA329" s="15" t="str">
        <f aca="false">IF(AND(ISNUMBER(L329),ISNUMBER(M329)),M329-L329,"")</f>
        <v/>
      </c>
      <c r="AB329" s="15" t="str">
        <f aca="false">IF(AND(ISNUMBER(M329),ISNUMBER(P329)),P329-M329,"")</f>
        <v/>
      </c>
      <c r="AC329" s="15" t="str">
        <f aca="false">IF(AND(ISNUMBER(L329),ISNUMBER(P329)),P329-L329,"")</f>
        <v/>
      </c>
      <c r="AD329" s="15" t="str">
        <f aca="false">IF(AND(ISNUMBER(P329),ISNUMBER(Q329)),Q329-P329,"")</f>
        <v/>
      </c>
      <c r="AE329" s="15" t="str">
        <f aca="false">IF(AND(ISNUMBER(Q329),ISNUMBER(R329)),R329-Q329,IF(ISNUMBER(Y329),Y329,""))</f>
        <v/>
      </c>
      <c r="AF329" s="15" t="str">
        <f aca="false">IF(AND(ISNUMBER(R329),ISNUMBER(S329)),S329-R329,"")</f>
        <v/>
      </c>
      <c r="AG329" s="15" t="str">
        <f aca="false">IF(AND(ISNUMBER(S329),ISNUMBER(T329)),T329-S329,"")</f>
        <v/>
      </c>
      <c r="AH329" s="15" t="str">
        <f aca="false">IF(AND(ISNUMBER(L329),ISNUMBER(T329)),T329-L329,"")</f>
        <v/>
      </c>
      <c r="AI329" s="15" t="str">
        <f aca="false">IF(AND(ISNUMBER(O329),ISNUMBER(Q329)),Q329-O329,"")</f>
        <v/>
      </c>
      <c r="AJ329" s="15" t="str">
        <f aca="false">IF(B329="","",COUNT(L329:M329,P329:T329)&amp;"/7")</f>
        <v/>
      </c>
      <c r="AK329" s="15" t="str">
        <f aca="false">IF(B329="","",IF(OR(AND(ISNUMBER(L329),ISNUMBER(M329),M329&lt;L329),AND(ISNUMBER(M329),ISNUMBER(P329),P329&lt;M329),AND(ISNUMBER(P329),ISNUMBER(Q329),Q329&lt;P329),AND(ISNUMBER(Q329),ISNUMBER(R329),R329&lt;Q329),AND(ISNUMBER(R329),ISNUMBER(S329),S329&lt;R329),AND(ISNUMBER(S329),ISNUMBER(T329),T329&lt;S329),AND(ISNUMBER(N329),ISNUMBER(O329),O329&lt;N329)),"Urutan tanggal salah",IF(AND(ISNUMBER(Q329),ISNUMBER(R329),ISNUMBER(Y329),ABS(R329-Q329-Y329)&gt;2),"S tanggal ≠ Sailing tercatat",IF(AND(ISNUMBER(Q329),ISNUMBER(O329),ABS(Q329-O329)&gt;60),"Cek tahun laycan",IF(AND(ISNUMBER(Q329),ISNUMBER(N329),Q329&lt;N329),"Berangkat sebelum laycan",IF(NOT(ISNUMBER(AE329)),"S belum ada","OK"))))))</f>
        <v/>
      </c>
    </row>
    <row r="330" customFormat="false" ht="15" hidden="false" customHeight="false" outlineLevel="0" collapsed="false">
      <c r="A330" s="16" t="str">
        <f aca="false">IF(B330="","",ROW()-4)</f>
        <v/>
      </c>
      <c r="B330" s="12"/>
      <c r="C330" s="16"/>
      <c r="D330" s="16"/>
      <c r="E330" s="16"/>
      <c r="F330" s="16"/>
      <c r="G330" s="16"/>
      <c r="H330" s="16"/>
      <c r="I330" s="16"/>
      <c r="J330" s="16"/>
      <c r="K330" s="16"/>
      <c r="L330" s="13"/>
      <c r="M330" s="13"/>
      <c r="N330" s="13"/>
      <c r="O330" s="13"/>
      <c r="P330" s="13"/>
      <c r="Q330" s="13"/>
      <c r="R330" s="13"/>
      <c r="S330" s="13"/>
      <c r="T330" s="13"/>
      <c r="U330" s="12"/>
      <c r="V330" s="14"/>
      <c r="W330" s="16"/>
      <c r="X330" s="16"/>
      <c r="Y330" s="16"/>
      <c r="Z330" s="16"/>
      <c r="AA330" s="15" t="str">
        <f aca="false">IF(AND(ISNUMBER(L330),ISNUMBER(M330)),M330-L330,"")</f>
        <v/>
      </c>
      <c r="AB330" s="15" t="str">
        <f aca="false">IF(AND(ISNUMBER(M330),ISNUMBER(P330)),P330-M330,"")</f>
        <v/>
      </c>
      <c r="AC330" s="15" t="str">
        <f aca="false">IF(AND(ISNUMBER(L330),ISNUMBER(P330)),P330-L330,"")</f>
        <v/>
      </c>
      <c r="AD330" s="15" t="str">
        <f aca="false">IF(AND(ISNUMBER(P330),ISNUMBER(Q330)),Q330-P330,"")</f>
        <v/>
      </c>
      <c r="AE330" s="15" t="str">
        <f aca="false">IF(AND(ISNUMBER(Q330),ISNUMBER(R330)),R330-Q330,IF(ISNUMBER(Y330),Y330,""))</f>
        <v/>
      </c>
      <c r="AF330" s="15" t="str">
        <f aca="false">IF(AND(ISNUMBER(R330),ISNUMBER(S330)),S330-R330,"")</f>
        <v/>
      </c>
      <c r="AG330" s="15" t="str">
        <f aca="false">IF(AND(ISNUMBER(S330),ISNUMBER(T330)),T330-S330,"")</f>
        <v/>
      </c>
      <c r="AH330" s="15" t="str">
        <f aca="false">IF(AND(ISNUMBER(L330),ISNUMBER(T330)),T330-L330,"")</f>
        <v/>
      </c>
      <c r="AI330" s="15" t="str">
        <f aca="false">IF(AND(ISNUMBER(O330),ISNUMBER(Q330)),Q330-O330,"")</f>
        <v/>
      </c>
      <c r="AJ330" s="15" t="str">
        <f aca="false">IF(B330="","",COUNT(L330:M330,P330:T330)&amp;"/7")</f>
        <v/>
      </c>
      <c r="AK330" s="15" t="str">
        <f aca="false">IF(B330="","",IF(OR(AND(ISNUMBER(L330),ISNUMBER(M330),M330&lt;L330),AND(ISNUMBER(M330),ISNUMBER(P330),P330&lt;M330),AND(ISNUMBER(P330),ISNUMBER(Q330),Q330&lt;P330),AND(ISNUMBER(Q330),ISNUMBER(R330),R330&lt;Q330),AND(ISNUMBER(R330),ISNUMBER(S330),S330&lt;R330),AND(ISNUMBER(S330),ISNUMBER(T330),T330&lt;S330),AND(ISNUMBER(N330),ISNUMBER(O330),O330&lt;N330)),"Urutan tanggal salah",IF(AND(ISNUMBER(Q330),ISNUMBER(R330),ISNUMBER(Y330),ABS(R330-Q330-Y330)&gt;2),"S tanggal ≠ Sailing tercatat",IF(AND(ISNUMBER(Q330),ISNUMBER(O330),ABS(Q330-O330)&gt;60),"Cek tahun laycan",IF(AND(ISNUMBER(Q330),ISNUMBER(N330),Q330&lt;N330),"Berangkat sebelum laycan",IF(NOT(ISNUMBER(AE330)),"S belum ada","OK"))))))</f>
        <v/>
      </c>
    </row>
    <row r="331" customFormat="false" ht="15" hidden="false" customHeight="false" outlineLevel="0" collapsed="false">
      <c r="A331" s="16" t="str">
        <f aca="false">IF(B331="","",ROW()-4)</f>
        <v/>
      </c>
      <c r="B331" s="12"/>
      <c r="C331" s="16"/>
      <c r="D331" s="16"/>
      <c r="E331" s="16"/>
      <c r="F331" s="16"/>
      <c r="G331" s="16"/>
      <c r="H331" s="16"/>
      <c r="I331" s="16"/>
      <c r="J331" s="16"/>
      <c r="K331" s="16"/>
      <c r="L331" s="13"/>
      <c r="M331" s="13"/>
      <c r="N331" s="13"/>
      <c r="O331" s="13"/>
      <c r="P331" s="13"/>
      <c r="Q331" s="13"/>
      <c r="R331" s="13"/>
      <c r="S331" s="13"/>
      <c r="T331" s="13"/>
      <c r="U331" s="12"/>
      <c r="V331" s="14"/>
      <c r="W331" s="16"/>
      <c r="X331" s="16"/>
      <c r="Y331" s="16"/>
      <c r="Z331" s="16"/>
      <c r="AA331" s="15" t="str">
        <f aca="false">IF(AND(ISNUMBER(L331),ISNUMBER(M331)),M331-L331,"")</f>
        <v/>
      </c>
      <c r="AB331" s="15" t="str">
        <f aca="false">IF(AND(ISNUMBER(M331),ISNUMBER(P331)),P331-M331,"")</f>
        <v/>
      </c>
      <c r="AC331" s="15" t="str">
        <f aca="false">IF(AND(ISNUMBER(L331),ISNUMBER(P331)),P331-L331,"")</f>
        <v/>
      </c>
      <c r="AD331" s="15" t="str">
        <f aca="false">IF(AND(ISNUMBER(P331),ISNUMBER(Q331)),Q331-P331,"")</f>
        <v/>
      </c>
      <c r="AE331" s="15" t="str">
        <f aca="false">IF(AND(ISNUMBER(Q331),ISNUMBER(R331)),R331-Q331,IF(ISNUMBER(Y331),Y331,""))</f>
        <v/>
      </c>
      <c r="AF331" s="15" t="str">
        <f aca="false">IF(AND(ISNUMBER(R331),ISNUMBER(S331)),S331-R331,"")</f>
        <v/>
      </c>
      <c r="AG331" s="15" t="str">
        <f aca="false">IF(AND(ISNUMBER(S331),ISNUMBER(T331)),T331-S331,"")</f>
        <v/>
      </c>
      <c r="AH331" s="15" t="str">
        <f aca="false">IF(AND(ISNUMBER(L331),ISNUMBER(T331)),T331-L331,"")</f>
        <v/>
      </c>
      <c r="AI331" s="15" t="str">
        <f aca="false">IF(AND(ISNUMBER(O331),ISNUMBER(Q331)),Q331-O331,"")</f>
        <v/>
      </c>
      <c r="AJ331" s="15" t="str">
        <f aca="false">IF(B331="","",COUNT(L331:M331,P331:T331)&amp;"/7")</f>
        <v/>
      </c>
      <c r="AK331" s="15" t="str">
        <f aca="false">IF(B331="","",IF(OR(AND(ISNUMBER(L331),ISNUMBER(M331),M331&lt;L331),AND(ISNUMBER(M331),ISNUMBER(P331),P331&lt;M331),AND(ISNUMBER(P331),ISNUMBER(Q331),Q331&lt;P331),AND(ISNUMBER(Q331),ISNUMBER(R331),R331&lt;Q331),AND(ISNUMBER(R331),ISNUMBER(S331),S331&lt;R331),AND(ISNUMBER(S331),ISNUMBER(T331),T331&lt;S331),AND(ISNUMBER(N331),ISNUMBER(O331),O331&lt;N331)),"Urutan tanggal salah",IF(AND(ISNUMBER(Q331),ISNUMBER(R331),ISNUMBER(Y331),ABS(R331-Q331-Y331)&gt;2),"S tanggal ≠ Sailing tercatat",IF(AND(ISNUMBER(Q331),ISNUMBER(O331),ABS(Q331-O331)&gt;60),"Cek tahun laycan",IF(AND(ISNUMBER(Q331),ISNUMBER(N331),Q331&lt;N331),"Berangkat sebelum laycan",IF(NOT(ISNUMBER(AE331)),"S belum ada","OK"))))))</f>
        <v/>
      </c>
    </row>
    <row r="332" customFormat="false" ht="15" hidden="false" customHeight="false" outlineLevel="0" collapsed="false">
      <c r="A332" s="16" t="str">
        <f aca="false">IF(B332="","",ROW()-4)</f>
        <v/>
      </c>
      <c r="B332" s="12"/>
      <c r="C332" s="16"/>
      <c r="D332" s="16"/>
      <c r="E332" s="16"/>
      <c r="F332" s="16"/>
      <c r="G332" s="16"/>
      <c r="H332" s="16"/>
      <c r="I332" s="16"/>
      <c r="J332" s="16"/>
      <c r="K332" s="16"/>
      <c r="L332" s="13"/>
      <c r="M332" s="13"/>
      <c r="N332" s="13"/>
      <c r="O332" s="13"/>
      <c r="P332" s="13"/>
      <c r="Q332" s="13"/>
      <c r="R332" s="13"/>
      <c r="S332" s="13"/>
      <c r="T332" s="13"/>
      <c r="U332" s="12"/>
      <c r="V332" s="14"/>
      <c r="W332" s="16"/>
      <c r="X332" s="16"/>
      <c r="Y332" s="16"/>
      <c r="Z332" s="16"/>
      <c r="AA332" s="15" t="str">
        <f aca="false">IF(AND(ISNUMBER(L332),ISNUMBER(M332)),M332-L332,"")</f>
        <v/>
      </c>
      <c r="AB332" s="15" t="str">
        <f aca="false">IF(AND(ISNUMBER(M332),ISNUMBER(P332)),P332-M332,"")</f>
        <v/>
      </c>
      <c r="AC332" s="15" t="str">
        <f aca="false">IF(AND(ISNUMBER(L332),ISNUMBER(P332)),P332-L332,"")</f>
        <v/>
      </c>
      <c r="AD332" s="15" t="str">
        <f aca="false">IF(AND(ISNUMBER(P332),ISNUMBER(Q332)),Q332-P332,"")</f>
        <v/>
      </c>
      <c r="AE332" s="15" t="str">
        <f aca="false">IF(AND(ISNUMBER(Q332),ISNUMBER(R332)),R332-Q332,IF(ISNUMBER(Y332),Y332,""))</f>
        <v/>
      </c>
      <c r="AF332" s="15" t="str">
        <f aca="false">IF(AND(ISNUMBER(R332),ISNUMBER(S332)),S332-R332,"")</f>
        <v/>
      </c>
      <c r="AG332" s="15" t="str">
        <f aca="false">IF(AND(ISNUMBER(S332),ISNUMBER(T332)),T332-S332,"")</f>
        <v/>
      </c>
      <c r="AH332" s="15" t="str">
        <f aca="false">IF(AND(ISNUMBER(L332),ISNUMBER(T332)),T332-L332,"")</f>
        <v/>
      </c>
      <c r="AI332" s="15" t="str">
        <f aca="false">IF(AND(ISNUMBER(O332),ISNUMBER(Q332)),Q332-O332,"")</f>
        <v/>
      </c>
      <c r="AJ332" s="15" t="str">
        <f aca="false">IF(B332="","",COUNT(L332:M332,P332:T332)&amp;"/7")</f>
        <v/>
      </c>
      <c r="AK332" s="15" t="str">
        <f aca="false">IF(B332="","",IF(OR(AND(ISNUMBER(L332),ISNUMBER(M332),M332&lt;L332),AND(ISNUMBER(M332),ISNUMBER(P332),P332&lt;M332),AND(ISNUMBER(P332),ISNUMBER(Q332),Q332&lt;P332),AND(ISNUMBER(Q332),ISNUMBER(R332),R332&lt;Q332),AND(ISNUMBER(R332),ISNUMBER(S332),S332&lt;R332),AND(ISNUMBER(S332),ISNUMBER(T332),T332&lt;S332),AND(ISNUMBER(N332),ISNUMBER(O332),O332&lt;N332)),"Urutan tanggal salah",IF(AND(ISNUMBER(Q332),ISNUMBER(R332),ISNUMBER(Y332),ABS(R332-Q332-Y332)&gt;2),"S tanggal ≠ Sailing tercatat",IF(AND(ISNUMBER(Q332),ISNUMBER(O332),ABS(Q332-O332)&gt;60),"Cek tahun laycan",IF(AND(ISNUMBER(Q332),ISNUMBER(N332),Q332&lt;N332),"Berangkat sebelum laycan",IF(NOT(ISNUMBER(AE332)),"S belum ada","OK"))))))</f>
        <v/>
      </c>
    </row>
    <row r="333" customFormat="false" ht="15" hidden="false" customHeight="false" outlineLevel="0" collapsed="false">
      <c r="A333" s="16" t="str">
        <f aca="false">IF(B333="","",ROW()-4)</f>
        <v/>
      </c>
      <c r="B333" s="12"/>
      <c r="C333" s="16"/>
      <c r="D333" s="16"/>
      <c r="E333" s="16"/>
      <c r="F333" s="16"/>
      <c r="G333" s="16"/>
      <c r="H333" s="16"/>
      <c r="I333" s="16"/>
      <c r="J333" s="16"/>
      <c r="K333" s="16"/>
      <c r="L333" s="13"/>
      <c r="M333" s="13"/>
      <c r="N333" s="13"/>
      <c r="O333" s="13"/>
      <c r="P333" s="13"/>
      <c r="Q333" s="13"/>
      <c r="R333" s="13"/>
      <c r="S333" s="13"/>
      <c r="T333" s="13"/>
      <c r="U333" s="12"/>
      <c r="V333" s="14"/>
      <c r="W333" s="16"/>
      <c r="X333" s="16"/>
      <c r="Y333" s="16"/>
      <c r="Z333" s="16"/>
      <c r="AA333" s="15" t="str">
        <f aca="false">IF(AND(ISNUMBER(L333),ISNUMBER(M333)),M333-L333,"")</f>
        <v/>
      </c>
      <c r="AB333" s="15" t="str">
        <f aca="false">IF(AND(ISNUMBER(M333),ISNUMBER(P333)),P333-M333,"")</f>
        <v/>
      </c>
      <c r="AC333" s="15" t="str">
        <f aca="false">IF(AND(ISNUMBER(L333),ISNUMBER(P333)),P333-L333,"")</f>
        <v/>
      </c>
      <c r="AD333" s="15" t="str">
        <f aca="false">IF(AND(ISNUMBER(P333),ISNUMBER(Q333)),Q333-P333,"")</f>
        <v/>
      </c>
      <c r="AE333" s="15" t="str">
        <f aca="false">IF(AND(ISNUMBER(Q333),ISNUMBER(R333)),R333-Q333,IF(ISNUMBER(Y333),Y333,""))</f>
        <v/>
      </c>
      <c r="AF333" s="15" t="str">
        <f aca="false">IF(AND(ISNUMBER(R333),ISNUMBER(S333)),S333-R333,"")</f>
        <v/>
      </c>
      <c r="AG333" s="15" t="str">
        <f aca="false">IF(AND(ISNUMBER(S333),ISNUMBER(T333)),T333-S333,"")</f>
        <v/>
      </c>
      <c r="AH333" s="15" t="str">
        <f aca="false">IF(AND(ISNUMBER(L333),ISNUMBER(T333)),T333-L333,"")</f>
        <v/>
      </c>
      <c r="AI333" s="15" t="str">
        <f aca="false">IF(AND(ISNUMBER(O333),ISNUMBER(Q333)),Q333-O333,"")</f>
        <v/>
      </c>
      <c r="AJ333" s="15" t="str">
        <f aca="false">IF(B333="","",COUNT(L333:M333,P333:T333)&amp;"/7")</f>
        <v/>
      </c>
      <c r="AK333" s="15" t="str">
        <f aca="false">IF(B333="","",IF(OR(AND(ISNUMBER(L333),ISNUMBER(M333),M333&lt;L333),AND(ISNUMBER(M333),ISNUMBER(P333),P333&lt;M333),AND(ISNUMBER(P333),ISNUMBER(Q333),Q333&lt;P333),AND(ISNUMBER(Q333),ISNUMBER(R333),R333&lt;Q333),AND(ISNUMBER(R333),ISNUMBER(S333),S333&lt;R333),AND(ISNUMBER(S333),ISNUMBER(T333),T333&lt;S333),AND(ISNUMBER(N333),ISNUMBER(O333),O333&lt;N333)),"Urutan tanggal salah",IF(AND(ISNUMBER(Q333),ISNUMBER(R333),ISNUMBER(Y333),ABS(R333-Q333-Y333)&gt;2),"S tanggal ≠ Sailing tercatat",IF(AND(ISNUMBER(Q333),ISNUMBER(O333),ABS(Q333-O333)&gt;60),"Cek tahun laycan",IF(AND(ISNUMBER(Q333),ISNUMBER(N333),Q333&lt;N333),"Berangkat sebelum laycan",IF(NOT(ISNUMBER(AE333)),"S belum ada","OK"))))))</f>
        <v/>
      </c>
    </row>
    <row r="334" customFormat="false" ht="15" hidden="false" customHeight="false" outlineLevel="0" collapsed="false">
      <c r="A334" s="16" t="str">
        <f aca="false">IF(B334="","",ROW()-4)</f>
        <v/>
      </c>
      <c r="B334" s="12"/>
      <c r="C334" s="16"/>
      <c r="D334" s="16"/>
      <c r="E334" s="16"/>
      <c r="F334" s="16"/>
      <c r="G334" s="16"/>
      <c r="H334" s="16"/>
      <c r="I334" s="16"/>
      <c r="J334" s="16"/>
      <c r="K334" s="16"/>
      <c r="L334" s="13"/>
      <c r="M334" s="13"/>
      <c r="N334" s="13"/>
      <c r="O334" s="13"/>
      <c r="P334" s="13"/>
      <c r="Q334" s="13"/>
      <c r="R334" s="13"/>
      <c r="S334" s="13"/>
      <c r="T334" s="13"/>
      <c r="U334" s="12"/>
      <c r="V334" s="14"/>
      <c r="W334" s="16"/>
      <c r="X334" s="16"/>
      <c r="Y334" s="16"/>
      <c r="Z334" s="16"/>
      <c r="AA334" s="15" t="str">
        <f aca="false">IF(AND(ISNUMBER(L334),ISNUMBER(M334)),M334-L334,"")</f>
        <v/>
      </c>
      <c r="AB334" s="15" t="str">
        <f aca="false">IF(AND(ISNUMBER(M334),ISNUMBER(P334)),P334-M334,"")</f>
        <v/>
      </c>
      <c r="AC334" s="15" t="str">
        <f aca="false">IF(AND(ISNUMBER(L334),ISNUMBER(P334)),P334-L334,"")</f>
        <v/>
      </c>
      <c r="AD334" s="15" t="str">
        <f aca="false">IF(AND(ISNUMBER(P334),ISNUMBER(Q334)),Q334-P334,"")</f>
        <v/>
      </c>
      <c r="AE334" s="15" t="str">
        <f aca="false">IF(AND(ISNUMBER(Q334),ISNUMBER(R334)),R334-Q334,IF(ISNUMBER(Y334),Y334,""))</f>
        <v/>
      </c>
      <c r="AF334" s="15" t="str">
        <f aca="false">IF(AND(ISNUMBER(R334),ISNUMBER(S334)),S334-R334,"")</f>
        <v/>
      </c>
      <c r="AG334" s="15" t="str">
        <f aca="false">IF(AND(ISNUMBER(S334),ISNUMBER(T334)),T334-S334,"")</f>
        <v/>
      </c>
      <c r="AH334" s="15" t="str">
        <f aca="false">IF(AND(ISNUMBER(L334),ISNUMBER(T334)),T334-L334,"")</f>
        <v/>
      </c>
      <c r="AI334" s="15" t="str">
        <f aca="false">IF(AND(ISNUMBER(O334),ISNUMBER(Q334)),Q334-O334,"")</f>
        <v/>
      </c>
      <c r="AJ334" s="15" t="str">
        <f aca="false">IF(B334="","",COUNT(L334:M334,P334:T334)&amp;"/7")</f>
        <v/>
      </c>
      <c r="AK334" s="15" t="str">
        <f aca="false">IF(B334="","",IF(OR(AND(ISNUMBER(L334),ISNUMBER(M334),M334&lt;L334),AND(ISNUMBER(M334),ISNUMBER(P334),P334&lt;M334),AND(ISNUMBER(P334),ISNUMBER(Q334),Q334&lt;P334),AND(ISNUMBER(Q334),ISNUMBER(R334),R334&lt;Q334),AND(ISNUMBER(R334),ISNUMBER(S334),S334&lt;R334),AND(ISNUMBER(S334),ISNUMBER(T334),T334&lt;S334),AND(ISNUMBER(N334),ISNUMBER(O334),O334&lt;N334)),"Urutan tanggal salah",IF(AND(ISNUMBER(Q334),ISNUMBER(R334),ISNUMBER(Y334),ABS(R334-Q334-Y334)&gt;2),"S tanggal ≠ Sailing tercatat",IF(AND(ISNUMBER(Q334),ISNUMBER(O334),ABS(Q334-O334)&gt;60),"Cek tahun laycan",IF(AND(ISNUMBER(Q334),ISNUMBER(N334),Q334&lt;N334),"Berangkat sebelum laycan",IF(NOT(ISNUMBER(AE334)),"S belum ada","OK"))))))</f>
        <v/>
      </c>
    </row>
    <row r="335" customFormat="false" ht="15" hidden="false" customHeight="false" outlineLevel="0" collapsed="false">
      <c r="A335" s="16" t="str">
        <f aca="false">IF(B335="","",ROW()-4)</f>
        <v/>
      </c>
      <c r="B335" s="12"/>
      <c r="C335" s="16"/>
      <c r="D335" s="16"/>
      <c r="E335" s="16"/>
      <c r="F335" s="16"/>
      <c r="G335" s="16"/>
      <c r="H335" s="16"/>
      <c r="I335" s="16"/>
      <c r="J335" s="16"/>
      <c r="K335" s="16"/>
      <c r="L335" s="13"/>
      <c r="M335" s="13"/>
      <c r="N335" s="13"/>
      <c r="O335" s="13"/>
      <c r="P335" s="13"/>
      <c r="Q335" s="13"/>
      <c r="R335" s="13"/>
      <c r="S335" s="13"/>
      <c r="T335" s="13"/>
      <c r="U335" s="12"/>
      <c r="V335" s="14"/>
      <c r="W335" s="16"/>
      <c r="X335" s="16"/>
      <c r="Y335" s="16"/>
      <c r="Z335" s="16"/>
      <c r="AA335" s="15" t="str">
        <f aca="false">IF(AND(ISNUMBER(L335),ISNUMBER(M335)),M335-L335,"")</f>
        <v/>
      </c>
      <c r="AB335" s="15" t="str">
        <f aca="false">IF(AND(ISNUMBER(M335),ISNUMBER(P335)),P335-M335,"")</f>
        <v/>
      </c>
      <c r="AC335" s="15" t="str">
        <f aca="false">IF(AND(ISNUMBER(L335),ISNUMBER(P335)),P335-L335,"")</f>
        <v/>
      </c>
      <c r="AD335" s="15" t="str">
        <f aca="false">IF(AND(ISNUMBER(P335),ISNUMBER(Q335)),Q335-P335,"")</f>
        <v/>
      </c>
      <c r="AE335" s="15" t="str">
        <f aca="false">IF(AND(ISNUMBER(Q335),ISNUMBER(R335)),R335-Q335,IF(ISNUMBER(Y335),Y335,""))</f>
        <v/>
      </c>
      <c r="AF335" s="15" t="str">
        <f aca="false">IF(AND(ISNUMBER(R335),ISNUMBER(S335)),S335-R335,"")</f>
        <v/>
      </c>
      <c r="AG335" s="15" t="str">
        <f aca="false">IF(AND(ISNUMBER(S335),ISNUMBER(T335)),T335-S335,"")</f>
        <v/>
      </c>
      <c r="AH335" s="15" t="str">
        <f aca="false">IF(AND(ISNUMBER(L335),ISNUMBER(T335)),T335-L335,"")</f>
        <v/>
      </c>
      <c r="AI335" s="15" t="str">
        <f aca="false">IF(AND(ISNUMBER(O335),ISNUMBER(Q335)),Q335-O335,"")</f>
        <v/>
      </c>
      <c r="AJ335" s="15" t="str">
        <f aca="false">IF(B335="","",COUNT(L335:M335,P335:T335)&amp;"/7")</f>
        <v/>
      </c>
      <c r="AK335" s="15" t="str">
        <f aca="false">IF(B335="","",IF(OR(AND(ISNUMBER(L335),ISNUMBER(M335),M335&lt;L335),AND(ISNUMBER(M335),ISNUMBER(P335),P335&lt;M335),AND(ISNUMBER(P335),ISNUMBER(Q335),Q335&lt;P335),AND(ISNUMBER(Q335),ISNUMBER(R335),R335&lt;Q335),AND(ISNUMBER(R335),ISNUMBER(S335),S335&lt;R335),AND(ISNUMBER(S335),ISNUMBER(T335),T335&lt;S335),AND(ISNUMBER(N335),ISNUMBER(O335),O335&lt;N335)),"Urutan tanggal salah",IF(AND(ISNUMBER(Q335),ISNUMBER(R335),ISNUMBER(Y335),ABS(R335-Q335-Y335)&gt;2),"S tanggal ≠ Sailing tercatat",IF(AND(ISNUMBER(Q335),ISNUMBER(O335),ABS(Q335-O335)&gt;60),"Cek tahun laycan",IF(AND(ISNUMBER(Q335),ISNUMBER(N335),Q335&lt;N335),"Berangkat sebelum laycan",IF(NOT(ISNUMBER(AE335)),"S belum ada","OK"))))))</f>
        <v/>
      </c>
    </row>
    <row r="336" customFormat="false" ht="15" hidden="false" customHeight="false" outlineLevel="0" collapsed="false">
      <c r="A336" s="16" t="str">
        <f aca="false">IF(B336="","",ROW()-4)</f>
        <v/>
      </c>
      <c r="B336" s="12"/>
      <c r="C336" s="16"/>
      <c r="D336" s="16"/>
      <c r="E336" s="16"/>
      <c r="F336" s="16"/>
      <c r="G336" s="16"/>
      <c r="H336" s="16"/>
      <c r="I336" s="16"/>
      <c r="J336" s="16"/>
      <c r="K336" s="16"/>
      <c r="L336" s="13"/>
      <c r="M336" s="13"/>
      <c r="N336" s="13"/>
      <c r="O336" s="13"/>
      <c r="P336" s="13"/>
      <c r="Q336" s="13"/>
      <c r="R336" s="13"/>
      <c r="S336" s="13"/>
      <c r="T336" s="13"/>
      <c r="U336" s="12"/>
      <c r="V336" s="14"/>
      <c r="W336" s="16"/>
      <c r="X336" s="16"/>
      <c r="Y336" s="16"/>
      <c r="Z336" s="16"/>
      <c r="AA336" s="15" t="str">
        <f aca="false">IF(AND(ISNUMBER(L336),ISNUMBER(M336)),M336-L336,"")</f>
        <v/>
      </c>
      <c r="AB336" s="15" t="str">
        <f aca="false">IF(AND(ISNUMBER(M336),ISNUMBER(P336)),P336-M336,"")</f>
        <v/>
      </c>
      <c r="AC336" s="15" t="str">
        <f aca="false">IF(AND(ISNUMBER(L336),ISNUMBER(P336)),P336-L336,"")</f>
        <v/>
      </c>
      <c r="AD336" s="15" t="str">
        <f aca="false">IF(AND(ISNUMBER(P336),ISNUMBER(Q336)),Q336-P336,"")</f>
        <v/>
      </c>
      <c r="AE336" s="15" t="str">
        <f aca="false">IF(AND(ISNUMBER(Q336),ISNUMBER(R336)),R336-Q336,IF(ISNUMBER(Y336),Y336,""))</f>
        <v/>
      </c>
      <c r="AF336" s="15" t="str">
        <f aca="false">IF(AND(ISNUMBER(R336),ISNUMBER(S336)),S336-R336,"")</f>
        <v/>
      </c>
      <c r="AG336" s="15" t="str">
        <f aca="false">IF(AND(ISNUMBER(S336),ISNUMBER(T336)),T336-S336,"")</f>
        <v/>
      </c>
      <c r="AH336" s="15" t="str">
        <f aca="false">IF(AND(ISNUMBER(L336),ISNUMBER(T336)),T336-L336,"")</f>
        <v/>
      </c>
      <c r="AI336" s="15" t="str">
        <f aca="false">IF(AND(ISNUMBER(O336),ISNUMBER(Q336)),Q336-O336,"")</f>
        <v/>
      </c>
      <c r="AJ336" s="15" t="str">
        <f aca="false">IF(B336="","",COUNT(L336:M336,P336:T336)&amp;"/7")</f>
        <v/>
      </c>
      <c r="AK336" s="15" t="str">
        <f aca="false">IF(B336="","",IF(OR(AND(ISNUMBER(L336),ISNUMBER(M336),M336&lt;L336),AND(ISNUMBER(M336),ISNUMBER(P336),P336&lt;M336),AND(ISNUMBER(P336),ISNUMBER(Q336),Q336&lt;P336),AND(ISNUMBER(Q336),ISNUMBER(R336),R336&lt;Q336),AND(ISNUMBER(R336),ISNUMBER(S336),S336&lt;R336),AND(ISNUMBER(S336),ISNUMBER(T336),T336&lt;S336),AND(ISNUMBER(N336),ISNUMBER(O336),O336&lt;N336)),"Urutan tanggal salah",IF(AND(ISNUMBER(Q336),ISNUMBER(R336),ISNUMBER(Y336),ABS(R336-Q336-Y336)&gt;2),"S tanggal ≠ Sailing tercatat",IF(AND(ISNUMBER(Q336),ISNUMBER(O336),ABS(Q336-O336)&gt;60),"Cek tahun laycan",IF(AND(ISNUMBER(Q336),ISNUMBER(N336),Q336&lt;N336),"Berangkat sebelum laycan",IF(NOT(ISNUMBER(AE336)),"S belum ada","OK"))))))</f>
        <v/>
      </c>
    </row>
    <row r="337" customFormat="false" ht="15" hidden="false" customHeight="false" outlineLevel="0" collapsed="false">
      <c r="A337" s="16" t="str">
        <f aca="false">IF(B337="","",ROW()-4)</f>
        <v/>
      </c>
      <c r="B337" s="12"/>
      <c r="C337" s="16"/>
      <c r="D337" s="16"/>
      <c r="E337" s="16"/>
      <c r="F337" s="16"/>
      <c r="G337" s="16"/>
      <c r="H337" s="16"/>
      <c r="I337" s="16"/>
      <c r="J337" s="16"/>
      <c r="K337" s="16"/>
      <c r="L337" s="13"/>
      <c r="M337" s="13"/>
      <c r="N337" s="13"/>
      <c r="O337" s="13"/>
      <c r="P337" s="13"/>
      <c r="Q337" s="13"/>
      <c r="R337" s="13"/>
      <c r="S337" s="13"/>
      <c r="T337" s="13"/>
      <c r="U337" s="12"/>
      <c r="V337" s="14"/>
      <c r="W337" s="16"/>
      <c r="X337" s="16"/>
      <c r="Y337" s="16"/>
      <c r="Z337" s="16"/>
      <c r="AA337" s="15" t="str">
        <f aca="false">IF(AND(ISNUMBER(L337),ISNUMBER(M337)),M337-L337,"")</f>
        <v/>
      </c>
      <c r="AB337" s="15" t="str">
        <f aca="false">IF(AND(ISNUMBER(M337),ISNUMBER(P337)),P337-M337,"")</f>
        <v/>
      </c>
      <c r="AC337" s="15" t="str">
        <f aca="false">IF(AND(ISNUMBER(L337),ISNUMBER(P337)),P337-L337,"")</f>
        <v/>
      </c>
      <c r="AD337" s="15" t="str">
        <f aca="false">IF(AND(ISNUMBER(P337),ISNUMBER(Q337)),Q337-P337,"")</f>
        <v/>
      </c>
      <c r="AE337" s="15" t="str">
        <f aca="false">IF(AND(ISNUMBER(Q337),ISNUMBER(R337)),R337-Q337,IF(ISNUMBER(Y337),Y337,""))</f>
        <v/>
      </c>
      <c r="AF337" s="15" t="str">
        <f aca="false">IF(AND(ISNUMBER(R337),ISNUMBER(S337)),S337-R337,"")</f>
        <v/>
      </c>
      <c r="AG337" s="15" t="str">
        <f aca="false">IF(AND(ISNUMBER(S337),ISNUMBER(T337)),T337-S337,"")</f>
        <v/>
      </c>
      <c r="AH337" s="15" t="str">
        <f aca="false">IF(AND(ISNUMBER(L337),ISNUMBER(T337)),T337-L337,"")</f>
        <v/>
      </c>
      <c r="AI337" s="15" t="str">
        <f aca="false">IF(AND(ISNUMBER(O337),ISNUMBER(Q337)),Q337-O337,"")</f>
        <v/>
      </c>
      <c r="AJ337" s="15" t="str">
        <f aca="false">IF(B337="","",COUNT(L337:M337,P337:T337)&amp;"/7")</f>
        <v/>
      </c>
      <c r="AK337" s="15" t="str">
        <f aca="false">IF(B337="","",IF(OR(AND(ISNUMBER(L337),ISNUMBER(M337),M337&lt;L337),AND(ISNUMBER(M337),ISNUMBER(P337),P337&lt;M337),AND(ISNUMBER(P337),ISNUMBER(Q337),Q337&lt;P337),AND(ISNUMBER(Q337),ISNUMBER(R337),R337&lt;Q337),AND(ISNUMBER(R337),ISNUMBER(S337),S337&lt;R337),AND(ISNUMBER(S337),ISNUMBER(T337),T337&lt;S337),AND(ISNUMBER(N337),ISNUMBER(O337),O337&lt;N337)),"Urutan tanggal salah",IF(AND(ISNUMBER(Q337),ISNUMBER(R337),ISNUMBER(Y337),ABS(R337-Q337-Y337)&gt;2),"S tanggal ≠ Sailing tercatat",IF(AND(ISNUMBER(Q337),ISNUMBER(O337),ABS(Q337-O337)&gt;60),"Cek tahun laycan",IF(AND(ISNUMBER(Q337),ISNUMBER(N337),Q337&lt;N337),"Berangkat sebelum laycan",IF(NOT(ISNUMBER(AE337)),"S belum ada","OK"))))))</f>
        <v/>
      </c>
    </row>
    <row r="338" customFormat="false" ht="15" hidden="false" customHeight="false" outlineLevel="0" collapsed="false">
      <c r="A338" s="16" t="str">
        <f aca="false">IF(B338="","",ROW()-4)</f>
        <v/>
      </c>
      <c r="B338" s="12"/>
      <c r="C338" s="16"/>
      <c r="D338" s="16"/>
      <c r="E338" s="16"/>
      <c r="F338" s="16"/>
      <c r="G338" s="16"/>
      <c r="H338" s="16"/>
      <c r="I338" s="16"/>
      <c r="J338" s="16"/>
      <c r="K338" s="16"/>
      <c r="L338" s="13"/>
      <c r="M338" s="13"/>
      <c r="N338" s="13"/>
      <c r="O338" s="13"/>
      <c r="P338" s="13"/>
      <c r="Q338" s="13"/>
      <c r="R338" s="13"/>
      <c r="S338" s="13"/>
      <c r="T338" s="13"/>
      <c r="U338" s="12"/>
      <c r="V338" s="14"/>
      <c r="W338" s="16"/>
      <c r="X338" s="16"/>
      <c r="Y338" s="16"/>
      <c r="Z338" s="16"/>
      <c r="AA338" s="15" t="str">
        <f aca="false">IF(AND(ISNUMBER(L338),ISNUMBER(M338)),M338-L338,"")</f>
        <v/>
      </c>
      <c r="AB338" s="15" t="str">
        <f aca="false">IF(AND(ISNUMBER(M338),ISNUMBER(P338)),P338-M338,"")</f>
        <v/>
      </c>
      <c r="AC338" s="15" t="str">
        <f aca="false">IF(AND(ISNUMBER(L338),ISNUMBER(P338)),P338-L338,"")</f>
        <v/>
      </c>
      <c r="AD338" s="15" t="str">
        <f aca="false">IF(AND(ISNUMBER(P338),ISNUMBER(Q338)),Q338-P338,"")</f>
        <v/>
      </c>
      <c r="AE338" s="15" t="str">
        <f aca="false">IF(AND(ISNUMBER(Q338),ISNUMBER(R338)),R338-Q338,IF(ISNUMBER(Y338),Y338,""))</f>
        <v/>
      </c>
      <c r="AF338" s="15" t="str">
        <f aca="false">IF(AND(ISNUMBER(R338),ISNUMBER(S338)),S338-R338,"")</f>
        <v/>
      </c>
      <c r="AG338" s="15" t="str">
        <f aca="false">IF(AND(ISNUMBER(S338),ISNUMBER(T338)),T338-S338,"")</f>
        <v/>
      </c>
      <c r="AH338" s="15" t="str">
        <f aca="false">IF(AND(ISNUMBER(L338),ISNUMBER(T338)),T338-L338,"")</f>
        <v/>
      </c>
      <c r="AI338" s="15" t="str">
        <f aca="false">IF(AND(ISNUMBER(O338),ISNUMBER(Q338)),Q338-O338,"")</f>
        <v/>
      </c>
      <c r="AJ338" s="15" t="str">
        <f aca="false">IF(B338="","",COUNT(L338:M338,P338:T338)&amp;"/7")</f>
        <v/>
      </c>
      <c r="AK338" s="15" t="str">
        <f aca="false">IF(B338="","",IF(OR(AND(ISNUMBER(L338),ISNUMBER(M338),M338&lt;L338),AND(ISNUMBER(M338),ISNUMBER(P338),P338&lt;M338),AND(ISNUMBER(P338),ISNUMBER(Q338),Q338&lt;P338),AND(ISNUMBER(Q338),ISNUMBER(R338),R338&lt;Q338),AND(ISNUMBER(R338),ISNUMBER(S338),S338&lt;R338),AND(ISNUMBER(S338),ISNUMBER(T338),T338&lt;S338),AND(ISNUMBER(N338),ISNUMBER(O338),O338&lt;N338)),"Urutan tanggal salah",IF(AND(ISNUMBER(Q338),ISNUMBER(R338),ISNUMBER(Y338),ABS(R338-Q338-Y338)&gt;2),"S tanggal ≠ Sailing tercatat",IF(AND(ISNUMBER(Q338),ISNUMBER(O338),ABS(Q338-O338)&gt;60),"Cek tahun laycan",IF(AND(ISNUMBER(Q338),ISNUMBER(N338),Q338&lt;N338),"Berangkat sebelum laycan",IF(NOT(ISNUMBER(AE338)),"S belum ada","OK"))))))</f>
        <v/>
      </c>
    </row>
    <row r="339" customFormat="false" ht="15" hidden="false" customHeight="false" outlineLevel="0" collapsed="false">
      <c r="A339" s="16" t="str">
        <f aca="false">IF(B339="","",ROW()-4)</f>
        <v/>
      </c>
      <c r="B339" s="12"/>
      <c r="C339" s="16"/>
      <c r="D339" s="16"/>
      <c r="E339" s="16"/>
      <c r="F339" s="16"/>
      <c r="G339" s="16"/>
      <c r="H339" s="16"/>
      <c r="I339" s="16"/>
      <c r="J339" s="16"/>
      <c r="K339" s="16"/>
      <c r="L339" s="13"/>
      <c r="M339" s="13"/>
      <c r="N339" s="13"/>
      <c r="O339" s="13"/>
      <c r="P339" s="13"/>
      <c r="Q339" s="13"/>
      <c r="R339" s="13"/>
      <c r="S339" s="13"/>
      <c r="T339" s="13"/>
      <c r="U339" s="12"/>
      <c r="V339" s="14"/>
      <c r="W339" s="16"/>
      <c r="X339" s="16"/>
      <c r="Y339" s="16"/>
      <c r="Z339" s="16"/>
      <c r="AA339" s="15" t="str">
        <f aca="false">IF(AND(ISNUMBER(L339),ISNUMBER(M339)),M339-L339,"")</f>
        <v/>
      </c>
      <c r="AB339" s="15" t="str">
        <f aca="false">IF(AND(ISNUMBER(M339),ISNUMBER(P339)),P339-M339,"")</f>
        <v/>
      </c>
      <c r="AC339" s="15" t="str">
        <f aca="false">IF(AND(ISNUMBER(L339),ISNUMBER(P339)),P339-L339,"")</f>
        <v/>
      </c>
      <c r="AD339" s="15" t="str">
        <f aca="false">IF(AND(ISNUMBER(P339),ISNUMBER(Q339)),Q339-P339,"")</f>
        <v/>
      </c>
      <c r="AE339" s="15" t="str">
        <f aca="false">IF(AND(ISNUMBER(Q339),ISNUMBER(R339)),R339-Q339,IF(ISNUMBER(Y339),Y339,""))</f>
        <v/>
      </c>
      <c r="AF339" s="15" t="str">
        <f aca="false">IF(AND(ISNUMBER(R339),ISNUMBER(S339)),S339-R339,"")</f>
        <v/>
      </c>
      <c r="AG339" s="15" t="str">
        <f aca="false">IF(AND(ISNUMBER(S339),ISNUMBER(T339)),T339-S339,"")</f>
        <v/>
      </c>
      <c r="AH339" s="15" t="str">
        <f aca="false">IF(AND(ISNUMBER(L339),ISNUMBER(T339)),T339-L339,"")</f>
        <v/>
      </c>
      <c r="AI339" s="15" t="str">
        <f aca="false">IF(AND(ISNUMBER(O339),ISNUMBER(Q339)),Q339-O339,"")</f>
        <v/>
      </c>
      <c r="AJ339" s="15" t="str">
        <f aca="false">IF(B339="","",COUNT(L339:M339,P339:T339)&amp;"/7")</f>
        <v/>
      </c>
      <c r="AK339" s="15" t="str">
        <f aca="false">IF(B339="","",IF(OR(AND(ISNUMBER(L339),ISNUMBER(M339),M339&lt;L339),AND(ISNUMBER(M339),ISNUMBER(P339),P339&lt;M339),AND(ISNUMBER(P339),ISNUMBER(Q339),Q339&lt;P339),AND(ISNUMBER(Q339),ISNUMBER(R339),R339&lt;Q339),AND(ISNUMBER(R339),ISNUMBER(S339),S339&lt;R339),AND(ISNUMBER(S339),ISNUMBER(T339),T339&lt;S339),AND(ISNUMBER(N339),ISNUMBER(O339),O339&lt;N339)),"Urutan tanggal salah",IF(AND(ISNUMBER(Q339),ISNUMBER(R339),ISNUMBER(Y339),ABS(R339-Q339-Y339)&gt;2),"S tanggal ≠ Sailing tercatat",IF(AND(ISNUMBER(Q339),ISNUMBER(O339),ABS(Q339-O339)&gt;60),"Cek tahun laycan",IF(AND(ISNUMBER(Q339),ISNUMBER(N339),Q339&lt;N339),"Berangkat sebelum laycan",IF(NOT(ISNUMBER(AE339)),"S belum ada","OK"))))))</f>
        <v/>
      </c>
    </row>
    <row r="340" customFormat="false" ht="15" hidden="false" customHeight="false" outlineLevel="0" collapsed="false">
      <c r="A340" s="16" t="str">
        <f aca="false">IF(B340="","",ROW()-4)</f>
        <v/>
      </c>
      <c r="B340" s="12"/>
      <c r="C340" s="16"/>
      <c r="D340" s="16"/>
      <c r="E340" s="16"/>
      <c r="F340" s="16"/>
      <c r="G340" s="16"/>
      <c r="H340" s="16"/>
      <c r="I340" s="16"/>
      <c r="J340" s="16"/>
      <c r="K340" s="16"/>
      <c r="L340" s="13"/>
      <c r="M340" s="13"/>
      <c r="N340" s="13"/>
      <c r="O340" s="13"/>
      <c r="P340" s="13"/>
      <c r="Q340" s="13"/>
      <c r="R340" s="13"/>
      <c r="S340" s="13"/>
      <c r="T340" s="13"/>
      <c r="U340" s="12"/>
      <c r="V340" s="14"/>
      <c r="W340" s="16"/>
      <c r="X340" s="16"/>
      <c r="Y340" s="16"/>
      <c r="Z340" s="16"/>
      <c r="AA340" s="15" t="str">
        <f aca="false">IF(AND(ISNUMBER(L340),ISNUMBER(M340)),M340-L340,"")</f>
        <v/>
      </c>
      <c r="AB340" s="15" t="str">
        <f aca="false">IF(AND(ISNUMBER(M340),ISNUMBER(P340)),P340-M340,"")</f>
        <v/>
      </c>
      <c r="AC340" s="15" t="str">
        <f aca="false">IF(AND(ISNUMBER(L340),ISNUMBER(P340)),P340-L340,"")</f>
        <v/>
      </c>
      <c r="AD340" s="15" t="str">
        <f aca="false">IF(AND(ISNUMBER(P340),ISNUMBER(Q340)),Q340-P340,"")</f>
        <v/>
      </c>
      <c r="AE340" s="15" t="str">
        <f aca="false">IF(AND(ISNUMBER(Q340),ISNUMBER(R340)),R340-Q340,IF(ISNUMBER(Y340),Y340,""))</f>
        <v/>
      </c>
      <c r="AF340" s="15" t="str">
        <f aca="false">IF(AND(ISNUMBER(R340),ISNUMBER(S340)),S340-R340,"")</f>
        <v/>
      </c>
      <c r="AG340" s="15" t="str">
        <f aca="false">IF(AND(ISNUMBER(S340),ISNUMBER(T340)),T340-S340,"")</f>
        <v/>
      </c>
      <c r="AH340" s="15" t="str">
        <f aca="false">IF(AND(ISNUMBER(L340),ISNUMBER(T340)),T340-L340,"")</f>
        <v/>
      </c>
      <c r="AI340" s="15" t="str">
        <f aca="false">IF(AND(ISNUMBER(O340),ISNUMBER(Q340)),Q340-O340,"")</f>
        <v/>
      </c>
      <c r="AJ340" s="15" t="str">
        <f aca="false">IF(B340="","",COUNT(L340:M340,P340:T340)&amp;"/7")</f>
        <v/>
      </c>
      <c r="AK340" s="15" t="str">
        <f aca="false">IF(B340="","",IF(OR(AND(ISNUMBER(L340),ISNUMBER(M340),M340&lt;L340),AND(ISNUMBER(M340),ISNUMBER(P340),P340&lt;M340),AND(ISNUMBER(P340),ISNUMBER(Q340),Q340&lt;P340),AND(ISNUMBER(Q340),ISNUMBER(R340),R340&lt;Q340),AND(ISNUMBER(R340),ISNUMBER(S340),S340&lt;R340),AND(ISNUMBER(S340),ISNUMBER(T340),T340&lt;S340),AND(ISNUMBER(N340),ISNUMBER(O340),O340&lt;N340)),"Urutan tanggal salah",IF(AND(ISNUMBER(Q340),ISNUMBER(R340),ISNUMBER(Y340),ABS(R340-Q340-Y340)&gt;2),"S tanggal ≠ Sailing tercatat",IF(AND(ISNUMBER(Q340),ISNUMBER(O340),ABS(Q340-O340)&gt;60),"Cek tahun laycan",IF(AND(ISNUMBER(Q340),ISNUMBER(N340),Q340&lt;N340),"Berangkat sebelum laycan",IF(NOT(ISNUMBER(AE340)),"S belum ada","OK"))))))</f>
        <v/>
      </c>
    </row>
    <row r="341" customFormat="false" ht="15" hidden="false" customHeight="false" outlineLevel="0" collapsed="false">
      <c r="A341" s="16" t="str">
        <f aca="false">IF(B341="","",ROW()-4)</f>
        <v/>
      </c>
      <c r="B341" s="12"/>
      <c r="C341" s="16"/>
      <c r="D341" s="16"/>
      <c r="E341" s="16"/>
      <c r="F341" s="16"/>
      <c r="G341" s="16"/>
      <c r="H341" s="16"/>
      <c r="I341" s="16"/>
      <c r="J341" s="16"/>
      <c r="K341" s="16"/>
      <c r="L341" s="13"/>
      <c r="M341" s="13"/>
      <c r="N341" s="13"/>
      <c r="O341" s="13"/>
      <c r="P341" s="13"/>
      <c r="Q341" s="13"/>
      <c r="R341" s="13"/>
      <c r="S341" s="13"/>
      <c r="T341" s="13"/>
      <c r="U341" s="12"/>
      <c r="V341" s="14"/>
      <c r="W341" s="16"/>
      <c r="X341" s="16"/>
      <c r="Y341" s="16"/>
      <c r="Z341" s="16"/>
      <c r="AA341" s="15" t="str">
        <f aca="false">IF(AND(ISNUMBER(L341),ISNUMBER(M341)),M341-L341,"")</f>
        <v/>
      </c>
      <c r="AB341" s="15" t="str">
        <f aca="false">IF(AND(ISNUMBER(M341),ISNUMBER(P341)),P341-M341,"")</f>
        <v/>
      </c>
      <c r="AC341" s="15" t="str">
        <f aca="false">IF(AND(ISNUMBER(L341),ISNUMBER(P341)),P341-L341,"")</f>
        <v/>
      </c>
      <c r="AD341" s="15" t="str">
        <f aca="false">IF(AND(ISNUMBER(P341),ISNUMBER(Q341)),Q341-P341,"")</f>
        <v/>
      </c>
      <c r="AE341" s="15" t="str">
        <f aca="false">IF(AND(ISNUMBER(Q341),ISNUMBER(R341)),R341-Q341,IF(ISNUMBER(Y341),Y341,""))</f>
        <v/>
      </c>
      <c r="AF341" s="15" t="str">
        <f aca="false">IF(AND(ISNUMBER(R341),ISNUMBER(S341)),S341-R341,"")</f>
        <v/>
      </c>
      <c r="AG341" s="15" t="str">
        <f aca="false">IF(AND(ISNUMBER(S341),ISNUMBER(T341)),T341-S341,"")</f>
        <v/>
      </c>
      <c r="AH341" s="15" t="str">
        <f aca="false">IF(AND(ISNUMBER(L341),ISNUMBER(T341)),T341-L341,"")</f>
        <v/>
      </c>
      <c r="AI341" s="15" t="str">
        <f aca="false">IF(AND(ISNUMBER(O341),ISNUMBER(Q341)),Q341-O341,"")</f>
        <v/>
      </c>
      <c r="AJ341" s="15" t="str">
        <f aca="false">IF(B341="","",COUNT(L341:M341,P341:T341)&amp;"/7")</f>
        <v/>
      </c>
      <c r="AK341" s="15" t="str">
        <f aca="false">IF(B341="","",IF(OR(AND(ISNUMBER(L341),ISNUMBER(M341),M341&lt;L341),AND(ISNUMBER(M341),ISNUMBER(P341),P341&lt;M341),AND(ISNUMBER(P341),ISNUMBER(Q341),Q341&lt;P341),AND(ISNUMBER(Q341),ISNUMBER(R341),R341&lt;Q341),AND(ISNUMBER(R341),ISNUMBER(S341),S341&lt;R341),AND(ISNUMBER(S341),ISNUMBER(T341),T341&lt;S341),AND(ISNUMBER(N341),ISNUMBER(O341),O341&lt;N341)),"Urutan tanggal salah",IF(AND(ISNUMBER(Q341),ISNUMBER(R341),ISNUMBER(Y341),ABS(R341-Q341-Y341)&gt;2),"S tanggal ≠ Sailing tercatat",IF(AND(ISNUMBER(Q341),ISNUMBER(O341),ABS(Q341-O341)&gt;60),"Cek tahun laycan",IF(AND(ISNUMBER(Q341),ISNUMBER(N341),Q341&lt;N341),"Berangkat sebelum laycan",IF(NOT(ISNUMBER(AE341)),"S belum ada","OK"))))))</f>
        <v/>
      </c>
    </row>
    <row r="342" customFormat="false" ht="15" hidden="false" customHeight="false" outlineLevel="0" collapsed="false">
      <c r="A342" s="16" t="str">
        <f aca="false">IF(B342="","",ROW()-4)</f>
        <v/>
      </c>
      <c r="B342" s="12"/>
      <c r="C342" s="16"/>
      <c r="D342" s="16"/>
      <c r="E342" s="16"/>
      <c r="F342" s="16"/>
      <c r="G342" s="16"/>
      <c r="H342" s="16"/>
      <c r="I342" s="16"/>
      <c r="J342" s="16"/>
      <c r="K342" s="16"/>
      <c r="L342" s="13"/>
      <c r="M342" s="13"/>
      <c r="N342" s="13"/>
      <c r="O342" s="13"/>
      <c r="P342" s="13"/>
      <c r="Q342" s="13"/>
      <c r="R342" s="13"/>
      <c r="S342" s="13"/>
      <c r="T342" s="13"/>
      <c r="U342" s="12"/>
      <c r="V342" s="14"/>
      <c r="W342" s="16"/>
      <c r="X342" s="16"/>
      <c r="Y342" s="16"/>
      <c r="Z342" s="16"/>
      <c r="AA342" s="15" t="str">
        <f aca="false">IF(AND(ISNUMBER(L342),ISNUMBER(M342)),M342-L342,"")</f>
        <v/>
      </c>
      <c r="AB342" s="15" t="str">
        <f aca="false">IF(AND(ISNUMBER(M342),ISNUMBER(P342)),P342-M342,"")</f>
        <v/>
      </c>
      <c r="AC342" s="15" t="str">
        <f aca="false">IF(AND(ISNUMBER(L342),ISNUMBER(P342)),P342-L342,"")</f>
        <v/>
      </c>
      <c r="AD342" s="15" t="str">
        <f aca="false">IF(AND(ISNUMBER(P342),ISNUMBER(Q342)),Q342-P342,"")</f>
        <v/>
      </c>
      <c r="AE342" s="15" t="str">
        <f aca="false">IF(AND(ISNUMBER(Q342),ISNUMBER(R342)),R342-Q342,IF(ISNUMBER(Y342),Y342,""))</f>
        <v/>
      </c>
      <c r="AF342" s="15" t="str">
        <f aca="false">IF(AND(ISNUMBER(R342),ISNUMBER(S342)),S342-R342,"")</f>
        <v/>
      </c>
      <c r="AG342" s="15" t="str">
        <f aca="false">IF(AND(ISNUMBER(S342),ISNUMBER(T342)),T342-S342,"")</f>
        <v/>
      </c>
      <c r="AH342" s="15" t="str">
        <f aca="false">IF(AND(ISNUMBER(L342),ISNUMBER(T342)),T342-L342,"")</f>
        <v/>
      </c>
      <c r="AI342" s="15" t="str">
        <f aca="false">IF(AND(ISNUMBER(O342),ISNUMBER(Q342)),Q342-O342,"")</f>
        <v/>
      </c>
      <c r="AJ342" s="15" t="str">
        <f aca="false">IF(B342="","",COUNT(L342:M342,P342:T342)&amp;"/7")</f>
        <v/>
      </c>
      <c r="AK342" s="15" t="str">
        <f aca="false">IF(B342="","",IF(OR(AND(ISNUMBER(L342),ISNUMBER(M342),M342&lt;L342),AND(ISNUMBER(M342),ISNUMBER(P342),P342&lt;M342),AND(ISNUMBER(P342),ISNUMBER(Q342),Q342&lt;P342),AND(ISNUMBER(Q342),ISNUMBER(R342),R342&lt;Q342),AND(ISNUMBER(R342),ISNUMBER(S342),S342&lt;R342),AND(ISNUMBER(S342),ISNUMBER(T342),T342&lt;S342),AND(ISNUMBER(N342),ISNUMBER(O342),O342&lt;N342)),"Urutan tanggal salah",IF(AND(ISNUMBER(Q342),ISNUMBER(R342),ISNUMBER(Y342),ABS(R342-Q342-Y342)&gt;2),"S tanggal ≠ Sailing tercatat",IF(AND(ISNUMBER(Q342),ISNUMBER(O342),ABS(Q342-O342)&gt;60),"Cek tahun laycan",IF(AND(ISNUMBER(Q342),ISNUMBER(N342),Q342&lt;N342),"Berangkat sebelum laycan",IF(NOT(ISNUMBER(AE342)),"S belum ada","OK"))))))</f>
        <v/>
      </c>
    </row>
    <row r="343" customFormat="false" ht="15" hidden="false" customHeight="false" outlineLevel="0" collapsed="false">
      <c r="A343" s="16" t="str">
        <f aca="false">IF(B343="","",ROW()-4)</f>
        <v/>
      </c>
      <c r="B343" s="12"/>
      <c r="C343" s="16"/>
      <c r="D343" s="16"/>
      <c r="E343" s="16"/>
      <c r="F343" s="16"/>
      <c r="G343" s="16"/>
      <c r="H343" s="16"/>
      <c r="I343" s="16"/>
      <c r="J343" s="16"/>
      <c r="K343" s="16"/>
      <c r="L343" s="13"/>
      <c r="M343" s="13"/>
      <c r="N343" s="13"/>
      <c r="O343" s="13"/>
      <c r="P343" s="13"/>
      <c r="Q343" s="13"/>
      <c r="R343" s="13"/>
      <c r="S343" s="13"/>
      <c r="T343" s="13"/>
      <c r="U343" s="12"/>
      <c r="V343" s="14"/>
      <c r="W343" s="16"/>
      <c r="X343" s="16"/>
      <c r="Y343" s="16"/>
      <c r="Z343" s="16"/>
      <c r="AA343" s="15" t="str">
        <f aca="false">IF(AND(ISNUMBER(L343),ISNUMBER(M343)),M343-L343,"")</f>
        <v/>
      </c>
      <c r="AB343" s="15" t="str">
        <f aca="false">IF(AND(ISNUMBER(M343),ISNUMBER(P343)),P343-M343,"")</f>
        <v/>
      </c>
      <c r="AC343" s="15" t="str">
        <f aca="false">IF(AND(ISNUMBER(L343),ISNUMBER(P343)),P343-L343,"")</f>
        <v/>
      </c>
      <c r="AD343" s="15" t="str">
        <f aca="false">IF(AND(ISNUMBER(P343),ISNUMBER(Q343)),Q343-P343,"")</f>
        <v/>
      </c>
      <c r="AE343" s="15" t="str">
        <f aca="false">IF(AND(ISNUMBER(Q343),ISNUMBER(R343)),R343-Q343,IF(ISNUMBER(Y343),Y343,""))</f>
        <v/>
      </c>
      <c r="AF343" s="15" t="str">
        <f aca="false">IF(AND(ISNUMBER(R343),ISNUMBER(S343)),S343-R343,"")</f>
        <v/>
      </c>
      <c r="AG343" s="15" t="str">
        <f aca="false">IF(AND(ISNUMBER(S343),ISNUMBER(T343)),T343-S343,"")</f>
        <v/>
      </c>
      <c r="AH343" s="15" t="str">
        <f aca="false">IF(AND(ISNUMBER(L343),ISNUMBER(T343)),T343-L343,"")</f>
        <v/>
      </c>
      <c r="AI343" s="15" t="str">
        <f aca="false">IF(AND(ISNUMBER(O343),ISNUMBER(Q343)),Q343-O343,"")</f>
        <v/>
      </c>
      <c r="AJ343" s="15" t="str">
        <f aca="false">IF(B343="","",COUNT(L343:M343,P343:T343)&amp;"/7")</f>
        <v/>
      </c>
      <c r="AK343" s="15" t="str">
        <f aca="false">IF(B343="","",IF(OR(AND(ISNUMBER(L343),ISNUMBER(M343),M343&lt;L343),AND(ISNUMBER(M343),ISNUMBER(P343),P343&lt;M343),AND(ISNUMBER(P343),ISNUMBER(Q343),Q343&lt;P343),AND(ISNUMBER(Q343),ISNUMBER(R343),R343&lt;Q343),AND(ISNUMBER(R343),ISNUMBER(S343),S343&lt;R343),AND(ISNUMBER(S343),ISNUMBER(T343),T343&lt;S343),AND(ISNUMBER(N343),ISNUMBER(O343),O343&lt;N343)),"Urutan tanggal salah",IF(AND(ISNUMBER(Q343),ISNUMBER(R343),ISNUMBER(Y343),ABS(R343-Q343-Y343)&gt;2),"S tanggal ≠ Sailing tercatat",IF(AND(ISNUMBER(Q343),ISNUMBER(O343),ABS(Q343-O343)&gt;60),"Cek tahun laycan",IF(AND(ISNUMBER(Q343),ISNUMBER(N343),Q343&lt;N343),"Berangkat sebelum laycan",IF(NOT(ISNUMBER(AE343)),"S belum ada","OK"))))))</f>
        <v/>
      </c>
    </row>
    <row r="344" customFormat="false" ht="15" hidden="false" customHeight="false" outlineLevel="0" collapsed="false">
      <c r="A344" s="16" t="str">
        <f aca="false">IF(B344="","",ROW()-4)</f>
        <v/>
      </c>
      <c r="B344" s="12"/>
      <c r="C344" s="16"/>
      <c r="D344" s="16"/>
      <c r="E344" s="16"/>
      <c r="F344" s="16"/>
      <c r="G344" s="16"/>
      <c r="H344" s="16"/>
      <c r="I344" s="16"/>
      <c r="J344" s="16"/>
      <c r="K344" s="16"/>
      <c r="L344" s="13"/>
      <c r="M344" s="13"/>
      <c r="N344" s="13"/>
      <c r="O344" s="13"/>
      <c r="P344" s="13"/>
      <c r="Q344" s="13"/>
      <c r="R344" s="13"/>
      <c r="S344" s="13"/>
      <c r="T344" s="13"/>
      <c r="U344" s="12"/>
      <c r="V344" s="14"/>
      <c r="W344" s="16"/>
      <c r="X344" s="16"/>
      <c r="Y344" s="16"/>
      <c r="Z344" s="16"/>
      <c r="AA344" s="15" t="str">
        <f aca="false">IF(AND(ISNUMBER(L344),ISNUMBER(M344)),M344-L344,"")</f>
        <v/>
      </c>
      <c r="AB344" s="15" t="str">
        <f aca="false">IF(AND(ISNUMBER(M344),ISNUMBER(P344)),P344-M344,"")</f>
        <v/>
      </c>
      <c r="AC344" s="15" t="str">
        <f aca="false">IF(AND(ISNUMBER(L344),ISNUMBER(P344)),P344-L344,"")</f>
        <v/>
      </c>
      <c r="AD344" s="15" t="str">
        <f aca="false">IF(AND(ISNUMBER(P344),ISNUMBER(Q344)),Q344-P344,"")</f>
        <v/>
      </c>
      <c r="AE344" s="15" t="str">
        <f aca="false">IF(AND(ISNUMBER(Q344),ISNUMBER(R344)),R344-Q344,IF(ISNUMBER(Y344),Y344,""))</f>
        <v/>
      </c>
      <c r="AF344" s="15" t="str">
        <f aca="false">IF(AND(ISNUMBER(R344),ISNUMBER(S344)),S344-R344,"")</f>
        <v/>
      </c>
      <c r="AG344" s="15" t="str">
        <f aca="false">IF(AND(ISNUMBER(S344),ISNUMBER(T344)),T344-S344,"")</f>
        <v/>
      </c>
      <c r="AH344" s="15" t="str">
        <f aca="false">IF(AND(ISNUMBER(L344),ISNUMBER(T344)),T344-L344,"")</f>
        <v/>
      </c>
      <c r="AI344" s="15" t="str">
        <f aca="false">IF(AND(ISNUMBER(O344),ISNUMBER(Q344)),Q344-O344,"")</f>
        <v/>
      </c>
      <c r="AJ344" s="15" t="str">
        <f aca="false">IF(B344="","",COUNT(L344:M344,P344:T344)&amp;"/7")</f>
        <v/>
      </c>
      <c r="AK344" s="15" t="str">
        <f aca="false">IF(B344="","",IF(OR(AND(ISNUMBER(L344),ISNUMBER(M344),M344&lt;L344),AND(ISNUMBER(M344),ISNUMBER(P344),P344&lt;M344),AND(ISNUMBER(P344),ISNUMBER(Q344),Q344&lt;P344),AND(ISNUMBER(Q344),ISNUMBER(R344),R344&lt;Q344),AND(ISNUMBER(R344),ISNUMBER(S344),S344&lt;R344),AND(ISNUMBER(S344),ISNUMBER(T344),T344&lt;S344),AND(ISNUMBER(N344),ISNUMBER(O344),O344&lt;N344)),"Urutan tanggal salah",IF(AND(ISNUMBER(Q344),ISNUMBER(R344),ISNUMBER(Y344),ABS(R344-Q344-Y344)&gt;2),"S tanggal ≠ Sailing tercatat",IF(AND(ISNUMBER(Q344),ISNUMBER(O344),ABS(Q344-O344)&gt;60),"Cek tahun laycan",IF(AND(ISNUMBER(Q344),ISNUMBER(N344),Q344&lt;N344),"Berangkat sebelum laycan",IF(NOT(ISNUMBER(AE344)),"S belum ada","OK"))))))</f>
        <v/>
      </c>
    </row>
    <row r="345" customFormat="false" ht="15" hidden="false" customHeight="false" outlineLevel="0" collapsed="false">
      <c r="A345" s="16" t="str">
        <f aca="false">IF(B345="","",ROW()-4)</f>
        <v/>
      </c>
      <c r="B345" s="12"/>
      <c r="C345" s="16"/>
      <c r="D345" s="16"/>
      <c r="E345" s="16"/>
      <c r="F345" s="16"/>
      <c r="G345" s="16"/>
      <c r="H345" s="16"/>
      <c r="I345" s="16"/>
      <c r="J345" s="16"/>
      <c r="K345" s="16"/>
      <c r="L345" s="13"/>
      <c r="M345" s="13"/>
      <c r="N345" s="13"/>
      <c r="O345" s="13"/>
      <c r="P345" s="13"/>
      <c r="Q345" s="13"/>
      <c r="R345" s="13"/>
      <c r="S345" s="13"/>
      <c r="T345" s="13"/>
      <c r="U345" s="12"/>
      <c r="V345" s="14"/>
      <c r="W345" s="16"/>
      <c r="X345" s="16"/>
      <c r="Y345" s="16"/>
      <c r="Z345" s="16"/>
      <c r="AA345" s="15" t="str">
        <f aca="false">IF(AND(ISNUMBER(L345),ISNUMBER(M345)),M345-L345,"")</f>
        <v/>
      </c>
      <c r="AB345" s="15" t="str">
        <f aca="false">IF(AND(ISNUMBER(M345),ISNUMBER(P345)),P345-M345,"")</f>
        <v/>
      </c>
      <c r="AC345" s="15" t="str">
        <f aca="false">IF(AND(ISNUMBER(L345),ISNUMBER(P345)),P345-L345,"")</f>
        <v/>
      </c>
      <c r="AD345" s="15" t="str">
        <f aca="false">IF(AND(ISNUMBER(P345),ISNUMBER(Q345)),Q345-P345,"")</f>
        <v/>
      </c>
      <c r="AE345" s="15" t="str">
        <f aca="false">IF(AND(ISNUMBER(Q345),ISNUMBER(R345)),R345-Q345,IF(ISNUMBER(Y345),Y345,""))</f>
        <v/>
      </c>
      <c r="AF345" s="15" t="str">
        <f aca="false">IF(AND(ISNUMBER(R345),ISNUMBER(S345)),S345-R345,"")</f>
        <v/>
      </c>
      <c r="AG345" s="15" t="str">
        <f aca="false">IF(AND(ISNUMBER(S345),ISNUMBER(T345)),T345-S345,"")</f>
        <v/>
      </c>
      <c r="AH345" s="15" t="str">
        <f aca="false">IF(AND(ISNUMBER(L345),ISNUMBER(T345)),T345-L345,"")</f>
        <v/>
      </c>
      <c r="AI345" s="15" t="str">
        <f aca="false">IF(AND(ISNUMBER(O345),ISNUMBER(Q345)),Q345-O345,"")</f>
        <v/>
      </c>
      <c r="AJ345" s="15" t="str">
        <f aca="false">IF(B345="","",COUNT(L345:M345,P345:T345)&amp;"/7")</f>
        <v/>
      </c>
      <c r="AK345" s="15" t="str">
        <f aca="false">IF(B345="","",IF(OR(AND(ISNUMBER(L345),ISNUMBER(M345),M345&lt;L345),AND(ISNUMBER(M345),ISNUMBER(P345),P345&lt;M345),AND(ISNUMBER(P345),ISNUMBER(Q345),Q345&lt;P345),AND(ISNUMBER(Q345),ISNUMBER(R345),R345&lt;Q345),AND(ISNUMBER(R345),ISNUMBER(S345),S345&lt;R345),AND(ISNUMBER(S345),ISNUMBER(T345),T345&lt;S345),AND(ISNUMBER(N345),ISNUMBER(O345),O345&lt;N345)),"Urutan tanggal salah",IF(AND(ISNUMBER(Q345),ISNUMBER(R345),ISNUMBER(Y345),ABS(R345-Q345-Y345)&gt;2),"S tanggal ≠ Sailing tercatat",IF(AND(ISNUMBER(Q345),ISNUMBER(O345),ABS(Q345-O345)&gt;60),"Cek tahun laycan",IF(AND(ISNUMBER(Q345),ISNUMBER(N345),Q345&lt;N345),"Berangkat sebelum laycan",IF(NOT(ISNUMBER(AE345)),"S belum ada","OK"))))))</f>
        <v/>
      </c>
    </row>
    <row r="346" customFormat="false" ht="15" hidden="false" customHeight="false" outlineLevel="0" collapsed="false">
      <c r="A346" s="16" t="str">
        <f aca="false">IF(B346="","",ROW()-4)</f>
        <v/>
      </c>
      <c r="B346" s="12"/>
      <c r="C346" s="16"/>
      <c r="D346" s="16"/>
      <c r="E346" s="16"/>
      <c r="F346" s="16"/>
      <c r="G346" s="16"/>
      <c r="H346" s="16"/>
      <c r="I346" s="16"/>
      <c r="J346" s="16"/>
      <c r="K346" s="16"/>
      <c r="L346" s="13"/>
      <c r="M346" s="13"/>
      <c r="N346" s="13"/>
      <c r="O346" s="13"/>
      <c r="P346" s="13"/>
      <c r="Q346" s="13"/>
      <c r="R346" s="13"/>
      <c r="S346" s="13"/>
      <c r="T346" s="13"/>
      <c r="U346" s="12"/>
      <c r="V346" s="14"/>
      <c r="W346" s="16"/>
      <c r="X346" s="16"/>
      <c r="Y346" s="16"/>
      <c r="Z346" s="16"/>
      <c r="AA346" s="15" t="str">
        <f aca="false">IF(AND(ISNUMBER(L346),ISNUMBER(M346)),M346-L346,"")</f>
        <v/>
      </c>
      <c r="AB346" s="15" t="str">
        <f aca="false">IF(AND(ISNUMBER(M346),ISNUMBER(P346)),P346-M346,"")</f>
        <v/>
      </c>
      <c r="AC346" s="15" t="str">
        <f aca="false">IF(AND(ISNUMBER(L346),ISNUMBER(P346)),P346-L346,"")</f>
        <v/>
      </c>
      <c r="AD346" s="15" t="str">
        <f aca="false">IF(AND(ISNUMBER(P346),ISNUMBER(Q346)),Q346-P346,"")</f>
        <v/>
      </c>
      <c r="AE346" s="15" t="str">
        <f aca="false">IF(AND(ISNUMBER(Q346),ISNUMBER(R346)),R346-Q346,IF(ISNUMBER(Y346),Y346,""))</f>
        <v/>
      </c>
      <c r="AF346" s="15" t="str">
        <f aca="false">IF(AND(ISNUMBER(R346),ISNUMBER(S346)),S346-R346,"")</f>
        <v/>
      </c>
      <c r="AG346" s="15" t="str">
        <f aca="false">IF(AND(ISNUMBER(S346),ISNUMBER(T346)),T346-S346,"")</f>
        <v/>
      </c>
      <c r="AH346" s="15" t="str">
        <f aca="false">IF(AND(ISNUMBER(L346),ISNUMBER(T346)),T346-L346,"")</f>
        <v/>
      </c>
      <c r="AI346" s="15" t="str">
        <f aca="false">IF(AND(ISNUMBER(O346),ISNUMBER(Q346)),Q346-O346,"")</f>
        <v/>
      </c>
      <c r="AJ346" s="15" t="str">
        <f aca="false">IF(B346="","",COUNT(L346:M346,P346:T346)&amp;"/7")</f>
        <v/>
      </c>
      <c r="AK346" s="15" t="str">
        <f aca="false">IF(B346="","",IF(OR(AND(ISNUMBER(L346),ISNUMBER(M346),M346&lt;L346),AND(ISNUMBER(M346),ISNUMBER(P346),P346&lt;M346),AND(ISNUMBER(P346),ISNUMBER(Q346),Q346&lt;P346),AND(ISNUMBER(Q346),ISNUMBER(R346),R346&lt;Q346),AND(ISNUMBER(R346),ISNUMBER(S346),S346&lt;R346),AND(ISNUMBER(S346),ISNUMBER(T346),T346&lt;S346),AND(ISNUMBER(N346),ISNUMBER(O346),O346&lt;N346)),"Urutan tanggal salah",IF(AND(ISNUMBER(Q346),ISNUMBER(R346),ISNUMBER(Y346),ABS(R346-Q346-Y346)&gt;2),"S tanggal ≠ Sailing tercatat",IF(AND(ISNUMBER(Q346),ISNUMBER(O346),ABS(Q346-O346)&gt;60),"Cek tahun laycan",IF(AND(ISNUMBER(Q346),ISNUMBER(N346),Q346&lt;N346),"Berangkat sebelum laycan",IF(NOT(ISNUMBER(AE346)),"S belum ada","OK"))))))</f>
        <v/>
      </c>
    </row>
    <row r="347" customFormat="false" ht="15" hidden="false" customHeight="false" outlineLevel="0" collapsed="false">
      <c r="A347" s="16" t="str">
        <f aca="false">IF(B347="","",ROW()-4)</f>
        <v/>
      </c>
      <c r="B347" s="12"/>
      <c r="C347" s="16"/>
      <c r="D347" s="16"/>
      <c r="E347" s="16"/>
      <c r="F347" s="16"/>
      <c r="G347" s="16"/>
      <c r="H347" s="16"/>
      <c r="I347" s="16"/>
      <c r="J347" s="16"/>
      <c r="K347" s="16"/>
      <c r="L347" s="13"/>
      <c r="M347" s="13"/>
      <c r="N347" s="13"/>
      <c r="O347" s="13"/>
      <c r="P347" s="13"/>
      <c r="Q347" s="13"/>
      <c r="R347" s="13"/>
      <c r="S347" s="13"/>
      <c r="T347" s="13"/>
      <c r="U347" s="12"/>
      <c r="V347" s="14"/>
      <c r="W347" s="16"/>
      <c r="X347" s="16"/>
      <c r="Y347" s="16"/>
      <c r="Z347" s="16"/>
      <c r="AA347" s="15" t="str">
        <f aca="false">IF(AND(ISNUMBER(L347),ISNUMBER(M347)),M347-L347,"")</f>
        <v/>
      </c>
      <c r="AB347" s="15" t="str">
        <f aca="false">IF(AND(ISNUMBER(M347),ISNUMBER(P347)),P347-M347,"")</f>
        <v/>
      </c>
      <c r="AC347" s="15" t="str">
        <f aca="false">IF(AND(ISNUMBER(L347),ISNUMBER(P347)),P347-L347,"")</f>
        <v/>
      </c>
      <c r="AD347" s="15" t="str">
        <f aca="false">IF(AND(ISNUMBER(P347),ISNUMBER(Q347)),Q347-P347,"")</f>
        <v/>
      </c>
      <c r="AE347" s="15" t="str">
        <f aca="false">IF(AND(ISNUMBER(Q347),ISNUMBER(R347)),R347-Q347,IF(ISNUMBER(Y347),Y347,""))</f>
        <v/>
      </c>
      <c r="AF347" s="15" t="str">
        <f aca="false">IF(AND(ISNUMBER(R347),ISNUMBER(S347)),S347-R347,"")</f>
        <v/>
      </c>
      <c r="AG347" s="15" t="str">
        <f aca="false">IF(AND(ISNUMBER(S347),ISNUMBER(T347)),T347-S347,"")</f>
        <v/>
      </c>
      <c r="AH347" s="15" t="str">
        <f aca="false">IF(AND(ISNUMBER(L347),ISNUMBER(T347)),T347-L347,"")</f>
        <v/>
      </c>
      <c r="AI347" s="15" t="str">
        <f aca="false">IF(AND(ISNUMBER(O347),ISNUMBER(Q347)),Q347-O347,"")</f>
        <v/>
      </c>
      <c r="AJ347" s="15" t="str">
        <f aca="false">IF(B347="","",COUNT(L347:M347,P347:T347)&amp;"/7")</f>
        <v/>
      </c>
      <c r="AK347" s="15" t="str">
        <f aca="false">IF(B347="","",IF(OR(AND(ISNUMBER(L347),ISNUMBER(M347),M347&lt;L347),AND(ISNUMBER(M347),ISNUMBER(P347),P347&lt;M347),AND(ISNUMBER(P347),ISNUMBER(Q347),Q347&lt;P347),AND(ISNUMBER(Q347),ISNUMBER(R347),R347&lt;Q347),AND(ISNUMBER(R347),ISNUMBER(S347),S347&lt;R347),AND(ISNUMBER(S347),ISNUMBER(T347),T347&lt;S347),AND(ISNUMBER(N347),ISNUMBER(O347),O347&lt;N347)),"Urutan tanggal salah",IF(AND(ISNUMBER(Q347),ISNUMBER(R347),ISNUMBER(Y347),ABS(R347-Q347-Y347)&gt;2),"S tanggal ≠ Sailing tercatat",IF(AND(ISNUMBER(Q347),ISNUMBER(O347),ABS(Q347-O347)&gt;60),"Cek tahun laycan",IF(AND(ISNUMBER(Q347),ISNUMBER(N347),Q347&lt;N347),"Berangkat sebelum laycan",IF(NOT(ISNUMBER(AE347)),"S belum ada","OK"))))))</f>
        <v/>
      </c>
    </row>
    <row r="348" customFormat="false" ht="15" hidden="false" customHeight="false" outlineLevel="0" collapsed="false">
      <c r="A348" s="16" t="str">
        <f aca="false">IF(B348="","",ROW()-4)</f>
        <v/>
      </c>
      <c r="B348" s="12"/>
      <c r="C348" s="16"/>
      <c r="D348" s="16"/>
      <c r="E348" s="16"/>
      <c r="F348" s="16"/>
      <c r="G348" s="16"/>
      <c r="H348" s="16"/>
      <c r="I348" s="16"/>
      <c r="J348" s="16"/>
      <c r="K348" s="16"/>
      <c r="L348" s="13"/>
      <c r="M348" s="13"/>
      <c r="N348" s="13"/>
      <c r="O348" s="13"/>
      <c r="P348" s="13"/>
      <c r="Q348" s="13"/>
      <c r="R348" s="13"/>
      <c r="S348" s="13"/>
      <c r="T348" s="13"/>
      <c r="U348" s="12"/>
      <c r="V348" s="14"/>
      <c r="W348" s="16"/>
      <c r="X348" s="16"/>
      <c r="Y348" s="16"/>
      <c r="Z348" s="16"/>
      <c r="AA348" s="15" t="str">
        <f aca="false">IF(AND(ISNUMBER(L348),ISNUMBER(M348)),M348-L348,"")</f>
        <v/>
      </c>
      <c r="AB348" s="15" t="str">
        <f aca="false">IF(AND(ISNUMBER(M348),ISNUMBER(P348)),P348-M348,"")</f>
        <v/>
      </c>
      <c r="AC348" s="15" t="str">
        <f aca="false">IF(AND(ISNUMBER(L348),ISNUMBER(P348)),P348-L348,"")</f>
        <v/>
      </c>
      <c r="AD348" s="15" t="str">
        <f aca="false">IF(AND(ISNUMBER(P348),ISNUMBER(Q348)),Q348-P348,"")</f>
        <v/>
      </c>
      <c r="AE348" s="15" t="str">
        <f aca="false">IF(AND(ISNUMBER(Q348),ISNUMBER(R348)),R348-Q348,IF(ISNUMBER(Y348),Y348,""))</f>
        <v/>
      </c>
      <c r="AF348" s="15" t="str">
        <f aca="false">IF(AND(ISNUMBER(R348),ISNUMBER(S348)),S348-R348,"")</f>
        <v/>
      </c>
      <c r="AG348" s="15" t="str">
        <f aca="false">IF(AND(ISNUMBER(S348),ISNUMBER(T348)),T348-S348,"")</f>
        <v/>
      </c>
      <c r="AH348" s="15" t="str">
        <f aca="false">IF(AND(ISNUMBER(L348),ISNUMBER(T348)),T348-L348,"")</f>
        <v/>
      </c>
      <c r="AI348" s="15" t="str">
        <f aca="false">IF(AND(ISNUMBER(O348),ISNUMBER(Q348)),Q348-O348,"")</f>
        <v/>
      </c>
      <c r="AJ348" s="15" t="str">
        <f aca="false">IF(B348="","",COUNT(L348:M348,P348:T348)&amp;"/7")</f>
        <v/>
      </c>
      <c r="AK348" s="15" t="str">
        <f aca="false">IF(B348="","",IF(OR(AND(ISNUMBER(L348),ISNUMBER(M348),M348&lt;L348),AND(ISNUMBER(M348),ISNUMBER(P348),P348&lt;M348),AND(ISNUMBER(P348),ISNUMBER(Q348),Q348&lt;P348),AND(ISNUMBER(Q348),ISNUMBER(R348),R348&lt;Q348),AND(ISNUMBER(R348),ISNUMBER(S348),S348&lt;R348),AND(ISNUMBER(S348),ISNUMBER(T348),T348&lt;S348),AND(ISNUMBER(N348),ISNUMBER(O348),O348&lt;N348)),"Urutan tanggal salah",IF(AND(ISNUMBER(Q348),ISNUMBER(R348),ISNUMBER(Y348),ABS(R348-Q348-Y348)&gt;2),"S tanggal ≠ Sailing tercatat",IF(AND(ISNUMBER(Q348),ISNUMBER(O348),ABS(Q348-O348)&gt;60),"Cek tahun laycan",IF(AND(ISNUMBER(Q348),ISNUMBER(N348),Q348&lt;N348),"Berangkat sebelum laycan",IF(NOT(ISNUMBER(AE348)),"S belum ada","OK"))))))</f>
        <v/>
      </c>
    </row>
    <row r="349" customFormat="false" ht="15" hidden="false" customHeight="false" outlineLevel="0" collapsed="false">
      <c r="A349" s="16" t="str">
        <f aca="false">IF(B349="","",ROW()-4)</f>
        <v/>
      </c>
      <c r="B349" s="12"/>
      <c r="C349" s="16"/>
      <c r="D349" s="16"/>
      <c r="E349" s="16"/>
      <c r="F349" s="16"/>
      <c r="G349" s="16"/>
      <c r="H349" s="16"/>
      <c r="I349" s="16"/>
      <c r="J349" s="16"/>
      <c r="K349" s="16"/>
      <c r="L349" s="13"/>
      <c r="M349" s="13"/>
      <c r="N349" s="13"/>
      <c r="O349" s="13"/>
      <c r="P349" s="13"/>
      <c r="Q349" s="13"/>
      <c r="R349" s="13"/>
      <c r="S349" s="13"/>
      <c r="T349" s="13"/>
      <c r="U349" s="12"/>
      <c r="V349" s="14"/>
      <c r="W349" s="16"/>
      <c r="X349" s="16"/>
      <c r="Y349" s="16"/>
      <c r="Z349" s="16"/>
      <c r="AA349" s="15" t="str">
        <f aca="false">IF(AND(ISNUMBER(L349),ISNUMBER(M349)),M349-L349,"")</f>
        <v/>
      </c>
      <c r="AB349" s="15" t="str">
        <f aca="false">IF(AND(ISNUMBER(M349),ISNUMBER(P349)),P349-M349,"")</f>
        <v/>
      </c>
      <c r="AC349" s="15" t="str">
        <f aca="false">IF(AND(ISNUMBER(L349),ISNUMBER(P349)),P349-L349,"")</f>
        <v/>
      </c>
      <c r="AD349" s="15" t="str">
        <f aca="false">IF(AND(ISNUMBER(P349),ISNUMBER(Q349)),Q349-P349,"")</f>
        <v/>
      </c>
      <c r="AE349" s="15" t="str">
        <f aca="false">IF(AND(ISNUMBER(Q349),ISNUMBER(R349)),R349-Q349,IF(ISNUMBER(Y349),Y349,""))</f>
        <v/>
      </c>
      <c r="AF349" s="15" t="str">
        <f aca="false">IF(AND(ISNUMBER(R349),ISNUMBER(S349)),S349-R349,"")</f>
        <v/>
      </c>
      <c r="AG349" s="15" t="str">
        <f aca="false">IF(AND(ISNUMBER(S349),ISNUMBER(T349)),T349-S349,"")</f>
        <v/>
      </c>
      <c r="AH349" s="15" t="str">
        <f aca="false">IF(AND(ISNUMBER(L349),ISNUMBER(T349)),T349-L349,"")</f>
        <v/>
      </c>
      <c r="AI349" s="15" t="str">
        <f aca="false">IF(AND(ISNUMBER(O349),ISNUMBER(Q349)),Q349-O349,"")</f>
        <v/>
      </c>
      <c r="AJ349" s="15" t="str">
        <f aca="false">IF(B349="","",COUNT(L349:M349,P349:T349)&amp;"/7")</f>
        <v/>
      </c>
      <c r="AK349" s="15" t="str">
        <f aca="false">IF(B349="","",IF(OR(AND(ISNUMBER(L349),ISNUMBER(M349),M349&lt;L349),AND(ISNUMBER(M349),ISNUMBER(P349),P349&lt;M349),AND(ISNUMBER(P349),ISNUMBER(Q349),Q349&lt;P349),AND(ISNUMBER(Q349),ISNUMBER(R349),R349&lt;Q349),AND(ISNUMBER(R349),ISNUMBER(S349),S349&lt;R349),AND(ISNUMBER(S349),ISNUMBER(T349),T349&lt;S349),AND(ISNUMBER(N349),ISNUMBER(O349),O349&lt;N349)),"Urutan tanggal salah",IF(AND(ISNUMBER(Q349),ISNUMBER(R349),ISNUMBER(Y349),ABS(R349-Q349-Y349)&gt;2),"S tanggal ≠ Sailing tercatat",IF(AND(ISNUMBER(Q349),ISNUMBER(O349),ABS(Q349-O349)&gt;60),"Cek tahun laycan",IF(AND(ISNUMBER(Q349),ISNUMBER(N349),Q349&lt;N349),"Berangkat sebelum laycan",IF(NOT(ISNUMBER(AE349)),"S belum ada","OK"))))))</f>
        <v/>
      </c>
    </row>
    <row r="350" customFormat="false" ht="15" hidden="false" customHeight="false" outlineLevel="0" collapsed="false">
      <c r="A350" s="16" t="str">
        <f aca="false">IF(B350="","",ROW()-4)</f>
        <v/>
      </c>
      <c r="B350" s="12"/>
      <c r="C350" s="16"/>
      <c r="D350" s="16"/>
      <c r="E350" s="16"/>
      <c r="F350" s="16"/>
      <c r="G350" s="16"/>
      <c r="H350" s="16"/>
      <c r="I350" s="16"/>
      <c r="J350" s="16"/>
      <c r="K350" s="16"/>
      <c r="L350" s="13"/>
      <c r="M350" s="13"/>
      <c r="N350" s="13"/>
      <c r="O350" s="13"/>
      <c r="P350" s="13"/>
      <c r="Q350" s="13"/>
      <c r="R350" s="13"/>
      <c r="S350" s="13"/>
      <c r="T350" s="13"/>
      <c r="U350" s="12"/>
      <c r="V350" s="14"/>
      <c r="W350" s="16"/>
      <c r="X350" s="16"/>
      <c r="Y350" s="16"/>
      <c r="Z350" s="16"/>
      <c r="AA350" s="15" t="str">
        <f aca="false">IF(AND(ISNUMBER(L350),ISNUMBER(M350)),M350-L350,"")</f>
        <v/>
      </c>
      <c r="AB350" s="15" t="str">
        <f aca="false">IF(AND(ISNUMBER(M350),ISNUMBER(P350)),P350-M350,"")</f>
        <v/>
      </c>
      <c r="AC350" s="15" t="str">
        <f aca="false">IF(AND(ISNUMBER(L350),ISNUMBER(P350)),P350-L350,"")</f>
        <v/>
      </c>
      <c r="AD350" s="15" t="str">
        <f aca="false">IF(AND(ISNUMBER(P350),ISNUMBER(Q350)),Q350-P350,"")</f>
        <v/>
      </c>
      <c r="AE350" s="15" t="str">
        <f aca="false">IF(AND(ISNUMBER(Q350),ISNUMBER(R350)),R350-Q350,IF(ISNUMBER(Y350),Y350,""))</f>
        <v/>
      </c>
      <c r="AF350" s="15" t="str">
        <f aca="false">IF(AND(ISNUMBER(R350),ISNUMBER(S350)),S350-R350,"")</f>
        <v/>
      </c>
      <c r="AG350" s="15" t="str">
        <f aca="false">IF(AND(ISNUMBER(S350),ISNUMBER(T350)),T350-S350,"")</f>
        <v/>
      </c>
      <c r="AH350" s="15" t="str">
        <f aca="false">IF(AND(ISNUMBER(L350),ISNUMBER(T350)),T350-L350,"")</f>
        <v/>
      </c>
      <c r="AI350" s="15" t="str">
        <f aca="false">IF(AND(ISNUMBER(O350),ISNUMBER(Q350)),Q350-O350,"")</f>
        <v/>
      </c>
      <c r="AJ350" s="15" t="str">
        <f aca="false">IF(B350="","",COUNT(L350:M350,P350:T350)&amp;"/7")</f>
        <v/>
      </c>
      <c r="AK350" s="15" t="str">
        <f aca="false">IF(B350="","",IF(OR(AND(ISNUMBER(L350),ISNUMBER(M350),M350&lt;L350),AND(ISNUMBER(M350),ISNUMBER(P350),P350&lt;M350),AND(ISNUMBER(P350),ISNUMBER(Q350),Q350&lt;P350),AND(ISNUMBER(Q350),ISNUMBER(R350),R350&lt;Q350),AND(ISNUMBER(R350),ISNUMBER(S350),S350&lt;R350),AND(ISNUMBER(S350),ISNUMBER(T350),T350&lt;S350),AND(ISNUMBER(N350),ISNUMBER(O350),O350&lt;N350)),"Urutan tanggal salah",IF(AND(ISNUMBER(Q350),ISNUMBER(R350),ISNUMBER(Y350),ABS(R350-Q350-Y350)&gt;2),"S tanggal ≠ Sailing tercatat",IF(AND(ISNUMBER(Q350),ISNUMBER(O350),ABS(Q350-O350)&gt;60),"Cek tahun laycan",IF(AND(ISNUMBER(Q350),ISNUMBER(N350),Q350&lt;N350),"Berangkat sebelum laycan",IF(NOT(ISNUMBER(AE350)),"S belum ada","OK"))))))</f>
        <v/>
      </c>
    </row>
    <row r="351" customFormat="false" ht="15" hidden="false" customHeight="false" outlineLevel="0" collapsed="false">
      <c r="A351" s="16" t="str">
        <f aca="false">IF(B351="","",ROW()-4)</f>
        <v/>
      </c>
      <c r="B351" s="12"/>
      <c r="C351" s="16"/>
      <c r="D351" s="16"/>
      <c r="E351" s="16"/>
      <c r="F351" s="16"/>
      <c r="G351" s="16"/>
      <c r="H351" s="16"/>
      <c r="I351" s="16"/>
      <c r="J351" s="16"/>
      <c r="K351" s="16"/>
      <c r="L351" s="13"/>
      <c r="M351" s="13"/>
      <c r="N351" s="13"/>
      <c r="O351" s="13"/>
      <c r="P351" s="13"/>
      <c r="Q351" s="13"/>
      <c r="R351" s="13"/>
      <c r="S351" s="13"/>
      <c r="T351" s="13"/>
      <c r="U351" s="12"/>
      <c r="V351" s="14"/>
      <c r="W351" s="16"/>
      <c r="X351" s="16"/>
      <c r="Y351" s="16"/>
      <c r="Z351" s="16"/>
      <c r="AA351" s="15" t="str">
        <f aca="false">IF(AND(ISNUMBER(L351),ISNUMBER(M351)),M351-L351,"")</f>
        <v/>
      </c>
      <c r="AB351" s="15" t="str">
        <f aca="false">IF(AND(ISNUMBER(M351),ISNUMBER(P351)),P351-M351,"")</f>
        <v/>
      </c>
      <c r="AC351" s="15" t="str">
        <f aca="false">IF(AND(ISNUMBER(L351),ISNUMBER(P351)),P351-L351,"")</f>
        <v/>
      </c>
      <c r="AD351" s="15" t="str">
        <f aca="false">IF(AND(ISNUMBER(P351),ISNUMBER(Q351)),Q351-P351,"")</f>
        <v/>
      </c>
      <c r="AE351" s="15" t="str">
        <f aca="false">IF(AND(ISNUMBER(Q351),ISNUMBER(R351)),R351-Q351,IF(ISNUMBER(Y351),Y351,""))</f>
        <v/>
      </c>
      <c r="AF351" s="15" t="str">
        <f aca="false">IF(AND(ISNUMBER(R351),ISNUMBER(S351)),S351-R351,"")</f>
        <v/>
      </c>
      <c r="AG351" s="15" t="str">
        <f aca="false">IF(AND(ISNUMBER(S351),ISNUMBER(T351)),T351-S351,"")</f>
        <v/>
      </c>
      <c r="AH351" s="15" t="str">
        <f aca="false">IF(AND(ISNUMBER(L351),ISNUMBER(T351)),T351-L351,"")</f>
        <v/>
      </c>
      <c r="AI351" s="15" t="str">
        <f aca="false">IF(AND(ISNUMBER(O351),ISNUMBER(Q351)),Q351-O351,"")</f>
        <v/>
      </c>
      <c r="AJ351" s="15" t="str">
        <f aca="false">IF(B351="","",COUNT(L351:M351,P351:T351)&amp;"/7")</f>
        <v/>
      </c>
      <c r="AK351" s="15" t="str">
        <f aca="false">IF(B351="","",IF(OR(AND(ISNUMBER(L351),ISNUMBER(M351),M351&lt;L351),AND(ISNUMBER(M351),ISNUMBER(P351),P351&lt;M351),AND(ISNUMBER(P351),ISNUMBER(Q351),Q351&lt;P351),AND(ISNUMBER(Q351),ISNUMBER(R351),R351&lt;Q351),AND(ISNUMBER(R351),ISNUMBER(S351),S351&lt;R351),AND(ISNUMBER(S351),ISNUMBER(T351),T351&lt;S351),AND(ISNUMBER(N351),ISNUMBER(O351),O351&lt;N351)),"Urutan tanggal salah",IF(AND(ISNUMBER(Q351),ISNUMBER(R351),ISNUMBER(Y351),ABS(R351-Q351-Y351)&gt;2),"S tanggal ≠ Sailing tercatat",IF(AND(ISNUMBER(Q351),ISNUMBER(O351),ABS(Q351-O351)&gt;60),"Cek tahun laycan",IF(AND(ISNUMBER(Q351),ISNUMBER(N351),Q351&lt;N351),"Berangkat sebelum laycan",IF(NOT(ISNUMBER(AE351)),"S belum ada","OK"))))))</f>
        <v/>
      </c>
    </row>
    <row r="352" customFormat="false" ht="15" hidden="false" customHeight="false" outlineLevel="0" collapsed="false">
      <c r="A352" s="16" t="str">
        <f aca="false">IF(B352="","",ROW()-4)</f>
        <v/>
      </c>
      <c r="B352" s="12"/>
      <c r="C352" s="16"/>
      <c r="D352" s="16"/>
      <c r="E352" s="16"/>
      <c r="F352" s="16"/>
      <c r="G352" s="16"/>
      <c r="H352" s="16"/>
      <c r="I352" s="16"/>
      <c r="J352" s="16"/>
      <c r="K352" s="16"/>
      <c r="L352" s="13"/>
      <c r="M352" s="13"/>
      <c r="N352" s="13"/>
      <c r="O352" s="13"/>
      <c r="P352" s="13"/>
      <c r="Q352" s="13"/>
      <c r="R352" s="13"/>
      <c r="S352" s="13"/>
      <c r="T352" s="13"/>
      <c r="U352" s="12"/>
      <c r="V352" s="14"/>
      <c r="W352" s="16"/>
      <c r="X352" s="16"/>
      <c r="Y352" s="16"/>
      <c r="Z352" s="16"/>
      <c r="AA352" s="15" t="str">
        <f aca="false">IF(AND(ISNUMBER(L352),ISNUMBER(M352)),M352-L352,"")</f>
        <v/>
      </c>
      <c r="AB352" s="15" t="str">
        <f aca="false">IF(AND(ISNUMBER(M352),ISNUMBER(P352)),P352-M352,"")</f>
        <v/>
      </c>
      <c r="AC352" s="15" t="str">
        <f aca="false">IF(AND(ISNUMBER(L352),ISNUMBER(P352)),P352-L352,"")</f>
        <v/>
      </c>
      <c r="AD352" s="15" t="str">
        <f aca="false">IF(AND(ISNUMBER(P352),ISNUMBER(Q352)),Q352-P352,"")</f>
        <v/>
      </c>
      <c r="AE352" s="15" t="str">
        <f aca="false">IF(AND(ISNUMBER(Q352),ISNUMBER(R352)),R352-Q352,IF(ISNUMBER(Y352),Y352,""))</f>
        <v/>
      </c>
      <c r="AF352" s="15" t="str">
        <f aca="false">IF(AND(ISNUMBER(R352),ISNUMBER(S352)),S352-R352,"")</f>
        <v/>
      </c>
      <c r="AG352" s="15" t="str">
        <f aca="false">IF(AND(ISNUMBER(S352),ISNUMBER(T352)),T352-S352,"")</f>
        <v/>
      </c>
      <c r="AH352" s="15" t="str">
        <f aca="false">IF(AND(ISNUMBER(L352),ISNUMBER(T352)),T352-L352,"")</f>
        <v/>
      </c>
      <c r="AI352" s="15" t="str">
        <f aca="false">IF(AND(ISNUMBER(O352),ISNUMBER(Q352)),Q352-O352,"")</f>
        <v/>
      </c>
      <c r="AJ352" s="15" t="str">
        <f aca="false">IF(B352="","",COUNT(L352:M352,P352:T352)&amp;"/7")</f>
        <v/>
      </c>
      <c r="AK352" s="15" t="str">
        <f aca="false">IF(B352="","",IF(OR(AND(ISNUMBER(L352),ISNUMBER(M352),M352&lt;L352),AND(ISNUMBER(M352),ISNUMBER(P352),P352&lt;M352),AND(ISNUMBER(P352),ISNUMBER(Q352),Q352&lt;P352),AND(ISNUMBER(Q352),ISNUMBER(R352),R352&lt;Q352),AND(ISNUMBER(R352),ISNUMBER(S352),S352&lt;R352),AND(ISNUMBER(S352),ISNUMBER(T352),T352&lt;S352),AND(ISNUMBER(N352),ISNUMBER(O352),O352&lt;N352)),"Urutan tanggal salah",IF(AND(ISNUMBER(Q352),ISNUMBER(R352),ISNUMBER(Y352),ABS(R352-Q352-Y352)&gt;2),"S tanggal ≠ Sailing tercatat",IF(AND(ISNUMBER(Q352),ISNUMBER(O352),ABS(Q352-O352)&gt;60),"Cek tahun laycan",IF(AND(ISNUMBER(Q352),ISNUMBER(N352),Q352&lt;N352),"Berangkat sebelum laycan",IF(NOT(ISNUMBER(AE352)),"S belum ada","OK"))))))</f>
        <v/>
      </c>
    </row>
    <row r="353" customFormat="false" ht="15" hidden="false" customHeight="false" outlineLevel="0" collapsed="false">
      <c r="A353" s="16" t="str">
        <f aca="false">IF(B353="","",ROW()-4)</f>
        <v/>
      </c>
      <c r="B353" s="12"/>
      <c r="C353" s="16"/>
      <c r="D353" s="16"/>
      <c r="E353" s="16"/>
      <c r="F353" s="16"/>
      <c r="G353" s="16"/>
      <c r="H353" s="16"/>
      <c r="I353" s="16"/>
      <c r="J353" s="16"/>
      <c r="K353" s="16"/>
      <c r="L353" s="13"/>
      <c r="M353" s="13"/>
      <c r="N353" s="13"/>
      <c r="O353" s="13"/>
      <c r="P353" s="13"/>
      <c r="Q353" s="13"/>
      <c r="R353" s="13"/>
      <c r="S353" s="13"/>
      <c r="T353" s="13"/>
      <c r="U353" s="12"/>
      <c r="V353" s="14"/>
      <c r="W353" s="16"/>
      <c r="X353" s="16"/>
      <c r="Y353" s="16"/>
      <c r="Z353" s="16"/>
      <c r="AA353" s="15" t="str">
        <f aca="false">IF(AND(ISNUMBER(L353),ISNUMBER(M353)),M353-L353,"")</f>
        <v/>
      </c>
      <c r="AB353" s="15" t="str">
        <f aca="false">IF(AND(ISNUMBER(M353),ISNUMBER(P353)),P353-M353,"")</f>
        <v/>
      </c>
      <c r="AC353" s="15" t="str">
        <f aca="false">IF(AND(ISNUMBER(L353),ISNUMBER(P353)),P353-L353,"")</f>
        <v/>
      </c>
      <c r="AD353" s="15" t="str">
        <f aca="false">IF(AND(ISNUMBER(P353),ISNUMBER(Q353)),Q353-P353,"")</f>
        <v/>
      </c>
      <c r="AE353" s="15" t="str">
        <f aca="false">IF(AND(ISNUMBER(Q353),ISNUMBER(R353)),R353-Q353,IF(ISNUMBER(Y353),Y353,""))</f>
        <v/>
      </c>
      <c r="AF353" s="15" t="str">
        <f aca="false">IF(AND(ISNUMBER(R353),ISNUMBER(S353)),S353-R353,"")</f>
        <v/>
      </c>
      <c r="AG353" s="15" t="str">
        <f aca="false">IF(AND(ISNUMBER(S353),ISNUMBER(T353)),T353-S353,"")</f>
        <v/>
      </c>
      <c r="AH353" s="15" t="str">
        <f aca="false">IF(AND(ISNUMBER(L353),ISNUMBER(T353)),T353-L353,"")</f>
        <v/>
      </c>
      <c r="AI353" s="15" t="str">
        <f aca="false">IF(AND(ISNUMBER(O353),ISNUMBER(Q353)),Q353-O353,"")</f>
        <v/>
      </c>
      <c r="AJ353" s="15" t="str">
        <f aca="false">IF(B353="","",COUNT(L353:M353,P353:T353)&amp;"/7")</f>
        <v/>
      </c>
      <c r="AK353" s="15" t="str">
        <f aca="false">IF(B353="","",IF(OR(AND(ISNUMBER(L353),ISNUMBER(M353),M353&lt;L353),AND(ISNUMBER(M353),ISNUMBER(P353),P353&lt;M353),AND(ISNUMBER(P353),ISNUMBER(Q353),Q353&lt;P353),AND(ISNUMBER(Q353),ISNUMBER(R353),R353&lt;Q353),AND(ISNUMBER(R353),ISNUMBER(S353),S353&lt;R353),AND(ISNUMBER(S353),ISNUMBER(T353),T353&lt;S353),AND(ISNUMBER(N353),ISNUMBER(O353),O353&lt;N353)),"Urutan tanggal salah",IF(AND(ISNUMBER(Q353),ISNUMBER(R353),ISNUMBER(Y353),ABS(R353-Q353-Y353)&gt;2),"S tanggal ≠ Sailing tercatat",IF(AND(ISNUMBER(Q353),ISNUMBER(O353),ABS(Q353-O353)&gt;60),"Cek tahun laycan",IF(AND(ISNUMBER(Q353),ISNUMBER(N353),Q353&lt;N353),"Berangkat sebelum laycan",IF(NOT(ISNUMBER(AE353)),"S belum ada","OK"))))))</f>
        <v/>
      </c>
    </row>
    <row r="354" customFormat="false" ht="15" hidden="false" customHeight="false" outlineLevel="0" collapsed="false">
      <c r="A354" s="16" t="str">
        <f aca="false">IF(B354="","",ROW()-4)</f>
        <v/>
      </c>
      <c r="B354" s="12"/>
      <c r="C354" s="16"/>
      <c r="D354" s="16"/>
      <c r="E354" s="16"/>
      <c r="F354" s="16"/>
      <c r="G354" s="16"/>
      <c r="H354" s="16"/>
      <c r="I354" s="16"/>
      <c r="J354" s="16"/>
      <c r="K354" s="16"/>
      <c r="L354" s="13"/>
      <c r="M354" s="13"/>
      <c r="N354" s="13"/>
      <c r="O354" s="13"/>
      <c r="P354" s="13"/>
      <c r="Q354" s="13"/>
      <c r="R354" s="13"/>
      <c r="S354" s="13"/>
      <c r="T354" s="13"/>
      <c r="U354" s="12"/>
      <c r="V354" s="14"/>
      <c r="W354" s="16"/>
      <c r="X354" s="16"/>
      <c r="Y354" s="16"/>
      <c r="Z354" s="16"/>
      <c r="AA354" s="15" t="str">
        <f aca="false">IF(AND(ISNUMBER(L354),ISNUMBER(M354)),M354-L354,"")</f>
        <v/>
      </c>
      <c r="AB354" s="15" t="str">
        <f aca="false">IF(AND(ISNUMBER(M354),ISNUMBER(P354)),P354-M354,"")</f>
        <v/>
      </c>
      <c r="AC354" s="15" t="str">
        <f aca="false">IF(AND(ISNUMBER(L354),ISNUMBER(P354)),P354-L354,"")</f>
        <v/>
      </c>
      <c r="AD354" s="15" t="str">
        <f aca="false">IF(AND(ISNUMBER(P354),ISNUMBER(Q354)),Q354-P354,"")</f>
        <v/>
      </c>
      <c r="AE354" s="15" t="str">
        <f aca="false">IF(AND(ISNUMBER(Q354),ISNUMBER(R354)),R354-Q354,IF(ISNUMBER(Y354),Y354,""))</f>
        <v/>
      </c>
      <c r="AF354" s="15" t="str">
        <f aca="false">IF(AND(ISNUMBER(R354),ISNUMBER(S354)),S354-R354,"")</f>
        <v/>
      </c>
      <c r="AG354" s="15" t="str">
        <f aca="false">IF(AND(ISNUMBER(S354),ISNUMBER(T354)),T354-S354,"")</f>
        <v/>
      </c>
      <c r="AH354" s="15" t="str">
        <f aca="false">IF(AND(ISNUMBER(L354),ISNUMBER(T354)),T354-L354,"")</f>
        <v/>
      </c>
      <c r="AI354" s="15" t="str">
        <f aca="false">IF(AND(ISNUMBER(O354),ISNUMBER(Q354)),Q354-O354,"")</f>
        <v/>
      </c>
      <c r="AJ354" s="15" t="str">
        <f aca="false">IF(B354="","",COUNT(L354:M354,P354:T354)&amp;"/7")</f>
        <v/>
      </c>
      <c r="AK354" s="15" t="str">
        <f aca="false">IF(B354="","",IF(OR(AND(ISNUMBER(L354),ISNUMBER(M354),M354&lt;L354),AND(ISNUMBER(M354),ISNUMBER(P354),P354&lt;M354),AND(ISNUMBER(P354),ISNUMBER(Q354),Q354&lt;P354),AND(ISNUMBER(Q354),ISNUMBER(R354),R354&lt;Q354),AND(ISNUMBER(R354),ISNUMBER(S354),S354&lt;R354),AND(ISNUMBER(S354),ISNUMBER(T354),T354&lt;S354),AND(ISNUMBER(N354),ISNUMBER(O354),O354&lt;N354)),"Urutan tanggal salah",IF(AND(ISNUMBER(Q354),ISNUMBER(R354),ISNUMBER(Y354),ABS(R354-Q354-Y354)&gt;2),"S tanggal ≠ Sailing tercatat",IF(AND(ISNUMBER(Q354),ISNUMBER(O354),ABS(Q354-O354)&gt;60),"Cek tahun laycan",IF(AND(ISNUMBER(Q354),ISNUMBER(N354),Q354&lt;N354),"Berangkat sebelum laycan",IF(NOT(ISNUMBER(AE354)),"S belum ada","OK"))))))</f>
        <v/>
      </c>
    </row>
    <row r="355" customFormat="false" ht="15" hidden="false" customHeight="false" outlineLevel="0" collapsed="false">
      <c r="A355" s="16" t="str">
        <f aca="false">IF(B355="","",ROW()-4)</f>
        <v/>
      </c>
      <c r="B355" s="12"/>
      <c r="C355" s="16"/>
      <c r="D355" s="16"/>
      <c r="E355" s="16"/>
      <c r="F355" s="16"/>
      <c r="G355" s="16"/>
      <c r="H355" s="16"/>
      <c r="I355" s="16"/>
      <c r="J355" s="16"/>
      <c r="K355" s="16"/>
      <c r="L355" s="13"/>
      <c r="M355" s="13"/>
      <c r="N355" s="13"/>
      <c r="O355" s="13"/>
      <c r="P355" s="13"/>
      <c r="Q355" s="13"/>
      <c r="R355" s="13"/>
      <c r="S355" s="13"/>
      <c r="T355" s="13"/>
      <c r="U355" s="12"/>
      <c r="V355" s="14"/>
      <c r="W355" s="16"/>
      <c r="X355" s="16"/>
      <c r="Y355" s="16"/>
      <c r="Z355" s="16"/>
      <c r="AA355" s="15" t="str">
        <f aca="false">IF(AND(ISNUMBER(L355),ISNUMBER(M355)),M355-L355,"")</f>
        <v/>
      </c>
      <c r="AB355" s="15" t="str">
        <f aca="false">IF(AND(ISNUMBER(M355),ISNUMBER(P355)),P355-M355,"")</f>
        <v/>
      </c>
      <c r="AC355" s="15" t="str">
        <f aca="false">IF(AND(ISNUMBER(L355),ISNUMBER(P355)),P355-L355,"")</f>
        <v/>
      </c>
      <c r="AD355" s="15" t="str">
        <f aca="false">IF(AND(ISNUMBER(P355),ISNUMBER(Q355)),Q355-P355,"")</f>
        <v/>
      </c>
      <c r="AE355" s="15" t="str">
        <f aca="false">IF(AND(ISNUMBER(Q355),ISNUMBER(R355)),R355-Q355,IF(ISNUMBER(Y355),Y355,""))</f>
        <v/>
      </c>
      <c r="AF355" s="15" t="str">
        <f aca="false">IF(AND(ISNUMBER(R355),ISNUMBER(S355)),S355-R355,"")</f>
        <v/>
      </c>
      <c r="AG355" s="15" t="str">
        <f aca="false">IF(AND(ISNUMBER(S355),ISNUMBER(T355)),T355-S355,"")</f>
        <v/>
      </c>
      <c r="AH355" s="15" t="str">
        <f aca="false">IF(AND(ISNUMBER(L355),ISNUMBER(T355)),T355-L355,"")</f>
        <v/>
      </c>
      <c r="AI355" s="15" t="str">
        <f aca="false">IF(AND(ISNUMBER(O355),ISNUMBER(Q355)),Q355-O355,"")</f>
        <v/>
      </c>
      <c r="AJ355" s="15" t="str">
        <f aca="false">IF(B355="","",COUNT(L355:M355,P355:T355)&amp;"/7")</f>
        <v/>
      </c>
      <c r="AK355" s="15" t="str">
        <f aca="false">IF(B355="","",IF(OR(AND(ISNUMBER(L355),ISNUMBER(M355),M355&lt;L355),AND(ISNUMBER(M355),ISNUMBER(P355),P355&lt;M355),AND(ISNUMBER(P355),ISNUMBER(Q355),Q355&lt;P355),AND(ISNUMBER(Q355),ISNUMBER(R355),R355&lt;Q355),AND(ISNUMBER(R355),ISNUMBER(S355),S355&lt;R355),AND(ISNUMBER(S355),ISNUMBER(T355),T355&lt;S355),AND(ISNUMBER(N355),ISNUMBER(O355),O355&lt;N355)),"Urutan tanggal salah",IF(AND(ISNUMBER(Q355),ISNUMBER(R355),ISNUMBER(Y355),ABS(R355-Q355-Y355)&gt;2),"S tanggal ≠ Sailing tercatat",IF(AND(ISNUMBER(Q355),ISNUMBER(O355),ABS(Q355-O355)&gt;60),"Cek tahun laycan",IF(AND(ISNUMBER(Q355),ISNUMBER(N355),Q355&lt;N355),"Berangkat sebelum laycan",IF(NOT(ISNUMBER(AE355)),"S belum ada","OK"))))))</f>
        <v/>
      </c>
    </row>
    <row r="356" customFormat="false" ht="15" hidden="false" customHeight="false" outlineLevel="0" collapsed="false">
      <c r="A356" s="16" t="str">
        <f aca="false">IF(B356="","",ROW()-4)</f>
        <v/>
      </c>
      <c r="B356" s="12"/>
      <c r="C356" s="16"/>
      <c r="D356" s="16"/>
      <c r="E356" s="16"/>
      <c r="F356" s="16"/>
      <c r="G356" s="16"/>
      <c r="H356" s="16"/>
      <c r="I356" s="16"/>
      <c r="J356" s="16"/>
      <c r="K356" s="16"/>
      <c r="L356" s="13"/>
      <c r="M356" s="13"/>
      <c r="N356" s="13"/>
      <c r="O356" s="13"/>
      <c r="P356" s="13"/>
      <c r="Q356" s="13"/>
      <c r="R356" s="13"/>
      <c r="S356" s="13"/>
      <c r="T356" s="13"/>
      <c r="U356" s="12"/>
      <c r="V356" s="14"/>
      <c r="W356" s="16"/>
      <c r="X356" s="16"/>
      <c r="Y356" s="16"/>
      <c r="Z356" s="16"/>
      <c r="AA356" s="15" t="str">
        <f aca="false">IF(AND(ISNUMBER(L356),ISNUMBER(M356)),M356-L356,"")</f>
        <v/>
      </c>
      <c r="AB356" s="15" t="str">
        <f aca="false">IF(AND(ISNUMBER(M356),ISNUMBER(P356)),P356-M356,"")</f>
        <v/>
      </c>
      <c r="AC356" s="15" t="str">
        <f aca="false">IF(AND(ISNUMBER(L356),ISNUMBER(P356)),P356-L356,"")</f>
        <v/>
      </c>
      <c r="AD356" s="15" t="str">
        <f aca="false">IF(AND(ISNUMBER(P356),ISNUMBER(Q356)),Q356-P356,"")</f>
        <v/>
      </c>
      <c r="AE356" s="15" t="str">
        <f aca="false">IF(AND(ISNUMBER(Q356),ISNUMBER(R356)),R356-Q356,IF(ISNUMBER(Y356),Y356,""))</f>
        <v/>
      </c>
      <c r="AF356" s="15" t="str">
        <f aca="false">IF(AND(ISNUMBER(R356),ISNUMBER(S356)),S356-R356,"")</f>
        <v/>
      </c>
      <c r="AG356" s="15" t="str">
        <f aca="false">IF(AND(ISNUMBER(S356),ISNUMBER(T356)),T356-S356,"")</f>
        <v/>
      </c>
      <c r="AH356" s="15" t="str">
        <f aca="false">IF(AND(ISNUMBER(L356),ISNUMBER(T356)),T356-L356,"")</f>
        <v/>
      </c>
      <c r="AI356" s="15" t="str">
        <f aca="false">IF(AND(ISNUMBER(O356),ISNUMBER(Q356)),Q356-O356,"")</f>
        <v/>
      </c>
      <c r="AJ356" s="15" t="str">
        <f aca="false">IF(B356="","",COUNT(L356:M356,P356:T356)&amp;"/7")</f>
        <v/>
      </c>
      <c r="AK356" s="15" t="str">
        <f aca="false">IF(B356="","",IF(OR(AND(ISNUMBER(L356),ISNUMBER(M356),M356&lt;L356),AND(ISNUMBER(M356),ISNUMBER(P356),P356&lt;M356),AND(ISNUMBER(P356),ISNUMBER(Q356),Q356&lt;P356),AND(ISNUMBER(Q356),ISNUMBER(R356),R356&lt;Q356),AND(ISNUMBER(R356),ISNUMBER(S356),S356&lt;R356),AND(ISNUMBER(S356),ISNUMBER(T356),T356&lt;S356),AND(ISNUMBER(N356),ISNUMBER(O356),O356&lt;N356)),"Urutan tanggal salah",IF(AND(ISNUMBER(Q356),ISNUMBER(R356),ISNUMBER(Y356),ABS(R356-Q356-Y356)&gt;2),"S tanggal ≠ Sailing tercatat",IF(AND(ISNUMBER(Q356),ISNUMBER(O356),ABS(Q356-O356)&gt;60),"Cek tahun laycan",IF(AND(ISNUMBER(Q356),ISNUMBER(N356),Q356&lt;N356),"Berangkat sebelum laycan",IF(NOT(ISNUMBER(AE356)),"S belum ada","OK"))))))</f>
        <v/>
      </c>
    </row>
    <row r="357" customFormat="false" ht="15" hidden="false" customHeight="false" outlineLevel="0" collapsed="false">
      <c r="A357" s="16" t="str">
        <f aca="false">IF(B357="","",ROW()-4)</f>
        <v/>
      </c>
      <c r="B357" s="12"/>
      <c r="C357" s="16"/>
      <c r="D357" s="16"/>
      <c r="E357" s="16"/>
      <c r="F357" s="16"/>
      <c r="G357" s="16"/>
      <c r="H357" s="16"/>
      <c r="I357" s="16"/>
      <c r="J357" s="16"/>
      <c r="K357" s="16"/>
      <c r="L357" s="13"/>
      <c r="M357" s="13"/>
      <c r="N357" s="13"/>
      <c r="O357" s="13"/>
      <c r="P357" s="13"/>
      <c r="Q357" s="13"/>
      <c r="R357" s="13"/>
      <c r="S357" s="13"/>
      <c r="T357" s="13"/>
      <c r="U357" s="12"/>
      <c r="V357" s="14"/>
      <c r="W357" s="16"/>
      <c r="X357" s="16"/>
      <c r="Y357" s="16"/>
      <c r="Z357" s="16"/>
      <c r="AA357" s="15" t="str">
        <f aca="false">IF(AND(ISNUMBER(L357),ISNUMBER(M357)),M357-L357,"")</f>
        <v/>
      </c>
      <c r="AB357" s="15" t="str">
        <f aca="false">IF(AND(ISNUMBER(M357),ISNUMBER(P357)),P357-M357,"")</f>
        <v/>
      </c>
      <c r="AC357" s="15" t="str">
        <f aca="false">IF(AND(ISNUMBER(L357),ISNUMBER(P357)),P357-L357,"")</f>
        <v/>
      </c>
      <c r="AD357" s="15" t="str">
        <f aca="false">IF(AND(ISNUMBER(P357),ISNUMBER(Q357)),Q357-P357,"")</f>
        <v/>
      </c>
      <c r="AE357" s="15" t="str">
        <f aca="false">IF(AND(ISNUMBER(Q357),ISNUMBER(R357)),R357-Q357,IF(ISNUMBER(Y357),Y357,""))</f>
        <v/>
      </c>
      <c r="AF357" s="15" t="str">
        <f aca="false">IF(AND(ISNUMBER(R357),ISNUMBER(S357)),S357-R357,"")</f>
        <v/>
      </c>
      <c r="AG357" s="15" t="str">
        <f aca="false">IF(AND(ISNUMBER(S357),ISNUMBER(T357)),T357-S357,"")</f>
        <v/>
      </c>
      <c r="AH357" s="15" t="str">
        <f aca="false">IF(AND(ISNUMBER(L357),ISNUMBER(T357)),T357-L357,"")</f>
        <v/>
      </c>
      <c r="AI357" s="15" t="str">
        <f aca="false">IF(AND(ISNUMBER(O357),ISNUMBER(Q357)),Q357-O357,"")</f>
        <v/>
      </c>
      <c r="AJ357" s="15" t="str">
        <f aca="false">IF(B357="","",COUNT(L357:M357,P357:T357)&amp;"/7")</f>
        <v/>
      </c>
      <c r="AK357" s="15" t="str">
        <f aca="false">IF(B357="","",IF(OR(AND(ISNUMBER(L357),ISNUMBER(M357),M357&lt;L357),AND(ISNUMBER(M357),ISNUMBER(P357),P357&lt;M357),AND(ISNUMBER(P357),ISNUMBER(Q357),Q357&lt;P357),AND(ISNUMBER(Q357),ISNUMBER(R357),R357&lt;Q357),AND(ISNUMBER(R357),ISNUMBER(S357),S357&lt;R357),AND(ISNUMBER(S357),ISNUMBER(T357),T357&lt;S357),AND(ISNUMBER(N357),ISNUMBER(O357),O357&lt;N357)),"Urutan tanggal salah",IF(AND(ISNUMBER(Q357),ISNUMBER(R357),ISNUMBER(Y357),ABS(R357-Q357-Y357)&gt;2),"S tanggal ≠ Sailing tercatat",IF(AND(ISNUMBER(Q357),ISNUMBER(O357),ABS(Q357-O357)&gt;60),"Cek tahun laycan",IF(AND(ISNUMBER(Q357),ISNUMBER(N357),Q357&lt;N357),"Berangkat sebelum laycan",IF(NOT(ISNUMBER(AE357)),"S belum ada","OK"))))))</f>
        <v/>
      </c>
    </row>
    <row r="358" customFormat="false" ht="15" hidden="false" customHeight="false" outlineLevel="0" collapsed="false">
      <c r="A358" s="16" t="str">
        <f aca="false">IF(B358="","",ROW()-4)</f>
        <v/>
      </c>
      <c r="B358" s="12"/>
      <c r="C358" s="16"/>
      <c r="D358" s="16"/>
      <c r="E358" s="16"/>
      <c r="F358" s="16"/>
      <c r="G358" s="16"/>
      <c r="H358" s="16"/>
      <c r="I358" s="16"/>
      <c r="J358" s="16"/>
      <c r="K358" s="16"/>
      <c r="L358" s="13"/>
      <c r="M358" s="13"/>
      <c r="N358" s="13"/>
      <c r="O358" s="13"/>
      <c r="P358" s="13"/>
      <c r="Q358" s="13"/>
      <c r="R358" s="13"/>
      <c r="S358" s="13"/>
      <c r="T358" s="13"/>
      <c r="U358" s="12"/>
      <c r="V358" s="14"/>
      <c r="W358" s="16"/>
      <c r="X358" s="16"/>
      <c r="Y358" s="16"/>
      <c r="Z358" s="16"/>
      <c r="AA358" s="15" t="str">
        <f aca="false">IF(AND(ISNUMBER(L358),ISNUMBER(M358)),M358-L358,"")</f>
        <v/>
      </c>
      <c r="AB358" s="15" t="str">
        <f aca="false">IF(AND(ISNUMBER(M358),ISNUMBER(P358)),P358-M358,"")</f>
        <v/>
      </c>
      <c r="AC358" s="15" t="str">
        <f aca="false">IF(AND(ISNUMBER(L358),ISNUMBER(P358)),P358-L358,"")</f>
        <v/>
      </c>
      <c r="AD358" s="15" t="str">
        <f aca="false">IF(AND(ISNUMBER(P358),ISNUMBER(Q358)),Q358-P358,"")</f>
        <v/>
      </c>
      <c r="AE358" s="15" t="str">
        <f aca="false">IF(AND(ISNUMBER(Q358),ISNUMBER(R358)),R358-Q358,IF(ISNUMBER(Y358),Y358,""))</f>
        <v/>
      </c>
      <c r="AF358" s="15" t="str">
        <f aca="false">IF(AND(ISNUMBER(R358),ISNUMBER(S358)),S358-R358,"")</f>
        <v/>
      </c>
      <c r="AG358" s="15" t="str">
        <f aca="false">IF(AND(ISNUMBER(S358),ISNUMBER(T358)),T358-S358,"")</f>
        <v/>
      </c>
      <c r="AH358" s="15" t="str">
        <f aca="false">IF(AND(ISNUMBER(L358),ISNUMBER(T358)),T358-L358,"")</f>
        <v/>
      </c>
      <c r="AI358" s="15" t="str">
        <f aca="false">IF(AND(ISNUMBER(O358),ISNUMBER(Q358)),Q358-O358,"")</f>
        <v/>
      </c>
      <c r="AJ358" s="15" t="str">
        <f aca="false">IF(B358="","",COUNT(L358:M358,P358:T358)&amp;"/7")</f>
        <v/>
      </c>
      <c r="AK358" s="15" t="str">
        <f aca="false">IF(B358="","",IF(OR(AND(ISNUMBER(L358),ISNUMBER(M358),M358&lt;L358),AND(ISNUMBER(M358),ISNUMBER(P358),P358&lt;M358),AND(ISNUMBER(P358),ISNUMBER(Q358),Q358&lt;P358),AND(ISNUMBER(Q358),ISNUMBER(R358),R358&lt;Q358),AND(ISNUMBER(R358),ISNUMBER(S358),S358&lt;R358),AND(ISNUMBER(S358),ISNUMBER(T358),T358&lt;S358),AND(ISNUMBER(N358),ISNUMBER(O358),O358&lt;N358)),"Urutan tanggal salah",IF(AND(ISNUMBER(Q358),ISNUMBER(R358),ISNUMBER(Y358),ABS(R358-Q358-Y358)&gt;2),"S tanggal ≠ Sailing tercatat",IF(AND(ISNUMBER(Q358),ISNUMBER(O358),ABS(Q358-O358)&gt;60),"Cek tahun laycan",IF(AND(ISNUMBER(Q358),ISNUMBER(N358),Q358&lt;N358),"Berangkat sebelum laycan",IF(NOT(ISNUMBER(AE358)),"S belum ada","OK"))))))</f>
        <v/>
      </c>
    </row>
    <row r="359" customFormat="false" ht="15" hidden="false" customHeight="false" outlineLevel="0" collapsed="false">
      <c r="A359" s="16" t="str">
        <f aca="false">IF(B359="","",ROW()-4)</f>
        <v/>
      </c>
      <c r="B359" s="12"/>
      <c r="C359" s="16"/>
      <c r="D359" s="16"/>
      <c r="E359" s="16"/>
      <c r="F359" s="16"/>
      <c r="G359" s="16"/>
      <c r="H359" s="16"/>
      <c r="I359" s="16"/>
      <c r="J359" s="16"/>
      <c r="K359" s="16"/>
      <c r="L359" s="13"/>
      <c r="M359" s="13"/>
      <c r="N359" s="13"/>
      <c r="O359" s="13"/>
      <c r="P359" s="13"/>
      <c r="Q359" s="13"/>
      <c r="R359" s="13"/>
      <c r="S359" s="13"/>
      <c r="T359" s="13"/>
      <c r="U359" s="12"/>
      <c r="V359" s="14"/>
      <c r="W359" s="16"/>
      <c r="X359" s="16"/>
      <c r="Y359" s="16"/>
      <c r="Z359" s="16"/>
      <c r="AA359" s="15" t="str">
        <f aca="false">IF(AND(ISNUMBER(L359),ISNUMBER(M359)),M359-L359,"")</f>
        <v/>
      </c>
      <c r="AB359" s="15" t="str">
        <f aca="false">IF(AND(ISNUMBER(M359),ISNUMBER(P359)),P359-M359,"")</f>
        <v/>
      </c>
      <c r="AC359" s="15" t="str">
        <f aca="false">IF(AND(ISNUMBER(L359),ISNUMBER(P359)),P359-L359,"")</f>
        <v/>
      </c>
      <c r="AD359" s="15" t="str">
        <f aca="false">IF(AND(ISNUMBER(P359),ISNUMBER(Q359)),Q359-P359,"")</f>
        <v/>
      </c>
      <c r="AE359" s="15" t="str">
        <f aca="false">IF(AND(ISNUMBER(Q359),ISNUMBER(R359)),R359-Q359,IF(ISNUMBER(Y359),Y359,""))</f>
        <v/>
      </c>
      <c r="AF359" s="15" t="str">
        <f aca="false">IF(AND(ISNUMBER(R359),ISNUMBER(S359)),S359-R359,"")</f>
        <v/>
      </c>
      <c r="AG359" s="15" t="str">
        <f aca="false">IF(AND(ISNUMBER(S359),ISNUMBER(T359)),T359-S359,"")</f>
        <v/>
      </c>
      <c r="AH359" s="15" t="str">
        <f aca="false">IF(AND(ISNUMBER(L359),ISNUMBER(T359)),T359-L359,"")</f>
        <v/>
      </c>
      <c r="AI359" s="15" t="str">
        <f aca="false">IF(AND(ISNUMBER(O359),ISNUMBER(Q359)),Q359-O359,"")</f>
        <v/>
      </c>
      <c r="AJ359" s="15" t="str">
        <f aca="false">IF(B359="","",COUNT(L359:M359,P359:T359)&amp;"/7")</f>
        <v/>
      </c>
      <c r="AK359" s="15" t="str">
        <f aca="false">IF(B359="","",IF(OR(AND(ISNUMBER(L359),ISNUMBER(M359),M359&lt;L359),AND(ISNUMBER(M359),ISNUMBER(P359),P359&lt;M359),AND(ISNUMBER(P359),ISNUMBER(Q359),Q359&lt;P359),AND(ISNUMBER(Q359),ISNUMBER(R359),R359&lt;Q359),AND(ISNUMBER(R359),ISNUMBER(S359),S359&lt;R359),AND(ISNUMBER(S359),ISNUMBER(T359),T359&lt;S359),AND(ISNUMBER(N359),ISNUMBER(O359),O359&lt;N359)),"Urutan tanggal salah",IF(AND(ISNUMBER(Q359),ISNUMBER(R359),ISNUMBER(Y359),ABS(R359-Q359-Y359)&gt;2),"S tanggal ≠ Sailing tercatat",IF(AND(ISNUMBER(Q359),ISNUMBER(O359),ABS(Q359-O359)&gt;60),"Cek tahun laycan",IF(AND(ISNUMBER(Q359),ISNUMBER(N359),Q359&lt;N359),"Berangkat sebelum laycan",IF(NOT(ISNUMBER(AE359)),"S belum ada","OK"))))))</f>
        <v/>
      </c>
    </row>
    <row r="360" customFormat="false" ht="15" hidden="false" customHeight="false" outlineLevel="0" collapsed="false">
      <c r="A360" s="16" t="str">
        <f aca="false">IF(B360="","",ROW()-4)</f>
        <v/>
      </c>
      <c r="B360" s="12"/>
      <c r="C360" s="16"/>
      <c r="D360" s="16"/>
      <c r="E360" s="16"/>
      <c r="F360" s="16"/>
      <c r="G360" s="16"/>
      <c r="H360" s="16"/>
      <c r="I360" s="16"/>
      <c r="J360" s="16"/>
      <c r="K360" s="16"/>
      <c r="L360" s="13"/>
      <c r="M360" s="13"/>
      <c r="N360" s="13"/>
      <c r="O360" s="13"/>
      <c r="P360" s="13"/>
      <c r="Q360" s="13"/>
      <c r="R360" s="13"/>
      <c r="S360" s="13"/>
      <c r="T360" s="13"/>
      <c r="U360" s="12"/>
      <c r="V360" s="14"/>
      <c r="W360" s="16"/>
      <c r="X360" s="16"/>
      <c r="Y360" s="16"/>
      <c r="Z360" s="16"/>
      <c r="AA360" s="15" t="str">
        <f aca="false">IF(AND(ISNUMBER(L360),ISNUMBER(M360)),M360-L360,"")</f>
        <v/>
      </c>
      <c r="AB360" s="15" t="str">
        <f aca="false">IF(AND(ISNUMBER(M360),ISNUMBER(P360)),P360-M360,"")</f>
        <v/>
      </c>
      <c r="AC360" s="15" t="str">
        <f aca="false">IF(AND(ISNUMBER(L360),ISNUMBER(P360)),P360-L360,"")</f>
        <v/>
      </c>
      <c r="AD360" s="15" t="str">
        <f aca="false">IF(AND(ISNUMBER(P360),ISNUMBER(Q360)),Q360-P360,"")</f>
        <v/>
      </c>
      <c r="AE360" s="15" t="str">
        <f aca="false">IF(AND(ISNUMBER(Q360),ISNUMBER(R360)),R360-Q360,IF(ISNUMBER(Y360),Y360,""))</f>
        <v/>
      </c>
      <c r="AF360" s="15" t="str">
        <f aca="false">IF(AND(ISNUMBER(R360),ISNUMBER(S360)),S360-R360,"")</f>
        <v/>
      </c>
      <c r="AG360" s="15" t="str">
        <f aca="false">IF(AND(ISNUMBER(S360),ISNUMBER(T360)),T360-S360,"")</f>
        <v/>
      </c>
      <c r="AH360" s="15" t="str">
        <f aca="false">IF(AND(ISNUMBER(L360),ISNUMBER(T360)),T360-L360,"")</f>
        <v/>
      </c>
      <c r="AI360" s="15" t="str">
        <f aca="false">IF(AND(ISNUMBER(O360),ISNUMBER(Q360)),Q360-O360,"")</f>
        <v/>
      </c>
      <c r="AJ360" s="15" t="str">
        <f aca="false">IF(B360="","",COUNT(L360:M360,P360:T360)&amp;"/7")</f>
        <v/>
      </c>
      <c r="AK360" s="15" t="str">
        <f aca="false">IF(B360="","",IF(OR(AND(ISNUMBER(L360),ISNUMBER(M360),M360&lt;L360),AND(ISNUMBER(M360),ISNUMBER(P360),P360&lt;M360),AND(ISNUMBER(P360),ISNUMBER(Q360),Q360&lt;P360),AND(ISNUMBER(Q360),ISNUMBER(R360),R360&lt;Q360),AND(ISNUMBER(R360),ISNUMBER(S360),S360&lt;R360),AND(ISNUMBER(S360),ISNUMBER(T360),T360&lt;S360),AND(ISNUMBER(N360),ISNUMBER(O360),O360&lt;N360)),"Urutan tanggal salah",IF(AND(ISNUMBER(Q360),ISNUMBER(R360),ISNUMBER(Y360),ABS(R360-Q360-Y360)&gt;2),"S tanggal ≠ Sailing tercatat",IF(AND(ISNUMBER(Q360),ISNUMBER(O360),ABS(Q360-O360)&gt;60),"Cek tahun laycan",IF(AND(ISNUMBER(Q360),ISNUMBER(N360),Q360&lt;N360),"Berangkat sebelum laycan",IF(NOT(ISNUMBER(AE360)),"S belum ada","OK"))))))</f>
        <v/>
      </c>
    </row>
    <row r="361" customFormat="false" ht="15" hidden="false" customHeight="false" outlineLevel="0" collapsed="false">
      <c r="A361" s="16" t="str">
        <f aca="false">IF(B361="","",ROW()-4)</f>
        <v/>
      </c>
      <c r="B361" s="12"/>
      <c r="C361" s="16"/>
      <c r="D361" s="16"/>
      <c r="E361" s="16"/>
      <c r="F361" s="16"/>
      <c r="G361" s="16"/>
      <c r="H361" s="16"/>
      <c r="I361" s="16"/>
      <c r="J361" s="16"/>
      <c r="K361" s="16"/>
      <c r="L361" s="13"/>
      <c r="M361" s="13"/>
      <c r="N361" s="13"/>
      <c r="O361" s="13"/>
      <c r="P361" s="13"/>
      <c r="Q361" s="13"/>
      <c r="R361" s="13"/>
      <c r="S361" s="13"/>
      <c r="T361" s="13"/>
      <c r="U361" s="12"/>
      <c r="V361" s="14"/>
      <c r="W361" s="16"/>
      <c r="X361" s="16"/>
      <c r="Y361" s="16"/>
      <c r="Z361" s="16"/>
      <c r="AA361" s="15" t="str">
        <f aca="false">IF(AND(ISNUMBER(L361),ISNUMBER(M361)),M361-L361,"")</f>
        <v/>
      </c>
      <c r="AB361" s="15" t="str">
        <f aca="false">IF(AND(ISNUMBER(M361),ISNUMBER(P361)),P361-M361,"")</f>
        <v/>
      </c>
      <c r="AC361" s="15" t="str">
        <f aca="false">IF(AND(ISNUMBER(L361),ISNUMBER(P361)),P361-L361,"")</f>
        <v/>
      </c>
      <c r="AD361" s="15" t="str">
        <f aca="false">IF(AND(ISNUMBER(P361),ISNUMBER(Q361)),Q361-P361,"")</f>
        <v/>
      </c>
      <c r="AE361" s="15" t="str">
        <f aca="false">IF(AND(ISNUMBER(Q361),ISNUMBER(R361)),R361-Q361,IF(ISNUMBER(Y361),Y361,""))</f>
        <v/>
      </c>
      <c r="AF361" s="15" t="str">
        <f aca="false">IF(AND(ISNUMBER(R361),ISNUMBER(S361)),S361-R361,"")</f>
        <v/>
      </c>
      <c r="AG361" s="15" t="str">
        <f aca="false">IF(AND(ISNUMBER(S361),ISNUMBER(T361)),T361-S361,"")</f>
        <v/>
      </c>
      <c r="AH361" s="15" t="str">
        <f aca="false">IF(AND(ISNUMBER(L361),ISNUMBER(T361)),T361-L361,"")</f>
        <v/>
      </c>
      <c r="AI361" s="15" t="str">
        <f aca="false">IF(AND(ISNUMBER(O361),ISNUMBER(Q361)),Q361-O361,"")</f>
        <v/>
      </c>
      <c r="AJ361" s="15" t="str">
        <f aca="false">IF(B361="","",COUNT(L361:M361,P361:T361)&amp;"/7")</f>
        <v/>
      </c>
      <c r="AK361" s="15" t="str">
        <f aca="false">IF(B361="","",IF(OR(AND(ISNUMBER(L361),ISNUMBER(M361),M361&lt;L361),AND(ISNUMBER(M361),ISNUMBER(P361),P361&lt;M361),AND(ISNUMBER(P361),ISNUMBER(Q361),Q361&lt;P361),AND(ISNUMBER(Q361),ISNUMBER(R361),R361&lt;Q361),AND(ISNUMBER(R361),ISNUMBER(S361),S361&lt;R361),AND(ISNUMBER(S361),ISNUMBER(T361),T361&lt;S361),AND(ISNUMBER(N361),ISNUMBER(O361),O361&lt;N361)),"Urutan tanggal salah",IF(AND(ISNUMBER(Q361),ISNUMBER(R361),ISNUMBER(Y361),ABS(R361-Q361-Y361)&gt;2),"S tanggal ≠ Sailing tercatat",IF(AND(ISNUMBER(Q361),ISNUMBER(O361),ABS(Q361-O361)&gt;60),"Cek tahun laycan",IF(AND(ISNUMBER(Q361),ISNUMBER(N361),Q361&lt;N361),"Berangkat sebelum laycan",IF(NOT(ISNUMBER(AE361)),"S belum ada","OK"))))))</f>
        <v/>
      </c>
    </row>
    <row r="362" customFormat="false" ht="15" hidden="false" customHeight="false" outlineLevel="0" collapsed="false">
      <c r="A362" s="16" t="str">
        <f aca="false">IF(B362="","",ROW()-4)</f>
        <v/>
      </c>
      <c r="B362" s="12"/>
      <c r="C362" s="16"/>
      <c r="D362" s="16"/>
      <c r="E362" s="16"/>
      <c r="F362" s="16"/>
      <c r="G362" s="16"/>
      <c r="H362" s="16"/>
      <c r="I362" s="16"/>
      <c r="J362" s="16"/>
      <c r="K362" s="16"/>
      <c r="L362" s="13"/>
      <c r="M362" s="13"/>
      <c r="N362" s="13"/>
      <c r="O362" s="13"/>
      <c r="P362" s="13"/>
      <c r="Q362" s="13"/>
      <c r="R362" s="13"/>
      <c r="S362" s="13"/>
      <c r="T362" s="13"/>
      <c r="U362" s="12"/>
      <c r="V362" s="14"/>
      <c r="W362" s="16"/>
      <c r="X362" s="16"/>
      <c r="Y362" s="16"/>
      <c r="Z362" s="16"/>
      <c r="AA362" s="15" t="str">
        <f aca="false">IF(AND(ISNUMBER(L362),ISNUMBER(M362)),M362-L362,"")</f>
        <v/>
      </c>
      <c r="AB362" s="15" t="str">
        <f aca="false">IF(AND(ISNUMBER(M362),ISNUMBER(P362)),P362-M362,"")</f>
        <v/>
      </c>
      <c r="AC362" s="15" t="str">
        <f aca="false">IF(AND(ISNUMBER(L362),ISNUMBER(P362)),P362-L362,"")</f>
        <v/>
      </c>
      <c r="AD362" s="15" t="str">
        <f aca="false">IF(AND(ISNUMBER(P362),ISNUMBER(Q362)),Q362-P362,"")</f>
        <v/>
      </c>
      <c r="AE362" s="15" t="str">
        <f aca="false">IF(AND(ISNUMBER(Q362),ISNUMBER(R362)),R362-Q362,IF(ISNUMBER(Y362),Y362,""))</f>
        <v/>
      </c>
      <c r="AF362" s="15" t="str">
        <f aca="false">IF(AND(ISNUMBER(R362),ISNUMBER(S362)),S362-R362,"")</f>
        <v/>
      </c>
      <c r="AG362" s="15" t="str">
        <f aca="false">IF(AND(ISNUMBER(S362),ISNUMBER(T362)),T362-S362,"")</f>
        <v/>
      </c>
      <c r="AH362" s="15" t="str">
        <f aca="false">IF(AND(ISNUMBER(L362),ISNUMBER(T362)),T362-L362,"")</f>
        <v/>
      </c>
      <c r="AI362" s="15" t="str">
        <f aca="false">IF(AND(ISNUMBER(O362),ISNUMBER(Q362)),Q362-O362,"")</f>
        <v/>
      </c>
      <c r="AJ362" s="15" t="str">
        <f aca="false">IF(B362="","",COUNT(L362:M362,P362:T362)&amp;"/7")</f>
        <v/>
      </c>
      <c r="AK362" s="15" t="str">
        <f aca="false">IF(B362="","",IF(OR(AND(ISNUMBER(L362),ISNUMBER(M362),M362&lt;L362),AND(ISNUMBER(M362),ISNUMBER(P362),P362&lt;M362),AND(ISNUMBER(P362),ISNUMBER(Q362),Q362&lt;P362),AND(ISNUMBER(Q362),ISNUMBER(R362),R362&lt;Q362),AND(ISNUMBER(R362),ISNUMBER(S362),S362&lt;R362),AND(ISNUMBER(S362),ISNUMBER(T362),T362&lt;S362),AND(ISNUMBER(N362),ISNUMBER(O362),O362&lt;N362)),"Urutan tanggal salah",IF(AND(ISNUMBER(Q362),ISNUMBER(R362),ISNUMBER(Y362),ABS(R362-Q362-Y362)&gt;2),"S tanggal ≠ Sailing tercatat",IF(AND(ISNUMBER(Q362),ISNUMBER(O362),ABS(Q362-O362)&gt;60),"Cek tahun laycan",IF(AND(ISNUMBER(Q362),ISNUMBER(N362),Q362&lt;N362),"Berangkat sebelum laycan",IF(NOT(ISNUMBER(AE362)),"S belum ada","OK"))))))</f>
        <v/>
      </c>
    </row>
    <row r="363" customFormat="false" ht="15" hidden="false" customHeight="false" outlineLevel="0" collapsed="false">
      <c r="A363" s="16" t="str">
        <f aca="false">IF(B363="","",ROW()-4)</f>
        <v/>
      </c>
      <c r="B363" s="12"/>
      <c r="C363" s="16"/>
      <c r="D363" s="16"/>
      <c r="E363" s="16"/>
      <c r="F363" s="16"/>
      <c r="G363" s="16"/>
      <c r="H363" s="16"/>
      <c r="I363" s="16"/>
      <c r="J363" s="16"/>
      <c r="K363" s="16"/>
      <c r="L363" s="13"/>
      <c r="M363" s="13"/>
      <c r="N363" s="13"/>
      <c r="O363" s="13"/>
      <c r="P363" s="13"/>
      <c r="Q363" s="13"/>
      <c r="R363" s="13"/>
      <c r="S363" s="13"/>
      <c r="T363" s="13"/>
      <c r="U363" s="12"/>
      <c r="V363" s="14"/>
      <c r="W363" s="16"/>
      <c r="X363" s="16"/>
      <c r="Y363" s="16"/>
      <c r="Z363" s="16"/>
      <c r="AA363" s="15" t="str">
        <f aca="false">IF(AND(ISNUMBER(L363),ISNUMBER(M363)),M363-L363,"")</f>
        <v/>
      </c>
      <c r="AB363" s="15" t="str">
        <f aca="false">IF(AND(ISNUMBER(M363),ISNUMBER(P363)),P363-M363,"")</f>
        <v/>
      </c>
      <c r="AC363" s="15" t="str">
        <f aca="false">IF(AND(ISNUMBER(L363),ISNUMBER(P363)),P363-L363,"")</f>
        <v/>
      </c>
      <c r="AD363" s="15" t="str">
        <f aca="false">IF(AND(ISNUMBER(P363),ISNUMBER(Q363)),Q363-P363,"")</f>
        <v/>
      </c>
      <c r="AE363" s="15" t="str">
        <f aca="false">IF(AND(ISNUMBER(Q363),ISNUMBER(R363)),R363-Q363,IF(ISNUMBER(Y363),Y363,""))</f>
        <v/>
      </c>
      <c r="AF363" s="15" t="str">
        <f aca="false">IF(AND(ISNUMBER(R363),ISNUMBER(S363)),S363-R363,"")</f>
        <v/>
      </c>
      <c r="AG363" s="15" t="str">
        <f aca="false">IF(AND(ISNUMBER(S363),ISNUMBER(T363)),T363-S363,"")</f>
        <v/>
      </c>
      <c r="AH363" s="15" t="str">
        <f aca="false">IF(AND(ISNUMBER(L363),ISNUMBER(T363)),T363-L363,"")</f>
        <v/>
      </c>
      <c r="AI363" s="15" t="str">
        <f aca="false">IF(AND(ISNUMBER(O363),ISNUMBER(Q363)),Q363-O363,"")</f>
        <v/>
      </c>
      <c r="AJ363" s="15" t="str">
        <f aca="false">IF(B363="","",COUNT(L363:M363,P363:T363)&amp;"/7")</f>
        <v/>
      </c>
      <c r="AK363" s="15" t="str">
        <f aca="false">IF(B363="","",IF(OR(AND(ISNUMBER(L363),ISNUMBER(M363),M363&lt;L363),AND(ISNUMBER(M363),ISNUMBER(P363),P363&lt;M363),AND(ISNUMBER(P363),ISNUMBER(Q363),Q363&lt;P363),AND(ISNUMBER(Q363),ISNUMBER(R363),R363&lt;Q363),AND(ISNUMBER(R363),ISNUMBER(S363),S363&lt;R363),AND(ISNUMBER(S363),ISNUMBER(T363),T363&lt;S363),AND(ISNUMBER(N363),ISNUMBER(O363),O363&lt;N363)),"Urutan tanggal salah",IF(AND(ISNUMBER(Q363),ISNUMBER(R363),ISNUMBER(Y363),ABS(R363-Q363-Y363)&gt;2),"S tanggal ≠ Sailing tercatat",IF(AND(ISNUMBER(Q363),ISNUMBER(O363),ABS(Q363-O363)&gt;60),"Cek tahun laycan",IF(AND(ISNUMBER(Q363),ISNUMBER(N363),Q363&lt;N363),"Berangkat sebelum laycan",IF(NOT(ISNUMBER(AE363)),"S belum ada","OK"))))))</f>
        <v/>
      </c>
    </row>
    <row r="364" customFormat="false" ht="15" hidden="false" customHeight="false" outlineLevel="0" collapsed="false">
      <c r="A364" s="16" t="str">
        <f aca="false">IF(B364="","",ROW()-4)</f>
        <v/>
      </c>
      <c r="B364" s="12"/>
      <c r="C364" s="16"/>
      <c r="D364" s="16"/>
      <c r="E364" s="16"/>
      <c r="F364" s="16"/>
      <c r="G364" s="16"/>
      <c r="H364" s="16"/>
      <c r="I364" s="16"/>
      <c r="J364" s="16"/>
      <c r="K364" s="16"/>
      <c r="L364" s="13"/>
      <c r="M364" s="13"/>
      <c r="N364" s="13"/>
      <c r="O364" s="13"/>
      <c r="P364" s="13"/>
      <c r="Q364" s="13"/>
      <c r="R364" s="13"/>
      <c r="S364" s="13"/>
      <c r="T364" s="13"/>
      <c r="U364" s="12"/>
      <c r="V364" s="14"/>
      <c r="W364" s="16"/>
      <c r="X364" s="16"/>
      <c r="Y364" s="16"/>
      <c r="Z364" s="16"/>
      <c r="AA364" s="15" t="str">
        <f aca="false">IF(AND(ISNUMBER(L364),ISNUMBER(M364)),M364-L364,"")</f>
        <v/>
      </c>
      <c r="AB364" s="15" t="str">
        <f aca="false">IF(AND(ISNUMBER(M364),ISNUMBER(P364)),P364-M364,"")</f>
        <v/>
      </c>
      <c r="AC364" s="15" t="str">
        <f aca="false">IF(AND(ISNUMBER(L364),ISNUMBER(P364)),P364-L364,"")</f>
        <v/>
      </c>
      <c r="AD364" s="15" t="str">
        <f aca="false">IF(AND(ISNUMBER(P364),ISNUMBER(Q364)),Q364-P364,"")</f>
        <v/>
      </c>
      <c r="AE364" s="15" t="str">
        <f aca="false">IF(AND(ISNUMBER(Q364),ISNUMBER(R364)),R364-Q364,IF(ISNUMBER(Y364),Y364,""))</f>
        <v/>
      </c>
      <c r="AF364" s="15" t="str">
        <f aca="false">IF(AND(ISNUMBER(R364),ISNUMBER(S364)),S364-R364,"")</f>
        <v/>
      </c>
      <c r="AG364" s="15" t="str">
        <f aca="false">IF(AND(ISNUMBER(S364),ISNUMBER(T364)),T364-S364,"")</f>
        <v/>
      </c>
      <c r="AH364" s="15" t="str">
        <f aca="false">IF(AND(ISNUMBER(L364),ISNUMBER(T364)),T364-L364,"")</f>
        <v/>
      </c>
      <c r="AI364" s="15" t="str">
        <f aca="false">IF(AND(ISNUMBER(O364),ISNUMBER(Q364)),Q364-O364,"")</f>
        <v/>
      </c>
      <c r="AJ364" s="15" t="str">
        <f aca="false">IF(B364="","",COUNT(L364:M364,P364:T364)&amp;"/7")</f>
        <v/>
      </c>
      <c r="AK364" s="15" t="str">
        <f aca="false">IF(B364="","",IF(OR(AND(ISNUMBER(L364),ISNUMBER(M364),M364&lt;L364),AND(ISNUMBER(M364),ISNUMBER(P364),P364&lt;M364),AND(ISNUMBER(P364),ISNUMBER(Q364),Q364&lt;P364),AND(ISNUMBER(Q364),ISNUMBER(R364),R364&lt;Q364),AND(ISNUMBER(R364),ISNUMBER(S364),S364&lt;R364),AND(ISNUMBER(S364),ISNUMBER(T364),T364&lt;S364),AND(ISNUMBER(N364),ISNUMBER(O364),O364&lt;N364)),"Urutan tanggal salah",IF(AND(ISNUMBER(Q364),ISNUMBER(R364),ISNUMBER(Y364),ABS(R364-Q364-Y364)&gt;2),"S tanggal ≠ Sailing tercatat",IF(AND(ISNUMBER(Q364),ISNUMBER(O364),ABS(Q364-O364)&gt;60),"Cek tahun laycan",IF(AND(ISNUMBER(Q364),ISNUMBER(N364),Q364&lt;N364),"Berangkat sebelum laycan",IF(NOT(ISNUMBER(AE364)),"S belum ada","OK"))))))</f>
        <v/>
      </c>
    </row>
    <row r="365" customFormat="false" ht="15" hidden="false" customHeight="false" outlineLevel="0" collapsed="false">
      <c r="A365" s="16" t="str">
        <f aca="false">IF(B365="","",ROW()-4)</f>
        <v/>
      </c>
      <c r="B365" s="12"/>
      <c r="C365" s="16"/>
      <c r="D365" s="16"/>
      <c r="E365" s="16"/>
      <c r="F365" s="16"/>
      <c r="G365" s="16"/>
      <c r="H365" s="16"/>
      <c r="I365" s="16"/>
      <c r="J365" s="16"/>
      <c r="K365" s="16"/>
      <c r="L365" s="13"/>
      <c r="M365" s="13"/>
      <c r="N365" s="13"/>
      <c r="O365" s="13"/>
      <c r="P365" s="13"/>
      <c r="Q365" s="13"/>
      <c r="R365" s="13"/>
      <c r="S365" s="13"/>
      <c r="T365" s="13"/>
      <c r="U365" s="12"/>
      <c r="V365" s="14"/>
      <c r="W365" s="16"/>
      <c r="X365" s="16"/>
      <c r="Y365" s="16"/>
      <c r="Z365" s="16"/>
      <c r="AA365" s="15" t="str">
        <f aca="false">IF(AND(ISNUMBER(L365),ISNUMBER(M365)),M365-L365,"")</f>
        <v/>
      </c>
      <c r="AB365" s="15" t="str">
        <f aca="false">IF(AND(ISNUMBER(M365),ISNUMBER(P365)),P365-M365,"")</f>
        <v/>
      </c>
      <c r="AC365" s="15" t="str">
        <f aca="false">IF(AND(ISNUMBER(L365),ISNUMBER(P365)),P365-L365,"")</f>
        <v/>
      </c>
      <c r="AD365" s="15" t="str">
        <f aca="false">IF(AND(ISNUMBER(P365),ISNUMBER(Q365)),Q365-P365,"")</f>
        <v/>
      </c>
      <c r="AE365" s="15" t="str">
        <f aca="false">IF(AND(ISNUMBER(Q365),ISNUMBER(R365)),R365-Q365,IF(ISNUMBER(Y365),Y365,""))</f>
        <v/>
      </c>
      <c r="AF365" s="15" t="str">
        <f aca="false">IF(AND(ISNUMBER(R365),ISNUMBER(S365)),S365-R365,"")</f>
        <v/>
      </c>
      <c r="AG365" s="15" t="str">
        <f aca="false">IF(AND(ISNUMBER(S365),ISNUMBER(T365)),T365-S365,"")</f>
        <v/>
      </c>
      <c r="AH365" s="15" t="str">
        <f aca="false">IF(AND(ISNUMBER(L365),ISNUMBER(T365)),T365-L365,"")</f>
        <v/>
      </c>
      <c r="AI365" s="15" t="str">
        <f aca="false">IF(AND(ISNUMBER(O365),ISNUMBER(Q365)),Q365-O365,"")</f>
        <v/>
      </c>
      <c r="AJ365" s="15" t="str">
        <f aca="false">IF(B365="","",COUNT(L365:M365,P365:T365)&amp;"/7")</f>
        <v/>
      </c>
      <c r="AK365" s="15" t="str">
        <f aca="false">IF(B365="","",IF(OR(AND(ISNUMBER(L365),ISNUMBER(M365),M365&lt;L365),AND(ISNUMBER(M365),ISNUMBER(P365),P365&lt;M365),AND(ISNUMBER(P365),ISNUMBER(Q365),Q365&lt;P365),AND(ISNUMBER(Q365),ISNUMBER(R365),R365&lt;Q365),AND(ISNUMBER(R365),ISNUMBER(S365),S365&lt;R365),AND(ISNUMBER(S365),ISNUMBER(T365),T365&lt;S365),AND(ISNUMBER(N365),ISNUMBER(O365),O365&lt;N365)),"Urutan tanggal salah",IF(AND(ISNUMBER(Q365),ISNUMBER(R365),ISNUMBER(Y365),ABS(R365-Q365-Y365)&gt;2),"S tanggal ≠ Sailing tercatat",IF(AND(ISNUMBER(Q365),ISNUMBER(O365),ABS(Q365-O365)&gt;60),"Cek tahun laycan",IF(AND(ISNUMBER(Q365),ISNUMBER(N365),Q365&lt;N365),"Berangkat sebelum laycan",IF(NOT(ISNUMBER(AE365)),"S belum ada","OK"))))))</f>
        <v/>
      </c>
    </row>
    <row r="366" customFormat="false" ht="15" hidden="false" customHeight="false" outlineLevel="0" collapsed="false">
      <c r="A366" s="16" t="str">
        <f aca="false">IF(B366="","",ROW()-4)</f>
        <v/>
      </c>
      <c r="B366" s="12"/>
      <c r="C366" s="16"/>
      <c r="D366" s="16"/>
      <c r="E366" s="16"/>
      <c r="F366" s="16"/>
      <c r="G366" s="16"/>
      <c r="H366" s="16"/>
      <c r="I366" s="16"/>
      <c r="J366" s="16"/>
      <c r="K366" s="16"/>
      <c r="L366" s="13"/>
      <c r="M366" s="13"/>
      <c r="N366" s="13"/>
      <c r="O366" s="13"/>
      <c r="P366" s="13"/>
      <c r="Q366" s="13"/>
      <c r="R366" s="13"/>
      <c r="S366" s="13"/>
      <c r="T366" s="13"/>
      <c r="U366" s="12"/>
      <c r="V366" s="14"/>
      <c r="W366" s="16"/>
      <c r="X366" s="16"/>
      <c r="Y366" s="16"/>
      <c r="Z366" s="16"/>
      <c r="AA366" s="15" t="str">
        <f aca="false">IF(AND(ISNUMBER(L366),ISNUMBER(M366)),M366-L366,"")</f>
        <v/>
      </c>
      <c r="AB366" s="15" t="str">
        <f aca="false">IF(AND(ISNUMBER(M366),ISNUMBER(P366)),P366-M366,"")</f>
        <v/>
      </c>
      <c r="AC366" s="15" t="str">
        <f aca="false">IF(AND(ISNUMBER(L366),ISNUMBER(P366)),P366-L366,"")</f>
        <v/>
      </c>
      <c r="AD366" s="15" t="str">
        <f aca="false">IF(AND(ISNUMBER(P366),ISNUMBER(Q366)),Q366-P366,"")</f>
        <v/>
      </c>
      <c r="AE366" s="15" t="str">
        <f aca="false">IF(AND(ISNUMBER(Q366),ISNUMBER(R366)),R366-Q366,IF(ISNUMBER(Y366),Y366,""))</f>
        <v/>
      </c>
      <c r="AF366" s="15" t="str">
        <f aca="false">IF(AND(ISNUMBER(R366),ISNUMBER(S366)),S366-R366,"")</f>
        <v/>
      </c>
      <c r="AG366" s="15" t="str">
        <f aca="false">IF(AND(ISNUMBER(S366),ISNUMBER(T366)),T366-S366,"")</f>
        <v/>
      </c>
      <c r="AH366" s="15" t="str">
        <f aca="false">IF(AND(ISNUMBER(L366),ISNUMBER(T366)),T366-L366,"")</f>
        <v/>
      </c>
      <c r="AI366" s="15" t="str">
        <f aca="false">IF(AND(ISNUMBER(O366),ISNUMBER(Q366)),Q366-O366,"")</f>
        <v/>
      </c>
      <c r="AJ366" s="15" t="str">
        <f aca="false">IF(B366="","",COUNT(L366:M366,P366:T366)&amp;"/7")</f>
        <v/>
      </c>
      <c r="AK366" s="15" t="str">
        <f aca="false">IF(B366="","",IF(OR(AND(ISNUMBER(L366),ISNUMBER(M366),M366&lt;L366),AND(ISNUMBER(M366),ISNUMBER(P366),P366&lt;M366),AND(ISNUMBER(P366),ISNUMBER(Q366),Q366&lt;P366),AND(ISNUMBER(Q366),ISNUMBER(R366),R366&lt;Q366),AND(ISNUMBER(R366),ISNUMBER(S366),S366&lt;R366),AND(ISNUMBER(S366),ISNUMBER(T366),T366&lt;S366),AND(ISNUMBER(N366),ISNUMBER(O366),O366&lt;N366)),"Urutan tanggal salah",IF(AND(ISNUMBER(Q366),ISNUMBER(R366),ISNUMBER(Y366),ABS(R366-Q366-Y366)&gt;2),"S tanggal ≠ Sailing tercatat",IF(AND(ISNUMBER(Q366),ISNUMBER(O366),ABS(Q366-O366)&gt;60),"Cek tahun laycan",IF(AND(ISNUMBER(Q366),ISNUMBER(N366),Q366&lt;N366),"Berangkat sebelum laycan",IF(NOT(ISNUMBER(AE366)),"S belum ada","OK"))))))</f>
        <v/>
      </c>
    </row>
    <row r="367" customFormat="false" ht="15" hidden="false" customHeight="false" outlineLevel="0" collapsed="false">
      <c r="A367" s="16" t="str">
        <f aca="false">IF(B367="","",ROW()-4)</f>
        <v/>
      </c>
      <c r="B367" s="12"/>
      <c r="C367" s="16"/>
      <c r="D367" s="16"/>
      <c r="E367" s="16"/>
      <c r="F367" s="16"/>
      <c r="G367" s="16"/>
      <c r="H367" s="16"/>
      <c r="I367" s="16"/>
      <c r="J367" s="16"/>
      <c r="K367" s="16"/>
      <c r="L367" s="13"/>
      <c r="M367" s="13"/>
      <c r="N367" s="13"/>
      <c r="O367" s="13"/>
      <c r="P367" s="13"/>
      <c r="Q367" s="13"/>
      <c r="R367" s="13"/>
      <c r="S367" s="13"/>
      <c r="T367" s="13"/>
      <c r="U367" s="12"/>
      <c r="V367" s="14"/>
      <c r="W367" s="16"/>
      <c r="X367" s="16"/>
      <c r="Y367" s="16"/>
      <c r="Z367" s="16"/>
      <c r="AA367" s="15" t="str">
        <f aca="false">IF(AND(ISNUMBER(L367),ISNUMBER(M367)),M367-L367,"")</f>
        <v/>
      </c>
      <c r="AB367" s="15" t="str">
        <f aca="false">IF(AND(ISNUMBER(M367),ISNUMBER(P367)),P367-M367,"")</f>
        <v/>
      </c>
      <c r="AC367" s="15" t="str">
        <f aca="false">IF(AND(ISNUMBER(L367),ISNUMBER(P367)),P367-L367,"")</f>
        <v/>
      </c>
      <c r="AD367" s="15" t="str">
        <f aca="false">IF(AND(ISNUMBER(P367),ISNUMBER(Q367)),Q367-P367,"")</f>
        <v/>
      </c>
      <c r="AE367" s="15" t="str">
        <f aca="false">IF(AND(ISNUMBER(Q367),ISNUMBER(R367)),R367-Q367,IF(ISNUMBER(Y367),Y367,""))</f>
        <v/>
      </c>
      <c r="AF367" s="15" t="str">
        <f aca="false">IF(AND(ISNUMBER(R367),ISNUMBER(S367)),S367-R367,"")</f>
        <v/>
      </c>
      <c r="AG367" s="15" t="str">
        <f aca="false">IF(AND(ISNUMBER(S367),ISNUMBER(T367)),T367-S367,"")</f>
        <v/>
      </c>
      <c r="AH367" s="15" t="str">
        <f aca="false">IF(AND(ISNUMBER(L367),ISNUMBER(T367)),T367-L367,"")</f>
        <v/>
      </c>
      <c r="AI367" s="15" t="str">
        <f aca="false">IF(AND(ISNUMBER(O367),ISNUMBER(Q367)),Q367-O367,"")</f>
        <v/>
      </c>
      <c r="AJ367" s="15" t="str">
        <f aca="false">IF(B367="","",COUNT(L367:M367,P367:T367)&amp;"/7")</f>
        <v/>
      </c>
      <c r="AK367" s="15" t="str">
        <f aca="false">IF(B367="","",IF(OR(AND(ISNUMBER(L367),ISNUMBER(M367),M367&lt;L367),AND(ISNUMBER(M367),ISNUMBER(P367),P367&lt;M367),AND(ISNUMBER(P367),ISNUMBER(Q367),Q367&lt;P367),AND(ISNUMBER(Q367),ISNUMBER(R367),R367&lt;Q367),AND(ISNUMBER(R367),ISNUMBER(S367),S367&lt;R367),AND(ISNUMBER(S367),ISNUMBER(T367),T367&lt;S367),AND(ISNUMBER(N367),ISNUMBER(O367),O367&lt;N367)),"Urutan tanggal salah",IF(AND(ISNUMBER(Q367),ISNUMBER(R367),ISNUMBER(Y367),ABS(R367-Q367-Y367)&gt;2),"S tanggal ≠ Sailing tercatat",IF(AND(ISNUMBER(Q367),ISNUMBER(O367),ABS(Q367-O367)&gt;60),"Cek tahun laycan",IF(AND(ISNUMBER(Q367),ISNUMBER(N367),Q367&lt;N367),"Berangkat sebelum laycan",IF(NOT(ISNUMBER(AE367)),"S belum ada","OK"))))))</f>
        <v/>
      </c>
    </row>
    <row r="368" customFormat="false" ht="15" hidden="false" customHeight="false" outlineLevel="0" collapsed="false">
      <c r="A368" s="16" t="str">
        <f aca="false">IF(B368="","",ROW()-4)</f>
        <v/>
      </c>
      <c r="B368" s="12"/>
      <c r="C368" s="16"/>
      <c r="D368" s="16"/>
      <c r="E368" s="16"/>
      <c r="F368" s="16"/>
      <c r="G368" s="16"/>
      <c r="H368" s="16"/>
      <c r="I368" s="16"/>
      <c r="J368" s="16"/>
      <c r="K368" s="16"/>
      <c r="L368" s="13"/>
      <c r="M368" s="13"/>
      <c r="N368" s="13"/>
      <c r="O368" s="13"/>
      <c r="P368" s="13"/>
      <c r="Q368" s="13"/>
      <c r="R368" s="13"/>
      <c r="S368" s="13"/>
      <c r="T368" s="13"/>
      <c r="U368" s="12"/>
      <c r="V368" s="14"/>
      <c r="W368" s="16"/>
      <c r="X368" s="16"/>
      <c r="Y368" s="16"/>
      <c r="Z368" s="16"/>
      <c r="AA368" s="15" t="str">
        <f aca="false">IF(AND(ISNUMBER(L368),ISNUMBER(M368)),M368-L368,"")</f>
        <v/>
      </c>
      <c r="AB368" s="15" t="str">
        <f aca="false">IF(AND(ISNUMBER(M368),ISNUMBER(P368)),P368-M368,"")</f>
        <v/>
      </c>
      <c r="AC368" s="15" t="str">
        <f aca="false">IF(AND(ISNUMBER(L368),ISNUMBER(P368)),P368-L368,"")</f>
        <v/>
      </c>
      <c r="AD368" s="15" t="str">
        <f aca="false">IF(AND(ISNUMBER(P368),ISNUMBER(Q368)),Q368-P368,"")</f>
        <v/>
      </c>
      <c r="AE368" s="15" t="str">
        <f aca="false">IF(AND(ISNUMBER(Q368),ISNUMBER(R368)),R368-Q368,IF(ISNUMBER(Y368),Y368,""))</f>
        <v/>
      </c>
      <c r="AF368" s="15" t="str">
        <f aca="false">IF(AND(ISNUMBER(R368),ISNUMBER(S368)),S368-R368,"")</f>
        <v/>
      </c>
      <c r="AG368" s="15" t="str">
        <f aca="false">IF(AND(ISNUMBER(S368),ISNUMBER(T368)),T368-S368,"")</f>
        <v/>
      </c>
      <c r="AH368" s="15" t="str">
        <f aca="false">IF(AND(ISNUMBER(L368),ISNUMBER(T368)),T368-L368,"")</f>
        <v/>
      </c>
      <c r="AI368" s="15" t="str">
        <f aca="false">IF(AND(ISNUMBER(O368),ISNUMBER(Q368)),Q368-O368,"")</f>
        <v/>
      </c>
      <c r="AJ368" s="15" t="str">
        <f aca="false">IF(B368="","",COUNT(L368:M368,P368:T368)&amp;"/7")</f>
        <v/>
      </c>
      <c r="AK368" s="15" t="str">
        <f aca="false">IF(B368="","",IF(OR(AND(ISNUMBER(L368),ISNUMBER(M368),M368&lt;L368),AND(ISNUMBER(M368),ISNUMBER(P368),P368&lt;M368),AND(ISNUMBER(P368),ISNUMBER(Q368),Q368&lt;P368),AND(ISNUMBER(Q368),ISNUMBER(R368),R368&lt;Q368),AND(ISNUMBER(R368),ISNUMBER(S368),S368&lt;R368),AND(ISNUMBER(S368),ISNUMBER(T368),T368&lt;S368),AND(ISNUMBER(N368),ISNUMBER(O368),O368&lt;N368)),"Urutan tanggal salah",IF(AND(ISNUMBER(Q368),ISNUMBER(R368),ISNUMBER(Y368),ABS(R368-Q368-Y368)&gt;2),"S tanggal ≠ Sailing tercatat",IF(AND(ISNUMBER(Q368),ISNUMBER(O368),ABS(Q368-O368)&gt;60),"Cek tahun laycan",IF(AND(ISNUMBER(Q368),ISNUMBER(N368),Q368&lt;N368),"Berangkat sebelum laycan",IF(NOT(ISNUMBER(AE368)),"S belum ada","OK"))))))</f>
        <v/>
      </c>
    </row>
    <row r="369" customFormat="false" ht="15" hidden="false" customHeight="false" outlineLevel="0" collapsed="false">
      <c r="A369" s="16" t="str">
        <f aca="false">IF(B369="","",ROW()-4)</f>
        <v/>
      </c>
      <c r="B369" s="12"/>
      <c r="C369" s="16"/>
      <c r="D369" s="16"/>
      <c r="E369" s="16"/>
      <c r="F369" s="16"/>
      <c r="G369" s="16"/>
      <c r="H369" s="16"/>
      <c r="I369" s="16"/>
      <c r="J369" s="16"/>
      <c r="K369" s="16"/>
      <c r="L369" s="13"/>
      <c r="M369" s="13"/>
      <c r="N369" s="13"/>
      <c r="O369" s="13"/>
      <c r="P369" s="13"/>
      <c r="Q369" s="13"/>
      <c r="R369" s="13"/>
      <c r="S369" s="13"/>
      <c r="T369" s="13"/>
      <c r="U369" s="12"/>
      <c r="V369" s="14"/>
      <c r="W369" s="16"/>
      <c r="X369" s="16"/>
      <c r="Y369" s="16"/>
      <c r="Z369" s="16"/>
      <c r="AA369" s="15" t="str">
        <f aca="false">IF(AND(ISNUMBER(L369),ISNUMBER(M369)),M369-L369,"")</f>
        <v/>
      </c>
      <c r="AB369" s="15" t="str">
        <f aca="false">IF(AND(ISNUMBER(M369),ISNUMBER(P369)),P369-M369,"")</f>
        <v/>
      </c>
      <c r="AC369" s="15" t="str">
        <f aca="false">IF(AND(ISNUMBER(L369),ISNUMBER(P369)),P369-L369,"")</f>
        <v/>
      </c>
      <c r="AD369" s="15" t="str">
        <f aca="false">IF(AND(ISNUMBER(P369),ISNUMBER(Q369)),Q369-P369,"")</f>
        <v/>
      </c>
      <c r="AE369" s="15" t="str">
        <f aca="false">IF(AND(ISNUMBER(Q369),ISNUMBER(R369)),R369-Q369,IF(ISNUMBER(Y369),Y369,""))</f>
        <v/>
      </c>
      <c r="AF369" s="15" t="str">
        <f aca="false">IF(AND(ISNUMBER(R369),ISNUMBER(S369)),S369-R369,"")</f>
        <v/>
      </c>
      <c r="AG369" s="15" t="str">
        <f aca="false">IF(AND(ISNUMBER(S369),ISNUMBER(T369)),T369-S369,"")</f>
        <v/>
      </c>
      <c r="AH369" s="15" t="str">
        <f aca="false">IF(AND(ISNUMBER(L369),ISNUMBER(T369)),T369-L369,"")</f>
        <v/>
      </c>
      <c r="AI369" s="15" t="str">
        <f aca="false">IF(AND(ISNUMBER(O369),ISNUMBER(Q369)),Q369-O369,"")</f>
        <v/>
      </c>
      <c r="AJ369" s="15" t="str">
        <f aca="false">IF(B369="","",COUNT(L369:M369,P369:T369)&amp;"/7")</f>
        <v/>
      </c>
      <c r="AK369" s="15" t="str">
        <f aca="false">IF(B369="","",IF(OR(AND(ISNUMBER(L369),ISNUMBER(M369),M369&lt;L369),AND(ISNUMBER(M369),ISNUMBER(P369),P369&lt;M369),AND(ISNUMBER(P369),ISNUMBER(Q369),Q369&lt;P369),AND(ISNUMBER(Q369),ISNUMBER(R369),R369&lt;Q369),AND(ISNUMBER(R369),ISNUMBER(S369),S369&lt;R369),AND(ISNUMBER(S369),ISNUMBER(T369),T369&lt;S369),AND(ISNUMBER(N369),ISNUMBER(O369),O369&lt;N369)),"Urutan tanggal salah",IF(AND(ISNUMBER(Q369),ISNUMBER(R369),ISNUMBER(Y369),ABS(R369-Q369-Y369)&gt;2),"S tanggal ≠ Sailing tercatat",IF(AND(ISNUMBER(Q369),ISNUMBER(O369),ABS(Q369-O369)&gt;60),"Cek tahun laycan",IF(AND(ISNUMBER(Q369),ISNUMBER(N369),Q369&lt;N369),"Berangkat sebelum laycan",IF(NOT(ISNUMBER(AE369)),"S belum ada","OK"))))))</f>
        <v/>
      </c>
    </row>
    <row r="370" customFormat="false" ht="15" hidden="false" customHeight="false" outlineLevel="0" collapsed="false">
      <c r="A370" s="16" t="str">
        <f aca="false">IF(B370="","",ROW()-4)</f>
        <v/>
      </c>
      <c r="B370" s="12"/>
      <c r="C370" s="16"/>
      <c r="D370" s="16"/>
      <c r="E370" s="16"/>
      <c r="F370" s="16"/>
      <c r="G370" s="16"/>
      <c r="H370" s="16"/>
      <c r="I370" s="16"/>
      <c r="J370" s="16"/>
      <c r="K370" s="16"/>
      <c r="L370" s="13"/>
      <c r="M370" s="13"/>
      <c r="N370" s="13"/>
      <c r="O370" s="13"/>
      <c r="P370" s="13"/>
      <c r="Q370" s="13"/>
      <c r="R370" s="13"/>
      <c r="S370" s="13"/>
      <c r="T370" s="13"/>
      <c r="U370" s="12"/>
      <c r="V370" s="14"/>
      <c r="W370" s="16"/>
      <c r="X370" s="16"/>
      <c r="Y370" s="16"/>
      <c r="Z370" s="16"/>
      <c r="AA370" s="15" t="str">
        <f aca="false">IF(AND(ISNUMBER(L370),ISNUMBER(M370)),M370-L370,"")</f>
        <v/>
      </c>
      <c r="AB370" s="15" t="str">
        <f aca="false">IF(AND(ISNUMBER(M370),ISNUMBER(P370)),P370-M370,"")</f>
        <v/>
      </c>
      <c r="AC370" s="15" t="str">
        <f aca="false">IF(AND(ISNUMBER(L370),ISNUMBER(P370)),P370-L370,"")</f>
        <v/>
      </c>
      <c r="AD370" s="15" t="str">
        <f aca="false">IF(AND(ISNUMBER(P370),ISNUMBER(Q370)),Q370-P370,"")</f>
        <v/>
      </c>
      <c r="AE370" s="15" t="str">
        <f aca="false">IF(AND(ISNUMBER(Q370),ISNUMBER(R370)),R370-Q370,IF(ISNUMBER(Y370),Y370,""))</f>
        <v/>
      </c>
      <c r="AF370" s="15" t="str">
        <f aca="false">IF(AND(ISNUMBER(R370),ISNUMBER(S370)),S370-R370,"")</f>
        <v/>
      </c>
      <c r="AG370" s="15" t="str">
        <f aca="false">IF(AND(ISNUMBER(S370),ISNUMBER(T370)),T370-S370,"")</f>
        <v/>
      </c>
      <c r="AH370" s="15" t="str">
        <f aca="false">IF(AND(ISNUMBER(L370),ISNUMBER(T370)),T370-L370,"")</f>
        <v/>
      </c>
      <c r="AI370" s="15" t="str">
        <f aca="false">IF(AND(ISNUMBER(O370),ISNUMBER(Q370)),Q370-O370,"")</f>
        <v/>
      </c>
      <c r="AJ370" s="15" t="str">
        <f aca="false">IF(B370="","",COUNT(L370:M370,P370:T370)&amp;"/7")</f>
        <v/>
      </c>
      <c r="AK370" s="15" t="str">
        <f aca="false">IF(B370="","",IF(OR(AND(ISNUMBER(L370),ISNUMBER(M370),M370&lt;L370),AND(ISNUMBER(M370),ISNUMBER(P370),P370&lt;M370),AND(ISNUMBER(P370),ISNUMBER(Q370),Q370&lt;P370),AND(ISNUMBER(Q370),ISNUMBER(R370),R370&lt;Q370),AND(ISNUMBER(R370),ISNUMBER(S370),S370&lt;R370),AND(ISNUMBER(S370),ISNUMBER(T370),T370&lt;S370),AND(ISNUMBER(N370),ISNUMBER(O370),O370&lt;N370)),"Urutan tanggal salah",IF(AND(ISNUMBER(Q370),ISNUMBER(R370),ISNUMBER(Y370),ABS(R370-Q370-Y370)&gt;2),"S tanggal ≠ Sailing tercatat",IF(AND(ISNUMBER(Q370),ISNUMBER(O370),ABS(Q370-O370)&gt;60),"Cek tahun laycan",IF(AND(ISNUMBER(Q370),ISNUMBER(N370),Q370&lt;N370),"Berangkat sebelum laycan",IF(NOT(ISNUMBER(AE370)),"S belum ada","OK"))))))</f>
        <v/>
      </c>
    </row>
    <row r="371" customFormat="false" ht="15" hidden="false" customHeight="false" outlineLevel="0" collapsed="false">
      <c r="A371" s="16" t="str">
        <f aca="false">IF(B371="","",ROW()-4)</f>
        <v/>
      </c>
      <c r="B371" s="12"/>
      <c r="C371" s="16"/>
      <c r="D371" s="16"/>
      <c r="E371" s="16"/>
      <c r="F371" s="16"/>
      <c r="G371" s="16"/>
      <c r="H371" s="16"/>
      <c r="I371" s="16"/>
      <c r="J371" s="16"/>
      <c r="K371" s="16"/>
      <c r="L371" s="13"/>
      <c r="M371" s="13"/>
      <c r="N371" s="13"/>
      <c r="O371" s="13"/>
      <c r="P371" s="13"/>
      <c r="Q371" s="13"/>
      <c r="R371" s="13"/>
      <c r="S371" s="13"/>
      <c r="T371" s="13"/>
      <c r="U371" s="12"/>
      <c r="V371" s="14"/>
      <c r="W371" s="16"/>
      <c r="X371" s="16"/>
      <c r="Y371" s="16"/>
      <c r="Z371" s="16"/>
      <c r="AA371" s="15" t="str">
        <f aca="false">IF(AND(ISNUMBER(L371),ISNUMBER(M371)),M371-L371,"")</f>
        <v/>
      </c>
      <c r="AB371" s="15" t="str">
        <f aca="false">IF(AND(ISNUMBER(M371),ISNUMBER(P371)),P371-M371,"")</f>
        <v/>
      </c>
      <c r="AC371" s="15" t="str">
        <f aca="false">IF(AND(ISNUMBER(L371),ISNUMBER(P371)),P371-L371,"")</f>
        <v/>
      </c>
      <c r="AD371" s="15" t="str">
        <f aca="false">IF(AND(ISNUMBER(P371),ISNUMBER(Q371)),Q371-P371,"")</f>
        <v/>
      </c>
      <c r="AE371" s="15" t="str">
        <f aca="false">IF(AND(ISNUMBER(Q371),ISNUMBER(R371)),R371-Q371,IF(ISNUMBER(Y371),Y371,""))</f>
        <v/>
      </c>
      <c r="AF371" s="15" t="str">
        <f aca="false">IF(AND(ISNUMBER(R371),ISNUMBER(S371)),S371-R371,"")</f>
        <v/>
      </c>
      <c r="AG371" s="15" t="str">
        <f aca="false">IF(AND(ISNUMBER(S371),ISNUMBER(T371)),T371-S371,"")</f>
        <v/>
      </c>
      <c r="AH371" s="15" t="str">
        <f aca="false">IF(AND(ISNUMBER(L371),ISNUMBER(T371)),T371-L371,"")</f>
        <v/>
      </c>
      <c r="AI371" s="15" t="str">
        <f aca="false">IF(AND(ISNUMBER(O371),ISNUMBER(Q371)),Q371-O371,"")</f>
        <v/>
      </c>
      <c r="AJ371" s="15" t="str">
        <f aca="false">IF(B371="","",COUNT(L371:M371,P371:T371)&amp;"/7")</f>
        <v/>
      </c>
      <c r="AK371" s="15" t="str">
        <f aca="false">IF(B371="","",IF(OR(AND(ISNUMBER(L371),ISNUMBER(M371),M371&lt;L371),AND(ISNUMBER(M371),ISNUMBER(P371),P371&lt;M371),AND(ISNUMBER(P371),ISNUMBER(Q371),Q371&lt;P371),AND(ISNUMBER(Q371),ISNUMBER(R371),R371&lt;Q371),AND(ISNUMBER(R371),ISNUMBER(S371),S371&lt;R371),AND(ISNUMBER(S371),ISNUMBER(T371),T371&lt;S371),AND(ISNUMBER(N371),ISNUMBER(O371),O371&lt;N371)),"Urutan tanggal salah",IF(AND(ISNUMBER(Q371),ISNUMBER(R371),ISNUMBER(Y371),ABS(R371-Q371-Y371)&gt;2),"S tanggal ≠ Sailing tercatat",IF(AND(ISNUMBER(Q371),ISNUMBER(O371),ABS(Q371-O371)&gt;60),"Cek tahun laycan",IF(AND(ISNUMBER(Q371),ISNUMBER(N371),Q371&lt;N371),"Berangkat sebelum laycan",IF(NOT(ISNUMBER(AE371)),"S belum ada","OK"))))))</f>
        <v/>
      </c>
    </row>
    <row r="372" customFormat="false" ht="15" hidden="false" customHeight="false" outlineLevel="0" collapsed="false">
      <c r="A372" s="16" t="str">
        <f aca="false">IF(B372="","",ROW()-4)</f>
        <v/>
      </c>
      <c r="B372" s="12"/>
      <c r="C372" s="16"/>
      <c r="D372" s="16"/>
      <c r="E372" s="16"/>
      <c r="F372" s="16"/>
      <c r="G372" s="16"/>
      <c r="H372" s="16"/>
      <c r="I372" s="16"/>
      <c r="J372" s="16"/>
      <c r="K372" s="16"/>
      <c r="L372" s="13"/>
      <c r="M372" s="13"/>
      <c r="N372" s="13"/>
      <c r="O372" s="13"/>
      <c r="P372" s="13"/>
      <c r="Q372" s="13"/>
      <c r="R372" s="13"/>
      <c r="S372" s="13"/>
      <c r="T372" s="13"/>
      <c r="U372" s="12"/>
      <c r="V372" s="14"/>
      <c r="W372" s="16"/>
      <c r="X372" s="16"/>
      <c r="Y372" s="16"/>
      <c r="Z372" s="16"/>
      <c r="AA372" s="15" t="str">
        <f aca="false">IF(AND(ISNUMBER(L372),ISNUMBER(M372)),M372-L372,"")</f>
        <v/>
      </c>
      <c r="AB372" s="15" t="str">
        <f aca="false">IF(AND(ISNUMBER(M372),ISNUMBER(P372)),P372-M372,"")</f>
        <v/>
      </c>
      <c r="AC372" s="15" t="str">
        <f aca="false">IF(AND(ISNUMBER(L372),ISNUMBER(P372)),P372-L372,"")</f>
        <v/>
      </c>
      <c r="AD372" s="15" t="str">
        <f aca="false">IF(AND(ISNUMBER(P372),ISNUMBER(Q372)),Q372-P372,"")</f>
        <v/>
      </c>
      <c r="AE372" s="15" t="str">
        <f aca="false">IF(AND(ISNUMBER(Q372),ISNUMBER(R372)),R372-Q372,IF(ISNUMBER(Y372),Y372,""))</f>
        <v/>
      </c>
      <c r="AF372" s="15" t="str">
        <f aca="false">IF(AND(ISNUMBER(R372),ISNUMBER(S372)),S372-R372,"")</f>
        <v/>
      </c>
      <c r="AG372" s="15" t="str">
        <f aca="false">IF(AND(ISNUMBER(S372),ISNUMBER(T372)),T372-S372,"")</f>
        <v/>
      </c>
      <c r="AH372" s="15" t="str">
        <f aca="false">IF(AND(ISNUMBER(L372),ISNUMBER(T372)),T372-L372,"")</f>
        <v/>
      </c>
      <c r="AI372" s="15" t="str">
        <f aca="false">IF(AND(ISNUMBER(O372),ISNUMBER(Q372)),Q372-O372,"")</f>
        <v/>
      </c>
      <c r="AJ372" s="15" t="str">
        <f aca="false">IF(B372="","",COUNT(L372:M372,P372:T372)&amp;"/7")</f>
        <v/>
      </c>
      <c r="AK372" s="15" t="str">
        <f aca="false">IF(B372="","",IF(OR(AND(ISNUMBER(L372),ISNUMBER(M372),M372&lt;L372),AND(ISNUMBER(M372),ISNUMBER(P372),P372&lt;M372),AND(ISNUMBER(P372),ISNUMBER(Q372),Q372&lt;P372),AND(ISNUMBER(Q372),ISNUMBER(R372),R372&lt;Q372),AND(ISNUMBER(R372),ISNUMBER(S372),S372&lt;R372),AND(ISNUMBER(S372),ISNUMBER(T372),T372&lt;S372),AND(ISNUMBER(N372),ISNUMBER(O372),O372&lt;N372)),"Urutan tanggal salah",IF(AND(ISNUMBER(Q372),ISNUMBER(R372),ISNUMBER(Y372),ABS(R372-Q372-Y372)&gt;2),"S tanggal ≠ Sailing tercatat",IF(AND(ISNUMBER(Q372),ISNUMBER(O372),ABS(Q372-O372)&gt;60),"Cek tahun laycan",IF(AND(ISNUMBER(Q372),ISNUMBER(N372),Q372&lt;N372),"Berangkat sebelum laycan",IF(NOT(ISNUMBER(AE372)),"S belum ada","OK"))))))</f>
        <v/>
      </c>
    </row>
    <row r="373" customFormat="false" ht="15" hidden="false" customHeight="false" outlineLevel="0" collapsed="false">
      <c r="A373" s="16" t="str">
        <f aca="false">IF(B373="","",ROW()-4)</f>
        <v/>
      </c>
      <c r="B373" s="12"/>
      <c r="C373" s="16"/>
      <c r="D373" s="16"/>
      <c r="E373" s="16"/>
      <c r="F373" s="16"/>
      <c r="G373" s="16"/>
      <c r="H373" s="16"/>
      <c r="I373" s="16"/>
      <c r="J373" s="16"/>
      <c r="K373" s="16"/>
      <c r="L373" s="13"/>
      <c r="M373" s="13"/>
      <c r="N373" s="13"/>
      <c r="O373" s="13"/>
      <c r="P373" s="13"/>
      <c r="Q373" s="13"/>
      <c r="R373" s="13"/>
      <c r="S373" s="13"/>
      <c r="T373" s="13"/>
      <c r="U373" s="12"/>
      <c r="V373" s="14"/>
      <c r="W373" s="16"/>
      <c r="X373" s="16"/>
      <c r="Y373" s="16"/>
      <c r="Z373" s="16"/>
      <c r="AA373" s="15" t="str">
        <f aca="false">IF(AND(ISNUMBER(L373),ISNUMBER(M373)),M373-L373,"")</f>
        <v/>
      </c>
      <c r="AB373" s="15" t="str">
        <f aca="false">IF(AND(ISNUMBER(M373),ISNUMBER(P373)),P373-M373,"")</f>
        <v/>
      </c>
      <c r="AC373" s="15" t="str">
        <f aca="false">IF(AND(ISNUMBER(L373),ISNUMBER(P373)),P373-L373,"")</f>
        <v/>
      </c>
      <c r="AD373" s="15" t="str">
        <f aca="false">IF(AND(ISNUMBER(P373),ISNUMBER(Q373)),Q373-P373,"")</f>
        <v/>
      </c>
      <c r="AE373" s="15" t="str">
        <f aca="false">IF(AND(ISNUMBER(Q373),ISNUMBER(R373)),R373-Q373,IF(ISNUMBER(Y373),Y373,""))</f>
        <v/>
      </c>
      <c r="AF373" s="15" t="str">
        <f aca="false">IF(AND(ISNUMBER(R373),ISNUMBER(S373)),S373-R373,"")</f>
        <v/>
      </c>
      <c r="AG373" s="15" t="str">
        <f aca="false">IF(AND(ISNUMBER(S373),ISNUMBER(T373)),T373-S373,"")</f>
        <v/>
      </c>
      <c r="AH373" s="15" t="str">
        <f aca="false">IF(AND(ISNUMBER(L373),ISNUMBER(T373)),T373-L373,"")</f>
        <v/>
      </c>
      <c r="AI373" s="15" t="str">
        <f aca="false">IF(AND(ISNUMBER(O373),ISNUMBER(Q373)),Q373-O373,"")</f>
        <v/>
      </c>
      <c r="AJ373" s="15" t="str">
        <f aca="false">IF(B373="","",COUNT(L373:M373,P373:T373)&amp;"/7")</f>
        <v/>
      </c>
      <c r="AK373" s="15" t="str">
        <f aca="false">IF(B373="","",IF(OR(AND(ISNUMBER(L373),ISNUMBER(M373),M373&lt;L373),AND(ISNUMBER(M373),ISNUMBER(P373),P373&lt;M373),AND(ISNUMBER(P373),ISNUMBER(Q373),Q373&lt;P373),AND(ISNUMBER(Q373),ISNUMBER(R373),R373&lt;Q373),AND(ISNUMBER(R373),ISNUMBER(S373),S373&lt;R373),AND(ISNUMBER(S373),ISNUMBER(T373),T373&lt;S373),AND(ISNUMBER(N373),ISNUMBER(O373),O373&lt;N373)),"Urutan tanggal salah",IF(AND(ISNUMBER(Q373),ISNUMBER(R373),ISNUMBER(Y373),ABS(R373-Q373-Y373)&gt;2),"S tanggal ≠ Sailing tercatat",IF(AND(ISNUMBER(Q373),ISNUMBER(O373),ABS(Q373-O373)&gt;60),"Cek tahun laycan",IF(AND(ISNUMBER(Q373),ISNUMBER(N373),Q373&lt;N373),"Berangkat sebelum laycan",IF(NOT(ISNUMBER(AE373)),"S belum ada","OK"))))))</f>
        <v/>
      </c>
    </row>
    <row r="374" customFormat="false" ht="15" hidden="false" customHeight="false" outlineLevel="0" collapsed="false">
      <c r="A374" s="16" t="str">
        <f aca="false">IF(B374="","",ROW()-4)</f>
        <v/>
      </c>
      <c r="B374" s="12"/>
      <c r="C374" s="16"/>
      <c r="D374" s="16"/>
      <c r="E374" s="16"/>
      <c r="F374" s="16"/>
      <c r="G374" s="16"/>
      <c r="H374" s="16"/>
      <c r="I374" s="16"/>
      <c r="J374" s="16"/>
      <c r="K374" s="16"/>
      <c r="L374" s="13"/>
      <c r="M374" s="13"/>
      <c r="N374" s="13"/>
      <c r="O374" s="13"/>
      <c r="P374" s="13"/>
      <c r="Q374" s="13"/>
      <c r="R374" s="13"/>
      <c r="S374" s="13"/>
      <c r="T374" s="13"/>
      <c r="U374" s="12"/>
      <c r="V374" s="14"/>
      <c r="W374" s="16"/>
      <c r="X374" s="16"/>
      <c r="Y374" s="16"/>
      <c r="Z374" s="16"/>
      <c r="AA374" s="15" t="str">
        <f aca="false">IF(AND(ISNUMBER(L374),ISNUMBER(M374)),M374-L374,"")</f>
        <v/>
      </c>
      <c r="AB374" s="15" t="str">
        <f aca="false">IF(AND(ISNUMBER(M374),ISNUMBER(P374)),P374-M374,"")</f>
        <v/>
      </c>
      <c r="AC374" s="15" t="str">
        <f aca="false">IF(AND(ISNUMBER(L374),ISNUMBER(P374)),P374-L374,"")</f>
        <v/>
      </c>
      <c r="AD374" s="15" t="str">
        <f aca="false">IF(AND(ISNUMBER(P374),ISNUMBER(Q374)),Q374-P374,"")</f>
        <v/>
      </c>
      <c r="AE374" s="15" t="str">
        <f aca="false">IF(AND(ISNUMBER(Q374),ISNUMBER(R374)),R374-Q374,IF(ISNUMBER(Y374),Y374,""))</f>
        <v/>
      </c>
      <c r="AF374" s="15" t="str">
        <f aca="false">IF(AND(ISNUMBER(R374),ISNUMBER(S374)),S374-R374,"")</f>
        <v/>
      </c>
      <c r="AG374" s="15" t="str">
        <f aca="false">IF(AND(ISNUMBER(S374),ISNUMBER(T374)),T374-S374,"")</f>
        <v/>
      </c>
      <c r="AH374" s="15" t="str">
        <f aca="false">IF(AND(ISNUMBER(L374),ISNUMBER(T374)),T374-L374,"")</f>
        <v/>
      </c>
      <c r="AI374" s="15" t="str">
        <f aca="false">IF(AND(ISNUMBER(O374),ISNUMBER(Q374)),Q374-O374,"")</f>
        <v/>
      </c>
      <c r="AJ374" s="15" t="str">
        <f aca="false">IF(B374="","",COUNT(L374:M374,P374:T374)&amp;"/7")</f>
        <v/>
      </c>
      <c r="AK374" s="15" t="str">
        <f aca="false">IF(B374="","",IF(OR(AND(ISNUMBER(L374),ISNUMBER(M374),M374&lt;L374),AND(ISNUMBER(M374),ISNUMBER(P374),P374&lt;M374),AND(ISNUMBER(P374),ISNUMBER(Q374),Q374&lt;P374),AND(ISNUMBER(Q374),ISNUMBER(R374),R374&lt;Q374),AND(ISNUMBER(R374),ISNUMBER(S374),S374&lt;R374),AND(ISNUMBER(S374),ISNUMBER(T374),T374&lt;S374),AND(ISNUMBER(N374),ISNUMBER(O374),O374&lt;N374)),"Urutan tanggal salah",IF(AND(ISNUMBER(Q374),ISNUMBER(R374),ISNUMBER(Y374),ABS(R374-Q374-Y374)&gt;2),"S tanggal ≠ Sailing tercatat",IF(AND(ISNUMBER(Q374),ISNUMBER(O374),ABS(Q374-O374)&gt;60),"Cek tahun laycan",IF(AND(ISNUMBER(Q374),ISNUMBER(N374),Q374&lt;N374),"Berangkat sebelum laycan",IF(NOT(ISNUMBER(AE374)),"S belum ada","OK"))))))</f>
        <v/>
      </c>
    </row>
    <row r="375" customFormat="false" ht="15" hidden="false" customHeight="false" outlineLevel="0" collapsed="false">
      <c r="A375" s="16" t="str">
        <f aca="false">IF(B375="","",ROW()-4)</f>
        <v/>
      </c>
      <c r="B375" s="12"/>
      <c r="C375" s="16"/>
      <c r="D375" s="16"/>
      <c r="E375" s="16"/>
      <c r="F375" s="16"/>
      <c r="G375" s="16"/>
      <c r="H375" s="16"/>
      <c r="I375" s="16"/>
      <c r="J375" s="16"/>
      <c r="K375" s="16"/>
      <c r="L375" s="13"/>
      <c r="M375" s="13"/>
      <c r="N375" s="13"/>
      <c r="O375" s="13"/>
      <c r="P375" s="13"/>
      <c r="Q375" s="13"/>
      <c r="R375" s="13"/>
      <c r="S375" s="13"/>
      <c r="T375" s="13"/>
      <c r="U375" s="12"/>
      <c r="V375" s="14"/>
      <c r="W375" s="16"/>
      <c r="X375" s="16"/>
      <c r="Y375" s="16"/>
      <c r="Z375" s="16"/>
      <c r="AA375" s="15" t="str">
        <f aca="false">IF(AND(ISNUMBER(L375),ISNUMBER(M375)),M375-L375,"")</f>
        <v/>
      </c>
      <c r="AB375" s="15" t="str">
        <f aca="false">IF(AND(ISNUMBER(M375),ISNUMBER(P375)),P375-M375,"")</f>
        <v/>
      </c>
      <c r="AC375" s="15" t="str">
        <f aca="false">IF(AND(ISNUMBER(L375),ISNUMBER(P375)),P375-L375,"")</f>
        <v/>
      </c>
      <c r="AD375" s="15" t="str">
        <f aca="false">IF(AND(ISNUMBER(P375),ISNUMBER(Q375)),Q375-P375,"")</f>
        <v/>
      </c>
      <c r="AE375" s="15" t="str">
        <f aca="false">IF(AND(ISNUMBER(Q375),ISNUMBER(R375)),R375-Q375,IF(ISNUMBER(Y375),Y375,""))</f>
        <v/>
      </c>
      <c r="AF375" s="15" t="str">
        <f aca="false">IF(AND(ISNUMBER(R375),ISNUMBER(S375)),S375-R375,"")</f>
        <v/>
      </c>
      <c r="AG375" s="15" t="str">
        <f aca="false">IF(AND(ISNUMBER(S375),ISNUMBER(T375)),T375-S375,"")</f>
        <v/>
      </c>
      <c r="AH375" s="15" t="str">
        <f aca="false">IF(AND(ISNUMBER(L375),ISNUMBER(T375)),T375-L375,"")</f>
        <v/>
      </c>
      <c r="AI375" s="15" t="str">
        <f aca="false">IF(AND(ISNUMBER(O375),ISNUMBER(Q375)),Q375-O375,"")</f>
        <v/>
      </c>
      <c r="AJ375" s="15" t="str">
        <f aca="false">IF(B375="","",COUNT(L375:M375,P375:T375)&amp;"/7")</f>
        <v/>
      </c>
      <c r="AK375" s="15" t="str">
        <f aca="false">IF(B375="","",IF(OR(AND(ISNUMBER(L375),ISNUMBER(M375),M375&lt;L375),AND(ISNUMBER(M375),ISNUMBER(P375),P375&lt;M375),AND(ISNUMBER(P375),ISNUMBER(Q375),Q375&lt;P375),AND(ISNUMBER(Q375),ISNUMBER(R375),R375&lt;Q375),AND(ISNUMBER(R375),ISNUMBER(S375),S375&lt;R375),AND(ISNUMBER(S375),ISNUMBER(T375),T375&lt;S375),AND(ISNUMBER(N375),ISNUMBER(O375),O375&lt;N375)),"Urutan tanggal salah",IF(AND(ISNUMBER(Q375),ISNUMBER(R375),ISNUMBER(Y375),ABS(R375-Q375-Y375)&gt;2),"S tanggal ≠ Sailing tercatat",IF(AND(ISNUMBER(Q375),ISNUMBER(O375),ABS(Q375-O375)&gt;60),"Cek tahun laycan",IF(AND(ISNUMBER(Q375),ISNUMBER(N375),Q375&lt;N375),"Berangkat sebelum laycan",IF(NOT(ISNUMBER(AE375)),"S belum ada","OK"))))))</f>
        <v/>
      </c>
    </row>
    <row r="376" customFormat="false" ht="15" hidden="false" customHeight="false" outlineLevel="0" collapsed="false">
      <c r="A376" s="16" t="str">
        <f aca="false">IF(B376="","",ROW()-4)</f>
        <v/>
      </c>
      <c r="B376" s="12"/>
      <c r="C376" s="16"/>
      <c r="D376" s="16"/>
      <c r="E376" s="16"/>
      <c r="F376" s="16"/>
      <c r="G376" s="16"/>
      <c r="H376" s="16"/>
      <c r="I376" s="16"/>
      <c r="J376" s="16"/>
      <c r="K376" s="16"/>
      <c r="L376" s="13"/>
      <c r="M376" s="13"/>
      <c r="N376" s="13"/>
      <c r="O376" s="13"/>
      <c r="P376" s="13"/>
      <c r="Q376" s="13"/>
      <c r="R376" s="13"/>
      <c r="S376" s="13"/>
      <c r="T376" s="13"/>
      <c r="U376" s="12"/>
      <c r="V376" s="14"/>
      <c r="W376" s="16"/>
      <c r="X376" s="16"/>
      <c r="Y376" s="16"/>
      <c r="Z376" s="16"/>
      <c r="AA376" s="15" t="str">
        <f aca="false">IF(AND(ISNUMBER(L376),ISNUMBER(M376)),M376-L376,"")</f>
        <v/>
      </c>
      <c r="AB376" s="15" t="str">
        <f aca="false">IF(AND(ISNUMBER(M376),ISNUMBER(P376)),P376-M376,"")</f>
        <v/>
      </c>
      <c r="AC376" s="15" t="str">
        <f aca="false">IF(AND(ISNUMBER(L376),ISNUMBER(P376)),P376-L376,"")</f>
        <v/>
      </c>
      <c r="AD376" s="15" t="str">
        <f aca="false">IF(AND(ISNUMBER(P376),ISNUMBER(Q376)),Q376-P376,"")</f>
        <v/>
      </c>
      <c r="AE376" s="15" t="str">
        <f aca="false">IF(AND(ISNUMBER(Q376),ISNUMBER(R376)),R376-Q376,IF(ISNUMBER(Y376),Y376,""))</f>
        <v/>
      </c>
      <c r="AF376" s="15" t="str">
        <f aca="false">IF(AND(ISNUMBER(R376),ISNUMBER(S376)),S376-R376,"")</f>
        <v/>
      </c>
      <c r="AG376" s="15" t="str">
        <f aca="false">IF(AND(ISNUMBER(S376),ISNUMBER(T376)),T376-S376,"")</f>
        <v/>
      </c>
      <c r="AH376" s="15" t="str">
        <f aca="false">IF(AND(ISNUMBER(L376),ISNUMBER(T376)),T376-L376,"")</f>
        <v/>
      </c>
      <c r="AI376" s="15" t="str">
        <f aca="false">IF(AND(ISNUMBER(O376),ISNUMBER(Q376)),Q376-O376,"")</f>
        <v/>
      </c>
      <c r="AJ376" s="15" t="str">
        <f aca="false">IF(B376="","",COUNT(L376:M376,P376:T376)&amp;"/7")</f>
        <v/>
      </c>
      <c r="AK376" s="15" t="str">
        <f aca="false">IF(B376="","",IF(OR(AND(ISNUMBER(L376),ISNUMBER(M376),M376&lt;L376),AND(ISNUMBER(M376),ISNUMBER(P376),P376&lt;M376),AND(ISNUMBER(P376),ISNUMBER(Q376),Q376&lt;P376),AND(ISNUMBER(Q376),ISNUMBER(R376),R376&lt;Q376),AND(ISNUMBER(R376),ISNUMBER(S376),S376&lt;R376),AND(ISNUMBER(S376),ISNUMBER(T376),T376&lt;S376),AND(ISNUMBER(N376),ISNUMBER(O376),O376&lt;N376)),"Urutan tanggal salah",IF(AND(ISNUMBER(Q376),ISNUMBER(R376),ISNUMBER(Y376),ABS(R376-Q376-Y376)&gt;2),"S tanggal ≠ Sailing tercatat",IF(AND(ISNUMBER(Q376),ISNUMBER(O376),ABS(Q376-O376)&gt;60),"Cek tahun laycan",IF(AND(ISNUMBER(Q376),ISNUMBER(N376),Q376&lt;N376),"Berangkat sebelum laycan",IF(NOT(ISNUMBER(AE376)),"S belum ada","OK"))))))</f>
        <v/>
      </c>
    </row>
    <row r="377" customFormat="false" ht="15" hidden="false" customHeight="false" outlineLevel="0" collapsed="false">
      <c r="A377" s="16" t="str">
        <f aca="false">IF(B377="","",ROW()-4)</f>
        <v/>
      </c>
      <c r="B377" s="12"/>
      <c r="C377" s="16"/>
      <c r="D377" s="16"/>
      <c r="E377" s="16"/>
      <c r="F377" s="16"/>
      <c r="G377" s="16"/>
      <c r="H377" s="16"/>
      <c r="I377" s="16"/>
      <c r="J377" s="16"/>
      <c r="K377" s="16"/>
      <c r="L377" s="13"/>
      <c r="M377" s="13"/>
      <c r="N377" s="13"/>
      <c r="O377" s="13"/>
      <c r="P377" s="13"/>
      <c r="Q377" s="13"/>
      <c r="R377" s="13"/>
      <c r="S377" s="13"/>
      <c r="T377" s="13"/>
      <c r="U377" s="12"/>
      <c r="V377" s="14"/>
      <c r="W377" s="16"/>
      <c r="X377" s="16"/>
      <c r="Y377" s="16"/>
      <c r="Z377" s="16"/>
      <c r="AA377" s="15" t="str">
        <f aca="false">IF(AND(ISNUMBER(L377),ISNUMBER(M377)),M377-L377,"")</f>
        <v/>
      </c>
      <c r="AB377" s="15" t="str">
        <f aca="false">IF(AND(ISNUMBER(M377),ISNUMBER(P377)),P377-M377,"")</f>
        <v/>
      </c>
      <c r="AC377" s="15" t="str">
        <f aca="false">IF(AND(ISNUMBER(L377),ISNUMBER(P377)),P377-L377,"")</f>
        <v/>
      </c>
      <c r="AD377" s="15" t="str">
        <f aca="false">IF(AND(ISNUMBER(P377),ISNUMBER(Q377)),Q377-P377,"")</f>
        <v/>
      </c>
      <c r="AE377" s="15" t="str">
        <f aca="false">IF(AND(ISNUMBER(Q377),ISNUMBER(R377)),R377-Q377,IF(ISNUMBER(Y377),Y377,""))</f>
        <v/>
      </c>
      <c r="AF377" s="15" t="str">
        <f aca="false">IF(AND(ISNUMBER(R377),ISNUMBER(S377)),S377-R377,"")</f>
        <v/>
      </c>
      <c r="AG377" s="15" t="str">
        <f aca="false">IF(AND(ISNUMBER(S377),ISNUMBER(T377)),T377-S377,"")</f>
        <v/>
      </c>
      <c r="AH377" s="15" t="str">
        <f aca="false">IF(AND(ISNUMBER(L377),ISNUMBER(T377)),T377-L377,"")</f>
        <v/>
      </c>
      <c r="AI377" s="15" t="str">
        <f aca="false">IF(AND(ISNUMBER(O377),ISNUMBER(Q377)),Q377-O377,"")</f>
        <v/>
      </c>
      <c r="AJ377" s="15" t="str">
        <f aca="false">IF(B377="","",COUNT(L377:M377,P377:T377)&amp;"/7")</f>
        <v/>
      </c>
      <c r="AK377" s="15" t="str">
        <f aca="false">IF(B377="","",IF(OR(AND(ISNUMBER(L377),ISNUMBER(M377),M377&lt;L377),AND(ISNUMBER(M377),ISNUMBER(P377),P377&lt;M377),AND(ISNUMBER(P377),ISNUMBER(Q377),Q377&lt;P377),AND(ISNUMBER(Q377),ISNUMBER(R377),R377&lt;Q377),AND(ISNUMBER(R377),ISNUMBER(S377),S377&lt;R377),AND(ISNUMBER(S377),ISNUMBER(T377),T377&lt;S377),AND(ISNUMBER(N377),ISNUMBER(O377),O377&lt;N377)),"Urutan tanggal salah",IF(AND(ISNUMBER(Q377),ISNUMBER(R377),ISNUMBER(Y377),ABS(R377-Q377-Y377)&gt;2),"S tanggal ≠ Sailing tercatat",IF(AND(ISNUMBER(Q377),ISNUMBER(O377),ABS(Q377-O377)&gt;60),"Cek tahun laycan",IF(AND(ISNUMBER(Q377),ISNUMBER(N377),Q377&lt;N377),"Berangkat sebelum laycan",IF(NOT(ISNUMBER(AE377)),"S belum ada","OK"))))))</f>
        <v/>
      </c>
    </row>
    <row r="378" customFormat="false" ht="15" hidden="false" customHeight="false" outlineLevel="0" collapsed="false">
      <c r="A378" s="16" t="str">
        <f aca="false">IF(B378="","",ROW()-4)</f>
        <v/>
      </c>
      <c r="B378" s="12"/>
      <c r="C378" s="16"/>
      <c r="D378" s="16"/>
      <c r="E378" s="16"/>
      <c r="F378" s="16"/>
      <c r="G378" s="16"/>
      <c r="H378" s="16"/>
      <c r="I378" s="16"/>
      <c r="J378" s="16"/>
      <c r="K378" s="16"/>
      <c r="L378" s="13"/>
      <c r="M378" s="13"/>
      <c r="N378" s="13"/>
      <c r="O378" s="13"/>
      <c r="P378" s="13"/>
      <c r="Q378" s="13"/>
      <c r="R378" s="13"/>
      <c r="S378" s="13"/>
      <c r="T378" s="13"/>
      <c r="U378" s="12"/>
      <c r="V378" s="14"/>
      <c r="W378" s="16"/>
      <c r="X378" s="16"/>
      <c r="Y378" s="16"/>
      <c r="Z378" s="16"/>
      <c r="AA378" s="15" t="str">
        <f aca="false">IF(AND(ISNUMBER(L378),ISNUMBER(M378)),M378-L378,"")</f>
        <v/>
      </c>
      <c r="AB378" s="15" t="str">
        <f aca="false">IF(AND(ISNUMBER(M378),ISNUMBER(P378)),P378-M378,"")</f>
        <v/>
      </c>
      <c r="AC378" s="15" t="str">
        <f aca="false">IF(AND(ISNUMBER(L378),ISNUMBER(P378)),P378-L378,"")</f>
        <v/>
      </c>
      <c r="AD378" s="15" t="str">
        <f aca="false">IF(AND(ISNUMBER(P378),ISNUMBER(Q378)),Q378-P378,"")</f>
        <v/>
      </c>
      <c r="AE378" s="15" t="str">
        <f aca="false">IF(AND(ISNUMBER(Q378),ISNUMBER(R378)),R378-Q378,IF(ISNUMBER(Y378),Y378,""))</f>
        <v/>
      </c>
      <c r="AF378" s="15" t="str">
        <f aca="false">IF(AND(ISNUMBER(R378),ISNUMBER(S378)),S378-R378,"")</f>
        <v/>
      </c>
      <c r="AG378" s="15" t="str">
        <f aca="false">IF(AND(ISNUMBER(S378),ISNUMBER(T378)),T378-S378,"")</f>
        <v/>
      </c>
      <c r="AH378" s="15" t="str">
        <f aca="false">IF(AND(ISNUMBER(L378),ISNUMBER(T378)),T378-L378,"")</f>
        <v/>
      </c>
      <c r="AI378" s="15" t="str">
        <f aca="false">IF(AND(ISNUMBER(O378),ISNUMBER(Q378)),Q378-O378,"")</f>
        <v/>
      </c>
      <c r="AJ378" s="15" t="str">
        <f aca="false">IF(B378="","",COUNT(L378:M378,P378:T378)&amp;"/7")</f>
        <v/>
      </c>
      <c r="AK378" s="15" t="str">
        <f aca="false">IF(B378="","",IF(OR(AND(ISNUMBER(L378),ISNUMBER(M378),M378&lt;L378),AND(ISNUMBER(M378),ISNUMBER(P378),P378&lt;M378),AND(ISNUMBER(P378),ISNUMBER(Q378),Q378&lt;P378),AND(ISNUMBER(Q378),ISNUMBER(R378),R378&lt;Q378),AND(ISNUMBER(R378),ISNUMBER(S378),S378&lt;R378),AND(ISNUMBER(S378),ISNUMBER(T378),T378&lt;S378),AND(ISNUMBER(N378),ISNUMBER(O378),O378&lt;N378)),"Urutan tanggal salah",IF(AND(ISNUMBER(Q378),ISNUMBER(R378),ISNUMBER(Y378),ABS(R378-Q378-Y378)&gt;2),"S tanggal ≠ Sailing tercatat",IF(AND(ISNUMBER(Q378),ISNUMBER(O378),ABS(Q378-O378)&gt;60),"Cek tahun laycan",IF(AND(ISNUMBER(Q378),ISNUMBER(N378),Q378&lt;N378),"Berangkat sebelum laycan",IF(NOT(ISNUMBER(AE378)),"S belum ada","OK"))))))</f>
        <v/>
      </c>
    </row>
    <row r="379" customFormat="false" ht="15" hidden="false" customHeight="false" outlineLevel="0" collapsed="false">
      <c r="A379" s="16" t="str">
        <f aca="false">IF(B379="","",ROW()-4)</f>
        <v/>
      </c>
      <c r="B379" s="12"/>
      <c r="C379" s="16"/>
      <c r="D379" s="16"/>
      <c r="E379" s="16"/>
      <c r="F379" s="16"/>
      <c r="G379" s="16"/>
      <c r="H379" s="16"/>
      <c r="I379" s="16"/>
      <c r="J379" s="16"/>
      <c r="K379" s="16"/>
      <c r="L379" s="13"/>
      <c r="M379" s="13"/>
      <c r="N379" s="13"/>
      <c r="O379" s="13"/>
      <c r="P379" s="13"/>
      <c r="Q379" s="13"/>
      <c r="R379" s="13"/>
      <c r="S379" s="13"/>
      <c r="T379" s="13"/>
      <c r="U379" s="12"/>
      <c r="V379" s="14"/>
      <c r="W379" s="16"/>
      <c r="X379" s="16"/>
      <c r="Y379" s="16"/>
      <c r="Z379" s="16"/>
      <c r="AA379" s="15" t="str">
        <f aca="false">IF(AND(ISNUMBER(L379),ISNUMBER(M379)),M379-L379,"")</f>
        <v/>
      </c>
      <c r="AB379" s="15" t="str">
        <f aca="false">IF(AND(ISNUMBER(M379),ISNUMBER(P379)),P379-M379,"")</f>
        <v/>
      </c>
      <c r="AC379" s="15" t="str">
        <f aca="false">IF(AND(ISNUMBER(L379),ISNUMBER(P379)),P379-L379,"")</f>
        <v/>
      </c>
      <c r="AD379" s="15" t="str">
        <f aca="false">IF(AND(ISNUMBER(P379),ISNUMBER(Q379)),Q379-P379,"")</f>
        <v/>
      </c>
      <c r="AE379" s="15" t="str">
        <f aca="false">IF(AND(ISNUMBER(Q379),ISNUMBER(R379)),R379-Q379,IF(ISNUMBER(Y379),Y379,""))</f>
        <v/>
      </c>
      <c r="AF379" s="15" t="str">
        <f aca="false">IF(AND(ISNUMBER(R379),ISNUMBER(S379)),S379-R379,"")</f>
        <v/>
      </c>
      <c r="AG379" s="15" t="str">
        <f aca="false">IF(AND(ISNUMBER(S379),ISNUMBER(T379)),T379-S379,"")</f>
        <v/>
      </c>
      <c r="AH379" s="15" t="str">
        <f aca="false">IF(AND(ISNUMBER(L379),ISNUMBER(T379)),T379-L379,"")</f>
        <v/>
      </c>
      <c r="AI379" s="15" t="str">
        <f aca="false">IF(AND(ISNUMBER(O379),ISNUMBER(Q379)),Q379-O379,"")</f>
        <v/>
      </c>
      <c r="AJ379" s="15" t="str">
        <f aca="false">IF(B379="","",COUNT(L379:M379,P379:T379)&amp;"/7")</f>
        <v/>
      </c>
      <c r="AK379" s="15" t="str">
        <f aca="false">IF(B379="","",IF(OR(AND(ISNUMBER(L379),ISNUMBER(M379),M379&lt;L379),AND(ISNUMBER(M379),ISNUMBER(P379),P379&lt;M379),AND(ISNUMBER(P379),ISNUMBER(Q379),Q379&lt;P379),AND(ISNUMBER(Q379),ISNUMBER(R379),R379&lt;Q379),AND(ISNUMBER(R379),ISNUMBER(S379),S379&lt;R379),AND(ISNUMBER(S379),ISNUMBER(T379),T379&lt;S379),AND(ISNUMBER(N379),ISNUMBER(O379),O379&lt;N379)),"Urutan tanggal salah",IF(AND(ISNUMBER(Q379),ISNUMBER(R379),ISNUMBER(Y379),ABS(R379-Q379-Y379)&gt;2),"S tanggal ≠ Sailing tercatat",IF(AND(ISNUMBER(Q379),ISNUMBER(O379),ABS(Q379-O379)&gt;60),"Cek tahun laycan",IF(AND(ISNUMBER(Q379),ISNUMBER(N379),Q379&lt;N379),"Berangkat sebelum laycan",IF(NOT(ISNUMBER(AE379)),"S belum ada","OK"))))))</f>
        <v/>
      </c>
    </row>
    <row r="380" customFormat="false" ht="15" hidden="false" customHeight="false" outlineLevel="0" collapsed="false">
      <c r="A380" s="16" t="str">
        <f aca="false">IF(B380="","",ROW()-4)</f>
        <v/>
      </c>
      <c r="B380" s="12"/>
      <c r="C380" s="16"/>
      <c r="D380" s="16"/>
      <c r="E380" s="16"/>
      <c r="F380" s="16"/>
      <c r="G380" s="16"/>
      <c r="H380" s="16"/>
      <c r="I380" s="16"/>
      <c r="J380" s="16"/>
      <c r="K380" s="16"/>
      <c r="L380" s="13"/>
      <c r="M380" s="13"/>
      <c r="N380" s="13"/>
      <c r="O380" s="13"/>
      <c r="P380" s="13"/>
      <c r="Q380" s="13"/>
      <c r="R380" s="13"/>
      <c r="S380" s="13"/>
      <c r="T380" s="13"/>
      <c r="U380" s="12"/>
      <c r="V380" s="14"/>
      <c r="W380" s="16"/>
      <c r="X380" s="16"/>
      <c r="Y380" s="16"/>
      <c r="Z380" s="16"/>
      <c r="AA380" s="15" t="str">
        <f aca="false">IF(AND(ISNUMBER(L380),ISNUMBER(M380)),M380-L380,"")</f>
        <v/>
      </c>
      <c r="AB380" s="15" t="str">
        <f aca="false">IF(AND(ISNUMBER(M380),ISNUMBER(P380)),P380-M380,"")</f>
        <v/>
      </c>
      <c r="AC380" s="15" t="str">
        <f aca="false">IF(AND(ISNUMBER(L380),ISNUMBER(P380)),P380-L380,"")</f>
        <v/>
      </c>
      <c r="AD380" s="15" t="str">
        <f aca="false">IF(AND(ISNUMBER(P380),ISNUMBER(Q380)),Q380-P380,"")</f>
        <v/>
      </c>
      <c r="AE380" s="15" t="str">
        <f aca="false">IF(AND(ISNUMBER(Q380),ISNUMBER(R380)),R380-Q380,IF(ISNUMBER(Y380),Y380,""))</f>
        <v/>
      </c>
      <c r="AF380" s="15" t="str">
        <f aca="false">IF(AND(ISNUMBER(R380),ISNUMBER(S380)),S380-R380,"")</f>
        <v/>
      </c>
      <c r="AG380" s="15" t="str">
        <f aca="false">IF(AND(ISNUMBER(S380),ISNUMBER(T380)),T380-S380,"")</f>
        <v/>
      </c>
      <c r="AH380" s="15" t="str">
        <f aca="false">IF(AND(ISNUMBER(L380),ISNUMBER(T380)),T380-L380,"")</f>
        <v/>
      </c>
      <c r="AI380" s="15" t="str">
        <f aca="false">IF(AND(ISNUMBER(O380),ISNUMBER(Q380)),Q380-O380,"")</f>
        <v/>
      </c>
      <c r="AJ380" s="15" t="str">
        <f aca="false">IF(B380="","",COUNT(L380:M380,P380:T380)&amp;"/7")</f>
        <v/>
      </c>
      <c r="AK380" s="15" t="str">
        <f aca="false">IF(B380="","",IF(OR(AND(ISNUMBER(L380),ISNUMBER(M380),M380&lt;L380),AND(ISNUMBER(M380),ISNUMBER(P380),P380&lt;M380),AND(ISNUMBER(P380),ISNUMBER(Q380),Q380&lt;P380),AND(ISNUMBER(Q380),ISNUMBER(R380),R380&lt;Q380),AND(ISNUMBER(R380),ISNUMBER(S380),S380&lt;R380),AND(ISNUMBER(S380),ISNUMBER(T380),T380&lt;S380),AND(ISNUMBER(N380),ISNUMBER(O380),O380&lt;N380)),"Urutan tanggal salah",IF(AND(ISNUMBER(Q380),ISNUMBER(R380),ISNUMBER(Y380),ABS(R380-Q380-Y380)&gt;2),"S tanggal ≠ Sailing tercatat",IF(AND(ISNUMBER(Q380),ISNUMBER(O380),ABS(Q380-O380)&gt;60),"Cek tahun laycan",IF(AND(ISNUMBER(Q380),ISNUMBER(N380),Q380&lt;N380),"Berangkat sebelum laycan",IF(NOT(ISNUMBER(AE380)),"S belum ada","OK"))))))</f>
        <v/>
      </c>
    </row>
    <row r="381" customFormat="false" ht="15" hidden="false" customHeight="false" outlineLevel="0" collapsed="false">
      <c r="A381" s="16" t="str">
        <f aca="false">IF(B381="","",ROW()-4)</f>
        <v/>
      </c>
      <c r="B381" s="12"/>
      <c r="C381" s="16"/>
      <c r="D381" s="16"/>
      <c r="E381" s="16"/>
      <c r="F381" s="16"/>
      <c r="G381" s="16"/>
      <c r="H381" s="16"/>
      <c r="I381" s="16"/>
      <c r="J381" s="16"/>
      <c r="K381" s="16"/>
      <c r="L381" s="13"/>
      <c r="M381" s="13"/>
      <c r="N381" s="13"/>
      <c r="O381" s="13"/>
      <c r="P381" s="13"/>
      <c r="Q381" s="13"/>
      <c r="R381" s="13"/>
      <c r="S381" s="13"/>
      <c r="T381" s="13"/>
      <c r="U381" s="12"/>
      <c r="V381" s="14"/>
      <c r="W381" s="16"/>
      <c r="X381" s="16"/>
      <c r="Y381" s="16"/>
      <c r="Z381" s="16"/>
      <c r="AA381" s="15" t="str">
        <f aca="false">IF(AND(ISNUMBER(L381),ISNUMBER(M381)),M381-L381,"")</f>
        <v/>
      </c>
      <c r="AB381" s="15" t="str">
        <f aca="false">IF(AND(ISNUMBER(M381),ISNUMBER(P381)),P381-M381,"")</f>
        <v/>
      </c>
      <c r="AC381" s="15" t="str">
        <f aca="false">IF(AND(ISNUMBER(L381),ISNUMBER(P381)),P381-L381,"")</f>
        <v/>
      </c>
      <c r="AD381" s="15" t="str">
        <f aca="false">IF(AND(ISNUMBER(P381),ISNUMBER(Q381)),Q381-P381,"")</f>
        <v/>
      </c>
      <c r="AE381" s="15" t="str">
        <f aca="false">IF(AND(ISNUMBER(Q381),ISNUMBER(R381)),R381-Q381,IF(ISNUMBER(Y381),Y381,""))</f>
        <v/>
      </c>
      <c r="AF381" s="15" t="str">
        <f aca="false">IF(AND(ISNUMBER(R381),ISNUMBER(S381)),S381-R381,"")</f>
        <v/>
      </c>
      <c r="AG381" s="15" t="str">
        <f aca="false">IF(AND(ISNUMBER(S381),ISNUMBER(T381)),T381-S381,"")</f>
        <v/>
      </c>
      <c r="AH381" s="15" t="str">
        <f aca="false">IF(AND(ISNUMBER(L381),ISNUMBER(T381)),T381-L381,"")</f>
        <v/>
      </c>
      <c r="AI381" s="15" t="str">
        <f aca="false">IF(AND(ISNUMBER(O381),ISNUMBER(Q381)),Q381-O381,"")</f>
        <v/>
      </c>
      <c r="AJ381" s="15" t="str">
        <f aca="false">IF(B381="","",COUNT(L381:M381,P381:T381)&amp;"/7")</f>
        <v/>
      </c>
      <c r="AK381" s="15" t="str">
        <f aca="false">IF(B381="","",IF(OR(AND(ISNUMBER(L381),ISNUMBER(M381),M381&lt;L381),AND(ISNUMBER(M381),ISNUMBER(P381),P381&lt;M381),AND(ISNUMBER(P381),ISNUMBER(Q381),Q381&lt;P381),AND(ISNUMBER(Q381),ISNUMBER(R381),R381&lt;Q381),AND(ISNUMBER(R381),ISNUMBER(S381),S381&lt;R381),AND(ISNUMBER(S381),ISNUMBER(T381),T381&lt;S381),AND(ISNUMBER(N381),ISNUMBER(O381),O381&lt;N381)),"Urutan tanggal salah",IF(AND(ISNUMBER(Q381),ISNUMBER(R381),ISNUMBER(Y381),ABS(R381-Q381-Y381)&gt;2),"S tanggal ≠ Sailing tercatat",IF(AND(ISNUMBER(Q381),ISNUMBER(O381),ABS(Q381-O381)&gt;60),"Cek tahun laycan",IF(AND(ISNUMBER(Q381),ISNUMBER(N381),Q381&lt;N381),"Berangkat sebelum laycan",IF(NOT(ISNUMBER(AE381)),"S belum ada","OK"))))))</f>
        <v/>
      </c>
    </row>
    <row r="382" customFormat="false" ht="15" hidden="false" customHeight="false" outlineLevel="0" collapsed="false">
      <c r="A382" s="16" t="str">
        <f aca="false">IF(B382="","",ROW()-4)</f>
        <v/>
      </c>
      <c r="B382" s="12"/>
      <c r="C382" s="16"/>
      <c r="D382" s="16"/>
      <c r="E382" s="16"/>
      <c r="F382" s="16"/>
      <c r="G382" s="16"/>
      <c r="H382" s="16"/>
      <c r="I382" s="16"/>
      <c r="J382" s="16"/>
      <c r="K382" s="16"/>
      <c r="L382" s="13"/>
      <c r="M382" s="13"/>
      <c r="N382" s="13"/>
      <c r="O382" s="13"/>
      <c r="P382" s="13"/>
      <c r="Q382" s="13"/>
      <c r="R382" s="13"/>
      <c r="S382" s="13"/>
      <c r="T382" s="13"/>
      <c r="U382" s="12"/>
      <c r="V382" s="14"/>
      <c r="W382" s="16"/>
      <c r="X382" s="16"/>
      <c r="Y382" s="16"/>
      <c r="Z382" s="16"/>
      <c r="AA382" s="15" t="str">
        <f aca="false">IF(AND(ISNUMBER(L382),ISNUMBER(M382)),M382-L382,"")</f>
        <v/>
      </c>
      <c r="AB382" s="15" t="str">
        <f aca="false">IF(AND(ISNUMBER(M382),ISNUMBER(P382)),P382-M382,"")</f>
        <v/>
      </c>
      <c r="AC382" s="15" t="str">
        <f aca="false">IF(AND(ISNUMBER(L382),ISNUMBER(P382)),P382-L382,"")</f>
        <v/>
      </c>
      <c r="AD382" s="15" t="str">
        <f aca="false">IF(AND(ISNUMBER(P382),ISNUMBER(Q382)),Q382-P382,"")</f>
        <v/>
      </c>
      <c r="AE382" s="15" t="str">
        <f aca="false">IF(AND(ISNUMBER(Q382),ISNUMBER(R382)),R382-Q382,IF(ISNUMBER(Y382),Y382,""))</f>
        <v/>
      </c>
      <c r="AF382" s="15" t="str">
        <f aca="false">IF(AND(ISNUMBER(R382),ISNUMBER(S382)),S382-R382,"")</f>
        <v/>
      </c>
      <c r="AG382" s="15" t="str">
        <f aca="false">IF(AND(ISNUMBER(S382),ISNUMBER(T382)),T382-S382,"")</f>
        <v/>
      </c>
      <c r="AH382" s="15" t="str">
        <f aca="false">IF(AND(ISNUMBER(L382),ISNUMBER(T382)),T382-L382,"")</f>
        <v/>
      </c>
      <c r="AI382" s="15" t="str">
        <f aca="false">IF(AND(ISNUMBER(O382),ISNUMBER(Q382)),Q382-O382,"")</f>
        <v/>
      </c>
      <c r="AJ382" s="15" t="str">
        <f aca="false">IF(B382="","",COUNT(L382:M382,P382:T382)&amp;"/7")</f>
        <v/>
      </c>
      <c r="AK382" s="15" t="str">
        <f aca="false">IF(B382="","",IF(OR(AND(ISNUMBER(L382),ISNUMBER(M382),M382&lt;L382),AND(ISNUMBER(M382),ISNUMBER(P382),P382&lt;M382),AND(ISNUMBER(P382),ISNUMBER(Q382),Q382&lt;P382),AND(ISNUMBER(Q382),ISNUMBER(R382),R382&lt;Q382),AND(ISNUMBER(R382),ISNUMBER(S382),S382&lt;R382),AND(ISNUMBER(S382),ISNUMBER(T382),T382&lt;S382),AND(ISNUMBER(N382),ISNUMBER(O382),O382&lt;N382)),"Urutan tanggal salah",IF(AND(ISNUMBER(Q382),ISNUMBER(R382),ISNUMBER(Y382),ABS(R382-Q382-Y382)&gt;2),"S tanggal ≠ Sailing tercatat",IF(AND(ISNUMBER(Q382),ISNUMBER(O382),ABS(Q382-O382)&gt;60),"Cek tahun laycan",IF(AND(ISNUMBER(Q382),ISNUMBER(N382),Q382&lt;N382),"Berangkat sebelum laycan",IF(NOT(ISNUMBER(AE382)),"S belum ada","OK"))))))</f>
        <v/>
      </c>
    </row>
    <row r="383" customFormat="false" ht="15" hidden="false" customHeight="false" outlineLevel="0" collapsed="false">
      <c r="A383" s="16" t="str">
        <f aca="false">IF(B383="","",ROW()-4)</f>
        <v/>
      </c>
      <c r="B383" s="12"/>
      <c r="C383" s="16"/>
      <c r="D383" s="16"/>
      <c r="E383" s="16"/>
      <c r="F383" s="16"/>
      <c r="G383" s="16"/>
      <c r="H383" s="16"/>
      <c r="I383" s="16"/>
      <c r="J383" s="16"/>
      <c r="K383" s="16"/>
      <c r="L383" s="13"/>
      <c r="M383" s="13"/>
      <c r="N383" s="13"/>
      <c r="O383" s="13"/>
      <c r="P383" s="13"/>
      <c r="Q383" s="13"/>
      <c r="R383" s="13"/>
      <c r="S383" s="13"/>
      <c r="T383" s="13"/>
      <c r="U383" s="12"/>
      <c r="V383" s="14"/>
      <c r="W383" s="16"/>
      <c r="X383" s="16"/>
      <c r="Y383" s="16"/>
      <c r="Z383" s="16"/>
      <c r="AA383" s="15" t="str">
        <f aca="false">IF(AND(ISNUMBER(L383),ISNUMBER(M383)),M383-L383,"")</f>
        <v/>
      </c>
      <c r="AB383" s="15" t="str">
        <f aca="false">IF(AND(ISNUMBER(M383),ISNUMBER(P383)),P383-M383,"")</f>
        <v/>
      </c>
      <c r="AC383" s="15" t="str">
        <f aca="false">IF(AND(ISNUMBER(L383),ISNUMBER(P383)),P383-L383,"")</f>
        <v/>
      </c>
      <c r="AD383" s="15" t="str">
        <f aca="false">IF(AND(ISNUMBER(P383),ISNUMBER(Q383)),Q383-P383,"")</f>
        <v/>
      </c>
      <c r="AE383" s="15" t="str">
        <f aca="false">IF(AND(ISNUMBER(Q383),ISNUMBER(R383)),R383-Q383,IF(ISNUMBER(Y383),Y383,""))</f>
        <v/>
      </c>
      <c r="AF383" s="15" t="str">
        <f aca="false">IF(AND(ISNUMBER(R383),ISNUMBER(S383)),S383-R383,"")</f>
        <v/>
      </c>
      <c r="AG383" s="15" t="str">
        <f aca="false">IF(AND(ISNUMBER(S383),ISNUMBER(T383)),T383-S383,"")</f>
        <v/>
      </c>
      <c r="AH383" s="15" t="str">
        <f aca="false">IF(AND(ISNUMBER(L383),ISNUMBER(T383)),T383-L383,"")</f>
        <v/>
      </c>
      <c r="AI383" s="15" t="str">
        <f aca="false">IF(AND(ISNUMBER(O383),ISNUMBER(Q383)),Q383-O383,"")</f>
        <v/>
      </c>
      <c r="AJ383" s="15" t="str">
        <f aca="false">IF(B383="","",COUNT(L383:M383,P383:T383)&amp;"/7")</f>
        <v/>
      </c>
      <c r="AK383" s="15" t="str">
        <f aca="false">IF(B383="","",IF(OR(AND(ISNUMBER(L383),ISNUMBER(M383),M383&lt;L383),AND(ISNUMBER(M383),ISNUMBER(P383),P383&lt;M383),AND(ISNUMBER(P383),ISNUMBER(Q383),Q383&lt;P383),AND(ISNUMBER(Q383),ISNUMBER(R383),R383&lt;Q383),AND(ISNUMBER(R383),ISNUMBER(S383),S383&lt;R383),AND(ISNUMBER(S383),ISNUMBER(T383),T383&lt;S383),AND(ISNUMBER(N383),ISNUMBER(O383),O383&lt;N383)),"Urutan tanggal salah",IF(AND(ISNUMBER(Q383),ISNUMBER(R383),ISNUMBER(Y383),ABS(R383-Q383-Y383)&gt;2),"S tanggal ≠ Sailing tercatat",IF(AND(ISNUMBER(Q383),ISNUMBER(O383),ABS(Q383-O383)&gt;60),"Cek tahun laycan",IF(AND(ISNUMBER(Q383),ISNUMBER(N383),Q383&lt;N383),"Berangkat sebelum laycan",IF(NOT(ISNUMBER(AE383)),"S belum ada","OK"))))))</f>
        <v/>
      </c>
    </row>
    <row r="384" customFormat="false" ht="15" hidden="false" customHeight="false" outlineLevel="0" collapsed="false">
      <c r="A384" s="16" t="str">
        <f aca="false">IF(B384="","",ROW()-4)</f>
        <v/>
      </c>
      <c r="B384" s="12"/>
      <c r="C384" s="16"/>
      <c r="D384" s="16"/>
      <c r="E384" s="16"/>
      <c r="F384" s="16"/>
      <c r="G384" s="16"/>
      <c r="H384" s="16"/>
      <c r="I384" s="16"/>
      <c r="J384" s="16"/>
      <c r="K384" s="16"/>
      <c r="L384" s="13"/>
      <c r="M384" s="13"/>
      <c r="N384" s="13"/>
      <c r="O384" s="13"/>
      <c r="P384" s="13"/>
      <c r="Q384" s="13"/>
      <c r="R384" s="13"/>
      <c r="S384" s="13"/>
      <c r="T384" s="13"/>
      <c r="U384" s="12"/>
      <c r="V384" s="14"/>
      <c r="W384" s="16"/>
      <c r="X384" s="16"/>
      <c r="Y384" s="16"/>
      <c r="Z384" s="16"/>
      <c r="AA384" s="15" t="str">
        <f aca="false">IF(AND(ISNUMBER(L384),ISNUMBER(M384)),M384-L384,"")</f>
        <v/>
      </c>
      <c r="AB384" s="15" t="str">
        <f aca="false">IF(AND(ISNUMBER(M384),ISNUMBER(P384)),P384-M384,"")</f>
        <v/>
      </c>
      <c r="AC384" s="15" t="str">
        <f aca="false">IF(AND(ISNUMBER(L384),ISNUMBER(P384)),P384-L384,"")</f>
        <v/>
      </c>
      <c r="AD384" s="15" t="str">
        <f aca="false">IF(AND(ISNUMBER(P384),ISNUMBER(Q384)),Q384-P384,"")</f>
        <v/>
      </c>
      <c r="AE384" s="15" t="str">
        <f aca="false">IF(AND(ISNUMBER(Q384),ISNUMBER(R384)),R384-Q384,IF(ISNUMBER(Y384),Y384,""))</f>
        <v/>
      </c>
      <c r="AF384" s="15" t="str">
        <f aca="false">IF(AND(ISNUMBER(R384),ISNUMBER(S384)),S384-R384,"")</f>
        <v/>
      </c>
      <c r="AG384" s="15" t="str">
        <f aca="false">IF(AND(ISNUMBER(S384),ISNUMBER(T384)),T384-S384,"")</f>
        <v/>
      </c>
      <c r="AH384" s="15" t="str">
        <f aca="false">IF(AND(ISNUMBER(L384),ISNUMBER(T384)),T384-L384,"")</f>
        <v/>
      </c>
      <c r="AI384" s="15" t="str">
        <f aca="false">IF(AND(ISNUMBER(O384),ISNUMBER(Q384)),Q384-O384,"")</f>
        <v/>
      </c>
      <c r="AJ384" s="15" t="str">
        <f aca="false">IF(B384="","",COUNT(L384:M384,P384:T384)&amp;"/7")</f>
        <v/>
      </c>
      <c r="AK384" s="15" t="str">
        <f aca="false">IF(B384="","",IF(OR(AND(ISNUMBER(L384),ISNUMBER(M384),M384&lt;L384),AND(ISNUMBER(M384),ISNUMBER(P384),P384&lt;M384),AND(ISNUMBER(P384),ISNUMBER(Q384),Q384&lt;P384),AND(ISNUMBER(Q384),ISNUMBER(R384),R384&lt;Q384),AND(ISNUMBER(R384),ISNUMBER(S384),S384&lt;R384),AND(ISNUMBER(S384),ISNUMBER(T384),T384&lt;S384),AND(ISNUMBER(N384),ISNUMBER(O384),O384&lt;N384)),"Urutan tanggal salah",IF(AND(ISNUMBER(Q384),ISNUMBER(R384),ISNUMBER(Y384),ABS(R384-Q384-Y384)&gt;2),"S tanggal ≠ Sailing tercatat",IF(AND(ISNUMBER(Q384),ISNUMBER(O384),ABS(Q384-O384)&gt;60),"Cek tahun laycan",IF(AND(ISNUMBER(Q384),ISNUMBER(N384),Q384&lt;N384),"Berangkat sebelum laycan",IF(NOT(ISNUMBER(AE384)),"S belum ada","OK"))))))</f>
        <v/>
      </c>
    </row>
    <row r="385" customFormat="false" ht="15" hidden="false" customHeight="false" outlineLevel="0" collapsed="false">
      <c r="A385" s="16" t="str">
        <f aca="false">IF(B385="","",ROW()-4)</f>
        <v/>
      </c>
      <c r="B385" s="12"/>
      <c r="C385" s="16"/>
      <c r="D385" s="16"/>
      <c r="E385" s="16"/>
      <c r="F385" s="16"/>
      <c r="G385" s="16"/>
      <c r="H385" s="16"/>
      <c r="I385" s="16"/>
      <c r="J385" s="16"/>
      <c r="K385" s="16"/>
      <c r="L385" s="13"/>
      <c r="M385" s="13"/>
      <c r="N385" s="13"/>
      <c r="O385" s="13"/>
      <c r="P385" s="13"/>
      <c r="Q385" s="13"/>
      <c r="R385" s="13"/>
      <c r="S385" s="13"/>
      <c r="T385" s="13"/>
      <c r="U385" s="12"/>
      <c r="V385" s="14"/>
      <c r="W385" s="16"/>
      <c r="X385" s="16"/>
      <c r="Y385" s="16"/>
      <c r="Z385" s="16"/>
      <c r="AA385" s="15" t="str">
        <f aca="false">IF(AND(ISNUMBER(L385),ISNUMBER(M385)),M385-L385,"")</f>
        <v/>
      </c>
      <c r="AB385" s="15" t="str">
        <f aca="false">IF(AND(ISNUMBER(M385),ISNUMBER(P385)),P385-M385,"")</f>
        <v/>
      </c>
      <c r="AC385" s="15" t="str">
        <f aca="false">IF(AND(ISNUMBER(L385),ISNUMBER(P385)),P385-L385,"")</f>
        <v/>
      </c>
      <c r="AD385" s="15" t="str">
        <f aca="false">IF(AND(ISNUMBER(P385),ISNUMBER(Q385)),Q385-P385,"")</f>
        <v/>
      </c>
      <c r="AE385" s="15" t="str">
        <f aca="false">IF(AND(ISNUMBER(Q385),ISNUMBER(R385)),R385-Q385,IF(ISNUMBER(Y385),Y385,""))</f>
        <v/>
      </c>
      <c r="AF385" s="15" t="str">
        <f aca="false">IF(AND(ISNUMBER(R385),ISNUMBER(S385)),S385-R385,"")</f>
        <v/>
      </c>
      <c r="AG385" s="15" t="str">
        <f aca="false">IF(AND(ISNUMBER(S385),ISNUMBER(T385)),T385-S385,"")</f>
        <v/>
      </c>
      <c r="AH385" s="15" t="str">
        <f aca="false">IF(AND(ISNUMBER(L385),ISNUMBER(T385)),T385-L385,"")</f>
        <v/>
      </c>
      <c r="AI385" s="15" t="str">
        <f aca="false">IF(AND(ISNUMBER(O385),ISNUMBER(Q385)),Q385-O385,"")</f>
        <v/>
      </c>
      <c r="AJ385" s="15" t="str">
        <f aca="false">IF(B385="","",COUNT(L385:M385,P385:T385)&amp;"/7")</f>
        <v/>
      </c>
      <c r="AK385" s="15" t="str">
        <f aca="false">IF(B385="","",IF(OR(AND(ISNUMBER(L385),ISNUMBER(M385),M385&lt;L385),AND(ISNUMBER(M385),ISNUMBER(P385),P385&lt;M385),AND(ISNUMBER(P385),ISNUMBER(Q385),Q385&lt;P385),AND(ISNUMBER(Q385),ISNUMBER(R385),R385&lt;Q385),AND(ISNUMBER(R385),ISNUMBER(S385),S385&lt;R385),AND(ISNUMBER(S385),ISNUMBER(T385),T385&lt;S385),AND(ISNUMBER(N385),ISNUMBER(O385),O385&lt;N385)),"Urutan tanggal salah",IF(AND(ISNUMBER(Q385),ISNUMBER(R385),ISNUMBER(Y385),ABS(R385-Q385-Y385)&gt;2),"S tanggal ≠ Sailing tercatat",IF(AND(ISNUMBER(Q385),ISNUMBER(O385),ABS(Q385-O385)&gt;60),"Cek tahun laycan",IF(AND(ISNUMBER(Q385),ISNUMBER(N385),Q385&lt;N385),"Berangkat sebelum laycan",IF(NOT(ISNUMBER(AE385)),"S belum ada","OK"))))))</f>
        <v/>
      </c>
    </row>
    <row r="386" customFormat="false" ht="15" hidden="false" customHeight="false" outlineLevel="0" collapsed="false">
      <c r="A386" s="16" t="str">
        <f aca="false">IF(B386="","",ROW()-4)</f>
        <v/>
      </c>
      <c r="B386" s="12"/>
      <c r="C386" s="16"/>
      <c r="D386" s="16"/>
      <c r="E386" s="16"/>
      <c r="F386" s="16"/>
      <c r="G386" s="16"/>
      <c r="H386" s="16"/>
      <c r="I386" s="16"/>
      <c r="J386" s="16"/>
      <c r="K386" s="16"/>
      <c r="L386" s="13"/>
      <c r="M386" s="13"/>
      <c r="N386" s="13"/>
      <c r="O386" s="13"/>
      <c r="P386" s="13"/>
      <c r="Q386" s="13"/>
      <c r="R386" s="13"/>
      <c r="S386" s="13"/>
      <c r="T386" s="13"/>
      <c r="U386" s="12"/>
      <c r="V386" s="14"/>
      <c r="W386" s="16"/>
      <c r="X386" s="16"/>
      <c r="Y386" s="16"/>
      <c r="Z386" s="16"/>
      <c r="AA386" s="15" t="str">
        <f aca="false">IF(AND(ISNUMBER(L386),ISNUMBER(M386)),M386-L386,"")</f>
        <v/>
      </c>
      <c r="AB386" s="15" t="str">
        <f aca="false">IF(AND(ISNUMBER(M386),ISNUMBER(P386)),P386-M386,"")</f>
        <v/>
      </c>
      <c r="AC386" s="15" t="str">
        <f aca="false">IF(AND(ISNUMBER(L386),ISNUMBER(P386)),P386-L386,"")</f>
        <v/>
      </c>
      <c r="AD386" s="15" t="str">
        <f aca="false">IF(AND(ISNUMBER(P386),ISNUMBER(Q386)),Q386-P386,"")</f>
        <v/>
      </c>
      <c r="AE386" s="15" t="str">
        <f aca="false">IF(AND(ISNUMBER(Q386),ISNUMBER(R386)),R386-Q386,IF(ISNUMBER(Y386),Y386,""))</f>
        <v/>
      </c>
      <c r="AF386" s="15" t="str">
        <f aca="false">IF(AND(ISNUMBER(R386),ISNUMBER(S386)),S386-R386,"")</f>
        <v/>
      </c>
      <c r="AG386" s="15" t="str">
        <f aca="false">IF(AND(ISNUMBER(S386),ISNUMBER(T386)),T386-S386,"")</f>
        <v/>
      </c>
      <c r="AH386" s="15" t="str">
        <f aca="false">IF(AND(ISNUMBER(L386),ISNUMBER(T386)),T386-L386,"")</f>
        <v/>
      </c>
      <c r="AI386" s="15" t="str">
        <f aca="false">IF(AND(ISNUMBER(O386),ISNUMBER(Q386)),Q386-O386,"")</f>
        <v/>
      </c>
      <c r="AJ386" s="15" t="str">
        <f aca="false">IF(B386="","",COUNT(L386:M386,P386:T386)&amp;"/7")</f>
        <v/>
      </c>
      <c r="AK386" s="15" t="str">
        <f aca="false">IF(B386="","",IF(OR(AND(ISNUMBER(L386),ISNUMBER(M386),M386&lt;L386),AND(ISNUMBER(M386),ISNUMBER(P386),P386&lt;M386),AND(ISNUMBER(P386),ISNUMBER(Q386),Q386&lt;P386),AND(ISNUMBER(Q386),ISNUMBER(R386),R386&lt;Q386),AND(ISNUMBER(R386),ISNUMBER(S386),S386&lt;R386),AND(ISNUMBER(S386),ISNUMBER(T386),T386&lt;S386),AND(ISNUMBER(N386),ISNUMBER(O386),O386&lt;N386)),"Urutan tanggal salah",IF(AND(ISNUMBER(Q386),ISNUMBER(R386),ISNUMBER(Y386),ABS(R386-Q386-Y386)&gt;2),"S tanggal ≠ Sailing tercatat",IF(AND(ISNUMBER(Q386),ISNUMBER(O386),ABS(Q386-O386)&gt;60),"Cek tahun laycan",IF(AND(ISNUMBER(Q386),ISNUMBER(N386),Q386&lt;N386),"Berangkat sebelum laycan",IF(NOT(ISNUMBER(AE386)),"S belum ada","OK"))))))</f>
        <v/>
      </c>
    </row>
    <row r="387" customFormat="false" ht="15" hidden="false" customHeight="false" outlineLevel="0" collapsed="false">
      <c r="A387" s="16" t="str">
        <f aca="false">IF(B387="","",ROW()-4)</f>
        <v/>
      </c>
      <c r="B387" s="12"/>
      <c r="C387" s="16"/>
      <c r="D387" s="16"/>
      <c r="E387" s="16"/>
      <c r="F387" s="16"/>
      <c r="G387" s="16"/>
      <c r="H387" s="16"/>
      <c r="I387" s="16"/>
      <c r="J387" s="16"/>
      <c r="K387" s="16"/>
      <c r="L387" s="13"/>
      <c r="M387" s="13"/>
      <c r="N387" s="13"/>
      <c r="O387" s="13"/>
      <c r="P387" s="13"/>
      <c r="Q387" s="13"/>
      <c r="R387" s="13"/>
      <c r="S387" s="13"/>
      <c r="T387" s="13"/>
      <c r="U387" s="12"/>
      <c r="V387" s="14"/>
      <c r="W387" s="16"/>
      <c r="X387" s="16"/>
      <c r="Y387" s="16"/>
      <c r="Z387" s="16"/>
      <c r="AA387" s="15" t="str">
        <f aca="false">IF(AND(ISNUMBER(L387),ISNUMBER(M387)),M387-L387,"")</f>
        <v/>
      </c>
      <c r="AB387" s="15" t="str">
        <f aca="false">IF(AND(ISNUMBER(M387),ISNUMBER(P387)),P387-M387,"")</f>
        <v/>
      </c>
      <c r="AC387" s="15" t="str">
        <f aca="false">IF(AND(ISNUMBER(L387),ISNUMBER(P387)),P387-L387,"")</f>
        <v/>
      </c>
      <c r="AD387" s="15" t="str">
        <f aca="false">IF(AND(ISNUMBER(P387),ISNUMBER(Q387)),Q387-P387,"")</f>
        <v/>
      </c>
      <c r="AE387" s="15" t="str">
        <f aca="false">IF(AND(ISNUMBER(Q387),ISNUMBER(R387)),R387-Q387,IF(ISNUMBER(Y387),Y387,""))</f>
        <v/>
      </c>
      <c r="AF387" s="15" t="str">
        <f aca="false">IF(AND(ISNUMBER(R387),ISNUMBER(S387)),S387-R387,"")</f>
        <v/>
      </c>
      <c r="AG387" s="15" t="str">
        <f aca="false">IF(AND(ISNUMBER(S387),ISNUMBER(T387)),T387-S387,"")</f>
        <v/>
      </c>
      <c r="AH387" s="15" t="str">
        <f aca="false">IF(AND(ISNUMBER(L387),ISNUMBER(T387)),T387-L387,"")</f>
        <v/>
      </c>
      <c r="AI387" s="15" t="str">
        <f aca="false">IF(AND(ISNUMBER(O387),ISNUMBER(Q387)),Q387-O387,"")</f>
        <v/>
      </c>
      <c r="AJ387" s="15" t="str">
        <f aca="false">IF(B387="","",COUNT(L387:M387,P387:T387)&amp;"/7")</f>
        <v/>
      </c>
      <c r="AK387" s="15" t="str">
        <f aca="false">IF(B387="","",IF(OR(AND(ISNUMBER(L387),ISNUMBER(M387),M387&lt;L387),AND(ISNUMBER(M387),ISNUMBER(P387),P387&lt;M387),AND(ISNUMBER(P387),ISNUMBER(Q387),Q387&lt;P387),AND(ISNUMBER(Q387),ISNUMBER(R387),R387&lt;Q387),AND(ISNUMBER(R387),ISNUMBER(S387),S387&lt;R387),AND(ISNUMBER(S387),ISNUMBER(T387),T387&lt;S387),AND(ISNUMBER(N387),ISNUMBER(O387),O387&lt;N387)),"Urutan tanggal salah",IF(AND(ISNUMBER(Q387),ISNUMBER(R387),ISNUMBER(Y387),ABS(R387-Q387-Y387)&gt;2),"S tanggal ≠ Sailing tercatat",IF(AND(ISNUMBER(Q387),ISNUMBER(O387),ABS(Q387-O387)&gt;60),"Cek tahun laycan",IF(AND(ISNUMBER(Q387),ISNUMBER(N387),Q387&lt;N387),"Berangkat sebelum laycan",IF(NOT(ISNUMBER(AE387)),"S belum ada","OK"))))))</f>
        <v/>
      </c>
    </row>
    <row r="388" customFormat="false" ht="15" hidden="false" customHeight="false" outlineLevel="0" collapsed="false">
      <c r="A388" s="16" t="str">
        <f aca="false">IF(B388="","",ROW()-4)</f>
        <v/>
      </c>
      <c r="B388" s="12"/>
      <c r="C388" s="16"/>
      <c r="D388" s="16"/>
      <c r="E388" s="16"/>
      <c r="F388" s="16"/>
      <c r="G388" s="16"/>
      <c r="H388" s="16"/>
      <c r="I388" s="16"/>
      <c r="J388" s="16"/>
      <c r="K388" s="16"/>
      <c r="L388" s="13"/>
      <c r="M388" s="13"/>
      <c r="N388" s="13"/>
      <c r="O388" s="13"/>
      <c r="P388" s="13"/>
      <c r="Q388" s="13"/>
      <c r="R388" s="13"/>
      <c r="S388" s="13"/>
      <c r="T388" s="13"/>
      <c r="U388" s="12"/>
      <c r="V388" s="14"/>
      <c r="W388" s="16"/>
      <c r="X388" s="16"/>
      <c r="Y388" s="16"/>
      <c r="Z388" s="16"/>
      <c r="AA388" s="15" t="str">
        <f aca="false">IF(AND(ISNUMBER(L388),ISNUMBER(M388)),M388-L388,"")</f>
        <v/>
      </c>
      <c r="AB388" s="15" t="str">
        <f aca="false">IF(AND(ISNUMBER(M388),ISNUMBER(P388)),P388-M388,"")</f>
        <v/>
      </c>
      <c r="AC388" s="15" t="str">
        <f aca="false">IF(AND(ISNUMBER(L388),ISNUMBER(P388)),P388-L388,"")</f>
        <v/>
      </c>
      <c r="AD388" s="15" t="str">
        <f aca="false">IF(AND(ISNUMBER(P388),ISNUMBER(Q388)),Q388-P388,"")</f>
        <v/>
      </c>
      <c r="AE388" s="15" t="str">
        <f aca="false">IF(AND(ISNUMBER(Q388),ISNUMBER(R388)),R388-Q388,IF(ISNUMBER(Y388),Y388,""))</f>
        <v/>
      </c>
      <c r="AF388" s="15" t="str">
        <f aca="false">IF(AND(ISNUMBER(R388),ISNUMBER(S388)),S388-R388,"")</f>
        <v/>
      </c>
      <c r="AG388" s="15" t="str">
        <f aca="false">IF(AND(ISNUMBER(S388),ISNUMBER(T388)),T388-S388,"")</f>
        <v/>
      </c>
      <c r="AH388" s="15" t="str">
        <f aca="false">IF(AND(ISNUMBER(L388),ISNUMBER(T388)),T388-L388,"")</f>
        <v/>
      </c>
      <c r="AI388" s="15" t="str">
        <f aca="false">IF(AND(ISNUMBER(O388),ISNUMBER(Q388)),Q388-O388,"")</f>
        <v/>
      </c>
      <c r="AJ388" s="15" t="str">
        <f aca="false">IF(B388="","",COUNT(L388:M388,P388:T388)&amp;"/7")</f>
        <v/>
      </c>
      <c r="AK388" s="15" t="str">
        <f aca="false">IF(B388="","",IF(OR(AND(ISNUMBER(L388),ISNUMBER(M388),M388&lt;L388),AND(ISNUMBER(M388),ISNUMBER(P388),P388&lt;M388),AND(ISNUMBER(P388),ISNUMBER(Q388),Q388&lt;P388),AND(ISNUMBER(Q388),ISNUMBER(R388),R388&lt;Q388),AND(ISNUMBER(R388),ISNUMBER(S388),S388&lt;R388),AND(ISNUMBER(S388),ISNUMBER(T388),T388&lt;S388),AND(ISNUMBER(N388),ISNUMBER(O388),O388&lt;N388)),"Urutan tanggal salah",IF(AND(ISNUMBER(Q388),ISNUMBER(R388),ISNUMBER(Y388),ABS(R388-Q388-Y388)&gt;2),"S tanggal ≠ Sailing tercatat",IF(AND(ISNUMBER(Q388),ISNUMBER(O388),ABS(Q388-O388)&gt;60),"Cek tahun laycan",IF(AND(ISNUMBER(Q388),ISNUMBER(N388),Q388&lt;N388),"Berangkat sebelum laycan",IF(NOT(ISNUMBER(AE388)),"S belum ada","OK"))))))</f>
        <v/>
      </c>
    </row>
    <row r="389" customFormat="false" ht="15" hidden="false" customHeight="false" outlineLevel="0" collapsed="false">
      <c r="A389" s="16" t="str">
        <f aca="false">IF(B389="","",ROW()-4)</f>
        <v/>
      </c>
      <c r="B389" s="12"/>
      <c r="C389" s="16"/>
      <c r="D389" s="16"/>
      <c r="E389" s="16"/>
      <c r="F389" s="16"/>
      <c r="G389" s="16"/>
      <c r="H389" s="16"/>
      <c r="I389" s="16"/>
      <c r="J389" s="16"/>
      <c r="K389" s="16"/>
      <c r="L389" s="13"/>
      <c r="M389" s="13"/>
      <c r="N389" s="13"/>
      <c r="O389" s="13"/>
      <c r="P389" s="13"/>
      <c r="Q389" s="13"/>
      <c r="R389" s="13"/>
      <c r="S389" s="13"/>
      <c r="T389" s="13"/>
      <c r="U389" s="12"/>
      <c r="V389" s="14"/>
      <c r="W389" s="16"/>
      <c r="X389" s="16"/>
      <c r="Y389" s="16"/>
      <c r="Z389" s="16"/>
      <c r="AA389" s="15" t="str">
        <f aca="false">IF(AND(ISNUMBER(L389),ISNUMBER(M389)),M389-L389,"")</f>
        <v/>
      </c>
      <c r="AB389" s="15" t="str">
        <f aca="false">IF(AND(ISNUMBER(M389),ISNUMBER(P389)),P389-M389,"")</f>
        <v/>
      </c>
      <c r="AC389" s="15" t="str">
        <f aca="false">IF(AND(ISNUMBER(L389),ISNUMBER(P389)),P389-L389,"")</f>
        <v/>
      </c>
      <c r="AD389" s="15" t="str">
        <f aca="false">IF(AND(ISNUMBER(P389),ISNUMBER(Q389)),Q389-P389,"")</f>
        <v/>
      </c>
      <c r="AE389" s="15" t="str">
        <f aca="false">IF(AND(ISNUMBER(Q389),ISNUMBER(R389)),R389-Q389,IF(ISNUMBER(Y389),Y389,""))</f>
        <v/>
      </c>
      <c r="AF389" s="15" t="str">
        <f aca="false">IF(AND(ISNUMBER(R389),ISNUMBER(S389)),S389-R389,"")</f>
        <v/>
      </c>
      <c r="AG389" s="15" t="str">
        <f aca="false">IF(AND(ISNUMBER(S389),ISNUMBER(T389)),T389-S389,"")</f>
        <v/>
      </c>
      <c r="AH389" s="15" t="str">
        <f aca="false">IF(AND(ISNUMBER(L389),ISNUMBER(T389)),T389-L389,"")</f>
        <v/>
      </c>
      <c r="AI389" s="15" t="str">
        <f aca="false">IF(AND(ISNUMBER(O389),ISNUMBER(Q389)),Q389-O389,"")</f>
        <v/>
      </c>
      <c r="AJ389" s="15" t="str">
        <f aca="false">IF(B389="","",COUNT(L389:M389,P389:T389)&amp;"/7")</f>
        <v/>
      </c>
      <c r="AK389" s="15" t="str">
        <f aca="false">IF(B389="","",IF(OR(AND(ISNUMBER(L389),ISNUMBER(M389),M389&lt;L389),AND(ISNUMBER(M389),ISNUMBER(P389),P389&lt;M389),AND(ISNUMBER(P389),ISNUMBER(Q389),Q389&lt;P389),AND(ISNUMBER(Q389),ISNUMBER(R389),R389&lt;Q389),AND(ISNUMBER(R389),ISNUMBER(S389),S389&lt;R389),AND(ISNUMBER(S389),ISNUMBER(T389),T389&lt;S389),AND(ISNUMBER(N389),ISNUMBER(O389),O389&lt;N389)),"Urutan tanggal salah",IF(AND(ISNUMBER(Q389),ISNUMBER(R389),ISNUMBER(Y389),ABS(R389-Q389-Y389)&gt;2),"S tanggal ≠ Sailing tercatat",IF(AND(ISNUMBER(Q389),ISNUMBER(O389),ABS(Q389-O389)&gt;60),"Cek tahun laycan",IF(AND(ISNUMBER(Q389),ISNUMBER(N389),Q389&lt;N389),"Berangkat sebelum laycan",IF(NOT(ISNUMBER(AE389)),"S belum ada","OK"))))))</f>
        <v/>
      </c>
    </row>
    <row r="390" customFormat="false" ht="15" hidden="false" customHeight="false" outlineLevel="0" collapsed="false">
      <c r="A390" s="16" t="str">
        <f aca="false">IF(B390="","",ROW()-4)</f>
        <v/>
      </c>
      <c r="B390" s="12"/>
      <c r="C390" s="16"/>
      <c r="D390" s="16"/>
      <c r="E390" s="16"/>
      <c r="F390" s="16"/>
      <c r="G390" s="16"/>
      <c r="H390" s="16"/>
      <c r="I390" s="16"/>
      <c r="J390" s="16"/>
      <c r="K390" s="16"/>
      <c r="L390" s="13"/>
      <c r="M390" s="13"/>
      <c r="N390" s="13"/>
      <c r="O390" s="13"/>
      <c r="P390" s="13"/>
      <c r="Q390" s="13"/>
      <c r="R390" s="13"/>
      <c r="S390" s="13"/>
      <c r="T390" s="13"/>
      <c r="U390" s="12"/>
      <c r="V390" s="14"/>
      <c r="W390" s="16"/>
      <c r="X390" s="16"/>
      <c r="Y390" s="16"/>
      <c r="Z390" s="16"/>
      <c r="AA390" s="15" t="str">
        <f aca="false">IF(AND(ISNUMBER(L390),ISNUMBER(M390)),M390-L390,"")</f>
        <v/>
      </c>
      <c r="AB390" s="15" t="str">
        <f aca="false">IF(AND(ISNUMBER(M390),ISNUMBER(P390)),P390-M390,"")</f>
        <v/>
      </c>
      <c r="AC390" s="15" t="str">
        <f aca="false">IF(AND(ISNUMBER(L390),ISNUMBER(P390)),P390-L390,"")</f>
        <v/>
      </c>
      <c r="AD390" s="15" t="str">
        <f aca="false">IF(AND(ISNUMBER(P390),ISNUMBER(Q390)),Q390-P390,"")</f>
        <v/>
      </c>
      <c r="AE390" s="15" t="str">
        <f aca="false">IF(AND(ISNUMBER(Q390),ISNUMBER(R390)),R390-Q390,IF(ISNUMBER(Y390),Y390,""))</f>
        <v/>
      </c>
      <c r="AF390" s="15" t="str">
        <f aca="false">IF(AND(ISNUMBER(R390),ISNUMBER(S390)),S390-R390,"")</f>
        <v/>
      </c>
      <c r="AG390" s="15" t="str">
        <f aca="false">IF(AND(ISNUMBER(S390),ISNUMBER(T390)),T390-S390,"")</f>
        <v/>
      </c>
      <c r="AH390" s="15" t="str">
        <f aca="false">IF(AND(ISNUMBER(L390),ISNUMBER(T390)),T390-L390,"")</f>
        <v/>
      </c>
      <c r="AI390" s="15" t="str">
        <f aca="false">IF(AND(ISNUMBER(O390),ISNUMBER(Q390)),Q390-O390,"")</f>
        <v/>
      </c>
      <c r="AJ390" s="15" t="str">
        <f aca="false">IF(B390="","",COUNT(L390:M390,P390:T390)&amp;"/7")</f>
        <v/>
      </c>
      <c r="AK390" s="15" t="str">
        <f aca="false">IF(B390="","",IF(OR(AND(ISNUMBER(L390),ISNUMBER(M390),M390&lt;L390),AND(ISNUMBER(M390),ISNUMBER(P390),P390&lt;M390),AND(ISNUMBER(P390),ISNUMBER(Q390),Q390&lt;P390),AND(ISNUMBER(Q390),ISNUMBER(R390),R390&lt;Q390),AND(ISNUMBER(R390),ISNUMBER(S390),S390&lt;R390),AND(ISNUMBER(S390),ISNUMBER(T390),T390&lt;S390),AND(ISNUMBER(N390),ISNUMBER(O390),O390&lt;N390)),"Urutan tanggal salah",IF(AND(ISNUMBER(Q390),ISNUMBER(R390),ISNUMBER(Y390),ABS(R390-Q390-Y390)&gt;2),"S tanggal ≠ Sailing tercatat",IF(AND(ISNUMBER(Q390),ISNUMBER(O390),ABS(Q390-O390)&gt;60),"Cek tahun laycan",IF(AND(ISNUMBER(Q390),ISNUMBER(N390),Q390&lt;N390),"Berangkat sebelum laycan",IF(NOT(ISNUMBER(AE390)),"S belum ada","OK"))))))</f>
        <v/>
      </c>
    </row>
    <row r="391" customFormat="false" ht="15" hidden="false" customHeight="false" outlineLevel="0" collapsed="false">
      <c r="A391" s="16" t="str">
        <f aca="false">IF(B391="","",ROW()-4)</f>
        <v/>
      </c>
      <c r="B391" s="12"/>
      <c r="C391" s="16"/>
      <c r="D391" s="16"/>
      <c r="E391" s="16"/>
      <c r="F391" s="16"/>
      <c r="G391" s="16"/>
      <c r="H391" s="16"/>
      <c r="I391" s="16"/>
      <c r="J391" s="16"/>
      <c r="K391" s="16"/>
      <c r="L391" s="13"/>
      <c r="M391" s="13"/>
      <c r="N391" s="13"/>
      <c r="O391" s="13"/>
      <c r="P391" s="13"/>
      <c r="Q391" s="13"/>
      <c r="R391" s="13"/>
      <c r="S391" s="13"/>
      <c r="T391" s="13"/>
      <c r="U391" s="12"/>
      <c r="V391" s="14"/>
      <c r="W391" s="16"/>
      <c r="X391" s="16"/>
      <c r="Y391" s="16"/>
      <c r="Z391" s="16"/>
      <c r="AA391" s="15" t="str">
        <f aca="false">IF(AND(ISNUMBER(L391),ISNUMBER(M391)),M391-L391,"")</f>
        <v/>
      </c>
      <c r="AB391" s="15" t="str">
        <f aca="false">IF(AND(ISNUMBER(M391),ISNUMBER(P391)),P391-M391,"")</f>
        <v/>
      </c>
      <c r="AC391" s="15" t="str">
        <f aca="false">IF(AND(ISNUMBER(L391),ISNUMBER(P391)),P391-L391,"")</f>
        <v/>
      </c>
      <c r="AD391" s="15" t="str">
        <f aca="false">IF(AND(ISNUMBER(P391),ISNUMBER(Q391)),Q391-P391,"")</f>
        <v/>
      </c>
      <c r="AE391" s="15" t="str">
        <f aca="false">IF(AND(ISNUMBER(Q391),ISNUMBER(R391)),R391-Q391,IF(ISNUMBER(Y391),Y391,""))</f>
        <v/>
      </c>
      <c r="AF391" s="15" t="str">
        <f aca="false">IF(AND(ISNUMBER(R391),ISNUMBER(S391)),S391-R391,"")</f>
        <v/>
      </c>
      <c r="AG391" s="15" t="str">
        <f aca="false">IF(AND(ISNUMBER(S391),ISNUMBER(T391)),T391-S391,"")</f>
        <v/>
      </c>
      <c r="AH391" s="15" t="str">
        <f aca="false">IF(AND(ISNUMBER(L391),ISNUMBER(T391)),T391-L391,"")</f>
        <v/>
      </c>
      <c r="AI391" s="15" t="str">
        <f aca="false">IF(AND(ISNUMBER(O391),ISNUMBER(Q391)),Q391-O391,"")</f>
        <v/>
      </c>
      <c r="AJ391" s="15" t="str">
        <f aca="false">IF(B391="","",COUNT(L391:M391,P391:T391)&amp;"/7")</f>
        <v/>
      </c>
      <c r="AK391" s="15" t="str">
        <f aca="false">IF(B391="","",IF(OR(AND(ISNUMBER(L391),ISNUMBER(M391),M391&lt;L391),AND(ISNUMBER(M391),ISNUMBER(P391),P391&lt;M391),AND(ISNUMBER(P391),ISNUMBER(Q391),Q391&lt;P391),AND(ISNUMBER(Q391),ISNUMBER(R391),R391&lt;Q391),AND(ISNUMBER(R391),ISNUMBER(S391),S391&lt;R391),AND(ISNUMBER(S391),ISNUMBER(T391),T391&lt;S391),AND(ISNUMBER(N391),ISNUMBER(O391),O391&lt;N391)),"Urutan tanggal salah",IF(AND(ISNUMBER(Q391),ISNUMBER(R391),ISNUMBER(Y391),ABS(R391-Q391-Y391)&gt;2),"S tanggal ≠ Sailing tercatat",IF(AND(ISNUMBER(Q391),ISNUMBER(O391),ABS(Q391-O391)&gt;60),"Cek tahun laycan",IF(AND(ISNUMBER(Q391),ISNUMBER(N391),Q391&lt;N391),"Berangkat sebelum laycan",IF(NOT(ISNUMBER(AE391)),"S belum ada","OK"))))))</f>
        <v/>
      </c>
    </row>
    <row r="392" customFormat="false" ht="15" hidden="false" customHeight="false" outlineLevel="0" collapsed="false">
      <c r="A392" s="16" t="str">
        <f aca="false">IF(B392="","",ROW()-4)</f>
        <v/>
      </c>
      <c r="B392" s="12"/>
      <c r="C392" s="16"/>
      <c r="D392" s="16"/>
      <c r="E392" s="16"/>
      <c r="F392" s="16"/>
      <c r="G392" s="16"/>
      <c r="H392" s="16"/>
      <c r="I392" s="16"/>
      <c r="J392" s="16"/>
      <c r="K392" s="16"/>
      <c r="L392" s="13"/>
      <c r="M392" s="13"/>
      <c r="N392" s="13"/>
      <c r="O392" s="13"/>
      <c r="P392" s="13"/>
      <c r="Q392" s="13"/>
      <c r="R392" s="13"/>
      <c r="S392" s="13"/>
      <c r="T392" s="13"/>
      <c r="U392" s="12"/>
      <c r="V392" s="14"/>
      <c r="W392" s="16"/>
      <c r="X392" s="16"/>
      <c r="Y392" s="16"/>
      <c r="Z392" s="16"/>
      <c r="AA392" s="15" t="str">
        <f aca="false">IF(AND(ISNUMBER(L392),ISNUMBER(M392)),M392-L392,"")</f>
        <v/>
      </c>
      <c r="AB392" s="15" t="str">
        <f aca="false">IF(AND(ISNUMBER(M392),ISNUMBER(P392)),P392-M392,"")</f>
        <v/>
      </c>
      <c r="AC392" s="15" t="str">
        <f aca="false">IF(AND(ISNUMBER(L392),ISNUMBER(P392)),P392-L392,"")</f>
        <v/>
      </c>
      <c r="AD392" s="15" t="str">
        <f aca="false">IF(AND(ISNUMBER(P392),ISNUMBER(Q392)),Q392-P392,"")</f>
        <v/>
      </c>
      <c r="AE392" s="15" t="str">
        <f aca="false">IF(AND(ISNUMBER(Q392),ISNUMBER(R392)),R392-Q392,IF(ISNUMBER(Y392),Y392,""))</f>
        <v/>
      </c>
      <c r="AF392" s="15" t="str">
        <f aca="false">IF(AND(ISNUMBER(R392),ISNUMBER(S392)),S392-R392,"")</f>
        <v/>
      </c>
      <c r="AG392" s="15" t="str">
        <f aca="false">IF(AND(ISNUMBER(S392),ISNUMBER(T392)),T392-S392,"")</f>
        <v/>
      </c>
      <c r="AH392" s="15" t="str">
        <f aca="false">IF(AND(ISNUMBER(L392),ISNUMBER(T392)),T392-L392,"")</f>
        <v/>
      </c>
      <c r="AI392" s="15" t="str">
        <f aca="false">IF(AND(ISNUMBER(O392),ISNUMBER(Q392)),Q392-O392,"")</f>
        <v/>
      </c>
      <c r="AJ392" s="15" t="str">
        <f aca="false">IF(B392="","",COUNT(L392:M392,P392:T392)&amp;"/7")</f>
        <v/>
      </c>
      <c r="AK392" s="15" t="str">
        <f aca="false">IF(B392="","",IF(OR(AND(ISNUMBER(L392),ISNUMBER(M392),M392&lt;L392),AND(ISNUMBER(M392),ISNUMBER(P392),P392&lt;M392),AND(ISNUMBER(P392),ISNUMBER(Q392),Q392&lt;P392),AND(ISNUMBER(Q392),ISNUMBER(R392),R392&lt;Q392),AND(ISNUMBER(R392),ISNUMBER(S392),S392&lt;R392),AND(ISNUMBER(S392),ISNUMBER(T392),T392&lt;S392),AND(ISNUMBER(N392),ISNUMBER(O392),O392&lt;N392)),"Urutan tanggal salah",IF(AND(ISNUMBER(Q392),ISNUMBER(R392),ISNUMBER(Y392),ABS(R392-Q392-Y392)&gt;2),"S tanggal ≠ Sailing tercatat",IF(AND(ISNUMBER(Q392),ISNUMBER(O392),ABS(Q392-O392)&gt;60),"Cek tahun laycan",IF(AND(ISNUMBER(Q392),ISNUMBER(N392),Q392&lt;N392),"Berangkat sebelum laycan",IF(NOT(ISNUMBER(AE392)),"S belum ada","OK"))))))</f>
        <v/>
      </c>
    </row>
    <row r="393" customFormat="false" ht="15" hidden="false" customHeight="false" outlineLevel="0" collapsed="false">
      <c r="A393" s="16" t="str">
        <f aca="false">IF(B393="","",ROW()-4)</f>
        <v/>
      </c>
      <c r="B393" s="12"/>
      <c r="C393" s="16"/>
      <c r="D393" s="16"/>
      <c r="E393" s="16"/>
      <c r="F393" s="16"/>
      <c r="G393" s="16"/>
      <c r="H393" s="16"/>
      <c r="I393" s="16"/>
      <c r="J393" s="16"/>
      <c r="K393" s="16"/>
      <c r="L393" s="13"/>
      <c r="M393" s="13"/>
      <c r="N393" s="13"/>
      <c r="O393" s="13"/>
      <c r="P393" s="13"/>
      <c r="Q393" s="13"/>
      <c r="R393" s="13"/>
      <c r="S393" s="13"/>
      <c r="T393" s="13"/>
      <c r="U393" s="12"/>
      <c r="V393" s="14"/>
      <c r="W393" s="16"/>
      <c r="X393" s="16"/>
      <c r="Y393" s="16"/>
      <c r="Z393" s="16"/>
      <c r="AA393" s="15" t="str">
        <f aca="false">IF(AND(ISNUMBER(L393),ISNUMBER(M393)),M393-L393,"")</f>
        <v/>
      </c>
      <c r="AB393" s="15" t="str">
        <f aca="false">IF(AND(ISNUMBER(M393),ISNUMBER(P393)),P393-M393,"")</f>
        <v/>
      </c>
      <c r="AC393" s="15" t="str">
        <f aca="false">IF(AND(ISNUMBER(L393),ISNUMBER(P393)),P393-L393,"")</f>
        <v/>
      </c>
      <c r="AD393" s="15" t="str">
        <f aca="false">IF(AND(ISNUMBER(P393),ISNUMBER(Q393)),Q393-P393,"")</f>
        <v/>
      </c>
      <c r="AE393" s="15" t="str">
        <f aca="false">IF(AND(ISNUMBER(Q393),ISNUMBER(R393)),R393-Q393,IF(ISNUMBER(Y393),Y393,""))</f>
        <v/>
      </c>
      <c r="AF393" s="15" t="str">
        <f aca="false">IF(AND(ISNUMBER(R393),ISNUMBER(S393)),S393-R393,"")</f>
        <v/>
      </c>
      <c r="AG393" s="15" t="str">
        <f aca="false">IF(AND(ISNUMBER(S393),ISNUMBER(T393)),T393-S393,"")</f>
        <v/>
      </c>
      <c r="AH393" s="15" t="str">
        <f aca="false">IF(AND(ISNUMBER(L393),ISNUMBER(T393)),T393-L393,"")</f>
        <v/>
      </c>
      <c r="AI393" s="15" t="str">
        <f aca="false">IF(AND(ISNUMBER(O393),ISNUMBER(Q393)),Q393-O393,"")</f>
        <v/>
      </c>
      <c r="AJ393" s="15" t="str">
        <f aca="false">IF(B393="","",COUNT(L393:M393,P393:T393)&amp;"/7")</f>
        <v/>
      </c>
      <c r="AK393" s="15" t="str">
        <f aca="false">IF(B393="","",IF(OR(AND(ISNUMBER(L393),ISNUMBER(M393),M393&lt;L393),AND(ISNUMBER(M393),ISNUMBER(P393),P393&lt;M393),AND(ISNUMBER(P393),ISNUMBER(Q393),Q393&lt;P393),AND(ISNUMBER(Q393),ISNUMBER(R393),R393&lt;Q393),AND(ISNUMBER(R393),ISNUMBER(S393),S393&lt;R393),AND(ISNUMBER(S393),ISNUMBER(T393),T393&lt;S393),AND(ISNUMBER(N393),ISNUMBER(O393),O393&lt;N393)),"Urutan tanggal salah",IF(AND(ISNUMBER(Q393),ISNUMBER(R393),ISNUMBER(Y393),ABS(R393-Q393-Y393)&gt;2),"S tanggal ≠ Sailing tercatat",IF(AND(ISNUMBER(Q393),ISNUMBER(O393),ABS(Q393-O393)&gt;60),"Cek tahun laycan",IF(AND(ISNUMBER(Q393),ISNUMBER(N393),Q393&lt;N393),"Berangkat sebelum laycan",IF(NOT(ISNUMBER(AE393)),"S belum ada","OK"))))))</f>
        <v/>
      </c>
    </row>
    <row r="394" customFormat="false" ht="15" hidden="false" customHeight="false" outlineLevel="0" collapsed="false">
      <c r="A394" s="16" t="str">
        <f aca="false">IF(B394="","",ROW()-4)</f>
        <v/>
      </c>
      <c r="B394" s="12"/>
      <c r="C394" s="16"/>
      <c r="D394" s="16"/>
      <c r="E394" s="16"/>
      <c r="F394" s="16"/>
      <c r="G394" s="16"/>
      <c r="H394" s="16"/>
      <c r="I394" s="16"/>
      <c r="J394" s="16"/>
      <c r="K394" s="16"/>
      <c r="L394" s="13"/>
      <c r="M394" s="13"/>
      <c r="N394" s="13"/>
      <c r="O394" s="13"/>
      <c r="P394" s="13"/>
      <c r="Q394" s="13"/>
      <c r="R394" s="13"/>
      <c r="S394" s="13"/>
      <c r="T394" s="13"/>
      <c r="U394" s="12"/>
      <c r="V394" s="14"/>
      <c r="W394" s="16"/>
      <c r="X394" s="16"/>
      <c r="Y394" s="16"/>
      <c r="Z394" s="16"/>
      <c r="AA394" s="15" t="str">
        <f aca="false">IF(AND(ISNUMBER(L394),ISNUMBER(M394)),M394-L394,"")</f>
        <v/>
      </c>
      <c r="AB394" s="15" t="str">
        <f aca="false">IF(AND(ISNUMBER(M394),ISNUMBER(P394)),P394-M394,"")</f>
        <v/>
      </c>
      <c r="AC394" s="15" t="str">
        <f aca="false">IF(AND(ISNUMBER(L394),ISNUMBER(P394)),P394-L394,"")</f>
        <v/>
      </c>
      <c r="AD394" s="15" t="str">
        <f aca="false">IF(AND(ISNUMBER(P394),ISNUMBER(Q394)),Q394-P394,"")</f>
        <v/>
      </c>
      <c r="AE394" s="15" t="str">
        <f aca="false">IF(AND(ISNUMBER(Q394),ISNUMBER(R394)),R394-Q394,IF(ISNUMBER(Y394),Y394,""))</f>
        <v/>
      </c>
      <c r="AF394" s="15" t="str">
        <f aca="false">IF(AND(ISNUMBER(R394),ISNUMBER(S394)),S394-R394,"")</f>
        <v/>
      </c>
      <c r="AG394" s="15" t="str">
        <f aca="false">IF(AND(ISNUMBER(S394),ISNUMBER(T394)),T394-S394,"")</f>
        <v/>
      </c>
      <c r="AH394" s="15" t="str">
        <f aca="false">IF(AND(ISNUMBER(L394),ISNUMBER(T394)),T394-L394,"")</f>
        <v/>
      </c>
      <c r="AI394" s="15" t="str">
        <f aca="false">IF(AND(ISNUMBER(O394),ISNUMBER(Q394)),Q394-O394,"")</f>
        <v/>
      </c>
      <c r="AJ394" s="15" t="str">
        <f aca="false">IF(B394="","",COUNT(L394:M394,P394:T394)&amp;"/7")</f>
        <v/>
      </c>
      <c r="AK394" s="15" t="str">
        <f aca="false">IF(B394="","",IF(OR(AND(ISNUMBER(L394),ISNUMBER(M394),M394&lt;L394),AND(ISNUMBER(M394),ISNUMBER(P394),P394&lt;M394),AND(ISNUMBER(P394),ISNUMBER(Q394),Q394&lt;P394),AND(ISNUMBER(Q394),ISNUMBER(R394),R394&lt;Q394),AND(ISNUMBER(R394),ISNUMBER(S394),S394&lt;R394),AND(ISNUMBER(S394),ISNUMBER(T394),T394&lt;S394),AND(ISNUMBER(N394),ISNUMBER(O394),O394&lt;N394)),"Urutan tanggal salah",IF(AND(ISNUMBER(Q394),ISNUMBER(R394),ISNUMBER(Y394),ABS(R394-Q394-Y394)&gt;2),"S tanggal ≠ Sailing tercatat",IF(AND(ISNUMBER(Q394),ISNUMBER(O394),ABS(Q394-O394)&gt;60),"Cek tahun laycan",IF(AND(ISNUMBER(Q394),ISNUMBER(N394),Q394&lt;N394),"Berangkat sebelum laycan",IF(NOT(ISNUMBER(AE394)),"S belum ada","OK"))))))</f>
        <v/>
      </c>
    </row>
    <row r="395" customFormat="false" ht="15" hidden="false" customHeight="false" outlineLevel="0" collapsed="false">
      <c r="A395" s="16" t="str">
        <f aca="false">IF(B395="","",ROW()-4)</f>
        <v/>
      </c>
      <c r="B395" s="12"/>
      <c r="C395" s="16"/>
      <c r="D395" s="16"/>
      <c r="E395" s="16"/>
      <c r="F395" s="16"/>
      <c r="G395" s="16"/>
      <c r="H395" s="16"/>
      <c r="I395" s="16"/>
      <c r="J395" s="16"/>
      <c r="K395" s="16"/>
      <c r="L395" s="13"/>
      <c r="M395" s="13"/>
      <c r="N395" s="13"/>
      <c r="O395" s="13"/>
      <c r="P395" s="13"/>
      <c r="Q395" s="13"/>
      <c r="R395" s="13"/>
      <c r="S395" s="13"/>
      <c r="T395" s="13"/>
      <c r="U395" s="12"/>
      <c r="V395" s="14"/>
      <c r="W395" s="16"/>
      <c r="X395" s="16"/>
      <c r="Y395" s="16"/>
      <c r="Z395" s="16"/>
      <c r="AA395" s="15" t="str">
        <f aca="false">IF(AND(ISNUMBER(L395),ISNUMBER(M395)),M395-L395,"")</f>
        <v/>
      </c>
      <c r="AB395" s="15" t="str">
        <f aca="false">IF(AND(ISNUMBER(M395),ISNUMBER(P395)),P395-M395,"")</f>
        <v/>
      </c>
      <c r="AC395" s="15" t="str">
        <f aca="false">IF(AND(ISNUMBER(L395),ISNUMBER(P395)),P395-L395,"")</f>
        <v/>
      </c>
      <c r="AD395" s="15" t="str">
        <f aca="false">IF(AND(ISNUMBER(P395),ISNUMBER(Q395)),Q395-P395,"")</f>
        <v/>
      </c>
      <c r="AE395" s="15" t="str">
        <f aca="false">IF(AND(ISNUMBER(Q395),ISNUMBER(R395)),R395-Q395,IF(ISNUMBER(Y395),Y395,""))</f>
        <v/>
      </c>
      <c r="AF395" s="15" t="str">
        <f aca="false">IF(AND(ISNUMBER(R395),ISNUMBER(S395)),S395-R395,"")</f>
        <v/>
      </c>
      <c r="AG395" s="15" t="str">
        <f aca="false">IF(AND(ISNUMBER(S395),ISNUMBER(T395)),T395-S395,"")</f>
        <v/>
      </c>
      <c r="AH395" s="15" t="str">
        <f aca="false">IF(AND(ISNUMBER(L395),ISNUMBER(T395)),T395-L395,"")</f>
        <v/>
      </c>
      <c r="AI395" s="15" t="str">
        <f aca="false">IF(AND(ISNUMBER(O395),ISNUMBER(Q395)),Q395-O395,"")</f>
        <v/>
      </c>
      <c r="AJ395" s="15" t="str">
        <f aca="false">IF(B395="","",COUNT(L395:M395,P395:T395)&amp;"/7")</f>
        <v/>
      </c>
      <c r="AK395" s="15" t="str">
        <f aca="false">IF(B395="","",IF(OR(AND(ISNUMBER(L395),ISNUMBER(M395),M395&lt;L395),AND(ISNUMBER(M395),ISNUMBER(P395),P395&lt;M395),AND(ISNUMBER(P395),ISNUMBER(Q395),Q395&lt;P395),AND(ISNUMBER(Q395),ISNUMBER(R395),R395&lt;Q395),AND(ISNUMBER(R395),ISNUMBER(S395),S395&lt;R395),AND(ISNUMBER(S395),ISNUMBER(T395),T395&lt;S395),AND(ISNUMBER(N395),ISNUMBER(O395),O395&lt;N395)),"Urutan tanggal salah",IF(AND(ISNUMBER(Q395),ISNUMBER(R395),ISNUMBER(Y395),ABS(R395-Q395-Y395)&gt;2),"S tanggal ≠ Sailing tercatat",IF(AND(ISNUMBER(Q395),ISNUMBER(O395),ABS(Q395-O395)&gt;60),"Cek tahun laycan",IF(AND(ISNUMBER(Q395),ISNUMBER(N395),Q395&lt;N395),"Berangkat sebelum laycan",IF(NOT(ISNUMBER(AE395)),"S belum ada","OK"))))))</f>
        <v/>
      </c>
    </row>
    <row r="396" customFormat="false" ht="15" hidden="false" customHeight="false" outlineLevel="0" collapsed="false">
      <c r="A396" s="16" t="str">
        <f aca="false">IF(B396="","",ROW()-4)</f>
        <v/>
      </c>
      <c r="B396" s="12"/>
      <c r="C396" s="16"/>
      <c r="D396" s="16"/>
      <c r="E396" s="16"/>
      <c r="F396" s="16"/>
      <c r="G396" s="16"/>
      <c r="H396" s="16"/>
      <c r="I396" s="16"/>
      <c r="J396" s="16"/>
      <c r="K396" s="16"/>
      <c r="L396" s="13"/>
      <c r="M396" s="13"/>
      <c r="N396" s="13"/>
      <c r="O396" s="13"/>
      <c r="P396" s="13"/>
      <c r="Q396" s="13"/>
      <c r="R396" s="13"/>
      <c r="S396" s="13"/>
      <c r="T396" s="13"/>
      <c r="U396" s="12"/>
      <c r="V396" s="14"/>
      <c r="W396" s="16"/>
      <c r="X396" s="16"/>
      <c r="Y396" s="16"/>
      <c r="Z396" s="16"/>
      <c r="AA396" s="15" t="str">
        <f aca="false">IF(AND(ISNUMBER(L396),ISNUMBER(M396)),M396-L396,"")</f>
        <v/>
      </c>
      <c r="AB396" s="15" t="str">
        <f aca="false">IF(AND(ISNUMBER(M396),ISNUMBER(P396)),P396-M396,"")</f>
        <v/>
      </c>
      <c r="AC396" s="15" t="str">
        <f aca="false">IF(AND(ISNUMBER(L396),ISNUMBER(P396)),P396-L396,"")</f>
        <v/>
      </c>
      <c r="AD396" s="15" t="str">
        <f aca="false">IF(AND(ISNUMBER(P396),ISNUMBER(Q396)),Q396-P396,"")</f>
        <v/>
      </c>
      <c r="AE396" s="15" t="str">
        <f aca="false">IF(AND(ISNUMBER(Q396),ISNUMBER(R396)),R396-Q396,IF(ISNUMBER(Y396),Y396,""))</f>
        <v/>
      </c>
      <c r="AF396" s="15" t="str">
        <f aca="false">IF(AND(ISNUMBER(R396),ISNUMBER(S396)),S396-R396,"")</f>
        <v/>
      </c>
      <c r="AG396" s="15" t="str">
        <f aca="false">IF(AND(ISNUMBER(S396),ISNUMBER(T396)),T396-S396,"")</f>
        <v/>
      </c>
      <c r="AH396" s="15" t="str">
        <f aca="false">IF(AND(ISNUMBER(L396),ISNUMBER(T396)),T396-L396,"")</f>
        <v/>
      </c>
      <c r="AI396" s="15" t="str">
        <f aca="false">IF(AND(ISNUMBER(O396),ISNUMBER(Q396)),Q396-O396,"")</f>
        <v/>
      </c>
      <c r="AJ396" s="15" t="str">
        <f aca="false">IF(B396="","",COUNT(L396:M396,P396:T396)&amp;"/7")</f>
        <v/>
      </c>
      <c r="AK396" s="15" t="str">
        <f aca="false">IF(B396="","",IF(OR(AND(ISNUMBER(L396),ISNUMBER(M396),M396&lt;L396),AND(ISNUMBER(M396),ISNUMBER(P396),P396&lt;M396),AND(ISNUMBER(P396),ISNUMBER(Q396),Q396&lt;P396),AND(ISNUMBER(Q396),ISNUMBER(R396),R396&lt;Q396),AND(ISNUMBER(R396),ISNUMBER(S396),S396&lt;R396),AND(ISNUMBER(S396),ISNUMBER(T396),T396&lt;S396),AND(ISNUMBER(N396),ISNUMBER(O396),O396&lt;N396)),"Urutan tanggal salah",IF(AND(ISNUMBER(Q396),ISNUMBER(R396),ISNUMBER(Y396),ABS(R396-Q396-Y396)&gt;2),"S tanggal ≠ Sailing tercatat",IF(AND(ISNUMBER(Q396),ISNUMBER(O396),ABS(Q396-O396)&gt;60),"Cek tahun laycan",IF(AND(ISNUMBER(Q396),ISNUMBER(N396),Q396&lt;N396),"Berangkat sebelum laycan",IF(NOT(ISNUMBER(AE396)),"S belum ada","OK"))))))</f>
        <v/>
      </c>
    </row>
    <row r="397" customFormat="false" ht="15" hidden="false" customHeight="false" outlineLevel="0" collapsed="false">
      <c r="A397" s="16" t="str">
        <f aca="false">IF(B397="","",ROW()-4)</f>
        <v/>
      </c>
      <c r="B397" s="12"/>
      <c r="C397" s="16"/>
      <c r="D397" s="16"/>
      <c r="E397" s="16"/>
      <c r="F397" s="16"/>
      <c r="G397" s="16"/>
      <c r="H397" s="16"/>
      <c r="I397" s="16"/>
      <c r="J397" s="16"/>
      <c r="K397" s="16"/>
      <c r="L397" s="13"/>
      <c r="M397" s="13"/>
      <c r="N397" s="13"/>
      <c r="O397" s="13"/>
      <c r="P397" s="13"/>
      <c r="Q397" s="13"/>
      <c r="R397" s="13"/>
      <c r="S397" s="13"/>
      <c r="T397" s="13"/>
      <c r="U397" s="12"/>
      <c r="V397" s="14"/>
      <c r="W397" s="16"/>
      <c r="X397" s="16"/>
      <c r="Y397" s="16"/>
      <c r="Z397" s="16"/>
      <c r="AA397" s="15" t="str">
        <f aca="false">IF(AND(ISNUMBER(L397),ISNUMBER(M397)),M397-L397,"")</f>
        <v/>
      </c>
      <c r="AB397" s="15" t="str">
        <f aca="false">IF(AND(ISNUMBER(M397),ISNUMBER(P397)),P397-M397,"")</f>
        <v/>
      </c>
      <c r="AC397" s="15" t="str">
        <f aca="false">IF(AND(ISNUMBER(L397),ISNUMBER(P397)),P397-L397,"")</f>
        <v/>
      </c>
      <c r="AD397" s="15" t="str">
        <f aca="false">IF(AND(ISNUMBER(P397),ISNUMBER(Q397)),Q397-P397,"")</f>
        <v/>
      </c>
      <c r="AE397" s="15" t="str">
        <f aca="false">IF(AND(ISNUMBER(Q397),ISNUMBER(R397)),R397-Q397,IF(ISNUMBER(Y397),Y397,""))</f>
        <v/>
      </c>
      <c r="AF397" s="15" t="str">
        <f aca="false">IF(AND(ISNUMBER(R397),ISNUMBER(S397)),S397-R397,"")</f>
        <v/>
      </c>
      <c r="AG397" s="15" t="str">
        <f aca="false">IF(AND(ISNUMBER(S397),ISNUMBER(T397)),T397-S397,"")</f>
        <v/>
      </c>
      <c r="AH397" s="15" t="str">
        <f aca="false">IF(AND(ISNUMBER(L397),ISNUMBER(T397)),T397-L397,"")</f>
        <v/>
      </c>
      <c r="AI397" s="15" t="str">
        <f aca="false">IF(AND(ISNUMBER(O397),ISNUMBER(Q397)),Q397-O397,"")</f>
        <v/>
      </c>
      <c r="AJ397" s="15" t="str">
        <f aca="false">IF(B397="","",COUNT(L397:M397,P397:T397)&amp;"/7")</f>
        <v/>
      </c>
      <c r="AK397" s="15" t="str">
        <f aca="false">IF(B397="","",IF(OR(AND(ISNUMBER(L397),ISNUMBER(M397),M397&lt;L397),AND(ISNUMBER(M397),ISNUMBER(P397),P397&lt;M397),AND(ISNUMBER(P397),ISNUMBER(Q397),Q397&lt;P397),AND(ISNUMBER(Q397),ISNUMBER(R397),R397&lt;Q397),AND(ISNUMBER(R397),ISNUMBER(S397),S397&lt;R397),AND(ISNUMBER(S397),ISNUMBER(T397),T397&lt;S397),AND(ISNUMBER(N397),ISNUMBER(O397),O397&lt;N397)),"Urutan tanggal salah",IF(AND(ISNUMBER(Q397),ISNUMBER(R397),ISNUMBER(Y397),ABS(R397-Q397-Y397)&gt;2),"S tanggal ≠ Sailing tercatat",IF(AND(ISNUMBER(Q397),ISNUMBER(O397),ABS(Q397-O397)&gt;60),"Cek tahun laycan",IF(AND(ISNUMBER(Q397),ISNUMBER(N397),Q397&lt;N397),"Berangkat sebelum laycan",IF(NOT(ISNUMBER(AE397)),"S belum ada","OK"))))))</f>
        <v/>
      </c>
    </row>
    <row r="398" customFormat="false" ht="15" hidden="false" customHeight="false" outlineLevel="0" collapsed="false">
      <c r="A398" s="16" t="str">
        <f aca="false">IF(B398="","",ROW()-4)</f>
        <v/>
      </c>
      <c r="B398" s="12"/>
      <c r="C398" s="16"/>
      <c r="D398" s="16"/>
      <c r="E398" s="16"/>
      <c r="F398" s="16"/>
      <c r="G398" s="16"/>
      <c r="H398" s="16"/>
      <c r="I398" s="16"/>
      <c r="J398" s="16"/>
      <c r="K398" s="16"/>
      <c r="L398" s="13"/>
      <c r="M398" s="13"/>
      <c r="N398" s="13"/>
      <c r="O398" s="13"/>
      <c r="P398" s="13"/>
      <c r="Q398" s="13"/>
      <c r="R398" s="13"/>
      <c r="S398" s="13"/>
      <c r="T398" s="13"/>
      <c r="U398" s="12"/>
      <c r="V398" s="14"/>
      <c r="W398" s="16"/>
      <c r="X398" s="16"/>
      <c r="Y398" s="16"/>
      <c r="Z398" s="16"/>
      <c r="AA398" s="15" t="str">
        <f aca="false">IF(AND(ISNUMBER(L398),ISNUMBER(M398)),M398-L398,"")</f>
        <v/>
      </c>
      <c r="AB398" s="15" t="str">
        <f aca="false">IF(AND(ISNUMBER(M398),ISNUMBER(P398)),P398-M398,"")</f>
        <v/>
      </c>
      <c r="AC398" s="15" t="str">
        <f aca="false">IF(AND(ISNUMBER(L398),ISNUMBER(P398)),P398-L398,"")</f>
        <v/>
      </c>
      <c r="AD398" s="15" t="str">
        <f aca="false">IF(AND(ISNUMBER(P398),ISNUMBER(Q398)),Q398-P398,"")</f>
        <v/>
      </c>
      <c r="AE398" s="15" t="str">
        <f aca="false">IF(AND(ISNUMBER(Q398),ISNUMBER(R398)),R398-Q398,IF(ISNUMBER(Y398),Y398,""))</f>
        <v/>
      </c>
      <c r="AF398" s="15" t="str">
        <f aca="false">IF(AND(ISNUMBER(R398),ISNUMBER(S398)),S398-R398,"")</f>
        <v/>
      </c>
      <c r="AG398" s="15" t="str">
        <f aca="false">IF(AND(ISNUMBER(S398),ISNUMBER(T398)),T398-S398,"")</f>
        <v/>
      </c>
      <c r="AH398" s="15" t="str">
        <f aca="false">IF(AND(ISNUMBER(L398),ISNUMBER(T398)),T398-L398,"")</f>
        <v/>
      </c>
      <c r="AI398" s="15" t="str">
        <f aca="false">IF(AND(ISNUMBER(O398),ISNUMBER(Q398)),Q398-O398,"")</f>
        <v/>
      </c>
      <c r="AJ398" s="15" t="str">
        <f aca="false">IF(B398="","",COUNT(L398:M398,P398:T398)&amp;"/7")</f>
        <v/>
      </c>
      <c r="AK398" s="15" t="str">
        <f aca="false">IF(B398="","",IF(OR(AND(ISNUMBER(L398),ISNUMBER(M398),M398&lt;L398),AND(ISNUMBER(M398),ISNUMBER(P398),P398&lt;M398),AND(ISNUMBER(P398),ISNUMBER(Q398),Q398&lt;P398),AND(ISNUMBER(Q398),ISNUMBER(R398),R398&lt;Q398),AND(ISNUMBER(R398),ISNUMBER(S398),S398&lt;R398),AND(ISNUMBER(S398),ISNUMBER(T398),T398&lt;S398),AND(ISNUMBER(N398),ISNUMBER(O398),O398&lt;N398)),"Urutan tanggal salah",IF(AND(ISNUMBER(Q398),ISNUMBER(R398),ISNUMBER(Y398),ABS(R398-Q398-Y398)&gt;2),"S tanggal ≠ Sailing tercatat",IF(AND(ISNUMBER(Q398),ISNUMBER(O398),ABS(Q398-O398)&gt;60),"Cek tahun laycan",IF(AND(ISNUMBER(Q398),ISNUMBER(N398),Q398&lt;N398),"Berangkat sebelum laycan",IF(NOT(ISNUMBER(AE398)),"S belum ada","OK"))))))</f>
        <v/>
      </c>
    </row>
    <row r="399" customFormat="false" ht="15" hidden="false" customHeight="false" outlineLevel="0" collapsed="false">
      <c r="A399" s="16" t="str">
        <f aca="false">IF(B399="","",ROW()-4)</f>
        <v/>
      </c>
      <c r="B399" s="12"/>
      <c r="C399" s="16"/>
      <c r="D399" s="16"/>
      <c r="E399" s="16"/>
      <c r="F399" s="16"/>
      <c r="G399" s="16"/>
      <c r="H399" s="16"/>
      <c r="I399" s="16"/>
      <c r="J399" s="16"/>
      <c r="K399" s="16"/>
      <c r="L399" s="13"/>
      <c r="M399" s="13"/>
      <c r="N399" s="13"/>
      <c r="O399" s="13"/>
      <c r="P399" s="13"/>
      <c r="Q399" s="13"/>
      <c r="R399" s="13"/>
      <c r="S399" s="13"/>
      <c r="T399" s="13"/>
      <c r="U399" s="12"/>
      <c r="V399" s="14"/>
      <c r="W399" s="16"/>
      <c r="X399" s="16"/>
      <c r="Y399" s="16"/>
      <c r="Z399" s="16"/>
      <c r="AA399" s="15" t="str">
        <f aca="false">IF(AND(ISNUMBER(L399),ISNUMBER(M399)),M399-L399,"")</f>
        <v/>
      </c>
      <c r="AB399" s="15" t="str">
        <f aca="false">IF(AND(ISNUMBER(M399),ISNUMBER(P399)),P399-M399,"")</f>
        <v/>
      </c>
      <c r="AC399" s="15" t="str">
        <f aca="false">IF(AND(ISNUMBER(L399),ISNUMBER(P399)),P399-L399,"")</f>
        <v/>
      </c>
      <c r="AD399" s="15" t="str">
        <f aca="false">IF(AND(ISNUMBER(P399),ISNUMBER(Q399)),Q399-P399,"")</f>
        <v/>
      </c>
      <c r="AE399" s="15" t="str">
        <f aca="false">IF(AND(ISNUMBER(Q399),ISNUMBER(R399)),R399-Q399,IF(ISNUMBER(Y399),Y399,""))</f>
        <v/>
      </c>
      <c r="AF399" s="15" t="str">
        <f aca="false">IF(AND(ISNUMBER(R399),ISNUMBER(S399)),S399-R399,"")</f>
        <v/>
      </c>
      <c r="AG399" s="15" t="str">
        <f aca="false">IF(AND(ISNUMBER(S399),ISNUMBER(T399)),T399-S399,"")</f>
        <v/>
      </c>
      <c r="AH399" s="15" t="str">
        <f aca="false">IF(AND(ISNUMBER(L399),ISNUMBER(T399)),T399-L399,"")</f>
        <v/>
      </c>
      <c r="AI399" s="15" t="str">
        <f aca="false">IF(AND(ISNUMBER(O399),ISNUMBER(Q399)),Q399-O399,"")</f>
        <v/>
      </c>
      <c r="AJ399" s="15" t="str">
        <f aca="false">IF(B399="","",COUNT(L399:M399,P399:T399)&amp;"/7")</f>
        <v/>
      </c>
      <c r="AK399" s="15" t="str">
        <f aca="false">IF(B399="","",IF(OR(AND(ISNUMBER(L399),ISNUMBER(M399),M399&lt;L399),AND(ISNUMBER(M399),ISNUMBER(P399),P399&lt;M399),AND(ISNUMBER(P399),ISNUMBER(Q399),Q399&lt;P399),AND(ISNUMBER(Q399),ISNUMBER(R399),R399&lt;Q399),AND(ISNUMBER(R399),ISNUMBER(S399),S399&lt;R399),AND(ISNUMBER(S399),ISNUMBER(T399),T399&lt;S399),AND(ISNUMBER(N399),ISNUMBER(O399),O399&lt;N399)),"Urutan tanggal salah",IF(AND(ISNUMBER(Q399),ISNUMBER(R399),ISNUMBER(Y399),ABS(R399-Q399-Y399)&gt;2),"S tanggal ≠ Sailing tercatat",IF(AND(ISNUMBER(Q399),ISNUMBER(O399),ABS(Q399-O399)&gt;60),"Cek tahun laycan",IF(AND(ISNUMBER(Q399),ISNUMBER(N399),Q399&lt;N399),"Berangkat sebelum laycan",IF(NOT(ISNUMBER(AE399)),"S belum ada","OK"))))))</f>
        <v/>
      </c>
    </row>
    <row r="400" customFormat="false" ht="15" hidden="false" customHeight="false" outlineLevel="0" collapsed="false">
      <c r="A400" s="16" t="str">
        <f aca="false">IF(B400="","",ROW()-4)</f>
        <v/>
      </c>
      <c r="B400" s="12"/>
      <c r="C400" s="16"/>
      <c r="D400" s="16"/>
      <c r="E400" s="16"/>
      <c r="F400" s="16"/>
      <c r="G400" s="16"/>
      <c r="H400" s="16"/>
      <c r="I400" s="16"/>
      <c r="J400" s="16"/>
      <c r="K400" s="16"/>
      <c r="L400" s="13"/>
      <c r="M400" s="13"/>
      <c r="N400" s="13"/>
      <c r="O400" s="13"/>
      <c r="P400" s="13"/>
      <c r="Q400" s="13"/>
      <c r="R400" s="13"/>
      <c r="S400" s="13"/>
      <c r="T400" s="13"/>
      <c r="U400" s="12"/>
      <c r="V400" s="14"/>
      <c r="W400" s="16"/>
      <c r="X400" s="16"/>
      <c r="Y400" s="16"/>
      <c r="Z400" s="16"/>
      <c r="AA400" s="15" t="str">
        <f aca="false">IF(AND(ISNUMBER(L400),ISNUMBER(M400)),M400-L400,"")</f>
        <v/>
      </c>
      <c r="AB400" s="15" t="str">
        <f aca="false">IF(AND(ISNUMBER(M400),ISNUMBER(P400)),P400-M400,"")</f>
        <v/>
      </c>
      <c r="AC400" s="15" t="str">
        <f aca="false">IF(AND(ISNUMBER(L400),ISNUMBER(P400)),P400-L400,"")</f>
        <v/>
      </c>
      <c r="AD400" s="15" t="str">
        <f aca="false">IF(AND(ISNUMBER(P400),ISNUMBER(Q400)),Q400-P400,"")</f>
        <v/>
      </c>
      <c r="AE400" s="15" t="str">
        <f aca="false">IF(AND(ISNUMBER(Q400),ISNUMBER(R400)),R400-Q400,IF(ISNUMBER(Y400),Y400,""))</f>
        <v/>
      </c>
      <c r="AF400" s="15" t="str">
        <f aca="false">IF(AND(ISNUMBER(R400),ISNUMBER(S400)),S400-R400,"")</f>
        <v/>
      </c>
      <c r="AG400" s="15" t="str">
        <f aca="false">IF(AND(ISNUMBER(S400),ISNUMBER(T400)),T400-S400,"")</f>
        <v/>
      </c>
      <c r="AH400" s="15" t="str">
        <f aca="false">IF(AND(ISNUMBER(L400),ISNUMBER(T400)),T400-L400,"")</f>
        <v/>
      </c>
      <c r="AI400" s="15" t="str">
        <f aca="false">IF(AND(ISNUMBER(O400),ISNUMBER(Q400)),Q400-O400,"")</f>
        <v/>
      </c>
      <c r="AJ400" s="15" t="str">
        <f aca="false">IF(B400="","",COUNT(L400:M400,P400:T400)&amp;"/7")</f>
        <v/>
      </c>
      <c r="AK400" s="15" t="str">
        <f aca="false">IF(B400="","",IF(OR(AND(ISNUMBER(L400),ISNUMBER(M400),M400&lt;L400),AND(ISNUMBER(M400),ISNUMBER(P400),P400&lt;M400),AND(ISNUMBER(P400),ISNUMBER(Q400),Q400&lt;P400),AND(ISNUMBER(Q400),ISNUMBER(R400),R400&lt;Q400),AND(ISNUMBER(R400),ISNUMBER(S400),S400&lt;R400),AND(ISNUMBER(S400),ISNUMBER(T400),T400&lt;S400),AND(ISNUMBER(N400),ISNUMBER(O400),O400&lt;N400)),"Urutan tanggal salah",IF(AND(ISNUMBER(Q400),ISNUMBER(R400),ISNUMBER(Y400),ABS(R400-Q400-Y400)&gt;2),"S tanggal ≠ Sailing tercatat",IF(AND(ISNUMBER(Q400),ISNUMBER(O400),ABS(Q400-O400)&gt;60),"Cek tahun laycan",IF(AND(ISNUMBER(Q400),ISNUMBER(N400),Q400&lt;N400),"Berangkat sebelum laycan",IF(NOT(ISNUMBER(AE400)),"S belum ada","OK"))))))</f>
        <v/>
      </c>
    </row>
    <row r="401" customFormat="false" ht="15" hidden="false" customHeight="false" outlineLevel="0" collapsed="false">
      <c r="A401" s="16" t="str">
        <f aca="false">IF(B401="","",ROW()-4)</f>
        <v/>
      </c>
      <c r="B401" s="12"/>
      <c r="C401" s="16"/>
      <c r="D401" s="16"/>
      <c r="E401" s="16"/>
      <c r="F401" s="16"/>
      <c r="G401" s="16"/>
      <c r="H401" s="16"/>
      <c r="I401" s="16"/>
      <c r="J401" s="16"/>
      <c r="K401" s="16"/>
      <c r="L401" s="13"/>
      <c r="M401" s="13"/>
      <c r="N401" s="13"/>
      <c r="O401" s="13"/>
      <c r="P401" s="13"/>
      <c r="Q401" s="13"/>
      <c r="R401" s="13"/>
      <c r="S401" s="13"/>
      <c r="T401" s="13"/>
      <c r="U401" s="12"/>
      <c r="V401" s="14"/>
      <c r="W401" s="16"/>
      <c r="X401" s="16"/>
      <c r="Y401" s="16"/>
      <c r="Z401" s="16"/>
      <c r="AA401" s="15" t="str">
        <f aca="false">IF(AND(ISNUMBER(L401),ISNUMBER(M401)),M401-L401,"")</f>
        <v/>
      </c>
      <c r="AB401" s="15" t="str">
        <f aca="false">IF(AND(ISNUMBER(M401),ISNUMBER(P401)),P401-M401,"")</f>
        <v/>
      </c>
      <c r="AC401" s="15" t="str">
        <f aca="false">IF(AND(ISNUMBER(L401),ISNUMBER(P401)),P401-L401,"")</f>
        <v/>
      </c>
      <c r="AD401" s="15" t="str">
        <f aca="false">IF(AND(ISNUMBER(P401),ISNUMBER(Q401)),Q401-P401,"")</f>
        <v/>
      </c>
      <c r="AE401" s="15" t="str">
        <f aca="false">IF(AND(ISNUMBER(Q401),ISNUMBER(R401)),R401-Q401,IF(ISNUMBER(Y401),Y401,""))</f>
        <v/>
      </c>
      <c r="AF401" s="15" t="str">
        <f aca="false">IF(AND(ISNUMBER(R401),ISNUMBER(S401)),S401-R401,"")</f>
        <v/>
      </c>
      <c r="AG401" s="15" t="str">
        <f aca="false">IF(AND(ISNUMBER(S401),ISNUMBER(T401)),T401-S401,"")</f>
        <v/>
      </c>
      <c r="AH401" s="15" t="str">
        <f aca="false">IF(AND(ISNUMBER(L401),ISNUMBER(T401)),T401-L401,"")</f>
        <v/>
      </c>
      <c r="AI401" s="15" t="str">
        <f aca="false">IF(AND(ISNUMBER(O401),ISNUMBER(Q401)),Q401-O401,"")</f>
        <v/>
      </c>
      <c r="AJ401" s="15" t="str">
        <f aca="false">IF(B401="","",COUNT(L401:M401,P401:T401)&amp;"/7")</f>
        <v/>
      </c>
      <c r="AK401" s="15" t="str">
        <f aca="false">IF(B401="","",IF(OR(AND(ISNUMBER(L401),ISNUMBER(M401),M401&lt;L401),AND(ISNUMBER(M401),ISNUMBER(P401),P401&lt;M401),AND(ISNUMBER(P401),ISNUMBER(Q401),Q401&lt;P401),AND(ISNUMBER(Q401),ISNUMBER(R401),R401&lt;Q401),AND(ISNUMBER(R401),ISNUMBER(S401),S401&lt;R401),AND(ISNUMBER(S401),ISNUMBER(T401),T401&lt;S401),AND(ISNUMBER(N401),ISNUMBER(O401),O401&lt;N401)),"Urutan tanggal salah",IF(AND(ISNUMBER(Q401),ISNUMBER(R401),ISNUMBER(Y401),ABS(R401-Q401-Y401)&gt;2),"S tanggal ≠ Sailing tercatat",IF(AND(ISNUMBER(Q401),ISNUMBER(O401),ABS(Q401-O401)&gt;60),"Cek tahun laycan",IF(AND(ISNUMBER(Q401),ISNUMBER(N401),Q401&lt;N401),"Berangkat sebelum laycan",IF(NOT(ISNUMBER(AE401)),"S belum ada","OK"))))))</f>
        <v/>
      </c>
    </row>
    <row r="402" customFormat="false" ht="15" hidden="false" customHeight="false" outlineLevel="0" collapsed="false">
      <c r="A402" s="16" t="str">
        <f aca="false">IF(B402="","",ROW()-4)</f>
        <v/>
      </c>
      <c r="B402" s="12"/>
      <c r="C402" s="16"/>
      <c r="D402" s="16"/>
      <c r="E402" s="16"/>
      <c r="F402" s="16"/>
      <c r="G402" s="16"/>
      <c r="H402" s="16"/>
      <c r="I402" s="16"/>
      <c r="J402" s="16"/>
      <c r="K402" s="16"/>
      <c r="L402" s="13"/>
      <c r="M402" s="13"/>
      <c r="N402" s="13"/>
      <c r="O402" s="13"/>
      <c r="P402" s="13"/>
      <c r="Q402" s="13"/>
      <c r="R402" s="13"/>
      <c r="S402" s="13"/>
      <c r="T402" s="13"/>
      <c r="U402" s="12"/>
      <c r="V402" s="14"/>
      <c r="W402" s="16"/>
      <c r="X402" s="16"/>
      <c r="Y402" s="16"/>
      <c r="Z402" s="16"/>
      <c r="AA402" s="15" t="str">
        <f aca="false">IF(AND(ISNUMBER(L402),ISNUMBER(M402)),M402-L402,"")</f>
        <v/>
      </c>
      <c r="AB402" s="15" t="str">
        <f aca="false">IF(AND(ISNUMBER(M402),ISNUMBER(P402)),P402-M402,"")</f>
        <v/>
      </c>
      <c r="AC402" s="15" t="str">
        <f aca="false">IF(AND(ISNUMBER(L402),ISNUMBER(P402)),P402-L402,"")</f>
        <v/>
      </c>
      <c r="AD402" s="15" t="str">
        <f aca="false">IF(AND(ISNUMBER(P402),ISNUMBER(Q402)),Q402-P402,"")</f>
        <v/>
      </c>
      <c r="AE402" s="15" t="str">
        <f aca="false">IF(AND(ISNUMBER(Q402),ISNUMBER(R402)),R402-Q402,IF(ISNUMBER(Y402),Y402,""))</f>
        <v/>
      </c>
      <c r="AF402" s="15" t="str">
        <f aca="false">IF(AND(ISNUMBER(R402),ISNUMBER(S402)),S402-R402,"")</f>
        <v/>
      </c>
      <c r="AG402" s="15" t="str">
        <f aca="false">IF(AND(ISNUMBER(S402),ISNUMBER(T402)),T402-S402,"")</f>
        <v/>
      </c>
      <c r="AH402" s="15" t="str">
        <f aca="false">IF(AND(ISNUMBER(L402),ISNUMBER(T402)),T402-L402,"")</f>
        <v/>
      </c>
      <c r="AI402" s="15" t="str">
        <f aca="false">IF(AND(ISNUMBER(O402),ISNUMBER(Q402)),Q402-O402,"")</f>
        <v/>
      </c>
      <c r="AJ402" s="15" t="str">
        <f aca="false">IF(B402="","",COUNT(L402:M402,P402:T402)&amp;"/7")</f>
        <v/>
      </c>
      <c r="AK402" s="15" t="str">
        <f aca="false">IF(B402="","",IF(OR(AND(ISNUMBER(L402),ISNUMBER(M402),M402&lt;L402),AND(ISNUMBER(M402),ISNUMBER(P402),P402&lt;M402),AND(ISNUMBER(P402),ISNUMBER(Q402),Q402&lt;P402),AND(ISNUMBER(Q402),ISNUMBER(R402),R402&lt;Q402),AND(ISNUMBER(R402),ISNUMBER(S402),S402&lt;R402),AND(ISNUMBER(S402),ISNUMBER(T402),T402&lt;S402),AND(ISNUMBER(N402),ISNUMBER(O402),O402&lt;N402)),"Urutan tanggal salah",IF(AND(ISNUMBER(Q402),ISNUMBER(R402),ISNUMBER(Y402),ABS(R402-Q402-Y402)&gt;2),"S tanggal ≠ Sailing tercatat",IF(AND(ISNUMBER(Q402),ISNUMBER(O402),ABS(Q402-O402)&gt;60),"Cek tahun laycan",IF(AND(ISNUMBER(Q402),ISNUMBER(N402),Q402&lt;N402),"Berangkat sebelum laycan",IF(NOT(ISNUMBER(AE402)),"S belum ada","OK"))))))</f>
        <v/>
      </c>
    </row>
    <row r="403" customFormat="false" ht="15" hidden="false" customHeight="false" outlineLevel="0" collapsed="false">
      <c r="A403" s="16" t="str">
        <f aca="false">IF(B403="","",ROW()-4)</f>
        <v/>
      </c>
      <c r="B403" s="12"/>
      <c r="C403" s="16"/>
      <c r="D403" s="16"/>
      <c r="E403" s="16"/>
      <c r="F403" s="16"/>
      <c r="G403" s="16"/>
      <c r="H403" s="16"/>
      <c r="I403" s="16"/>
      <c r="J403" s="16"/>
      <c r="K403" s="16"/>
      <c r="L403" s="13"/>
      <c r="M403" s="13"/>
      <c r="N403" s="13"/>
      <c r="O403" s="13"/>
      <c r="P403" s="13"/>
      <c r="Q403" s="13"/>
      <c r="R403" s="13"/>
      <c r="S403" s="13"/>
      <c r="T403" s="13"/>
      <c r="U403" s="12"/>
      <c r="V403" s="14"/>
      <c r="W403" s="16"/>
      <c r="X403" s="16"/>
      <c r="Y403" s="16"/>
      <c r="Z403" s="16"/>
      <c r="AA403" s="15" t="str">
        <f aca="false">IF(AND(ISNUMBER(L403),ISNUMBER(M403)),M403-L403,"")</f>
        <v/>
      </c>
      <c r="AB403" s="15" t="str">
        <f aca="false">IF(AND(ISNUMBER(M403),ISNUMBER(P403)),P403-M403,"")</f>
        <v/>
      </c>
      <c r="AC403" s="15" t="str">
        <f aca="false">IF(AND(ISNUMBER(L403),ISNUMBER(P403)),P403-L403,"")</f>
        <v/>
      </c>
      <c r="AD403" s="15" t="str">
        <f aca="false">IF(AND(ISNUMBER(P403),ISNUMBER(Q403)),Q403-P403,"")</f>
        <v/>
      </c>
      <c r="AE403" s="15" t="str">
        <f aca="false">IF(AND(ISNUMBER(Q403),ISNUMBER(R403)),R403-Q403,IF(ISNUMBER(Y403),Y403,""))</f>
        <v/>
      </c>
      <c r="AF403" s="15" t="str">
        <f aca="false">IF(AND(ISNUMBER(R403),ISNUMBER(S403)),S403-R403,"")</f>
        <v/>
      </c>
      <c r="AG403" s="15" t="str">
        <f aca="false">IF(AND(ISNUMBER(S403),ISNUMBER(T403)),T403-S403,"")</f>
        <v/>
      </c>
      <c r="AH403" s="15" t="str">
        <f aca="false">IF(AND(ISNUMBER(L403),ISNUMBER(T403)),T403-L403,"")</f>
        <v/>
      </c>
      <c r="AI403" s="15" t="str">
        <f aca="false">IF(AND(ISNUMBER(O403),ISNUMBER(Q403)),Q403-O403,"")</f>
        <v/>
      </c>
      <c r="AJ403" s="15" t="str">
        <f aca="false">IF(B403="","",COUNT(L403:M403,P403:T403)&amp;"/7")</f>
        <v/>
      </c>
      <c r="AK403" s="15" t="str">
        <f aca="false">IF(B403="","",IF(OR(AND(ISNUMBER(L403),ISNUMBER(M403),M403&lt;L403),AND(ISNUMBER(M403),ISNUMBER(P403),P403&lt;M403),AND(ISNUMBER(P403),ISNUMBER(Q403),Q403&lt;P403),AND(ISNUMBER(Q403),ISNUMBER(R403),R403&lt;Q403),AND(ISNUMBER(R403),ISNUMBER(S403),S403&lt;R403),AND(ISNUMBER(S403),ISNUMBER(T403),T403&lt;S403),AND(ISNUMBER(N403),ISNUMBER(O403),O403&lt;N403)),"Urutan tanggal salah",IF(AND(ISNUMBER(Q403),ISNUMBER(R403),ISNUMBER(Y403),ABS(R403-Q403-Y403)&gt;2),"S tanggal ≠ Sailing tercatat",IF(AND(ISNUMBER(Q403),ISNUMBER(O403),ABS(Q403-O403)&gt;60),"Cek tahun laycan",IF(AND(ISNUMBER(Q403),ISNUMBER(N403),Q403&lt;N403),"Berangkat sebelum laycan",IF(NOT(ISNUMBER(AE403)),"S belum ada","OK"))))))</f>
        <v/>
      </c>
    </row>
    <row r="404" customFormat="false" ht="15" hidden="false" customHeight="false" outlineLevel="0" collapsed="false">
      <c r="A404" s="16" t="str">
        <f aca="false">IF(B404="","",ROW()-4)</f>
        <v/>
      </c>
      <c r="B404" s="12"/>
      <c r="C404" s="16"/>
      <c r="D404" s="16"/>
      <c r="E404" s="16"/>
      <c r="F404" s="16"/>
      <c r="G404" s="16"/>
      <c r="H404" s="16"/>
      <c r="I404" s="16"/>
      <c r="J404" s="16"/>
      <c r="K404" s="16"/>
      <c r="L404" s="13"/>
      <c r="M404" s="13"/>
      <c r="N404" s="13"/>
      <c r="O404" s="13"/>
      <c r="P404" s="13"/>
      <c r="Q404" s="13"/>
      <c r="R404" s="13"/>
      <c r="S404" s="13"/>
      <c r="T404" s="13"/>
      <c r="U404" s="12"/>
      <c r="V404" s="14"/>
      <c r="W404" s="16"/>
      <c r="X404" s="16"/>
      <c r="Y404" s="16"/>
      <c r="Z404" s="16"/>
      <c r="AA404" s="15" t="str">
        <f aca="false">IF(AND(ISNUMBER(L404),ISNUMBER(M404)),M404-L404,"")</f>
        <v/>
      </c>
      <c r="AB404" s="15" t="str">
        <f aca="false">IF(AND(ISNUMBER(M404),ISNUMBER(P404)),P404-M404,"")</f>
        <v/>
      </c>
      <c r="AC404" s="15" t="str">
        <f aca="false">IF(AND(ISNUMBER(L404),ISNUMBER(P404)),P404-L404,"")</f>
        <v/>
      </c>
      <c r="AD404" s="15" t="str">
        <f aca="false">IF(AND(ISNUMBER(P404),ISNUMBER(Q404)),Q404-P404,"")</f>
        <v/>
      </c>
      <c r="AE404" s="15" t="str">
        <f aca="false">IF(AND(ISNUMBER(Q404),ISNUMBER(R404)),R404-Q404,IF(ISNUMBER(Y404),Y404,""))</f>
        <v/>
      </c>
      <c r="AF404" s="15" t="str">
        <f aca="false">IF(AND(ISNUMBER(R404),ISNUMBER(S404)),S404-R404,"")</f>
        <v/>
      </c>
      <c r="AG404" s="15" t="str">
        <f aca="false">IF(AND(ISNUMBER(S404),ISNUMBER(T404)),T404-S404,"")</f>
        <v/>
      </c>
      <c r="AH404" s="15" t="str">
        <f aca="false">IF(AND(ISNUMBER(L404),ISNUMBER(T404)),T404-L404,"")</f>
        <v/>
      </c>
      <c r="AI404" s="15" t="str">
        <f aca="false">IF(AND(ISNUMBER(O404),ISNUMBER(Q404)),Q404-O404,"")</f>
        <v/>
      </c>
      <c r="AJ404" s="15" t="str">
        <f aca="false">IF(B404="","",COUNT(L404:M404,P404:T404)&amp;"/7")</f>
        <v/>
      </c>
      <c r="AK404" s="15" t="str">
        <f aca="false">IF(B404="","",IF(OR(AND(ISNUMBER(L404),ISNUMBER(M404),M404&lt;L404),AND(ISNUMBER(M404),ISNUMBER(P404),P404&lt;M404),AND(ISNUMBER(P404),ISNUMBER(Q404),Q404&lt;P404),AND(ISNUMBER(Q404),ISNUMBER(R404),R404&lt;Q404),AND(ISNUMBER(R404),ISNUMBER(S404),S404&lt;R404),AND(ISNUMBER(S404),ISNUMBER(T404),T404&lt;S404),AND(ISNUMBER(N404),ISNUMBER(O404),O404&lt;N404)),"Urutan tanggal salah",IF(AND(ISNUMBER(Q404),ISNUMBER(R404),ISNUMBER(Y404),ABS(R404-Q404-Y404)&gt;2),"S tanggal ≠ Sailing tercatat",IF(AND(ISNUMBER(Q404),ISNUMBER(O404),ABS(Q404-O404)&gt;60),"Cek tahun laycan",IF(AND(ISNUMBER(Q404),ISNUMBER(N404),Q404&lt;N404),"Berangkat sebelum laycan",IF(NOT(ISNUMBER(AE404)),"S belum ada","OK"))))))</f>
        <v/>
      </c>
    </row>
    <row r="405" customFormat="false" ht="15" hidden="false" customHeight="false" outlineLevel="0" collapsed="false">
      <c r="A405" s="16" t="str">
        <f aca="false">IF(B405="","",ROW()-4)</f>
        <v/>
      </c>
      <c r="B405" s="12"/>
      <c r="C405" s="16"/>
      <c r="D405" s="16"/>
      <c r="E405" s="16"/>
      <c r="F405" s="16"/>
      <c r="G405" s="16"/>
      <c r="H405" s="16"/>
      <c r="I405" s="16"/>
      <c r="J405" s="16"/>
      <c r="K405" s="16"/>
      <c r="L405" s="13"/>
      <c r="M405" s="13"/>
      <c r="N405" s="13"/>
      <c r="O405" s="13"/>
      <c r="P405" s="13"/>
      <c r="Q405" s="13"/>
      <c r="R405" s="13"/>
      <c r="S405" s="13"/>
      <c r="T405" s="13"/>
      <c r="U405" s="12"/>
      <c r="V405" s="14"/>
      <c r="W405" s="16"/>
      <c r="X405" s="16"/>
      <c r="Y405" s="16"/>
      <c r="Z405" s="16"/>
      <c r="AA405" s="15" t="str">
        <f aca="false">IF(AND(ISNUMBER(L405),ISNUMBER(M405)),M405-L405,"")</f>
        <v/>
      </c>
      <c r="AB405" s="15" t="str">
        <f aca="false">IF(AND(ISNUMBER(M405),ISNUMBER(P405)),P405-M405,"")</f>
        <v/>
      </c>
      <c r="AC405" s="15" t="str">
        <f aca="false">IF(AND(ISNUMBER(L405),ISNUMBER(P405)),P405-L405,"")</f>
        <v/>
      </c>
      <c r="AD405" s="15" t="str">
        <f aca="false">IF(AND(ISNUMBER(P405),ISNUMBER(Q405)),Q405-P405,"")</f>
        <v/>
      </c>
      <c r="AE405" s="15" t="str">
        <f aca="false">IF(AND(ISNUMBER(Q405),ISNUMBER(R405)),R405-Q405,IF(ISNUMBER(Y405),Y405,""))</f>
        <v/>
      </c>
      <c r="AF405" s="15" t="str">
        <f aca="false">IF(AND(ISNUMBER(R405),ISNUMBER(S405)),S405-R405,"")</f>
        <v/>
      </c>
      <c r="AG405" s="15" t="str">
        <f aca="false">IF(AND(ISNUMBER(S405),ISNUMBER(T405)),T405-S405,"")</f>
        <v/>
      </c>
      <c r="AH405" s="15" t="str">
        <f aca="false">IF(AND(ISNUMBER(L405),ISNUMBER(T405)),T405-L405,"")</f>
        <v/>
      </c>
      <c r="AI405" s="15" t="str">
        <f aca="false">IF(AND(ISNUMBER(O405),ISNUMBER(Q405)),Q405-O405,"")</f>
        <v/>
      </c>
      <c r="AJ405" s="15" t="str">
        <f aca="false">IF(B405="","",COUNT(L405:M405,P405:T405)&amp;"/7")</f>
        <v/>
      </c>
      <c r="AK405" s="15" t="str">
        <f aca="false">IF(B405="","",IF(OR(AND(ISNUMBER(L405),ISNUMBER(M405),M405&lt;L405),AND(ISNUMBER(M405),ISNUMBER(P405),P405&lt;M405),AND(ISNUMBER(P405),ISNUMBER(Q405),Q405&lt;P405),AND(ISNUMBER(Q405),ISNUMBER(R405),R405&lt;Q405),AND(ISNUMBER(R405),ISNUMBER(S405),S405&lt;R405),AND(ISNUMBER(S405),ISNUMBER(T405),T405&lt;S405),AND(ISNUMBER(N405),ISNUMBER(O405),O405&lt;N405)),"Urutan tanggal salah",IF(AND(ISNUMBER(Q405),ISNUMBER(R405),ISNUMBER(Y405),ABS(R405-Q405-Y405)&gt;2),"S tanggal ≠ Sailing tercatat",IF(AND(ISNUMBER(Q405),ISNUMBER(O405),ABS(Q405-O405)&gt;60),"Cek tahun laycan",IF(AND(ISNUMBER(Q405),ISNUMBER(N405),Q405&lt;N405),"Berangkat sebelum laycan",IF(NOT(ISNUMBER(AE405)),"S belum ada","OK"))))))</f>
        <v/>
      </c>
    </row>
    <row r="406" customFormat="false" ht="15" hidden="false" customHeight="false" outlineLevel="0" collapsed="false">
      <c r="A406" s="16" t="str">
        <f aca="false">IF(B406="","",ROW()-4)</f>
        <v/>
      </c>
      <c r="B406" s="12"/>
      <c r="C406" s="16"/>
      <c r="D406" s="16"/>
      <c r="E406" s="16"/>
      <c r="F406" s="16"/>
      <c r="G406" s="16"/>
      <c r="H406" s="16"/>
      <c r="I406" s="16"/>
      <c r="J406" s="16"/>
      <c r="K406" s="16"/>
      <c r="L406" s="13"/>
      <c r="M406" s="13"/>
      <c r="N406" s="13"/>
      <c r="O406" s="13"/>
      <c r="P406" s="13"/>
      <c r="Q406" s="13"/>
      <c r="R406" s="13"/>
      <c r="S406" s="13"/>
      <c r="T406" s="13"/>
      <c r="U406" s="12"/>
      <c r="V406" s="14"/>
      <c r="W406" s="16"/>
      <c r="X406" s="16"/>
      <c r="Y406" s="16"/>
      <c r="Z406" s="16"/>
      <c r="AA406" s="15" t="str">
        <f aca="false">IF(AND(ISNUMBER(L406),ISNUMBER(M406)),M406-L406,"")</f>
        <v/>
      </c>
      <c r="AB406" s="15" t="str">
        <f aca="false">IF(AND(ISNUMBER(M406),ISNUMBER(P406)),P406-M406,"")</f>
        <v/>
      </c>
      <c r="AC406" s="15" t="str">
        <f aca="false">IF(AND(ISNUMBER(L406),ISNUMBER(P406)),P406-L406,"")</f>
        <v/>
      </c>
      <c r="AD406" s="15" t="str">
        <f aca="false">IF(AND(ISNUMBER(P406),ISNUMBER(Q406)),Q406-P406,"")</f>
        <v/>
      </c>
      <c r="AE406" s="15" t="str">
        <f aca="false">IF(AND(ISNUMBER(Q406),ISNUMBER(R406)),R406-Q406,IF(ISNUMBER(Y406),Y406,""))</f>
        <v/>
      </c>
      <c r="AF406" s="15" t="str">
        <f aca="false">IF(AND(ISNUMBER(R406),ISNUMBER(S406)),S406-R406,"")</f>
        <v/>
      </c>
      <c r="AG406" s="15" t="str">
        <f aca="false">IF(AND(ISNUMBER(S406),ISNUMBER(T406)),T406-S406,"")</f>
        <v/>
      </c>
      <c r="AH406" s="15" t="str">
        <f aca="false">IF(AND(ISNUMBER(L406),ISNUMBER(T406)),T406-L406,"")</f>
        <v/>
      </c>
      <c r="AI406" s="15" t="str">
        <f aca="false">IF(AND(ISNUMBER(O406),ISNUMBER(Q406)),Q406-O406,"")</f>
        <v/>
      </c>
      <c r="AJ406" s="15" t="str">
        <f aca="false">IF(B406="","",COUNT(L406:M406,P406:T406)&amp;"/7")</f>
        <v/>
      </c>
      <c r="AK406" s="15" t="str">
        <f aca="false">IF(B406="","",IF(OR(AND(ISNUMBER(L406),ISNUMBER(M406),M406&lt;L406),AND(ISNUMBER(M406),ISNUMBER(P406),P406&lt;M406),AND(ISNUMBER(P406),ISNUMBER(Q406),Q406&lt;P406),AND(ISNUMBER(Q406),ISNUMBER(R406),R406&lt;Q406),AND(ISNUMBER(R406),ISNUMBER(S406),S406&lt;R406),AND(ISNUMBER(S406),ISNUMBER(T406),T406&lt;S406),AND(ISNUMBER(N406),ISNUMBER(O406),O406&lt;N406)),"Urutan tanggal salah",IF(AND(ISNUMBER(Q406),ISNUMBER(R406),ISNUMBER(Y406),ABS(R406-Q406-Y406)&gt;2),"S tanggal ≠ Sailing tercatat",IF(AND(ISNUMBER(Q406),ISNUMBER(O406),ABS(Q406-O406)&gt;60),"Cek tahun laycan",IF(AND(ISNUMBER(Q406),ISNUMBER(N406),Q406&lt;N406),"Berangkat sebelum laycan",IF(NOT(ISNUMBER(AE406)),"S belum ada","OK"))))))</f>
        <v/>
      </c>
    </row>
    <row r="407" customFormat="false" ht="15" hidden="false" customHeight="false" outlineLevel="0" collapsed="false">
      <c r="A407" s="16" t="str">
        <f aca="false">IF(B407="","",ROW()-4)</f>
        <v/>
      </c>
      <c r="B407" s="12"/>
      <c r="C407" s="16"/>
      <c r="D407" s="16"/>
      <c r="E407" s="16"/>
      <c r="F407" s="16"/>
      <c r="G407" s="16"/>
      <c r="H407" s="16"/>
      <c r="I407" s="16"/>
      <c r="J407" s="16"/>
      <c r="K407" s="16"/>
      <c r="L407" s="13"/>
      <c r="M407" s="13"/>
      <c r="N407" s="13"/>
      <c r="O407" s="13"/>
      <c r="P407" s="13"/>
      <c r="Q407" s="13"/>
      <c r="R407" s="13"/>
      <c r="S407" s="13"/>
      <c r="T407" s="13"/>
      <c r="U407" s="12"/>
      <c r="V407" s="14"/>
      <c r="W407" s="16"/>
      <c r="X407" s="16"/>
      <c r="Y407" s="16"/>
      <c r="Z407" s="16"/>
      <c r="AA407" s="15" t="str">
        <f aca="false">IF(AND(ISNUMBER(L407),ISNUMBER(M407)),M407-L407,"")</f>
        <v/>
      </c>
      <c r="AB407" s="15" t="str">
        <f aca="false">IF(AND(ISNUMBER(M407),ISNUMBER(P407)),P407-M407,"")</f>
        <v/>
      </c>
      <c r="AC407" s="15" t="str">
        <f aca="false">IF(AND(ISNUMBER(L407),ISNUMBER(P407)),P407-L407,"")</f>
        <v/>
      </c>
      <c r="AD407" s="15" t="str">
        <f aca="false">IF(AND(ISNUMBER(P407),ISNUMBER(Q407)),Q407-P407,"")</f>
        <v/>
      </c>
      <c r="AE407" s="15" t="str">
        <f aca="false">IF(AND(ISNUMBER(Q407),ISNUMBER(R407)),R407-Q407,IF(ISNUMBER(Y407),Y407,""))</f>
        <v/>
      </c>
      <c r="AF407" s="15" t="str">
        <f aca="false">IF(AND(ISNUMBER(R407),ISNUMBER(S407)),S407-R407,"")</f>
        <v/>
      </c>
      <c r="AG407" s="15" t="str">
        <f aca="false">IF(AND(ISNUMBER(S407),ISNUMBER(T407)),T407-S407,"")</f>
        <v/>
      </c>
      <c r="AH407" s="15" t="str">
        <f aca="false">IF(AND(ISNUMBER(L407),ISNUMBER(T407)),T407-L407,"")</f>
        <v/>
      </c>
      <c r="AI407" s="15" t="str">
        <f aca="false">IF(AND(ISNUMBER(O407),ISNUMBER(Q407)),Q407-O407,"")</f>
        <v/>
      </c>
      <c r="AJ407" s="15" t="str">
        <f aca="false">IF(B407="","",COUNT(L407:M407,P407:T407)&amp;"/7")</f>
        <v/>
      </c>
      <c r="AK407" s="15" t="str">
        <f aca="false">IF(B407="","",IF(OR(AND(ISNUMBER(L407),ISNUMBER(M407),M407&lt;L407),AND(ISNUMBER(M407),ISNUMBER(P407),P407&lt;M407),AND(ISNUMBER(P407),ISNUMBER(Q407),Q407&lt;P407),AND(ISNUMBER(Q407),ISNUMBER(R407),R407&lt;Q407),AND(ISNUMBER(R407),ISNUMBER(S407),S407&lt;R407),AND(ISNUMBER(S407),ISNUMBER(T407),T407&lt;S407),AND(ISNUMBER(N407),ISNUMBER(O407),O407&lt;N407)),"Urutan tanggal salah",IF(AND(ISNUMBER(Q407),ISNUMBER(R407),ISNUMBER(Y407),ABS(R407-Q407-Y407)&gt;2),"S tanggal ≠ Sailing tercatat",IF(AND(ISNUMBER(Q407),ISNUMBER(O407),ABS(Q407-O407)&gt;60),"Cek tahun laycan",IF(AND(ISNUMBER(Q407),ISNUMBER(N407),Q407&lt;N407),"Berangkat sebelum laycan",IF(NOT(ISNUMBER(AE407)),"S belum ada","OK"))))))</f>
        <v/>
      </c>
    </row>
    <row r="408" customFormat="false" ht="15" hidden="false" customHeight="false" outlineLevel="0" collapsed="false">
      <c r="A408" s="16" t="str">
        <f aca="false">IF(B408="","",ROW()-4)</f>
        <v/>
      </c>
      <c r="B408" s="12"/>
      <c r="C408" s="16"/>
      <c r="D408" s="16"/>
      <c r="E408" s="16"/>
      <c r="F408" s="16"/>
      <c r="G408" s="16"/>
      <c r="H408" s="16"/>
      <c r="I408" s="16"/>
      <c r="J408" s="16"/>
      <c r="K408" s="16"/>
      <c r="L408" s="13"/>
      <c r="M408" s="13"/>
      <c r="N408" s="13"/>
      <c r="O408" s="13"/>
      <c r="P408" s="13"/>
      <c r="Q408" s="13"/>
      <c r="R408" s="13"/>
      <c r="S408" s="13"/>
      <c r="T408" s="13"/>
      <c r="U408" s="12"/>
      <c r="V408" s="14"/>
      <c r="W408" s="16"/>
      <c r="X408" s="16"/>
      <c r="Y408" s="16"/>
      <c r="Z408" s="16"/>
      <c r="AA408" s="15" t="str">
        <f aca="false">IF(AND(ISNUMBER(L408),ISNUMBER(M408)),M408-L408,"")</f>
        <v/>
      </c>
      <c r="AB408" s="15" t="str">
        <f aca="false">IF(AND(ISNUMBER(M408),ISNUMBER(P408)),P408-M408,"")</f>
        <v/>
      </c>
      <c r="AC408" s="15" t="str">
        <f aca="false">IF(AND(ISNUMBER(L408),ISNUMBER(P408)),P408-L408,"")</f>
        <v/>
      </c>
      <c r="AD408" s="15" t="str">
        <f aca="false">IF(AND(ISNUMBER(P408),ISNUMBER(Q408)),Q408-P408,"")</f>
        <v/>
      </c>
      <c r="AE408" s="15" t="str">
        <f aca="false">IF(AND(ISNUMBER(Q408),ISNUMBER(R408)),R408-Q408,IF(ISNUMBER(Y408),Y408,""))</f>
        <v/>
      </c>
      <c r="AF408" s="15" t="str">
        <f aca="false">IF(AND(ISNUMBER(R408),ISNUMBER(S408)),S408-R408,"")</f>
        <v/>
      </c>
      <c r="AG408" s="15" t="str">
        <f aca="false">IF(AND(ISNUMBER(S408),ISNUMBER(T408)),T408-S408,"")</f>
        <v/>
      </c>
      <c r="AH408" s="15" t="str">
        <f aca="false">IF(AND(ISNUMBER(L408),ISNUMBER(T408)),T408-L408,"")</f>
        <v/>
      </c>
      <c r="AI408" s="15" t="str">
        <f aca="false">IF(AND(ISNUMBER(O408),ISNUMBER(Q408)),Q408-O408,"")</f>
        <v/>
      </c>
      <c r="AJ408" s="15" t="str">
        <f aca="false">IF(B408="","",COUNT(L408:M408,P408:T408)&amp;"/7")</f>
        <v/>
      </c>
      <c r="AK408" s="15" t="str">
        <f aca="false">IF(B408="","",IF(OR(AND(ISNUMBER(L408),ISNUMBER(M408),M408&lt;L408),AND(ISNUMBER(M408),ISNUMBER(P408),P408&lt;M408),AND(ISNUMBER(P408),ISNUMBER(Q408),Q408&lt;P408),AND(ISNUMBER(Q408),ISNUMBER(R408),R408&lt;Q408),AND(ISNUMBER(R408),ISNUMBER(S408),S408&lt;R408),AND(ISNUMBER(S408),ISNUMBER(T408),T408&lt;S408),AND(ISNUMBER(N408),ISNUMBER(O408),O408&lt;N408)),"Urutan tanggal salah",IF(AND(ISNUMBER(Q408),ISNUMBER(R408),ISNUMBER(Y408),ABS(R408-Q408-Y408)&gt;2),"S tanggal ≠ Sailing tercatat",IF(AND(ISNUMBER(Q408),ISNUMBER(O408),ABS(Q408-O408)&gt;60),"Cek tahun laycan",IF(AND(ISNUMBER(Q408),ISNUMBER(N408),Q408&lt;N408),"Berangkat sebelum laycan",IF(NOT(ISNUMBER(AE408)),"S belum ada","OK"))))))</f>
        <v/>
      </c>
    </row>
    <row r="409" customFormat="false" ht="15" hidden="false" customHeight="false" outlineLevel="0" collapsed="false">
      <c r="A409" s="16" t="str">
        <f aca="false">IF(B409="","",ROW()-4)</f>
        <v/>
      </c>
      <c r="B409" s="12"/>
      <c r="C409" s="16"/>
      <c r="D409" s="16"/>
      <c r="E409" s="16"/>
      <c r="F409" s="16"/>
      <c r="G409" s="16"/>
      <c r="H409" s="16"/>
      <c r="I409" s="16"/>
      <c r="J409" s="16"/>
      <c r="K409" s="16"/>
      <c r="L409" s="13"/>
      <c r="M409" s="13"/>
      <c r="N409" s="13"/>
      <c r="O409" s="13"/>
      <c r="P409" s="13"/>
      <c r="Q409" s="13"/>
      <c r="R409" s="13"/>
      <c r="S409" s="13"/>
      <c r="T409" s="13"/>
      <c r="U409" s="12"/>
      <c r="V409" s="14"/>
      <c r="W409" s="16"/>
      <c r="X409" s="16"/>
      <c r="Y409" s="16"/>
      <c r="Z409" s="16"/>
      <c r="AA409" s="15" t="str">
        <f aca="false">IF(AND(ISNUMBER(L409),ISNUMBER(M409)),M409-L409,"")</f>
        <v/>
      </c>
      <c r="AB409" s="15" t="str">
        <f aca="false">IF(AND(ISNUMBER(M409),ISNUMBER(P409)),P409-M409,"")</f>
        <v/>
      </c>
      <c r="AC409" s="15" t="str">
        <f aca="false">IF(AND(ISNUMBER(L409),ISNUMBER(P409)),P409-L409,"")</f>
        <v/>
      </c>
      <c r="AD409" s="15" t="str">
        <f aca="false">IF(AND(ISNUMBER(P409),ISNUMBER(Q409)),Q409-P409,"")</f>
        <v/>
      </c>
      <c r="AE409" s="15" t="str">
        <f aca="false">IF(AND(ISNUMBER(Q409),ISNUMBER(R409)),R409-Q409,IF(ISNUMBER(Y409),Y409,""))</f>
        <v/>
      </c>
      <c r="AF409" s="15" t="str">
        <f aca="false">IF(AND(ISNUMBER(R409),ISNUMBER(S409)),S409-R409,"")</f>
        <v/>
      </c>
      <c r="AG409" s="15" t="str">
        <f aca="false">IF(AND(ISNUMBER(S409),ISNUMBER(T409)),T409-S409,"")</f>
        <v/>
      </c>
      <c r="AH409" s="15" t="str">
        <f aca="false">IF(AND(ISNUMBER(L409),ISNUMBER(T409)),T409-L409,"")</f>
        <v/>
      </c>
      <c r="AI409" s="15" t="str">
        <f aca="false">IF(AND(ISNUMBER(O409),ISNUMBER(Q409)),Q409-O409,"")</f>
        <v/>
      </c>
      <c r="AJ409" s="15" t="str">
        <f aca="false">IF(B409="","",COUNT(L409:M409,P409:T409)&amp;"/7")</f>
        <v/>
      </c>
      <c r="AK409" s="15" t="str">
        <f aca="false">IF(B409="","",IF(OR(AND(ISNUMBER(L409),ISNUMBER(M409),M409&lt;L409),AND(ISNUMBER(M409),ISNUMBER(P409),P409&lt;M409),AND(ISNUMBER(P409),ISNUMBER(Q409),Q409&lt;P409),AND(ISNUMBER(Q409),ISNUMBER(R409),R409&lt;Q409),AND(ISNUMBER(R409),ISNUMBER(S409),S409&lt;R409),AND(ISNUMBER(S409),ISNUMBER(T409),T409&lt;S409),AND(ISNUMBER(N409),ISNUMBER(O409),O409&lt;N409)),"Urutan tanggal salah",IF(AND(ISNUMBER(Q409),ISNUMBER(R409),ISNUMBER(Y409),ABS(R409-Q409-Y409)&gt;2),"S tanggal ≠ Sailing tercatat",IF(AND(ISNUMBER(Q409),ISNUMBER(O409),ABS(Q409-O409)&gt;60),"Cek tahun laycan",IF(AND(ISNUMBER(Q409),ISNUMBER(N409),Q409&lt;N409),"Berangkat sebelum laycan",IF(NOT(ISNUMBER(AE409)),"S belum ada","OK"))))))</f>
        <v/>
      </c>
    </row>
    <row r="410" customFormat="false" ht="15" hidden="false" customHeight="false" outlineLevel="0" collapsed="false">
      <c r="A410" s="16" t="str">
        <f aca="false">IF(B410="","",ROW()-4)</f>
        <v/>
      </c>
      <c r="B410" s="12"/>
      <c r="C410" s="16"/>
      <c r="D410" s="16"/>
      <c r="E410" s="16"/>
      <c r="F410" s="16"/>
      <c r="G410" s="16"/>
      <c r="H410" s="16"/>
      <c r="I410" s="16"/>
      <c r="J410" s="16"/>
      <c r="K410" s="16"/>
      <c r="L410" s="13"/>
      <c r="M410" s="13"/>
      <c r="N410" s="13"/>
      <c r="O410" s="13"/>
      <c r="P410" s="13"/>
      <c r="Q410" s="13"/>
      <c r="R410" s="13"/>
      <c r="S410" s="13"/>
      <c r="T410" s="13"/>
      <c r="U410" s="12"/>
      <c r="V410" s="14"/>
      <c r="W410" s="16"/>
      <c r="X410" s="16"/>
      <c r="Y410" s="16"/>
      <c r="Z410" s="16"/>
      <c r="AA410" s="15" t="str">
        <f aca="false">IF(AND(ISNUMBER(L410),ISNUMBER(M410)),M410-L410,"")</f>
        <v/>
      </c>
      <c r="AB410" s="15" t="str">
        <f aca="false">IF(AND(ISNUMBER(M410),ISNUMBER(P410)),P410-M410,"")</f>
        <v/>
      </c>
      <c r="AC410" s="15" t="str">
        <f aca="false">IF(AND(ISNUMBER(L410),ISNUMBER(P410)),P410-L410,"")</f>
        <v/>
      </c>
      <c r="AD410" s="15" t="str">
        <f aca="false">IF(AND(ISNUMBER(P410),ISNUMBER(Q410)),Q410-P410,"")</f>
        <v/>
      </c>
      <c r="AE410" s="15" t="str">
        <f aca="false">IF(AND(ISNUMBER(Q410),ISNUMBER(R410)),R410-Q410,IF(ISNUMBER(Y410),Y410,""))</f>
        <v/>
      </c>
      <c r="AF410" s="15" t="str">
        <f aca="false">IF(AND(ISNUMBER(R410),ISNUMBER(S410)),S410-R410,"")</f>
        <v/>
      </c>
      <c r="AG410" s="15" t="str">
        <f aca="false">IF(AND(ISNUMBER(S410),ISNUMBER(T410)),T410-S410,"")</f>
        <v/>
      </c>
      <c r="AH410" s="15" t="str">
        <f aca="false">IF(AND(ISNUMBER(L410),ISNUMBER(T410)),T410-L410,"")</f>
        <v/>
      </c>
      <c r="AI410" s="15" t="str">
        <f aca="false">IF(AND(ISNUMBER(O410),ISNUMBER(Q410)),Q410-O410,"")</f>
        <v/>
      </c>
      <c r="AJ410" s="15" t="str">
        <f aca="false">IF(B410="","",COUNT(L410:M410,P410:T410)&amp;"/7")</f>
        <v/>
      </c>
      <c r="AK410" s="15" t="str">
        <f aca="false">IF(B410="","",IF(OR(AND(ISNUMBER(L410),ISNUMBER(M410),M410&lt;L410),AND(ISNUMBER(M410),ISNUMBER(P410),P410&lt;M410),AND(ISNUMBER(P410),ISNUMBER(Q410),Q410&lt;P410),AND(ISNUMBER(Q410),ISNUMBER(R410),R410&lt;Q410),AND(ISNUMBER(R410),ISNUMBER(S410),S410&lt;R410),AND(ISNUMBER(S410),ISNUMBER(T410),T410&lt;S410),AND(ISNUMBER(N410),ISNUMBER(O410),O410&lt;N410)),"Urutan tanggal salah",IF(AND(ISNUMBER(Q410),ISNUMBER(R410),ISNUMBER(Y410),ABS(R410-Q410-Y410)&gt;2),"S tanggal ≠ Sailing tercatat",IF(AND(ISNUMBER(Q410),ISNUMBER(O410),ABS(Q410-O410)&gt;60),"Cek tahun laycan",IF(AND(ISNUMBER(Q410),ISNUMBER(N410),Q410&lt;N410),"Berangkat sebelum laycan",IF(NOT(ISNUMBER(AE410)),"S belum ada","OK"))))))</f>
        <v/>
      </c>
    </row>
    <row r="411" customFormat="false" ht="15" hidden="false" customHeight="false" outlineLevel="0" collapsed="false">
      <c r="A411" s="16" t="str">
        <f aca="false">IF(B411="","",ROW()-4)</f>
        <v/>
      </c>
      <c r="B411" s="12"/>
      <c r="C411" s="16"/>
      <c r="D411" s="16"/>
      <c r="E411" s="16"/>
      <c r="F411" s="16"/>
      <c r="G411" s="16"/>
      <c r="H411" s="16"/>
      <c r="I411" s="16"/>
      <c r="J411" s="16"/>
      <c r="K411" s="16"/>
      <c r="L411" s="13"/>
      <c r="M411" s="13"/>
      <c r="N411" s="13"/>
      <c r="O411" s="13"/>
      <c r="P411" s="13"/>
      <c r="Q411" s="13"/>
      <c r="R411" s="13"/>
      <c r="S411" s="13"/>
      <c r="T411" s="13"/>
      <c r="U411" s="12"/>
      <c r="V411" s="14"/>
      <c r="W411" s="16"/>
      <c r="X411" s="16"/>
      <c r="Y411" s="16"/>
      <c r="Z411" s="16"/>
      <c r="AA411" s="15" t="str">
        <f aca="false">IF(AND(ISNUMBER(L411),ISNUMBER(M411)),M411-L411,"")</f>
        <v/>
      </c>
      <c r="AB411" s="15" t="str">
        <f aca="false">IF(AND(ISNUMBER(M411),ISNUMBER(P411)),P411-M411,"")</f>
        <v/>
      </c>
      <c r="AC411" s="15" t="str">
        <f aca="false">IF(AND(ISNUMBER(L411),ISNUMBER(P411)),P411-L411,"")</f>
        <v/>
      </c>
      <c r="AD411" s="15" t="str">
        <f aca="false">IF(AND(ISNUMBER(P411),ISNUMBER(Q411)),Q411-P411,"")</f>
        <v/>
      </c>
      <c r="AE411" s="15" t="str">
        <f aca="false">IF(AND(ISNUMBER(Q411),ISNUMBER(R411)),R411-Q411,IF(ISNUMBER(Y411),Y411,""))</f>
        <v/>
      </c>
      <c r="AF411" s="15" t="str">
        <f aca="false">IF(AND(ISNUMBER(R411),ISNUMBER(S411)),S411-R411,"")</f>
        <v/>
      </c>
      <c r="AG411" s="15" t="str">
        <f aca="false">IF(AND(ISNUMBER(S411),ISNUMBER(T411)),T411-S411,"")</f>
        <v/>
      </c>
      <c r="AH411" s="15" t="str">
        <f aca="false">IF(AND(ISNUMBER(L411),ISNUMBER(T411)),T411-L411,"")</f>
        <v/>
      </c>
      <c r="AI411" s="15" t="str">
        <f aca="false">IF(AND(ISNUMBER(O411),ISNUMBER(Q411)),Q411-O411,"")</f>
        <v/>
      </c>
      <c r="AJ411" s="15" t="str">
        <f aca="false">IF(B411="","",COUNT(L411:M411,P411:T411)&amp;"/7")</f>
        <v/>
      </c>
      <c r="AK411" s="15" t="str">
        <f aca="false">IF(B411="","",IF(OR(AND(ISNUMBER(L411),ISNUMBER(M411),M411&lt;L411),AND(ISNUMBER(M411),ISNUMBER(P411),P411&lt;M411),AND(ISNUMBER(P411),ISNUMBER(Q411),Q411&lt;P411),AND(ISNUMBER(Q411),ISNUMBER(R411),R411&lt;Q411),AND(ISNUMBER(R411),ISNUMBER(S411),S411&lt;R411),AND(ISNUMBER(S411),ISNUMBER(T411),T411&lt;S411),AND(ISNUMBER(N411),ISNUMBER(O411),O411&lt;N411)),"Urutan tanggal salah",IF(AND(ISNUMBER(Q411),ISNUMBER(R411),ISNUMBER(Y411),ABS(R411-Q411-Y411)&gt;2),"S tanggal ≠ Sailing tercatat",IF(AND(ISNUMBER(Q411),ISNUMBER(O411),ABS(Q411-O411)&gt;60),"Cek tahun laycan",IF(AND(ISNUMBER(Q411),ISNUMBER(N411),Q411&lt;N411),"Berangkat sebelum laycan",IF(NOT(ISNUMBER(AE411)),"S belum ada","OK"))))))</f>
        <v/>
      </c>
    </row>
    <row r="412" customFormat="false" ht="15" hidden="false" customHeight="false" outlineLevel="0" collapsed="false">
      <c r="A412" s="16" t="str">
        <f aca="false">IF(B412="","",ROW()-4)</f>
        <v/>
      </c>
      <c r="B412" s="12"/>
      <c r="C412" s="16"/>
      <c r="D412" s="16"/>
      <c r="E412" s="16"/>
      <c r="F412" s="16"/>
      <c r="G412" s="16"/>
      <c r="H412" s="16"/>
      <c r="I412" s="16"/>
      <c r="J412" s="16"/>
      <c r="K412" s="16"/>
      <c r="L412" s="13"/>
      <c r="M412" s="13"/>
      <c r="N412" s="13"/>
      <c r="O412" s="13"/>
      <c r="P412" s="13"/>
      <c r="Q412" s="13"/>
      <c r="R412" s="13"/>
      <c r="S412" s="13"/>
      <c r="T412" s="13"/>
      <c r="U412" s="12"/>
      <c r="V412" s="14"/>
      <c r="W412" s="16"/>
      <c r="X412" s="16"/>
      <c r="Y412" s="16"/>
      <c r="Z412" s="16"/>
      <c r="AA412" s="15" t="str">
        <f aca="false">IF(AND(ISNUMBER(L412),ISNUMBER(M412)),M412-L412,"")</f>
        <v/>
      </c>
      <c r="AB412" s="15" t="str">
        <f aca="false">IF(AND(ISNUMBER(M412),ISNUMBER(P412)),P412-M412,"")</f>
        <v/>
      </c>
      <c r="AC412" s="15" t="str">
        <f aca="false">IF(AND(ISNUMBER(L412),ISNUMBER(P412)),P412-L412,"")</f>
        <v/>
      </c>
      <c r="AD412" s="15" t="str">
        <f aca="false">IF(AND(ISNUMBER(P412),ISNUMBER(Q412)),Q412-P412,"")</f>
        <v/>
      </c>
      <c r="AE412" s="15" t="str">
        <f aca="false">IF(AND(ISNUMBER(Q412),ISNUMBER(R412)),R412-Q412,IF(ISNUMBER(Y412),Y412,""))</f>
        <v/>
      </c>
      <c r="AF412" s="15" t="str">
        <f aca="false">IF(AND(ISNUMBER(R412),ISNUMBER(S412)),S412-R412,"")</f>
        <v/>
      </c>
      <c r="AG412" s="15" t="str">
        <f aca="false">IF(AND(ISNUMBER(S412),ISNUMBER(T412)),T412-S412,"")</f>
        <v/>
      </c>
      <c r="AH412" s="15" t="str">
        <f aca="false">IF(AND(ISNUMBER(L412),ISNUMBER(T412)),T412-L412,"")</f>
        <v/>
      </c>
      <c r="AI412" s="15" t="str">
        <f aca="false">IF(AND(ISNUMBER(O412),ISNUMBER(Q412)),Q412-O412,"")</f>
        <v/>
      </c>
      <c r="AJ412" s="15" t="str">
        <f aca="false">IF(B412="","",COUNT(L412:M412,P412:T412)&amp;"/7")</f>
        <v/>
      </c>
      <c r="AK412" s="15" t="str">
        <f aca="false">IF(B412="","",IF(OR(AND(ISNUMBER(L412),ISNUMBER(M412),M412&lt;L412),AND(ISNUMBER(M412),ISNUMBER(P412),P412&lt;M412),AND(ISNUMBER(P412),ISNUMBER(Q412),Q412&lt;P412),AND(ISNUMBER(Q412),ISNUMBER(R412),R412&lt;Q412),AND(ISNUMBER(R412),ISNUMBER(S412),S412&lt;R412),AND(ISNUMBER(S412),ISNUMBER(T412),T412&lt;S412),AND(ISNUMBER(N412),ISNUMBER(O412),O412&lt;N412)),"Urutan tanggal salah",IF(AND(ISNUMBER(Q412),ISNUMBER(R412),ISNUMBER(Y412),ABS(R412-Q412-Y412)&gt;2),"S tanggal ≠ Sailing tercatat",IF(AND(ISNUMBER(Q412),ISNUMBER(O412),ABS(Q412-O412)&gt;60),"Cek tahun laycan",IF(AND(ISNUMBER(Q412),ISNUMBER(N412),Q412&lt;N412),"Berangkat sebelum laycan",IF(NOT(ISNUMBER(AE412)),"S belum ada","OK"))))))</f>
        <v/>
      </c>
    </row>
    <row r="413" customFormat="false" ht="15" hidden="false" customHeight="false" outlineLevel="0" collapsed="false">
      <c r="A413" s="16" t="str">
        <f aca="false">IF(B413="","",ROW()-4)</f>
        <v/>
      </c>
      <c r="B413" s="12"/>
      <c r="C413" s="16"/>
      <c r="D413" s="16"/>
      <c r="E413" s="16"/>
      <c r="F413" s="16"/>
      <c r="G413" s="16"/>
      <c r="H413" s="16"/>
      <c r="I413" s="16"/>
      <c r="J413" s="16"/>
      <c r="K413" s="16"/>
      <c r="L413" s="13"/>
      <c r="M413" s="13"/>
      <c r="N413" s="13"/>
      <c r="O413" s="13"/>
      <c r="P413" s="13"/>
      <c r="Q413" s="13"/>
      <c r="R413" s="13"/>
      <c r="S413" s="13"/>
      <c r="T413" s="13"/>
      <c r="U413" s="12"/>
      <c r="V413" s="14"/>
      <c r="W413" s="16"/>
      <c r="X413" s="16"/>
      <c r="Y413" s="16"/>
      <c r="Z413" s="16"/>
      <c r="AA413" s="15" t="str">
        <f aca="false">IF(AND(ISNUMBER(L413),ISNUMBER(M413)),M413-L413,"")</f>
        <v/>
      </c>
      <c r="AB413" s="15" t="str">
        <f aca="false">IF(AND(ISNUMBER(M413),ISNUMBER(P413)),P413-M413,"")</f>
        <v/>
      </c>
      <c r="AC413" s="15" t="str">
        <f aca="false">IF(AND(ISNUMBER(L413),ISNUMBER(P413)),P413-L413,"")</f>
        <v/>
      </c>
      <c r="AD413" s="15" t="str">
        <f aca="false">IF(AND(ISNUMBER(P413),ISNUMBER(Q413)),Q413-P413,"")</f>
        <v/>
      </c>
      <c r="AE413" s="15" t="str">
        <f aca="false">IF(AND(ISNUMBER(Q413),ISNUMBER(R413)),R413-Q413,IF(ISNUMBER(Y413),Y413,""))</f>
        <v/>
      </c>
      <c r="AF413" s="15" t="str">
        <f aca="false">IF(AND(ISNUMBER(R413),ISNUMBER(S413)),S413-R413,"")</f>
        <v/>
      </c>
      <c r="AG413" s="15" t="str">
        <f aca="false">IF(AND(ISNUMBER(S413),ISNUMBER(T413)),T413-S413,"")</f>
        <v/>
      </c>
      <c r="AH413" s="15" t="str">
        <f aca="false">IF(AND(ISNUMBER(L413),ISNUMBER(T413)),T413-L413,"")</f>
        <v/>
      </c>
      <c r="AI413" s="15" t="str">
        <f aca="false">IF(AND(ISNUMBER(O413),ISNUMBER(Q413)),Q413-O413,"")</f>
        <v/>
      </c>
      <c r="AJ413" s="15" t="str">
        <f aca="false">IF(B413="","",COUNT(L413:M413,P413:T413)&amp;"/7")</f>
        <v/>
      </c>
      <c r="AK413" s="15" t="str">
        <f aca="false">IF(B413="","",IF(OR(AND(ISNUMBER(L413),ISNUMBER(M413),M413&lt;L413),AND(ISNUMBER(M413),ISNUMBER(P413),P413&lt;M413),AND(ISNUMBER(P413),ISNUMBER(Q413),Q413&lt;P413),AND(ISNUMBER(Q413),ISNUMBER(R413),R413&lt;Q413),AND(ISNUMBER(R413),ISNUMBER(S413),S413&lt;R413),AND(ISNUMBER(S413),ISNUMBER(T413),T413&lt;S413),AND(ISNUMBER(N413),ISNUMBER(O413),O413&lt;N413)),"Urutan tanggal salah",IF(AND(ISNUMBER(Q413),ISNUMBER(R413),ISNUMBER(Y413),ABS(R413-Q413-Y413)&gt;2),"S tanggal ≠ Sailing tercatat",IF(AND(ISNUMBER(Q413),ISNUMBER(O413),ABS(Q413-O413)&gt;60),"Cek tahun laycan",IF(AND(ISNUMBER(Q413),ISNUMBER(N413),Q413&lt;N413),"Berangkat sebelum laycan",IF(NOT(ISNUMBER(AE413)),"S belum ada","OK"))))))</f>
        <v/>
      </c>
    </row>
    <row r="414" customFormat="false" ht="15" hidden="false" customHeight="false" outlineLevel="0" collapsed="false">
      <c r="A414" s="16" t="str">
        <f aca="false">IF(B414="","",ROW()-4)</f>
        <v/>
      </c>
      <c r="B414" s="12"/>
      <c r="C414" s="16"/>
      <c r="D414" s="16"/>
      <c r="E414" s="16"/>
      <c r="F414" s="16"/>
      <c r="G414" s="16"/>
      <c r="H414" s="16"/>
      <c r="I414" s="16"/>
      <c r="J414" s="16"/>
      <c r="K414" s="16"/>
      <c r="L414" s="13"/>
      <c r="M414" s="13"/>
      <c r="N414" s="13"/>
      <c r="O414" s="13"/>
      <c r="P414" s="13"/>
      <c r="Q414" s="13"/>
      <c r="R414" s="13"/>
      <c r="S414" s="13"/>
      <c r="T414" s="13"/>
      <c r="U414" s="12"/>
      <c r="V414" s="14"/>
      <c r="W414" s="16"/>
      <c r="X414" s="16"/>
      <c r="Y414" s="16"/>
      <c r="Z414" s="16"/>
      <c r="AA414" s="15" t="str">
        <f aca="false">IF(AND(ISNUMBER(L414),ISNUMBER(M414)),M414-L414,"")</f>
        <v/>
      </c>
      <c r="AB414" s="15" t="str">
        <f aca="false">IF(AND(ISNUMBER(M414),ISNUMBER(P414)),P414-M414,"")</f>
        <v/>
      </c>
      <c r="AC414" s="15" t="str">
        <f aca="false">IF(AND(ISNUMBER(L414),ISNUMBER(P414)),P414-L414,"")</f>
        <v/>
      </c>
      <c r="AD414" s="15" t="str">
        <f aca="false">IF(AND(ISNUMBER(P414),ISNUMBER(Q414)),Q414-P414,"")</f>
        <v/>
      </c>
      <c r="AE414" s="15" t="str">
        <f aca="false">IF(AND(ISNUMBER(Q414),ISNUMBER(R414)),R414-Q414,IF(ISNUMBER(Y414),Y414,""))</f>
        <v/>
      </c>
      <c r="AF414" s="15" t="str">
        <f aca="false">IF(AND(ISNUMBER(R414),ISNUMBER(S414)),S414-R414,"")</f>
        <v/>
      </c>
      <c r="AG414" s="15" t="str">
        <f aca="false">IF(AND(ISNUMBER(S414),ISNUMBER(T414)),T414-S414,"")</f>
        <v/>
      </c>
      <c r="AH414" s="15" t="str">
        <f aca="false">IF(AND(ISNUMBER(L414),ISNUMBER(T414)),T414-L414,"")</f>
        <v/>
      </c>
      <c r="AI414" s="15" t="str">
        <f aca="false">IF(AND(ISNUMBER(O414),ISNUMBER(Q414)),Q414-O414,"")</f>
        <v/>
      </c>
      <c r="AJ414" s="15" t="str">
        <f aca="false">IF(B414="","",COUNT(L414:M414,P414:T414)&amp;"/7")</f>
        <v/>
      </c>
      <c r="AK414" s="15" t="str">
        <f aca="false">IF(B414="","",IF(OR(AND(ISNUMBER(L414),ISNUMBER(M414),M414&lt;L414),AND(ISNUMBER(M414),ISNUMBER(P414),P414&lt;M414),AND(ISNUMBER(P414),ISNUMBER(Q414),Q414&lt;P414),AND(ISNUMBER(Q414),ISNUMBER(R414),R414&lt;Q414),AND(ISNUMBER(R414),ISNUMBER(S414),S414&lt;R414),AND(ISNUMBER(S414),ISNUMBER(T414),T414&lt;S414),AND(ISNUMBER(N414),ISNUMBER(O414),O414&lt;N414)),"Urutan tanggal salah",IF(AND(ISNUMBER(Q414),ISNUMBER(R414),ISNUMBER(Y414),ABS(R414-Q414-Y414)&gt;2),"S tanggal ≠ Sailing tercatat",IF(AND(ISNUMBER(Q414),ISNUMBER(O414),ABS(Q414-O414)&gt;60),"Cek tahun laycan",IF(AND(ISNUMBER(Q414),ISNUMBER(N414),Q414&lt;N414),"Berangkat sebelum laycan",IF(NOT(ISNUMBER(AE414)),"S belum ada","OK"))))))</f>
        <v/>
      </c>
    </row>
    <row r="415" customFormat="false" ht="15" hidden="false" customHeight="false" outlineLevel="0" collapsed="false">
      <c r="A415" s="16" t="str">
        <f aca="false">IF(B415="","",ROW()-4)</f>
        <v/>
      </c>
      <c r="B415" s="12"/>
      <c r="C415" s="16"/>
      <c r="D415" s="16"/>
      <c r="E415" s="16"/>
      <c r="F415" s="16"/>
      <c r="G415" s="16"/>
      <c r="H415" s="16"/>
      <c r="I415" s="16"/>
      <c r="J415" s="16"/>
      <c r="K415" s="16"/>
      <c r="L415" s="13"/>
      <c r="M415" s="13"/>
      <c r="N415" s="13"/>
      <c r="O415" s="13"/>
      <c r="P415" s="13"/>
      <c r="Q415" s="13"/>
      <c r="R415" s="13"/>
      <c r="S415" s="13"/>
      <c r="T415" s="13"/>
      <c r="U415" s="12"/>
      <c r="V415" s="14"/>
      <c r="W415" s="16"/>
      <c r="X415" s="16"/>
      <c r="Y415" s="16"/>
      <c r="Z415" s="16"/>
      <c r="AA415" s="15" t="str">
        <f aca="false">IF(AND(ISNUMBER(L415),ISNUMBER(M415)),M415-L415,"")</f>
        <v/>
      </c>
      <c r="AB415" s="15" t="str">
        <f aca="false">IF(AND(ISNUMBER(M415),ISNUMBER(P415)),P415-M415,"")</f>
        <v/>
      </c>
      <c r="AC415" s="15" t="str">
        <f aca="false">IF(AND(ISNUMBER(L415),ISNUMBER(P415)),P415-L415,"")</f>
        <v/>
      </c>
      <c r="AD415" s="15" t="str">
        <f aca="false">IF(AND(ISNUMBER(P415),ISNUMBER(Q415)),Q415-P415,"")</f>
        <v/>
      </c>
      <c r="AE415" s="15" t="str">
        <f aca="false">IF(AND(ISNUMBER(Q415),ISNUMBER(R415)),R415-Q415,IF(ISNUMBER(Y415),Y415,""))</f>
        <v/>
      </c>
      <c r="AF415" s="15" t="str">
        <f aca="false">IF(AND(ISNUMBER(R415),ISNUMBER(S415)),S415-R415,"")</f>
        <v/>
      </c>
      <c r="AG415" s="15" t="str">
        <f aca="false">IF(AND(ISNUMBER(S415),ISNUMBER(T415)),T415-S415,"")</f>
        <v/>
      </c>
      <c r="AH415" s="15" t="str">
        <f aca="false">IF(AND(ISNUMBER(L415),ISNUMBER(T415)),T415-L415,"")</f>
        <v/>
      </c>
      <c r="AI415" s="15" t="str">
        <f aca="false">IF(AND(ISNUMBER(O415),ISNUMBER(Q415)),Q415-O415,"")</f>
        <v/>
      </c>
      <c r="AJ415" s="15" t="str">
        <f aca="false">IF(B415="","",COUNT(L415:M415,P415:T415)&amp;"/7")</f>
        <v/>
      </c>
      <c r="AK415" s="15" t="str">
        <f aca="false">IF(B415="","",IF(OR(AND(ISNUMBER(L415),ISNUMBER(M415),M415&lt;L415),AND(ISNUMBER(M415),ISNUMBER(P415),P415&lt;M415),AND(ISNUMBER(P415),ISNUMBER(Q415),Q415&lt;P415),AND(ISNUMBER(Q415),ISNUMBER(R415),R415&lt;Q415),AND(ISNUMBER(R415),ISNUMBER(S415),S415&lt;R415),AND(ISNUMBER(S415),ISNUMBER(T415),T415&lt;S415),AND(ISNUMBER(N415),ISNUMBER(O415),O415&lt;N415)),"Urutan tanggal salah",IF(AND(ISNUMBER(Q415),ISNUMBER(R415),ISNUMBER(Y415),ABS(R415-Q415-Y415)&gt;2),"S tanggal ≠ Sailing tercatat",IF(AND(ISNUMBER(Q415),ISNUMBER(O415),ABS(Q415-O415)&gt;60),"Cek tahun laycan",IF(AND(ISNUMBER(Q415),ISNUMBER(N415),Q415&lt;N415),"Berangkat sebelum laycan",IF(NOT(ISNUMBER(AE415)),"S belum ada","OK"))))))</f>
        <v/>
      </c>
    </row>
    <row r="416" customFormat="false" ht="15" hidden="false" customHeight="false" outlineLevel="0" collapsed="false">
      <c r="A416" s="16" t="str">
        <f aca="false">IF(B416="","",ROW()-4)</f>
        <v/>
      </c>
      <c r="B416" s="12"/>
      <c r="C416" s="16"/>
      <c r="D416" s="16"/>
      <c r="E416" s="16"/>
      <c r="F416" s="16"/>
      <c r="G416" s="16"/>
      <c r="H416" s="16"/>
      <c r="I416" s="16"/>
      <c r="J416" s="16"/>
      <c r="K416" s="16"/>
      <c r="L416" s="13"/>
      <c r="M416" s="13"/>
      <c r="N416" s="13"/>
      <c r="O416" s="13"/>
      <c r="P416" s="13"/>
      <c r="Q416" s="13"/>
      <c r="R416" s="13"/>
      <c r="S416" s="13"/>
      <c r="T416" s="13"/>
      <c r="U416" s="12"/>
      <c r="V416" s="14"/>
      <c r="W416" s="16"/>
      <c r="X416" s="16"/>
      <c r="Y416" s="16"/>
      <c r="Z416" s="16"/>
      <c r="AA416" s="15" t="str">
        <f aca="false">IF(AND(ISNUMBER(L416),ISNUMBER(M416)),M416-L416,"")</f>
        <v/>
      </c>
      <c r="AB416" s="15" t="str">
        <f aca="false">IF(AND(ISNUMBER(M416),ISNUMBER(P416)),P416-M416,"")</f>
        <v/>
      </c>
      <c r="AC416" s="15" t="str">
        <f aca="false">IF(AND(ISNUMBER(L416),ISNUMBER(P416)),P416-L416,"")</f>
        <v/>
      </c>
      <c r="AD416" s="15" t="str">
        <f aca="false">IF(AND(ISNUMBER(P416),ISNUMBER(Q416)),Q416-P416,"")</f>
        <v/>
      </c>
      <c r="AE416" s="15" t="str">
        <f aca="false">IF(AND(ISNUMBER(Q416),ISNUMBER(R416)),R416-Q416,IF(ISNUMBER(Y416),Y416,""))</f>
        <v/>
      </c>
      <c r="AF416" s="15" t="str">
        <f aca="false">IF(AND(ISNUMBER(R416),ISNUMBER(S416)),S416-R416,"")</f>
        <v/>
      </c>
      <c r="AG416" s="15" t="str">
        <f aca="false">IF(AND(ISNUMBER(S416),ISNUMBER(T416)),T416-S416,"")</f>
        <v/>
      </c>
      <c r="AH416" s="15" t="str">
        <f aca="false">IF(AND(ISNUMBER(L416),ISNUMBER(T416)),T416-L416,"")</f>
        <v/>
      </c>
      <c r="AI416" s="15" t="str">
        <f aca="false">IF(AND(ISNUMBER(O416),ISNUMBER(Q416)),Q416-O416,"")</f>
        <v/>
      </c>
      <c r="AJ416" s="15" t="str">
        <f aca="false">IF(B416="","",COUNT(L416:M416,P416:T416)&amp;"/7")</f>
        <v/>
      </c>
      <c r="AK416" s="15" t="str">
        <f aca="false">IF(B416="","",IF(OR(AND(ISNUMBER(L416),ISNUMBER(M416),M416&lt;L416),AND(ISNUMBER(M416),ISNUMBER(P416),P416&lt;M416),AND(ISNUMBER(P416),ISNUMBER(Q416),Q416&lt;P416),AND(ISNUMBER(Q416),ISNUMBER(R416),R416&lt;Q416),AND(ISNUMBER(R416),ISNUMBER(S416),S416&lt;R416),AND(ISNUMBER(S416),ISNUMBER(T416),T416&lt;S416),AND(ISNUMBER(N416),ISNUMBER(O416),O416&lt;N416)),"Urutan tanggal salah",IF(AND(ISNUMBER(Q416),ISNUMBER(R416),ISNUMBER(Y416),ABS(R416-Q416-Y416)&gt;2),"S tanggal ≠ Sailing tercatat",IF(AND(ISNUMBER(Q416),ISNUMBER(O416),ABS(Q416-O416)&gt;60),"Cek tahun laycan",IF(AND(ISNUMBER(Q416),ISNUMBER(N416),Q416&lt;N416),"Berangkat sebelum laycan",IF(NOT(ISNUMBER(AE416)),"S belum ada","OK"))))))</f>
        <v/>
      </c>
    </row>
    <row r="417" customFormat="false" ht="15" hidden="false" customHeight="false" outlineLevel="0" collapsed="false">
      <c r="A417" s="16" t="str">
        <f aca="false">IF(B417="","",ROW()-4)</f>
        <v/>
      </c>
      <c r="B417" s="12"/>
      <c r="C417" s="16"/>
      <c r="D417" s="16"/>
      <c r="E417" s="16"/>
      <c r="F417" s="16"/>
      <c r="G417" s="16"/>
      <c r="H417" s="16"/>
      <c r="I417" s="16"/>
      <c r="J417" s="16"/>
      <c r="K417" s="16"/>
      <c r="L417" s="13"/>
      <c r="M417" s="13"/>
      <c r="N417" s="13"/>
      <c r="O417" s="13"/>
      <c r="P417" s="13"/>
      <c r="Q417" s="13"/>
      <c r="R417" s="13"/>
      <c r="S417" s="13"/>
      <c r="T417" s="13"/>
      <c r="U417" s="12"/>
      <c r="V417" s="14"/>
      <c r="W417" s="16"/>
      <c r="X417" s="16"/>
      <c r="Y417" s="16"/>
      <c r="Z417" s="16"/>
      <c r="AA417" s="15" t="str">
        <f aca="false">IF(AND(ISNUMBER(L417),ISNUMBER(M417)),M417-L417,"")</f>
        <v/>
      </c>
      <c r="AB417" s="15" t="str">
        <f aca="false">IF(AND(ISNUMBER(M417),ISNUMBER(P417)),P417-M417,"")</f>
        <v/>
      </c>
      <c r="AC417" s="15" t="str">
        <f aca="false">IF(AND(ISNUMBER(L417),ISNUMBER(P417)),P417-L417,"")</f>
        <v/>
      </c>
      <c r="AD417" s="15" t="str">
        <f aca="false">IF(AND(ISNUMBER(P417),ISNUMBER(Q417)),Q417-P417,"")</f>
        <v/>
      </c>
      <c r="AE417" s="15" t="str">
        <f aca="false">IF(AND(ISNUMBER(Q417),ISNUMBER(R417)),R417-Q417,IF(ISNUMBER(Y417),Y417,""))</f>
        <v/>
      </c>
      <c r="AF417" s="15" t="str">
        <f aca="false">IF(AND(ISNUMBER(R417),ISNUMBER(S417)),S417-R417,"")</f>
        <v/>
      </c>
      <c r="AG417" s="15" t="str">
        <f aca="false">IF(AND(ISNUMBER(S417),ISNUMBER(T417)),T417-S417,"")</f>
        <v/>
      </c>
      <c r="AH417" s="15" t="str">
        <f aca="false">IF(AND(ISNUMBER(L417),ISNUMBER(T417)),T417-L417,"")</f>
        <v/>
      </c>
      <c r="AI417" s="15" t="str">
        <f aca="false">IF(AND(ISNUMBER(O417),ISNUMBER(Q417)),Q417-O417,"")</f>
        <v/>
      </c>
      <c r="AJ417" s="15" t="str">
        <f aca="false">IF(B417="","",COUNT(L417:M417,P417:T417)&amp;"/7")</f>
        <v/>
      </c>
      <c r="AK417" s="15" t="str">
        <f aca="false">IF(B417="","",IF(OR(AND(ISNUMBER(L417),ISNUMBER(M417),M417&lt;L417),AND(ISNUMBER(M417),ISNUMBER(P417),P417&lt;M417),AND(ISNUMBER(P417),ISNUMBER(Q417),Q417&lt;P417),AND(ISNUMBER(Q417),ISNUMBER(R417),R417&lt;Q417),AND(ISNUMBER(R417),ISNUMBER(S417),S417&lt;R417),AND(ISNUMBER(S417),ISNUMBER(T417),T417&lt;S417),AND(ISNUMBER(N417),ISNUMBER(O417),O417&lt;N417)),"Urutan tanggal salah",IF(AND(ISNUMBER(Q417),ISNUMBER(R417),ISNUMBER(Y417),ABS(R417-Q417-Y417)&gt;2),"S tanggal ≠ Sailing tercatat",IF(AND(ISNUMBER(Q417),ISNUMBER(O417),ABS(Q417-O417)&gt;60),"Cek tahun laycan",IF(AND(ISNUMBER(Q417),ISNUMBER(N417),Q417&lt;N417),"Berangkat sebelum laycan",IF(NOT(ISNUMBER(AE417)),"S belum ada","OK"))))))</f>
        <v/>
      </c>
    </row>
    <row r="418" customFormat="false" ht="15" hidden="false" customHeight="false" outlineLevel="0" collapsed="false">
      <c r="A418" s="16" t="str">
        <f aca="false">IF(B418="","",ROW()-4)</f>
        <v/>
      </c>
      <c r="B418" s="12"/>
      <c r="C418" s="16"/>
      <c r="D418" s="16"/>
      <c r="E418" s="16"/>
      <c r="F418" s="16"/>
      <c r="G418" s="16"/>
      <c r="H418" s="16"/>
      <c r="I418" s="16"/>
      <c r="J418" s="16"/>
      <c r="K418" s="16"/>
      <c r="L418" s="13"/>
      <c r="M418" s="13"/>
      <c r="N418" s="13"/>
      <c r="O418" s="13"/>
      <c r="P418" s="13"/>
      <c r="Q418" s="13"/>
      <c r="R418" s="13"/>
      <c r="S418" s="13"/>
      <c r="T418" s="13"/>
      <c r="U418" s="12"/>
      <c r="V418" s="14"/>
      <c r="W418" s="16"/>
      <c r="X418" s="16"/>
      <c r="Y418" s="16"/>
      <c r="Z418" s="16"/>
      <c r="AA418" s="15" t="str">
        <f aca="false">IF(AND(ISNUMBER(L418),ISNUMBER(M418)),M418-L418,"")</f>
        <v/>
      </c>
      <c r="AB418" s="15" t="str">
        <f aca="false">IF(AND(ISNUMBER(M418),ISNUMBER(P418)),P418-M418,"")</f>
        <v/>
      </c>
      <c r="AC418" s="15" t="str">
        <f aca="false">IF(AND(ISNUMBER(L418),ISNUMBER(P418)),P418-L418,"")</f>
        <v/>
      </c>
      <c r="AD418" s="15" t="str">
        <f aca="false">IF(AND(ISNUMBER(P418),ISNUMBER(Q418)),Q418-P418,"")</f>
        <v/>
      </c>
      <c r="AE418" s="15" t="str">
        <f aca="false">IF(AND(ISNUMBER(Q418),ISNUMBER(R418)),R418-Q418,IF(ISNUMBER(Y418),Y418,""))</f>
        <v/>
      </c>
      <c r="AF418" s="15" t="str">
        <f aca="false">IF(AND(ISNUMBER(R418),ISNUMBER(S418)),S418-R418,"")</f>
        <v/>
      </c>
      <c r="AG418" s="15" t="str">
        <f aca="false">IF(AND(ISNUMBER(S418),ISNUMBER(T418)),T418-S418,"")</f>
        <v/>
      </c>
      <c r="AH418" s="15" t="str">
        <f aca="false">IF(AND(ISNUMBER(L418),ISNUMBER(T418)),T418-L418,"")</f>
        <v/>
      </c>
      <c r="AI418" s="15" t="str">
        <f aca="false">IF(AND(ISNUMBER(O418),ISNUMBER(Q418)),Q418-O418,"")</f>
        <v/>
      </c>
      <c r="AJ418" s="15" t="str">
        <f aca="false">IF(B418="","",COUNT(L418:M418,P418:T418)&amp;"/7")</f>
        <v/>
      </c>
      <c r="AK418" s="15" t="str">
        <f aca="false">IF(B418="","",IF(OR(AND(ISNUMBER(L418),ISNUMBER(M418),M418&lt;L418),AND(ISNUMBER(M418),ISNUMBER(P418),P418&lt;M418),AND(ISNUMBER(P418),ISNUMBER(Q418),Q418&lt;P418),AND(ISNUMBER(Q418),ISNUMBER(R418),R418&lt;Q418),AND(ISNUMBER(R418),ISNUMBER(S418),S418&lt;R418),AND(ISNUMBER(S418),ISNUMBER(T418),T418&lt;S418),AND(ISNUMBER(N418),ISNUMBER(O418),O418&lt;N418)),"Urutan tanggal salah",IF(AND(ISNUMBER(Q418),ISNUMBER(R418),ISNUMBER(Y418),ABS(R418-Q418-Y418)&gt;2),"S tanggal ≠ Sailing tercatat",IF(AND(ISNUMBER(Q418),ISNUMBER(O418),ABS(Q418-O418)&gt;60),"Cek tahun laycan",IF(AND(ISNUMBER(Q418),ISNUMBER(N418),Q418&lt;N418),"Berangkat sebelum laycan",IF(NOT(ISNUMBER(AE418)),"S belum ada","OK"))))))</f>
        <v/>
      </c>
    </row>
    <row r="419" customFormat="false" ht="15" hidden="false" customHeight="false" outlineLevel="0" collapsed="false">
      <c r="A419" s="16" t="str">
        <f aca="false">IF(B419="","",ROW()-4)</f>
        <v/>
      </c>
      <c r="B419" s="12"/>
      <c r="C419" s="16"/>
      <c r="D419" s="16"/>
      <c r="E419" s="16"/>
      <c r="F419" s="16"/>
      <c r="G419" s="16"/>
      <c r="H419" s="16"/>
      <c r="I419" s="16"/>
      <c r="J419" s="16"/>
      <c r="K419" s="16"/>
      <c r="L419" s="13"/>
      <c r="M419" s="13"/>
      <c r="N419" s="13"/>
      <c r="O419" s="13"/>
      <c r="P419" s="13"/>
      <c r="Q419" s="13"/>
      <c r="R419" s="13"/>
      <c r="S419" s="13"/>
      <c r="T419" s="13"/>
      <c r="U419" s="12"/>
      <c r="V419" s="14"/>
      <c r="W419" s="16"/>
      <c r="X419" s="16"/>
      <c r="Y419" s="16"/>
      <c r="Z419" s="16"/>
      <c r="AA419" s="15" t="str">
        <f aca="false">IF(AND(ISNUMBER(L419),ISNUMBER(M419)),M419-L419,"")</f>
        <v/>
      </c>
      <c r="AB419" s="15" t="str">
        <f aca="false">IF(AND(ISNUMBER(M419),ISNUMBER(P419)),P419-M419,"")</f>
        <v/>
      </c>
      <c r="AC419" s="15" t="str">
        <f aca="false">IF(AND(ISNUMBER(L419),ISNUMBER(P419)),P419-L419,"")</f>
        <v/>
      </c>
      <c r="AD419" s="15" t="str">
        <f aca="false">IF(AND(ISNUMBER(P419),ISNUMBER(Q419)),Q419-P419,"")</f>
        <v/>
      </c>
      <c r="AE419" s="15" t="str">
        <f aca="false">IF(AND(ISNUMBER(Q419),ISNUMBER(R419)),R419-Q419,IF(ISNUMBER(Y419),Y419,""))</f>
        <v/>
      </c>
      <c r="AF419" s="15" t="str">
        <f aca="false">IF(AND(ISNUMBER(R419),ISNUMBER(S419)),S419-R419,"")</f>
        <v/>
      </c>
      <c r="AG419" s="15" t="str">
        <f aca="false">IF(AND(ISNUMBER(S419),ISNUMBER(T419)),T419-S419,"")</f>
        <v/>
      </c>
      <c r="AH419" s="15" t="str">
        <f aca="false">IF(AND(ISNUMBER(L419),ISNUMBER(T419)),T419-L419,"")</f>
        <v/>
      </c>
      <c r="AI419" s="15" t="str">
        <f aca="false">IF(AND(ISNUMBER(O419),ISNUMBER(Q419)),Q419-O419,"")</f>
        <v/>
      </c>
      <c r="AJ419" s="15" t="str">
        <f aca="false">IF(B419="","",COUNT(L419:M419,P419:T419)&amp;"/7")</f>
        <v/>
      </c>
      <c r="AK419" s="15" t="str">
        <f aca="false">IF(B419="","",IF(OR(AND(ISNUMBER(L419),ISNUMBER(M419),M419&lt;L419),AND(ISNUMBER(M419),ISNUMBER(P419),P419&lt;M419),AND(ISNUMBER(P419),ISNUMBER(Q419),Q419&lt;P419),AND(ISNUMBER(Q419),ISNUMBER(R419),R419&lt;Q419),AND(ISNUMBER(R419),ISNUMBER(S419),S419&lt;R419),AND(ISNUMBER(S419),ISNUMBER(T419),T419&lt;S419),AND(ISNUMBER(N419),ISNUMBER(O419),O419&lt;N419)),"Urutan tanggal salah",IF(AND(ISNUMBER(Q419),ISNUMBER(R419),ISNUMBER(Y419),ABS(R419-Q419-Y419)&gt;2),"S tanggal ≠ Sailing tercatat",IF(AND(ISNUMBER(Q419),ISNUMBER(O419),ABS(Q419-O419)&gt;60),"Cek tahun laycan",IF(AND(ISNUMBER(Q419),ISNUMBER(N419),Q419&lt;N419),"Berangkat sebelum laycan",IF(NOT(ISNUMBER(AE419)),"S belum ada","OK"))))))</f>
        <v/>
      </c>
    </row>
    <row r="420" customFormat="false" ht="15" hidden="false" customHeight="false" outlineLevel="0" collapsed="false">
      <c r="A420" s="16" t="str">
        <f aca="false">IF(B420="","",ROW()-4)</f>
        <v/>
      </c>
      <c r="B420" s="12"/>
      <c r="C420" s="16"/>
      <c r="D420" s="16"/>
      <c r="E420" s="16"/>
      <c r="F420" s="16"/>
      <c r="G420" s="16"/>
      <c r="H420" s="16"/>
      <c r="I420" s="16"/>
      <c r="J420" s="16"/>
      <c r="K420" s="16"/>
      <c r="L420" s="13"/>
      <c r="M420" s="13"/>
      <c r="N420" s="13"/>
      <c r="O420" s="13"/>
      <c r="P420" s="13"/>
      <c r="Q420" s="13"/>
      <c r="R420" s="13"/>
      <c r="S420" s="13"/>
      <c r="T420" s="13"/>
      <c r="U420" s="12"/>
      <c r="V420" s="14"/>
      <c r="W420" s="16"/>
      <c r="X420" s="16"/>
      <c r="Y420" s="16"/>
      <c r="Z420" s="16"/>
      <c r="AA420" s="15" t="str">
        <f aca="false">IF(AND(ISNUMBER(L420),ISNUMBER(M420)),M420-L420,"")</f>
        <v/>
      </c>
      <c r="AB420" s="15" t="str">
        <f aca="false">IF(AND(ISNUMBER(M420),ISNUMBER(P420)),P420-M420,"")</f>
        <v/>
      </c>
      <c r="AC420" s="15" t="str">
        <f aca="false">IF(AND(ISNUMBER(L420),ISNUMBER(P420)),P420-L420,"")</f>
        <v/>
      </c>
      <c r="AD420" s="15" t="str">
        <f aca="false">IF(AND(ISNUMBER(P420),ISNUMBER(Q420)),Q420-P420,"")</f>
        <v/>
      </c>
      <c r="AE420" s="15" t="str">
        <f aca="false">IF(AND(ISNUMBER(Q420),ISNUMBER(R420)),R420-Q420,IF(ISNUMBER(Y420),Y420,""))</f>
        <v/>
      </c>
      <c r="AF420" s="15" t="str">
        <f aca="false">IF(AND(ISNUMBER(R420),ISNUMBER(S420)),S420-R420,"")</f>
        <v/>
      </c>
      <c r="AG420" s="15" t="str">
        <f aca="false">IF(AND(ISNUMBER(S420),ISNUMBER(T420)),T420-S420,"")</f>
        <v/>
      </c>
      <c r="AH420" s="15" t="str">
        <f aca="false">IF(AND(ISNUMBER(L420),ISNUMBER(T420)),T420-L420,"")</f>
        <v/>
      </c>
      <c r="AI420" s="15" t="str">
        <f aca="false">IF(AND(ISNUMBER(O420),ISNUMBER(Q420)),Q420-O420,"")</f>
        <v/>
      </c>
      <c r="AJ420" s="15" t="str">
        <f aca="false">IF(B420="","",COUNT(L420:M420,P420:T420)&amp;"/7")</f>
        <v/>
      </c>
      <c r="AK420" s="15" t="str">
        <f aca="false">IF(B420="","",IF(OR(AND(ISNUMBER(L420),ISNUMBER(M420),M420&lt;L420),AND(ISNUMBER(M420),ISNUMBER(P420),P420&lt;M420),AND(ISNUMBER(P420),ISNUMBER(Q420),Q420&lt;P420),AND(ISNUMBER(Q420),ISNUMBER(R420),R420&lt;Q420),AND(ISNUMBER(R420),ISNUMBER(S420),S420&lt;R420),AND(ISNUMBER(S420),ISNUMBER(T420),T420&lt;S420),AND(ISNUMBER(N420),ISNUMBER(O420),O420&lt;N420)),"Urutan tanggal salah",IF(AND(ISNUMBER(Q420),ISNUMBER(R420),ISNUMBER(Y420),ABS(R420-Q420-Y420)&gt;2),"S tanggal ≠ Sailing tercatat",IF(AND(ISNUMBER(Q420),ISNUMBER(O420),ABS(Q420-O420)&gt;60),"Cek tahun laycan",IF(AND(ISNUMBER(Q420),ISNUMBER(N420),Q420&lt;N420),"Berangkat sebelum laycan",IF(NOT(ISNUMBER(AE420)),"S belum ada","OK"))))))</f>
        <v/>
      </c>
    </row>
    <row r="421" customFormat="false" ht="15" hidden="false" customHeight="false" outlineLevel="0" collapsed="false">
      <c r="A421" s="16" t="str">
        <f aca="false">IF(B421="","",ROW()-4)</f>
        <v/>
      </c>
      <c r="B421" s="12"/>
      <c r="C421" s="16"/>
      <c r="D421" s="16"/>
      <c r="E421" s="16"/>
      <c r="F421" s="16"/>
      <c r="G421" s="16"/>
      <c r="H421" s="16"/>
      <c r="I421" s="16"/>
      <c r="J421" s="16"/>
      <c r="K421" s="16"/>
      <c r="L421" s="13"/>
      <c r="M421" s="13"/>
      <c r="N421" s="13"/>
      <c r="O421" s="13"/>
      <c r="P421" s="13"/>
      <c r="Q421" s="13"/>
      <c r="R421" s="13"/>
      <c r="S421" s="13"/>
      <c r="T421" s="13"/>
      <c r="U421" s="12"/>
      <c r="V421" s="14"/>
      <c r="W421" s="16"/>
      <c r="X421" s="16"/>
      <c r="Y421" s="16"/>
      <c r="Z421" s="16"/>
      <c r="AA421" s="15" t="str">
        <f aca="false">IF(AND(ISNUMBER(L421),ISNUMBER(M421)),M421-L421,"")</f>
        <v/>
      </c>
      <c r="AB421" s="15" t="str">
        <f aca="false">IF(AND(ISNUMBER(M421),ISNUMBER(P421)),P421-M421,"")</f>
        <v/>
      </c>
      <c r="AC421" s="15" t="str">
        <f aca="false">IF(AND(ISNUMBER(L421),ISNUMBER(P421)),P421-L421,"")</f>
        <v/>
      </c>
      <c r="AD421" s="15" t="str">
        <f aca="false">IF(AND(ISNUMBER(P421),ISNUMBER(Q421)),Q421-P421,"")</f>
        <v/>
      </c>
      <c r="AE421" s="15" t="str">
        <f aca="false">IF(AND(ISNUMBER(Q421),ISNUMBER(R421)),R421-Q421,IF(ISNUMBER(Y421),Y421,""))</f>
        <v/>
      </c>
      <c r="AF421" s="15" t="str">
        <f aca="false">IF(AND(ISNUMBER(R421),ISNUMBER(S421)),S421-R421,"")</f>
        <v/>
      </c>
      <c r="AG421" s="15" t="str">
        <f aca="false">IF(AND(ISNUMBER(S421),ISNUMBER(T421)),T421-S421,"")</f>
        <v/>
      </c>
      <c r="AH421" s="15" t="str">
        <f aca="false">IF(AND(ISNUMBER(L421),ISNUMBER(T421)),T421-L421,"")</f>
        <v/>
      </c>
      <c r="AI421" s="15" t="str">
        <f aca="false">IF(AND(ISNUMBER(O421),ISNUMBER(Q421)),Q421-O421,"")</f>
        <v/>
      </c>
      <c r="AJ421" s="15" t="str">
        <f aca="false">IF(B421="","",COUNT(L421:M421,P421:T421)&amp;"/7")</f>
        <v/>
      </c>
      <c r="AK421" s="15" t="str">
        <f aca="false">IF(B421="","",IF(OR(AND(ISNUMBER(L421),ISNUMBER(M421),M421&lt;L421),AND(ISNUMBER(M421),ISNUMBER(P421),P421&lt;M421),AND(ISNUMBER(P421),ISNUMBER(Q421),Q421&lt;P421),AND(ISNUMBER(Q421),ISNUMBER(R421),R421&lt;Q421),AND(ISNUMBER(R421),ISNUMBER(S421),S421&lt;R421),AND(ISNUMBER(S421),ISNUMBER(T421),T421&lt;S421),AND(ISNUMBER(N421),ISNUMBER(O421),O421&lt;N421)),"Urutan tanggal salah",IF(AND(ISNUMBER(Q421),ISNUMBER(R421),ISNUMBER(Y421),ABS(R421-Q421-Y421)&gt;2),"S tanggal ≠ Sailing tercatat",IF(AND(ISNUMBER(Q421),ISNUMBER(O421),ABS(Q421-O421)&gt;60),"Cek tahun laycan",IF(AND(ISNUMBER(Q421),ISNUMBER(N421),Q421&lt;N421),"Berangkat sebelum laycan",IF(NOT(ISNUMBER(AE421)),"S belum ada","OK"))))))</f>
        <v/>
      </c>
    </row>
    <row r="422" customFormat="false" ht="15" hidden="false" customHeight="false" outlineLevel="0" collapsed="false">
      <c r="A422" s="16" t="str">
        <f aca="false">IF(B422="","",ROW()-4)</f>
        <v/>
      </c>
      <c r="B422" s="12"/>
      <c r="C422" s="16"/>
      <c r="D422" s="16"/>
      <c r="E422" s="16"/>
      <c r="F422" s="16"/>
      <c r="G422" s="16"/>
      <c r="H422" s="16"/>
      <c r="I422" s="16"/>
      <c r="J422" s="16"/>
      <c r="K422" s="16"/>
      <c r="L422" s="13"/>
      <c r="M422" s="13"/>
      <c r="N422" s="13"/>
      <c r="O422" s="13"/>
      <c r="P422" s="13"/>
      <c r="Q422" s="13"/>
      <c r="R422" s="13"/>
      <c r="S422" s="13"/>
      <c r="T422" s="13"/>
      <c r="U422" s="12"/>
      <c r="V422" s="14"/>
      <c r="W422" s="16"/>
      <c r="X422" s="16"/>
      <c r="Y422" s="16"/>
      <c r="Z422" s="16"/>
      <c r="AA422" s="15" t="str">
        <f aca="false">IF(AND(ISNUMBER(L422),ISNUMBER(M422)),M422-L422,"")</f>
        <v/>
      </c>
      <c r="AB422" s="15" t="str">
        <f aca="false">IF(AND(ISNUMBER(M422),ISNUMBER(P422)),P422-M422,"")</f>
        <v/>
      </c>
      <c r="AC422" s="15" t="str">
        <f aca="false">IF(AND(ISNUMBER(L422),ISNUMBER(P422)),P422-L422,"")</f>
        <v/>
      </c>
      <c r="AD422" s="15" t="str">
        <f aca="false">IF(AND(ISNUMBER(P422),ISNUMBER(Q422)),Q422-P422,"")</f>
        <v/>
      </c>
      <c r="AE422" s="15" t="str">
        <f aca="false">IF(AND(ISNUMBER(Q422),ISNUMBER(R422)),R422-Q422,IF(ISNUMBER(Y422),Y422,""))</f>
        <v/>
      </c>
      <c r="AF422" s="15" t="str">
        <f aca="false">IF(AND(ISNUMBER(R422),ISNUMBER(S422)),S422-R422,"")</f>
        <v/>
      </c>
      <c r="AG422" s="15" t="str">
        <f aca="false">IF(AND(ISNUMBER(S422),ISNUMBER(T422)),T422-S422,"")</f>
        <v/>
      </c>
      <c r="AH422" s="15" t="str">
        <f aca="false">IF(AND(ISNUMBER(L422),ISNUMBER(T422)),T422-L422,"")</f>
        <v/>
      </c>
      <c r="AI422" s="15" t="str">
        <f aca="false">IF(AND(ISNUMBER(O422),ISNUMBER(Q422)),Q422-O422,"")</f>
        <v/>
      </c>
      <c r="AJ422" s="15" t="str">
        <f aca="false">IF(B422="","",COUNT(L422:M422,P422:T422)&amp;"/7")</f>
        <v/>
      </c>
      <c r="AK422" s="15" t="str">
        <f aca="false">IF(B422="","",IF(OR(AND(ISNUMBER(L422),ISNUMBER(M422),M422&lt;L422),AND(ISNUMBER(M422),ISNUMBER(P422),P422&lt;M422),AND(ISNUMBER(P422),ISNUMBER(Q422),Q422&lt;P422),AND(ISNUMBER(Q422),ISNUMBER(R422),R422&lt;Q422),AND(ISNUMBER(R422),ISNUMBER(S422),S422&lt;R422),AND(ISNUMBER(S422),ISNUMBER(T422),T422&lt;S422),AND(ISNUMBER(N422),ISNUMBER(O422),O422&lt;N422)),"Urutan tanggal salah",IF(AND(ISNUMBER(Q422),ISNUMBER(R422),ISNUMBER(Y422),ABS(R422-Q422-Y422)&gt;2),"S tanggal ≠ Sailing tercatat",IF(AND(ISNUMBER(Q422),ISNUMBER(O422),ABS(Q422-O422)&gt;60),"Cek tahun laycan",IF(AND(ISNUMBER(Q422),ISNUMBER(N422),Q422&lt;N422),"Berangkat sebelum laycan",IF(NOT(ISNUMBER(AE422)),"S belum ada","OK"))))))</f>
        <v/>
      </c>
    </row>
    <row r="423" customFormat="false" ht="15" hidden="false" customHeight="false" outlineLevel="0" collapsed="false">
      <c r="A423" s="16" t="str">
        <f aca="false">IF(B423="","",ROW()-4)</f>
        <v/>
      </c>
      <c r="B423" s="12"/>
      <c r="C423" s="16"/>
      <c r="D423" s="16"/>
      <c r="E423" s="16"/>
      <c r="F423" s="16"/>
      <c r="G423" s="16"/>
      <c r="H423" s="16"/>
      <c r="I423" s="16"/>
      <c r="J423" s="16"/>
      <c r="K423" s="16"/>
      <c r="L423" s="13"/>
      <c r="M423" s="13"/>
      <c r="N423" s="13"/>
      <c r="O423" s="13"/>
      <c r="P423" s="13"/>
      <c r="Q423" s="13"/>
      <c r="R423" s="13"/>
      <c r="S423" s="13"/>
      <c r="T423" s="13"/>
      <c r="U423" s="12"/>
      <c r="V423" s="14"/>
      <c r="W423" s="16"/>
      <c r="X423" s="16"/>
      <c r="Y423" s="16"/>
      <c r="Z423" s="16"/>
      <c r="AA423" s="15" t="str">
        <f aca="false">IF(AND(ISNUMBER(L423),ISNUMBER(M423)),M423-L423,"")</f>
        <v/>
      </c>
      <c r="AB423" s="15" t="str">
        <f aca="false">IF(AND(ISNUMBER(M423),ISNUMBER(P423)),P423-M423,"")</f>
        <v/>
      </c>
      <c r="AC423" s="15" t="str">
        <f aca="false">IF(AND(ISNUMBER(L423),ISNUMBER(P423)),P423-L423,"")</f>
        <v/>
      </c>
      <c r="AD423" s="15" t="str">
        <f aca="false">IF(AND(ISNUMBER(P423),ISNUMBER(Q423)),Q423-P423,"")</f>
        <v/>
      </c>
      <c r="AE423" s="15" t="str">
        <f aca="false">IF(AND(ISNUMBER(Q423),ISNUMBER(R423)),R423-Q423,IF(ISNUMBER(Y423),Y423,""))</f>
        <v/>
      </c>
      <c r="AF423" s="15" t="str">
        <f aca="false">IF(AND(ISNUMBER(R423),ISNUMBER(S423)),S423-R423,"")</f>
        <v/>
      </c>
      <c r="AG423" s="15" t="str">
        <f aca="false">IF(AND(ISNUMBER(S423),ISNUMBER(T423)),T423-S423,"")</f>
        <v/>
      </c>
      <c r="AH423" s="15" t="str">
        <f aca="false">IF(AND(ISNUMBER(L423),ISNUMBER(T423)),T423-L423,"")</f>
        <v/>
      </c>
      <c r="AI423" s="15" t="str">
        <f aca="false">IF(AND(ISNUMBER(O423),ISNUMBER(Q423)),Q423-O423,"")</f>
        <v/>
      </c>
      <c r="AJ423" s="15" t="str">
        <f aca="false">IF(B423="","",COUNT(L423:M423,P423:T423)&amp;"/7")</f>
        <v/>
      </c>
      <c r="AK423" s="15" t="str">
        <f aca="false">IF(B423="","",IF(OR(AND(ISNUMBER(L423),ISNUMBER(M423),M423&lt;L423),AND(ISNUMBER(M423),ISNUMBER(P423),P423&lt;M423),AND(ISNUMBER(P423),ISNUMBER(Q423),Q423&lt;P423),AND(ISNUMBER(Q423),ISNUMBER(R423),R423&lt;Q423),AND(ISNUMBER(R423),ISNUMBER(S423),S423&lt;R423),AND(ISNUMBER(S423),ISNUMBER(T423),T423&lt;S423),AND(ISNUMBER(N423),ISNUMBER(O423),O423&lt;N423)),"Urutan tanggal salah",IF(AND(ISNUMBER(Q423),ISNUMBER(R423),ISNUMBER(Y423),ABS(R423-Q423-Y423)&gt;2),"S tanggal ≠ Sailing tercatat",IF(AND(ISNUMBER(Q423),ISNUMBER(O423),ABS(Q423-O423)&gt;60),"Cek tahun laycan",IF(AND(ISNUMBER(Q423),ISNUMBER(N423),Q423&lt;N423),"Berangkat sebelum laycan",IF(NOT(ISNUMBER(AE423)),"S belum ada","OK"))))))</f>
        <v/>
      </c>
    </row>
    <row r="424" customFormat="false" ht="15" hidden="false" customHeight="false" outlineLevel="0" collapsed="false">
      <c r="A424" s="16" t="str">
        <f aca="false">IF(B424="","",ROW()-4)</f>
        <v/>
      </c>
      <c r="B424" s="12"/>
      <c r="C424" s="16"/>
      <c r="D424" s="16"/>
      <c r="E424" s="16"/>
      <c r="F424" s="16"/>
      <c r="G424" s="16"/>
      <c r="H424" s="16"/>
      <c r="I424" s="16"/>
      <c r="J424" s="16"/>
      <c r="K424" s="16"/>
      <c r="L424" s="13"/>
      <c r="M424" s="13"/>
      <c r="N424" s="13"/>
      <c r="O424" s="13"/>
      <c r="P424" s="13"/>
      <c r="Q424" s="13"/>
      <c r="R424" s="13"/>
      <c r="S424" s="13"/>
      <c r="T424" s="13"/>
      <c r="U424" s="12"/>
      <c r="V424" s="14"/>
      <c r="W424" s="16"/>
      <c r="X424" s="16"/>
      <c r="Y424" s="16"/>
      <c r="Z424" s="16"/>
      <c r="AA424" s="15" t="str">
        <f aca="false">IF(AND(ISNUMBER(L424),ISNUMBER(M424)),M424-L424,"")</f>
        <v/>
      </c>
      <c r="AB424" s="15" t="str">
        <f aca="false">IF(AND(ISNUMBER(M424),ISNUMBER(P424)),P424-M424,"")</f>
        <v/>
      </c>
      <c r="AC424" s="15" t="str">
        <f aca="false">IF(AND(ISNUMBER(L424),ISNUMBER(P424)),P424-L424,"")</f>
        <v/>
      </c>
      <c r="AD424" s="15" t="str">
        <f aca="false">IF(AND(ISNUMBER(P424),ISNUMBER(Q424)),Q424-P424,"")</f>
        <v/>
      </c>
      <c r="AE424" s="15" t="str">
        <f aca="false">IF(AND(ISNUMBER(Q424),ISNUMBER(R424)),R424-Q424,IF(ISNUMBER(Y424),Y424,""))</f>
        <v/>
      </c>
      <c r="AF424" s="15" t="str">
        <f aca="false">IF(AND(ISNUMBER(R424),ISNUMBER(S424)),S424-R424,"")</f>
        <v/>
      </c>
      <c r="AG424" s="15" t="str">
        <f aca="false">IF(AND(ISNUMBER(S424),ISNUMBER(T424)),T424-S424,"")</f>
        <v/>
      </c>
      <c r="AH424" s="15" t="str">
        <f aca="false">IF(AND(ISNUMBER(L424),ISNUMBER(T424)),T424-L424,"")</f>
        <v/>
      </c>
      <c r="AI424" s="15" t="str">
        <f aca="false">IF(AND(ISNUMBER(O424),ISNUMBER(Q424)),Q424-O424,"")</f>
        <v/>
      </c>
      <c r="AJ424" s="15" t="str">
        <f aca="false">IF(B424="","",COUNT(L424:M424,P424:T424)&amp;"/7")</f>
        <v/>
      </c>
      <c r="AK424" s="15" t="str">
        <f aca="false">IF(B424="","",IF(OR(AND(ISNUMBER(L424),ISNUMBER(M424),M424&lt;L424),AND(ISNUMBER(M424),ISNUMBER(P424),P424&lt;M424),AND(ISNUMBER(P424),ISNUMBER(Q424),Q424&lt;P424),AND(ISNUMBER(Q424),ISNUMBER(R424),R424&lt;Q424),AND(ISNUMBER(R424),ISNUMBER(S424),S424&lt;R424),AND(ISNUMBER(S424),ISNUMBER(T424),T424&lt;S424),AND(ISNUMBER(N424),ISNUMBER(O424),O424&lt;N424)),"Urutan tanggal salah",IF(AND(ISNUMBER(Q424),ISNUMBER(R424),ISNUMBER(Y424),ABS(R424-Q424-Y424)&gt;2),"S tanggal ≠ Sailing tercatat",IF(AND(ISNUMBER(Q424),ISNUMBER(O424),ABS(Q424-O424)&gt;60),"Cek tahun laycan",IF(AND(ISNUMBER(Q424),ISNUMBER(N424),Q424&lt;N424),"Berangkat sebelum laycan",IF(NOT(ISNUMBER(AE424)),"S belum ada","OK"))))))</f>
        <v/>
      </c>
    </row>
    <row r="425" customFormat="false" ht="15" hidden="false" customHeight="false" outlineLevel="0" collapsed="false">
      <c r="A425" s="16" t="str">
        <f aca="false">IF(B425="","",ROW()-4)</f>
        <v/>
      </c>
      <c r="B425" s="12"/>
      <c r="C425" s="16"/>
      <c r="D425" s="16"/>
      <c r="E425" s="16"/>
      <c r="F425" s="16"/>
      <c r="G425" s="16"/>
      <c r="H425" s="16"/>
      <c r="I425" s="16"/>
      <c r="J425" s="16"/>
      <c r="K425" s="16"/>
      <c r="L425" s="13"/>
      <c r="M425" s="13"/>
      <c r="N425" s="13"/>
      <c r="O425" s="13"/>
      <c r="P425" s="13"/>
      <c r="Q425" s="13"/>
      <c r="R425" s="13"/>
      <c r="S425" s="13"/>
      <c r="T425" s="13"/>
      <c r="U425" s="12"/>
      <c r="V425" s="14"/>
      <c r="W425" s="16"/>
      <c r="X425" s="16"/>
      <c r="Y425" s="16"/>
      <c r="Z425" s="16"/>
      <c r="AA425" s="15" t="str">
        <f aca="false">IF(AND(ISNUMBER(L425),ISNUMBER(M425)),M425-L425,"")</f>
        <v/>
      </c>
      <c r="AB425" s="15" t="str">
        <f aca="false">IF(AND(ISNUMBER(M425),ISNUMBER(P425)),P425-M425,"")</f>
        <v/>
      </c>
      <c r="AC425" s="15" t="str">
        <f aca="false">IF(AND(ISNUMBER(L425),ISNUMBER(P425)),P425-L425,"")</f>
        <v/>
      </c>
      <c r="AD425" s="15" t="str">
        <f aca="false">IF(AND(ISNUMBER(P425),ISNUMBER(Q425)),Q425-P425,"")</f>
        <v/>
      </c>
      <c r="AE425" s="15" t="str">
        <f aca="false">IF(AND(ISNUMBER(Q425),ISNUMBER(R425)),R425-Q425,IF(ISNUMBER(Y425),Y425,""))</f>
        <v/>
      </c>
      <c r="AF425" s="15" t="str">
        <f aca="false">IF(AND(ISNUMBER(R425),ISNUMBER(S425)),S425-R425,"")</f>
        <v/>
      </c>
      <c r="AG425" s="15" t="str">
        <f aca="false">IF(AND(ISNUMBER(S425),ISNUMBER(T425)),T425-S425,"")</f>
        <v/>
      </c>
      <c r="AH425" s="15" t="str">
        <f aca="false">IF(AND(ISNUMBER(L425),ISNUMBER(T425)),T425-L425,"")</f>
        <v/>
      </c>
      <c r="AI425" s="15" t="str">
        <f aca="false">IF(AND(ISNUMBER(O425),ISNUMBER(Q425)),Q425-O425,"")</f>
        <v/>
      </c>
      <c r="AJ425" s="15" t="str">
        <f aca="false">IF(B425="","",COUNT(L425:M425,P425:T425)&amp;"/7")</f>
        <v/>
      </c>
      <c r="AK425" s="15" t="str">
        <f aca="false">IF(B425="","",IF(OR(AND(ISNUMBER(L425),ISNUMBER(M425),M425&lt;L425),AND(ISNUMBER(M425),ISNUMBER(P425),P425&lt;M425),AND(ISNUMBER(P425),ISNUMBER(Q425),Q425&lt;P425),AND(ISNUMBER(Q425),ISNUMBER(R425),R425&lt;Q425),AND(ISNUMBER(R425),ISNUMBER(S425),S425&lt;R425),AND(ISNUMBER(S425),ISNUMBER(T425),T425&lt;S425),AND(ISNUMBER(N425),ISNUMBER(O425),O425&lt;N425)),"Urutan tanggal salah",IF(AND(ISNUMBER(Q425),ISNUMBER(R425),ISNUMBER(Y425),ABS(R425-Q425-Y425)&gt;2),"S tanggal ≠ Sailing tercatat",IF(AND(ISNUMBER(Q425),ISNUMBER(O425),ABS(Q425-O425)&gt;60),"Cek tahun laycan",IF(AND(ISNUMBER(Q425),ISNUMBER(N425),Q425&lt;N425),"Berangkat sebelum laycan",IF(NOT(ISNUMBER(AE425)),"S belum ada","OK"))))))</f>
        <v/>
      </c>
    </row>
    <row r="426" customFormat="false" ht="15" hidden="false" customHeight="false" outlineLevel="0" collapsed="false">
      <c r="A426" s="16" t="str">
        <f aca="false">IF(B426="","",ROW()-4)</f>
        <v/>
      </c>
      <c r="B426" s="12"/>
      <c r="C426" s="16"/>
      <c r="D426" s="16"/>
      <c r="E426" s="16"/>
      <c r="F426" s="16"/>
      <c r="G426" s="16"/>
      <c r="H426" s="16"/>
      <c r="I426" s="16"/>
      <c r="J426" s="16"/>
      <c r="K426" s="16"/>
      <c r="L426" s="13"/>
      <c r="M426" s="13"/>
      <c r="N426" s="13"/>
      <c r="O426" s="13"/>
      <c r="P426" s="13"/>
      <c r="Q426" s="13"/>
      <c r="R426" s="13"/>
      <c r="S426" s="13"/>
      <c r="T426" s="13"/>
      <c r="U426" s="12"/>
      <c r="V426" s="14"/>
      <c r="W426" s="16"/>
      <c r="X426" s="16"/>
      <c r="Y426" s="16"/>
      <c r="Z426" s="16"/>
      <c r="AA426" s="15" t="str">
        <f aca="false">IF(AND(ISNUMBER(L426),ISNUMBER(M426)),M426-L426,"")</f>
        <v/>
      </c>
      <c r="AB426" s="15" t="str">
        <f aca="false">IF(AND(ISNUMBER(M426),ISNUMBER(P426)),P426-M426,"")</f>
        <v/>
      </c>
      <c r="AC426" s="15" t="str">
        <f aca="false">IF(AND(ISNUMBER(L426),ISNUMBER(P426)),P426-L426,"")</f>
        <v/>
      </c>
      <c r="AD426" s="15" t="str">
        <f aca="false">IF(AND(ISNUMBER(P426),ISNUMBER(Q426)),Q426-P426,"")</f>
        <v/>
      </c>
      <c r="AE426" s="15" t="str">
        <f aca="false">IF(AND(ISNUMBER(Q426),ISNUMBER(R426)),R426-Q426,IF(ISNUMBER(Y426),Y426,""))</f>
        <v/>
      </c>
      <c r="AF426" s="15" t="str">
        <f aca="false">IF(AND(ISNUMBER(R426),ISNUMBER(S426)),S426-R426,"")</f>
        <v/>
      </c>
      <c r="AG426" s="15" t="str">
        <f aca="false">IF(AND(ISNUMBER(S426),ISNUMBER(T426)),T426-S426,"")</f>
        <v/>
      </c>
      <c r="AH426" s="15" t="str">
        <f aca="false">IF(AND(ISNUMBER(L426),ISNUMBER(T426)),T426-L426,"")</f>
        <v/>
      </c>
      <c r="AI426" s="15" t="str">
        <f aca="false">IF(AND(ISNUMBER(O426),ISNUMBER(Q426)),Q426-O426,"")</f>
        <v/>
      </c>
      <c r="AJ426" s="15" t="str">
        <f aca="false">IF(B426="","",COUNT(L426:M426,P426:T426)&amp;"/7")</f>
        <v/>
      </c>
      <c r="AK426" s="15" t="str">
        <f aca="false">IF(B426="","",IF(OR(AND(ISNUMBER(L426),ISNUMBER(M426),M426&lt;L426),AND(ISNUMBER(M426),ISNUMBER(P426),P426&lt;M426),AND(ISNUMBER(P426),ISNUMBER(Q426),Q426&lt;P426),AND(ISNUMBER(Q426),ISNUMBER(R426),R426&lt;Q426),AND(ISNUMBER(R426),ISNUMBER(S426),S426&lt;R426),AND(ISNUMBER(S426),ISNUMBER(T426),T426&lt;S426),AND(ISNUMBER(N426),ISNUMBER(O426),O426&lt;N426)),"Urutan tanggal salah",IF(AND(ISNUMBER(Q426),ISNUMBER(R426),ISNUMBER(Y426),ABS(R426-Q426-Y426)&gt;2),"S tanggal ≠ Sailing tercatat",IF(AND(ISNUMBER(Q426),ISNUMBER(O426),ABS(Q426-O426)&gt;60),"Cek tahun laycan",IF(AND(ISNUMBER(Q426),ISNUMBER(N426),Q426&lt;N426),"Berangkat sebelum laycan",IF(NOT(ISNUMBER(AE426)),"S belum ada","OK"))))))</f>
        <v/>
      </c>
    </row>
    <row r="427" customFormat="false" ht="15" hidden="false" customHeight="false" outlineLevel="0" collapsed="false">
      <c r="A427" s="16" t="str">
        <f aca="false">IF(B427="","",ROW()-4)</f>
        <v/>
      </c>
      <c r="B427" s="12"/>
      <c r="C427" s="16"/>
      <c r="D427" s="16"/>
      <c r="E427" s="16"/>
      <c r="F427" s="16"/>
      <c r="G427" s="16"/>
      <c r="H427" s="16"/>
      <c r="I427" s="16"/>
      <c r="J427" s="16"/>
      <c r="K427" s="16"/>
      <c r="L427" s="13"/>
      <c r="M427" s="13"/>
      <c r="N427" s="13"/>
      <c r="O427" s="13"/>
      <c r="P427" s="13"/>
      <c r="Q427" s="13"/>
      <c r="R427" s="13"/>
      <c r="S427" s="13"/>
      <c r="T427" s="13"/>
      <c r="U427" s="12"/>
      <c r="V427" s="14"/>
      <c r="W427" s="16"/>
      <c r="X427" s="16"/>
      <c r="Y427" s="16"/>
      <c r="Z427" s="16"/>
      <c r="AA427" s="15" t="str">
        <f aca="false">IF(AND(ISNUMBER(L427),ISNUMBER(M427)),M427-L427,"")</f>
        <v/>
      </c>
      <c r="AB427" s="15" t="str">
        <f aca="false">IF(AND(ISNUMBER(M427),ISNUMBER(P427)),P427-M427,"")</f>
        <v/>
      </c>
      <c r="AC427" s="15" t="str">
        <f aca="false">IF(AND(ISNUMBER(L427),ISNUMBER(P427)),P427-L427,"")</f>
        <v/>
      </c>
      <c r="AD427" s="15" t="str">
        <f aca="false">IF(AND(ISNUMBER(P427),ISNUMBER(Q427)),Q427-P427,"")</f>
        <v/>
      </c>
      <c r="AE427" s="15" t="str">
        <f aca="false">IF(AND(ISNUMBER(Q427),ISNUMBER(R427)),R427-Q427,IF(ISNUMBER(Y427),Y427,""))</f>
        <v/>
      </c>
      <c r="AF427" s="15" t="str">
        <f aca="false">IF(AND(ISNUMBER(R427),ISNUMBER(S427)),S427-R427,"")</f>
        <v/>
      </c>
      <c r="AG427" s="15" t="str">
        <f aca="false">IF(AND(ISNUMBER(S427),ISNUMBER(T427)),T427-S427,"")</f>
        <v/>
      </c>
      <c r="AH427" s="15" t="str">
        <f aca="false">IF(AND(ISNUMBER(L427),ISNUMBER(T427)),T427-L427,"")</f>
        <v/>
      </c>
      <c r="AI427" s="15" t="str">
        <f aca="false">IF(AND(ISNUMBER(O427),ISNUMBER(Q427)),Q427-O427,"")</f>
        <v/>
      </c>
      <c r="AJ427" s="15" t="str">
        <f aca="false">IF(B427="","",COUNT(L427:M427,P427:T427)&amp;"/7")</f>
        <v/>
      </c>
      <c r="AK427" s="15" t="str">
        <f aca="false">IF(B427="","",IF(OR(AND(ISNUMBER(L427),ISNUMBER(M427),M427&lt;L427),AND(ISNUMBER(M427),ISNUMBER(P427),P427&lt;M427),AND(ISNUMBER(P427),ISNUMBER(Q427),Q427&lt;P427),AND(ISNUMBER(Q427),ISNUMBER(R427),R427&lt;Q427),AND(ISNUMBER(R427),ISNUMBER(S427),S427&lt;R427),AND(ISNUMBER(S427),ISNUMBER(T427),T427&lt;S427),AND(ISNUMBER(N427),ISNUMBER(O427),O427&lt;N427)),"Urutan tanggal salah",IF(AND(ISNUMBER(Q427),ISNUMBER(R427),ISNUMBER(Y427),ABS(R427-Q427-Y427)&gt;2),"S tanggal ≠ Sailing tercatat",IF(AND(ISNUMBER(Q427),ISNUMBER(O427),ABS(Q427-O427)&gt;60),"Cek tahun laycan",IF(AND(ISNUMBER(Q427),ISNUMBER(N427),Q427&lt;N427),"Berangkat sebelum laycan",IF(NOT(ISNUMBER(AE427)),"S belum ada","OK"))))))</f>
        <v/>
      </c>
    </row>
    <row r="428" customFormat="false" ht="15" hidden="false" customHeight="false" outlineLevel="0" collapsed="false">
      <c r="A428" s="16" t="str">
        <f aca="false">IF(B428="","",ROW()-4)</f>
        <v/>
      </c>
      <c r="B428" s="12"/>
      <c r="C428" s="16"/>
      <c r="D428" s="16"/>
      <c r="E428" s="16"/>
      <c r="F428" s="16"/>
      <c r="G428" s="16"/>
      <c r="H428" s="16"/>
      <c r="I428" s="16"/>
      <c r="J428" s="16"/>
      <c r="K428" s="16"/>
      <c r="L428" s="13"/>
      <c r="M428" s="13"/>
      <c r="N428" s="13"/>
      <c r="O428" s="13"/>
      <c r="P428" s="13"/>
      <c r="Q428" s="13"/>
      <c r="R428" s="13"/>
      <c r="S428" s="13"/>
      <c r="T428" s="13"/>
      <c r="U428" s="12"/>
      <c r="V428" s="14"/>
      <c r="W428" s="16"/>
      <c r="X428" s="16"/>
      <c r="Y428" s="16"/>
      <c r="Z428" s="16"/>
      <c r="AA428" s="15" t="str">
        <f aca="false">IF(AND(ISNUMBER(L428),ISNUMBER(M428)),M428-L428,"")</f>
        <v/>
      </c>
      <c r="AB428" s="15" t="str">
        <f aca="false">IF(AND(ISNUMBER(M428),ISNUMBER(P428)),P428-M428,"")</f>
        <v/>
      </c>
      <c r="AC428" s="15" t="str">
        <f aca="false">IF(AND(ISNUMBER(L428),ISNUMBER(P428)),P428-L428,"")</f>
        <v/>
      </c>
      <c r="AD428" s="15" t="str">
        <f aca="false">IF(AND(ISNUMBER(P428),ISNUMBER(Q428)),Q428-P428,"")</f>
        <v/>
      </c>
      <c r="AE428" s="15" t="str">
        <f aca="false">IF(AND(ISNUMBER(Q428),ISNUMBER(R428)),R428-Q428,IF(ISNUMBER(Y428),Y428,""))</f>
        <v/>
      </c>
      <c r="AF428" s="15" t="str">
        <f aca="false">IF(AND(ISNUMBER(R428),ISNUMBER(S428)),S428-R428,"")</f>
        <v/>
      </c>
      <c r="AG428" s="15" t="str">
        <f aca="false">IF(AND(ISNUMBER(S428),ISNUMBER(T428)),T428-S428,"")</f>
        <v/>
      </c>
      <c r="AH428" s="15" t="str">
        <f aca="false">IF(AND(ISNUMBER(L428),ISNUMBER(T428)),T428-L428,"")</f>
        <v/>
      </c>
      <c r="AI428" s="15" t="str">
        <f aca="false">IF(AND(ISNUMBER(O428),ISNUMBER(Q428)),Q428-O428,"")</f>
        <v/>
      </c>
      <c r="AJ428" s="15" t="str">
        <f aca="false">IF(B428="","",COUNT(L428:M428,P428:T428)&amp;"/7")</f>
        <v/>
      </c>
      <c r="AK428" s="15" t="str">
        <f aca="false">IF(B428="","",IF(OR(AND(ISNUMBER(L428),ISNUMBER(M428),M428&lt;L428),AND(ISNUMBER(M428),ISNUMBER(P428),P428&lt;M428),AND(ISNUMBER(P428),ISNUMBER(Q428),Q428&lt;P428),AND(ISNUMBER(Q428),ISNUMBER(R428),R428&lt;Q428),AND(ISNUMBER(R428),ISNUMBER(S428),S428&lt;R428),AND(ISNUMBER(S428),ISNUMBER(T428),T428&lt;S428),AND(ISNUMBER(N428),ISNUMBER(O428),O428&lt;N428)),"Urutan tanggal salah",IF(AND(ISNUMBER(Q428),ISNUMBER(R428),ISNUMBER(Y428),ABS(R428-Q428-Y428)&gt;2),"S tanggal ≠ Sailing tercatat",IF(AND(ISNUMBER(Q428),ISNUMBER(O428),ABS(Q428-O428)&gt;60),"Cek tahun laycan",IF(AND(ISNUMBER(Q428),ISNUMBER(N428),Q428&lt;N428),"Berangkat sebelum laycan",IF(NOT(ISNUMBER(AE428)),"S belum ada","OK"))))))</f>
        <v/>
      </c>
    </row>
    <row r="429" customFormat="false" ht="15" hidden="false" customHeight="false" outlineLevel="0" collapsed="false">
      <c r="A429" s="16" t="str">
        <f aca="false">IF(B429="","",ROW()-4)</f>
        <v/>
      </c>
      <c r="B429" s="12"/>
      <c r="C429" s="16"/>
      <c r="D429" s="16"/>
      <c r="E429" s="16"/>
      <c r="F429" s="16"/>
      <c r="G429" s="16"/>
      <c r="H429" s="16"/>
      <c r="I429" s="16"/>
      <c r="J429" s="16"/>
      <c r="K429" s="16"/>
      <c r="L429" s="13"/>
      <c r="M429" s="13"/>
      <c r="N429" s="13"/>
      <c r="O429" s="13"/>
      <c r="P429" s="13"/>
      <c r="Q429" s="13"/>
      <c r="R429" s="13"/>
      <c r="S429" s="13"/>
      <c r="T429" s="13"/>
      <c r="U429" s="12"/>
      <c r="V429" s="14"/>
      <c r="W429" s="16"/>
      <c r="X429" s="16"/>
      <c r="Y429" s="16"/>
      <c r="Z429" s="16"/>
      <c r="AA429" s="15" t="str">
        <f aca="false">IF(AND(ISNUMBER(L429),ISNUMBER(M429)),M429-L429,"")</f>
        <v/>
      </c>
      <c r="AB429" s="15" t="str">
        <f aca="false">IF(AND(ISNUMBER(M429),ISNUMBER(P429)),P429-M429,"")</f>
        <v/>
      </c>
      <c r="AC429" s="15" t="str">
        <f aca="false">IF(AND(ISNUMBER(L429),ISNUMBER(P429)),P429-L429,"")</f>
        <v/>
      </c>
      <c r="AD429" s="15" t="str">
        <f aca="false">IF(AND(ISNUMBER(P429),ISNUMBER(Q429)),Q429-P429,"")</f>
        <v/>
      </c>
      <c r="AE429" s="15" t="str">
        <f aca="false">IF(AND(ISNUMBER(Q429),ISNUMBER(R429)),R429-Q429,IF(ISNUMBER(Y429),Y429,""))</f>
        <v/>
      </c>
      <c r="AF429" s="15" t="str">
        <f aca="false">IF(AND(ISNUMBER(R429),ISNUMBER(S429)),S429-R429,"")</f>
        <v/>
      </c>
      <c r="AG429" s="15" t="str">
        <f aca="false">IF(AND(ISNUMBER(S429),ISNUMBER(T429)),T429-S429,"")</f>
        <v/>
      </c>
      <c r="AH429" s="15" t="str">
        <f aca="false">IF(AND(ISNUMBER(L429),ISNUMBER(T429)),T429-L429,"")</f>
        <v/>
      </c>
      <c r="AI429" s="15" t="str">
        <f aca="false">IF(AND(ISNUMBER(O429),ISNUMBER(Q429)),Q429-O429,"")</f>
        <v/>
      </c>
      <c r="AJ429" s="15" t="str">
        <f aca="false">IF(B429="","",COUNT(L429:M429,P429:T429)&amp;"/7")</f>
        <v/>
      </c>
      <c r="AK429" s="15" t="str">
        <f aca="false">IF(B429="","",IF(OR(AND(ISNUMBER(L429),ISNUMBER(M429),M429&lt;L429),AND(ISNUMBER(M429),ISNUMBER(P429),P429&lt;M429),AND(ISNUMBER(P429),ISNUMBER(Q429),Q429&lt;P429),AND(ISNUMBER(Q429),ISNUMBER(R429),R429&lt;Q429),AND(ISNUMBER(R429),ISNUMBER(S429),S429&lt;R429),AND(ISNUMBER(S429),ISNUMBER(T429),T429&lt;S429),AND(ISNUMBER(N429),ISNUMBER(O429),O429&lt;N429)),"Urutan tanggal salah",IF(AND(ISNUMBER(Q429),ISNUMBER(R429),ISNUMBER(Y429),ABS(R429-Q429-Y429)&gt;2),"S tanggal ≠ Sailing tercatat",IF(AND(ISNUMBER(Q429),ISNUMBER(O429),ABS(Q429-O429)&gt;60),"Cek tahun laycan",IF(AND(ISNUMBER(Q429),ISNUMBER(N429),Q429&lt;N429),"Berangkat sebelum laycan",IF(NOT(ISNUMBER(AE429)),"S belum ada","OK"))))))</f>
        <v/>
      </c>
    </row>
    <row r="430" customFormat="false" ht="15" hidden="false" customHeight="false" outlineLevel="0" collapsed="false">
      <c r="A430" s="16" t="str">
        <f aca="false">IF(B430="","",ROW()-4)</f>
        <v/>
      </c>
      <c r="B430" s="12"/>
      <c r="C430" s="16"/>
      <c r="D430" s="16"/>
      <c r="E430" s="16"/>
      <c r="F430" s="16"/>
      <c r="G430" s="16"/>
      <c r="H430" s="16"/>
      <c r="I430" s="16"/>
      <c r="J430" s="16"/>
      <c r="K430" s="16"/>
      <c r="L430" s="13"/>
      <c r="M430" s="13"/>
      <c r="N430" s="13"/>
      <c r="O430" s="13"/>
      <c r="P430" s="13"/>
      <c r="Q430" s="13"/>
      <c r="R430" s="13"/>
      <c r="S430" s="13"/>
      <c r="T430" s="13"/>
      <c r="U430" s="12"/>
      <c r="V430" s="14"/>
      <c r="W430" s="16"/>
      <c r="X430" s="16"/>
      <c r="Y430" s="16"/>
      <c r="Z430" s="16"/>
      <c r="AA430" s="15" t="str">
        <f aca="false">IF(AND(ISNUMBER(L430),ISNUMBER(M430)),M430-L430,"")</f>
        <v/>
      </c>
      <c r="AB430" s="15" t="str">
        <f aca="false">IF(AND(ISNUMBER(M430),ISNUMBER(P430)),P430-M430,"")</f>
        <v/>
      </c>
      <c r="AC430" s="15" t="str">
        <f aca="false">IF(AND(ISNUMBER(L430),ISNUMBER(P430)),P430-L430,"")</f>
        <v/>
      </c>
      <c r="AD430" s="15" t="str">
        <f aca="false">IF(AND(ISNUMBER(P430),ISNUMBER(Q430)),Q430-P430,"")</f>
        <v/>
      </c>
      <c r="AE430" s="15" t="str">
        <f aca="false">IF(AND(ISNUMBER(Q430),ISNUMBER(R430)),R430-Q430,IF(ISNUMBER(Y430),Y430,""))</f>
        <v/>
      </c>
      <c r="AF430" s="15" t="str">
        <f aca="false">IF(AND(ISNUMBER(R430),ISNUMBER(S430)),S430-R430,"")</f>
        <v/>
      </c>
      <c r="AG430" s="15" t="str">
        <f aca="false">IF(AND(ISNUMBER(S430),ISNUMBER(T430)),T430-S430,"")</f>
        <v/>
      </c>
      <c r="AH430" s="15" t="str">
        <f aca="false">IF(AND(ISNUMBER(L430),ISNUMBER(T430)),T430-L430,"")</f>
        <v/>
      </c>
      <c r="AI430" s="15" t="str">
        <f aca="false">IF(AND(ISNUMBER(O430),ISNUMBER(Q430)),Q430-O430,"")</f>
        <v/>
      </c>
      <c r="AJ430" s="15" t="str">
        <f aca="false">IF(B430="","",COUNT(L430:M430,P430:T430)&amp;"/7")</f>
        <v/>
      </c>
      <c r="AK430" s="15" t="str">
        <f aca="false">IF(B430="","",IF(OR(AND(ISNUMBER(L430),ISNUMBER(M430),M430&lt;L430),AND(ISNUMBER(M430),ISNUMBER(P430),P430&lt;M430),AND(ISNUMBER(P430),ISNUMBER(Q430),Q430&lt;P430),AND(ISNUMBER(Q430),ISNUMBER(R430),R430&lt;Q430),AND(ISNUMBER(R430),ISNUMBER(S430),S430&lt;R430),AND(ISNUMBER(S430),ISNUMBER(T430),T430&lt;S430),AND(ISNUMBER(N430),ISNUMBER(O430),O430&lt;N430)),"Urutan tanggal salah",IF(AND(ISNUMBER(Q430),ISNUMBER(R430),ISNUMBER(Y430),ABS(R430-Q430-Y430)&gt;2),"S tanggal ≠ Sailing tercatat",IF(AND(ISNUMBER(Q430),ISNUMBER(O430),ABS(Q430-O430)&gt;60),"Cek tahun laycan",IF(AND(ISNUMBER(Q430),ISNUMBER(N430),Q430&lt;N430),"Berangkat sebelum laycan",IF(NOT(ISNUMBER(AE430)),"S belum ada","OK"))))))</f>
        <v/>
      </c>
    </row>
    <row r="431" customFormat="false" ht="15" hidden="false" customHeight="false" outlineLevel="0" collapsed="false">
      <c r="A431" s="16" t="str">
        <f aca="false">IF(B431="","",ROW()-4)</f>
        <v/>
      </c>
      <c r="B431" s="12"/>
      <c r="C431" s="16"/>
      <c r="D431" s="16"/>
      <c r="E431" s="16"/>
      <c r="F431" s="16"/>
      <c r="G431" s="16"/>
      <c r="H431" s="16"/>
      <c r="I431" s="16"/>
      <c r="J431" s="16"/>
      <c r="K431" s="16"/>
      <c r="L431" s="13"/>
      <c r="M431" s="13"/>
      <c r="N431" s="13"/>
      <c r="O431" s="13"/>
      <c r="P431" s="13"/>
      <c r="Q431" s="13"/>
      <c r="R431" s="13"/>
      <c r="S431" s="13"/>
      <c r="T431" s="13"/>
      <c r="U431" s="12"/>
      <c r="V431" s="14"/>
      <c r="W431" s="16"/>
      <c r="X431" s="16"/>
      <c r="Y431" s="16"/>
      <c r="Z431" s="16"/>
      <c r="AA431" s="15" t="str">
        <f aca="false">IF(AND(ISNUMBER(L431),ISNUMBER(M431)),M431-L431,"")</f>
        <v/>
      </c>
      <c r="AB431" s="15" t="str">
        <f aca="false">IF(AND(ISNUMBER(M431),ISNUMBER(P431)),P431-M431,"")</f>
        <v/>
      </c>
      <c r="AC431" s="15" t="str">
        <f aca="false">IF(AND(ISNUMBER(L431),ISNUMBER(P431)),P431-L431,"")</f>
        <v/>
      </c>
      <c r="AD431" s="15" t="str">
        <f aca="false">IF(AND(ISNUMBER(P431),ISNUMBER(Q431)),Q431-P431,"")</f>
        <v/>
      </c>
      <c r="AE431" s="15" t="str">
        <f aca="false">IF(AND(ISNUMBER(Q431),ISNUMBER(R431)),R431-Q431,IF(ISNUMBER(Y431),Y431,""))</f>
        <v/>
      </c>
      <c r="AF431" s="15" t="str">
        <f aca="false">IF(AND(ISNUMBER(R431),ISNUMBER(S431)),S431-R431,"")</f>
        <v/>
      </c>
      <c r="AG431" s="15" t="str">
        <f aca="false">IF(AND(ISNUMBER(S431),ISNUMBER(T431)),T431-S431,"")</f>
        <v/>
      </c>
      <c r="AH431" s="15" t="str">
        <f aca="false">IF(AND(ISNUMBER(L431),ISNUMBER(T431)),T431-L431,"")</f>
        <v/>
      </c>
      <c r="AI431" s="15" t="str">
        <f aca="false">IF(AND(ISNUMBER(O431),ISNUMBER(Q431)),Q431-O431,"")</f>
        <v/>
      </c>
      <c r="AJ431" s="15" t="str">
        <f aca="false">IF(B431="","",COUNT(L431:M431,P431:T431)&amp;"/7")</f>
        <v/>
      </c>
      <c r="AK431" s="15" t="str">
        <f aca="false">IF(B431="","",IF(OR(AND(ISNUMBER(L431),ISNUMBER(M431),M431&lt;L431),AND(ISNUMBER(M431),ISNUMBER(P431),P431&lt;M431),AND(ISNUMBER(P431),ISNUMBER(Q431),Q431&lt;P431),AND(ISNUMBER(Q431),ISNUMBER(R431),R431&lt;Q431),AND(ISNUMBER(R431),ISNUMBER(S431),S431&lt;R431),AND(ISNUMBER(S431),ISNUMBER(T431),T431&lt;S431),AND(ISNUMBER(N431),ISNUMBER(O431),O431&lt;N431)),"Urutan tanggal salah",IF(AND(ISNUMBER(Q431),ISNUMBER(R431),ISNUMBER(Y431),ABS(R431-Q431-Y431)&gt;2),"S tanggal ≠ Sailing tercatat",IF(AND(ISNUMBER(Q431),ISNUMBER(O431),ABS(Q431-O431)&gt;60),"Cek tahun laycan",IF(AND(ISNUMBER(Q431),ISNUMBER(N431),Q431&lt;N431),"Berangkat sebelum laycan",IF(NOT(ISNUMBER(AE431)),"S belum ada","OK"))))))</f>
        <v/>
      </c>
    </row>
    <row r="432" customFormat="false" ht="15" hidden="false" customHeight="false" outlineLevel="0" collapsed="false">
      <c r="A432" s="16" t="str">
        <f aca="false">IF(B432="","",ROW()-4)</f>
        <v/>
      </c>
      <c r="B432" s="12"/>
      <c r="C432" s="16"/>
      <c r="D432" s="16"/>
      <c r="E432" s="16"/>
      <c r="F432" s="16"/>
      <c r="G432" s="16"/>
      <c r="H432" s="16"/>
      <c r="I432" s="16"/>
      <c r="J432" s="16"/>
      <c r="K432" s="16"/>
      <c r="L432" s="13"/>
      <c r="M432" s="13"/>
      <c r="N432" s="13"/>
      <c r="O432" s="13"/>
      <c r="P432" s="13"/>
      <c r="Q432" s="13"/>
      <c r="R432" s="13"/>
      <c r="S432" s="13"/>
      <c r="T432" s="13"/>
      <c r="U432" s="12"/>
      <c r="V432" s="14"/>
      <c r="W432" s="16"/>
      <c r="X432" s="16"/>
      <c r="Y432" s="16"/>
      <c r="Z432" s="16"/>
      <c r="AA432" s="15" t="str">
        <f aca="false">IF(AND(ISNUMBER(L432),ISNUMBER(M432)),M432-L432,"")</f>
        <v/>
      </c>
      <c r="AB432" s="15" t="str">
        <f aca="false">IF(AND(ISNUMBER(M432),ISNUMBER(P432)),P432-M432,"")</f>
        <v/>
      </c>
      <c r="AC432" s="15" t="str">
        <f aca="false">IF(AND(ISNUMBER(L432),ISNUMBER(P432)),P432-L432,"")</f>
        <v/>
      </c>
      <c r="AD432" s="15" t="str">
        <f aca="false">IF(AND(ISNUMBER(P432),ISNUMBER(Q432)),Q432-P432,"")</f>
        <v/>
      </c>
      <c r="AE432" s="15" t="str">
        <f aca="false">IF(AND(ISNUMBER(Q432),ISNUMBER(R432)),R432-Q432,IF(ISNUMBER(Y432),Y432,""))</f>
        <v/>
      </c>
      <c r="AF432" s="15" t="str">
        <f aca="false">IF(AND(ISNUMBER(R432),ISNUMBER(S432)),S432-R432,"")</f>
        <v/>
      </c>
      <c r="AG432" s="15" t="str">
        <f aca="false">IF(AND(ISNUMBER(S432),ISNUMBER(T432)),T432-S432,"")</f>
        <v/>
      </c>
      <c r="AH432" s="15" t="str">
        <f aca="false">IF(AND(ISNUMBER(L432),ISNUMBER(T432)),T432-L432,"")</f>
        <v/>
      </c>
      <c r="AI432" s="15" t="str">
        <f aca="false">IF(AND(ISNUMBER(O432),ISNUMBER(Q432)),Q432-O432,"")</f>
        <v/>
      </c>
      <c r="AJ432" s="15" t="str">
        <f aca="false">IF(B432="","",COUNT(L432:M432,P432:T432)&amp;"/7")</f>
        <v/>
      </c>
      <c r="AK432" s="15" t="str">
        <f aca="false">IF(B432="","",IF(OR(AND(ISNUMBER(L432),ISNUMBER(M432),M432&lt;L432),AND(ISNUMBER(M432),ISNUMBER(P432),P432&lt;M432),AND(ISNUMBER(P432),ISNUMBER(Q432),Q432&lt;P432),AND(ISNUMBER(Q432),ISNUMBER(R432),R432&lt;Q432),AND(ISNUMBER(R432),ISNUMBER(S432),S432&lt;R432),AND(ISNUMBER(S432),ISNUMBER(T432),T432&lt;S432),AND(ISNUMBER(N432),ISNUMBER(O432),O432&lt;N432)),"Urutan tanggal salah",IF(AND(ISNUMBER(Q432),ISNUMBER(R432),ISNUMBER(Y432),ABS(R432-Q432-Y432)&gt;2),"S tanggal ≠ Sailing tercatat",IF(AND(ISNUMBER(Q432),ISNUMBER(O432),ABS(Q432-O432)&gt;60),"Cek tahun laycan",IF(AND(ISNUMBER(Q432),ISNUMBER(N432),Q432&lt;N432),"Berangkat sebelum laycan",IF(NOT(ISNUMBER(AE432)),"S belum ada","OK"))))))</f>
        <v/>
      </c>
    </row>
    <row r="433" customFormat="false" ht="15" hidden="false" customHeight="false" outlineLevel="0" collapsed="false">
      <c r="A433" s="16" t="str">
        <f aca="false">IF(B433="","",ROW()-4)</f>
        <v/>
      </c>
      <c r="B433" s="12"/>
      <c r="C433" s="16"/>
      <c r="D433" s="16"/>
      <c r="E433" s="16"/>
      <c r="F433" s="16"/>
      <c r="G433" s="16"/>
      <c r="H433" s="16"/>
      <c r="I433" s="16"/>
      <c r="J433" s="16"/>
      <c r="K433" s="16"/>
      <c r="L433" s="13"/>
      <c r="M433" s="13"/>
      <c r="N433" s="13"/>
      <c r="O433" s="13"/>
      <c r="P433" s="13"/>
      <c r="Q433" s="13"/>
      <c r="R433" s="13"/>
      <c r="S433" s="13"/>
      <c r="T433" s="13"/>
      <c r="U433" s="12"/>
      <c r="V433" s="14"/>
      <c r="W433" s="16"/>
      <c r="X433" s="16"/>
      <c r="Y433" s="16"/>
      <c r="Z433" s="16"/>
      <c r="AA433" s="15" t="str">
        <f aca="false">IF(AND(ISNUMBER(L433),ISNUMBER(M433)),M433-L433,"")</f>
        <v/>
      </c>
      <c r="AB433" s="15" t="str">
        <f aca="false">IF(AND(ISNUMBER(M433),ISNUMBER(P433)),P433-M433,"")</f>
        <v/>
      </c>
      <c r="AC433" s="15" t="str">
        <f aca="false">IF(AND(ISNUMBER(L433),ISNUMBER(P433)),P433-L433,"")</f>
        <v/>
      </c>
      <c r="AD433" s="15" t="str">
        <f aca="false">IF(AND(ISNUMBER(P433),ISNUMBER(Q433)),Q433-P433,"")</f>
        <v/>
      </c>
      <c r="AE433" s="15" t="str">
        <f aca="false">IF(AND(ISNUMBER(Q433),ISNUMBER(R433)),R433-Q433,IF(ISNUMBER(Y433),Y433,""))</f>
        <v/>
      </c>
      <c r="AF433" s="15" t="str">
        <f aca="false">IF(AND(ISNUMBER(R433),ISNUMBER(S433)),S433-R433,"")</f>
        <v/>
      </c>
      <c r="AG433" s="15" t="str">
        <f aca="false">IF(AND(ISNUMBER(S433),ISNUMBER(T433)),T433-S433,"")</f>
        <v/>
      </c>
      <c r="AH433" s="15" t="str">
        <f aca="false">IF(AND(ISNUMBER(L433),ISNUMBER(T433)),T433-L433,"")</f>
        <v/>
      </c>
      <c r="AI433" s="15" t="str">
        <f aca="false">IF(AND(ISNUMBER(O433),ISNUMBER(Q433)),Q433-O433,"")</f>
        <v/>
      </c>
      <c r="AJ433" s="15" t="str">
        <f aca="false">IF(B433="","",COUNT(L433:M433,P433:T433)&amp;"/7")</f>
        <v/>
      </c>
      <c r="AK433" s="15" t="str">
        <f aca="false">IF(B433="","",IF(OR(AND(ISNUMBER(L433),ISNUMBER(M433),M433&lt;L433),AND(ISNUMBER(M433),ISNUMBER(P433),P433&lt;M433),AND(ISNUMBER(P433),ISNUMBER(Q433),Q433&lt;P433),AND(ISNUMBER(Q433),ISNUMBER(R433),R433&lt;Q433),AND(ISNUMBER(R433),ISNUMBER(S433),S433&lt;R433),AND(ISNUMBER(S433),ISNUMBER(T433),T433&lt;S433),AND(ISNUMBER(N433),ISNUMBER(O433),O433&lt;N433)),"Urutan tanggal salah",IF(AND(ISNUMBER(Q433),ISNUMBER(R433),ISNUMBER(Y433),ABS(R433-Q433-Y433)&gt;2),"S tanggal ≠ Sailing tercatat",IF(AND(ISNUMBER(Q433),ISNUMBER(O433),ABS(Q433-O433)&gt;60),"Cek tahun laycan",IF(AND(ISNUMBER(Q433),ISNUMBER(N433),Q433&lt;N433),"Berangkat sebelum laycan",IF(NOT(ISNUMBER(AE433)),"S belum ada","OK"))))))</f>
        <v/>
      </c>
    </row>
    <row r="434" customFormat="false" ht="15" hidden="false" customHeight="false" outlineLevel="0" collapsed="false">
      <c r="A434" s="16" t="str">
        <f aca="false">IF(B434="","",ROW()-4)</f>
        <v/>
      </c>
      <c r="B434" s="12"/>
      <c r="C434" s="16"/>
      <c r="D434" s="16"/>
      <c r="E434" s="16"/>
      <c r="F434" s="16"/>
      <c r="G434" s="16"/>
      <c r="H434" s="16"/>
      <c r="I434" s="16"/>
      <c r="J434" s="16"/>
      <c r="K434" s="16"/>
      <c r="L434" s="13"/>
      <c r="M434" s="13"/>
      <c r="N434" s="13"/>
      <c r="O434" s="13"/>
      <c r="P434" s="13"/>
      <c r="Q434" s="13"/>
      <c r="R434" s="13"/>
      <c r="S434" s="13"/>
      <c r="T434" s="13"/>
      <c r="U434" s="12"/>
      <c r="V434" s="14"/>
      <c r="W434" s="16"/>
      <c r="X434" s="16"/>
      <c r="Y434" s="16"/>
      <c r="Z434" s="16"/>
      <c r="AA434" s="15" t="str">
        <f aca="false">IF(AND(ISNUMBER(L434),ISNUMBER(M434)),M434-L434,"")</f>
        <v/>
      </c>
      <c r="AB434" s="15" t="str">
        <f aca="false">IF(AND(ISNUMBER(M434),ISNUMBER(P434)),P434-M434,"")</f>
        <v/>
      </c>
      <c r="AC434" s="15" t="str">
        <f aca="false">IF(AND(ISNUMBER(L434),ISNUMBER(P434)),P434-L434,"")</f>
        <v/>
      </c>
      <c r="AD434" s="15" t="str">
        <f aca="false">IF(AND(ISNUMBER(P434),ISNUMBER(Q434)),Q434-P434,"")</f>
        <v/>
      </c>
      <c r="AE434" s="15" t="str">
        <f aca="false">IF(AND(ISNUMBER(Q434),ISNUMBER(R434)),R434-Q434,IF(ISNUMBER(Y434),Y434,""))</f>
        <v/>
      </c>
      <c r="AF434" s="15" t="str">
        <f aca="false">IF(AND(ISNUMBER(R434),ISNUMBER(S434)),S434-R434,"")</f>
        <v/>
      </c>
      <c r="AG434" s="15" t="str">
        <f aca="false">IF(AND(ISNUMBER(S434),ISNUMBER(T434)),T434-S434,"")</f>
        <v/>
      </c>
      <c r="AH434" s="15" t="str">
        <f aca="false">IF(AND(ISNUMBER(L434),ISNUMBER(T434)),T434-L434,"")</f>
        <v/>
      </c>
      <c r="AI434" s="15" t="str">
        <f aca="false">IF(AND(ISNUMBER(O434),ISNUMBER(Q434)),Q434-O434,"")</f>
        <v/>
      </c>
      <c r="AJ434" s="15" t="str">
        <f aca="false">IF(B434="","",COUNT(L434:M434,P434:T434)&amp;"/7")</f>
        <v/>
      </c>
      <c r="AK434" s="15" t="str">
        <f aca="false">IF(B434="","",IF(OR(AND(ISNUMBER(L434),ISNUMBER(M434),M434&lt;L434),AND(ISNUMBER(M434),ISNUMBER(P434),P434&lt;M434),AND(ISNUMBER(P434),ISNUMBER(Q434),Q434&lt;P434),AND(ISNUMBER(Q434),ISNUMBER(R434),R434&lt;Q434),AND(ISNUMBER(R434),ISNUMBER(S434),S434&lt;R434),AND(ISNUMBER(S434),ISNUMBER(T434),T434&lt;S434),AND(ISNUMBER(N434),ISNUMBER(O434),O434&lt;N434)),"Urutan tanggal salah",IF(AND(ISNUMBER(Q434),ISNUMBER(R434),ISNUMBER(Y434),ABS(R434-Q434-Y434)&gt;2),"S tanggal ≠ Sailing tercatat",IF(AND(ISNUMBER(Q434),ISNUMBER(O434),ABS(Q434-O434)&gt;60),"Cek tahun laycan",IF(AND(ISNUMBER(Q434),ISNUMBER(N434),Q434&lt;N434),"Berangkat sebelum laycan",IF(NOT(ISNUMBER(AE434)),"S belum ada","OK"))))))</f>
        <v/>
      </c>
    </row>
    <row r="435" customFormat="false" ht="15" hidden="false" customHeight="false" outlineLevel="0" collapsed="false">
      <c r="A435" s="16" t="str">
        <f aca="false">IF(B435="","",ROW()-4)</f>
        <v/>
      </c>
      <c r="B435" s="12"/>
      <c r="C435" s="16"/>
      <c r="D435" s="16"/>
      <c r="E435" s="16"/>
      <c r="F435" s="16"/>
      <c r="G435" s="16"/>
      <c r="H435" s="16"/>
      <c r="I435" s="16"/>
      <c r="J435" s="16"/>
      <c r="K435" s="16"/>
      <c r="L435" s="13"/>
      <c r="M435" s="13"/>
      <c r="N435" s="13"/>
      <c r="O435" s="13"/>
      <c r="P435" s="13"/>
      <c r="Q435" s="13"/>
      <c r="R435" s="13"/>
      <c r="S435" s="13"/>
      <c r="T435" s="13"/>
      <c r="U435" s="12"/>
      <c r="V435" s="14"/>
      <c r="W435" s="16"/>
      <c r="X435" s="16"/>
      <c r="Y435" s="16"/>
      <c r="Z435" s="16"/>
      <c r="AA435" s="15" t="str">
        <f aca="false">IF(AND(ISNUMBER(L435),ISNUMBER(M435)),M435-L435,"")</f>
        <v/>
      </c>
      <c r="AB435" s="15" t="str">
        <f aca="false">IF(AND(ISNUMBER(M435),ISNUMBER(P435)),P435-M435,"")</f>
        <v/>
      </c>
      <c r="AC435" s="15" t="str">
        <f aca="false">IF(AND(ISNUMBER(L435),ISNUMBER(P435)),P435-L435,"")</f>
        <v/>
      </c>
      <c r="AD435" s="15" t="str">
        <f aca="false">IF(AND(ISNUMBER(P435),ISNUMBER(Q435)),Q435-P435,"")</f>
        <v/>
      </c>
      <c r="AE435" s="15" t="str">
        <f aca="false">IF(AND(ISNUMBER(Q435),ISNUMBER(R435)),R435-Q435,IF(ISNUMBER(Y435),Y435,""))</f>
        <v/>
      </c>
      <c r="AF435" s="15" t="str">
        <f aca="false">IF(AND(ISNUMBER(R435),ISNUMBER(S435)),S435-R435,"")</f>
        <v/>
      </c>
      <c r="AG435" s="15" t="str">
        <f aca="false">IF(AND(ISNUMBER(S435),ISNUMBER(T435)),T435-S435,"")</f>
        <v/>
      </c>
      <c r="AH435" s="15" t="str">
        <f aca="false">IF(AND(ISNUMBER(L435),ISNUMBER(T435)),T435-L435,"")</f>
        <v/>
      </c>
      <c r="AI435" s="15" t="str">
        <f aca="false">IF(AND(ISNUMBER(O435),ISNUMBER(Q435)),Q435-O435,"")</f>
        <v/>
      </c>
      <c r="AJ435" s="15" t="str">
        <f aca="false">IF(B435="","",COUNT(L435:M435,P435:T435)&amp;"/7")</f>
        <v/>
      </c>
      <c r="AK435" s="15" t="str">
        <f aca="false">IF(B435="","",IF(OR(AND(ISNUMBER(L435),ISNUMBER(M435),M435&lt;L435),AND(ISNUMBER(M435),ISNUMBER(P435),P435&lt;M435),AND(ISNUMBER(P435),ISNUMBER(Q435),Q435&lt;P435),AND(ISNUMBER(Q435),ISNUMBER(R435),R435&lt;Q435),AND(ISNUMBER(R435),ISNUMBER(S435),S435&lt;R435),AND(ISNUMBER(S435),ISNUMBER(T435),T435&lt;S435),AND(ISNUMBER(N435),ISNUMBER(O435),O435&lt;N435)),"Urutan tanggal salah",IF(AND(ISNUMBER(Q435),ISNUMBER(R435),ISNUMBER(Y435),ABS(R435-Q435-Y435)&gt;2),"S tanggal ≠ Sailing tercatat",IF(AND(ISNUMBER(Q435),ISNUMBER(O435),ABS(Q435-O435)&gt;60),"Cek tahun laycan",IF(AND(ISNUMBER(Q435),ISNUMBER(N435),Q435&lt;N435),"Berangkat sebelum laycan",IF(NOT(ISNUMBER(AE435)),"S belum ada","OK"))))))</f>
        <v/>
      </c>
    </row>
    <row r="436" customFormat="false" ht="15" hidden="false" customHeight="false" outlineLevel="0" collapsed="false">
      <c r="A436" s="16" t="str">
        <f aca="false">IF(B436="","",ROW()-4)</f>
        <v/>
      </c>
      <c r="B436" s="12"/>
      <c r="C436" s="16"/>
      <c r="D436" s="16"/>
      <c r="E436" s="16"/>
      <c r="F436" s="16"/>
      <c r="G436" s="16"/>
      <c r="H436" s="16"/>
      <c r="I436" s="16"/>
      <c r="J436" s="16"/>
      <c r="K436" s="16"/>
      <c r="L436" s="13"/>
      <c r="M436" s="13"/>
      <c r="N436" s="13"/>
      <c r="O436" s="13"/>
      <c r="P436" s="13"/>
      <c r="Q436" s="13"/>
      <c r="R436" s="13"/>
      <c r="S436" s="13"/>
      <c r="T436" s="13"/>
      <c r="U436" s="12"/>
      <c r="V436" s="14"/>
      <c r="W436" s="16"/>
      <c r="X436" s="16"/>
      <c r="Y436" s="16"/>
      <c r="Z436" s="16"/>
      <c r="AA436" s="15" t="str">
        <f aca="false">IF(AND(ISNUMBER(L436),ISNUMBER(M436)),M436-L436,"")</f>
        <v/>
      </c>
      <c r="AB436" s="15" t="str">
        <f aca="false">IF(AND(ISNUMBER(M436),ISNUMBER(P436)),P436-M436,"")</f>
        <v/>
      </c>
      <c r="AC436" s="15" t="str">
        <f aca="false">IF(AND(ISNUMBER(L436),ISNUMBER(P436)),P436-L436,"")</f>
        <v/>
      </c>
      <c r="AD436" s="15" t="str">
        <f aca="false">IF(AND(ISNUMBER(P436),ISNUMBER(Q436)),Q436-P436,"")</f>
        <v/>
      </c>
      <c r="AE436" s="15" t="str">
        <f aca="false">IF(AND(ISNUMBER(Q436),ISNUMBER(R436)),R436-Q436,IF(ISNUMBER(Y436),Y436,""))</f>
        <v/>
      </c>
      <c r="AF436" s="15" t="str">
        <f aca="false">IF(AND(ISNUMBER(R436),ISNUMBER(S436)),S436-R436,"")</f>
        <v/>
      </c>
      <c r="AG436" s="15" t="str">
        <f aca="false">IF(AND(ISNUMBER(S436),ISNUMBER(T436)),T436-S436,"")</f>
        <v/>
      </c>
      <c r="AH436" s="15" t="str">
        <f aca="false">IF(AND(ISNUMBER(L436),ISNUMBER(T436)),T436-L436,"")</f>
        <v/>
      </c>
      <c r="AI436" s="15" t="str">
        <f aca="false">IF(AND(ISNUMBER(O436),ISNUMBER(Q436)),Q436-O436,"")</f>
        <v/>
      </c>
      <c r="AJ436" s="15" t="str">
        <f aca="false">IF(B436="","",COUNT(L436:M436,P436:T436)&amp;"/7")</f>
        <v/>
      </c>
      <c r="AK436" s="15" t="str">
        <f aca="false">IF(B436="","",IF(OR(AND(ISNUMBER(L436),ISNUMBER(M436),M436&lt;L436),AND(ISNUMBER(M436),ISNUMBER(P436),P436&lt;M436),AND(ISNUMBER(P436),ISNUMBER(Q436),Q436&lt;P436),AND(ISNUMBER(Q436),ISNUMBER(R436),R436&lt;Q436),AND(ISNUMBER(R436),ISNUMBER(S436),S436&lt;R436),AND(ISNUMBER(S436),ISNUMBER(T436),T436&lt;S436),AND(ISNUMBER(N436),ISNUMBER(O436),O436&lt;N436)),"Urutan tanggal salah",IF(AND(ISNUMBER(Q436),ISNUMBER(R436),ISNUMBER(Y436),ABS(R436-Q436-Y436)&gt;2),"S tanggal ≠ Sailing tercatat",IF(AND(ISNUMBER(Q436),ISNUMBER(O436),ABS(Q436-O436)&gt;60),"Cek tahun laycan",IF(AND(ISNUMBER(Q436),ISNUMBER(N436),Q436&lt;N436),"Berangkat sebelum laycan",IF(NOT(ISNUMBER(AE436)),"S belum ada","OK"))))))</f>
        <v/>
      </c>
    </row>
    <row r="437" customFormat="false" ht="15" hidden="false" customHeight="false" outlineLevel="0" collapsed="false">
      <c r="A437" s="16" t="str">
        <f aca="false">IF(B437="","",ROW()-4)</f>
        <v/>
      </c>
      <c r="B437" s="12"/>
      <c r="C437" s="16"/>
      <c r="D437" s="16"/>
      <c r="E437" s="16"/>
      <c r="F437" s="16"/>
      <c r="G437" s="16"/>
      <c r="H437" s="16"/>
      <c r="I437" s="16"/>
      <c r="J437" s="16"/>
      <c r="K437" s="16"/>
      <c r="L437" s="13"/>
      <c r="M437" s="13"/>
      <c r="N437" s="13"/>
      <c r="O437" s="13"/>
      <c r="P437" s="13"/>
      <c r="Q437" s="13"/>
      <c r="R437" s="13"/>
      <c r="S437" s="13"/>
      <c r="T437" s="13"/>
      <c r="U437" s="12"/>
      <c r="V437" s="14"/>
      <c r="W437" s="16"/>
      <c r="X437" s="16"/>
      <c r="Y437" s="16"/>
      <c r="Z437" s="16"/>
      <c r="AA437" s="15" t="str">
        <f aca="false">IF(AND(ISNUMBER(L437),ISNUMBER(M437)),M437-L437,"")</f>
        <v/>
      </c>
      <c r="AB437" s="15" t="str">
        <f aca="false">IF(AND(ISNUMBER(M437),ISNUMBER(P437)),P437-M437,"")</f>
        <v/>
      </c>
      <c r="AC437" s="15" t="str">
        <f aca="false">IF(AND(ISNUMBER(L437),ISNUMBER(P437)),P437-L437,"")</f>
        <v/>
      </c>
      <c r="AD437" s="15" t="str">
        <f aca="false">IF(AND(ISNUMBER(P437),ISNUMBER(Q437)),Q437-P437,"")</f>
        <v/>
      </c>
      <c r="AE437" s="15" t="str">
        <f aca="false">IF(AND(ISNUMBER(Q437),ISNUMBER(R437)),R437-Q437,IF(ISNUMBER(Y437),Y437,""))</f>
        <v/>
      </c>
      <c r="AF437" s="15" t="str">
        <f aca="false">IF(AND(ISNUMBER(R437),ISNUMBER(S437)),S437-R437,"")</f>
        <v/>
      </c>
      <c r="AG437" s="15" t="str">
        <f aca="false">IF(AND(ISNUMBER(S437),ISNUMBER(T437)),T437-S437,"")</f>
        <v/>
      </c>
      <c r="AH437" s="15" t="str">
        <f aca="false">IF(AND(ISNUMBER(L437),ISNUMBER(T437)),T437-L437,"")</f>
        <v/>
      </c>
      <c r="AI437" s="15" t="str">
        <f aca="false">IF(AND(ISNUMBER(O437),ISNUMBER(Q437)),Q437-O437,"")</f>
        <v/>
      </c>
      <c r="AJ437" s="15" t="str">
        <f aca="false">IF(B437="","",COUNT(L437:M437,P437:T437)&amp;"/7")</f>
        <v/>
      </c>
      <c r="AK437" s="15" t="str">
        <f aca="false">IF(B437="","",IF(OR(AND(ISNUMBER(L437),ISNUMBER(M437),M437&lt;L437),AND(ISNUMBER(M437),ISNUMBER(P437),P437&lt;M437),AND(ISNUMBER(P437),ISNUMBER(Q437),Q437&lt;P437),AND(ISNUMBER(Q437),ISNUMBER(R437),R437&lt;Q437),AND(ISNUMBER(R437),ISNUMBER(S437),S437&lt;R437),AND(ISNUMBER(S437),ISNUMBER(T437),T437&lt;S437),AND(ISNUMBER(N437),ISNUMBER(O437),O437&lt;N437)),"Urutan tanggal salah",IF(AND(ISNUMBER(Q437),ISNUMBER(R437),ISNUMBER(Y437),ABS(R437-Q437-Y437)&gt;2),"S tanggal ≠ Sailing tercatat",IF(AND(ISNUMBER(Q437),ISNUMBER(O437),ABS(Q437-O437)&gt;60),"Cek tahun laycan",IF(AND(ISNUMBER(Q437),ISNUMBER(N437),Q437&lt;N437),"Berangkat sebelum laycan",IF(NOT(ISNUMBER(AE437)),"S belum ada","OK"))))))</f>
        <v/>
      </c>
    </row>
    <row r="438" customFormat="false" ht="15" hidden="false" customHeight="false" outlineLevel="0" collapsed="false">
      <c r="A438" s="16" t="str">
        <f aca="false">IF(B438="","",ROW()-4)</f>
        <v/>
      </c>
      <c r="B438" s="12"/>
      <c r="C438" s="16"/>
      <c r="D438" s="16"/>
      <c r="E438" s="16"/>
      <c r="F438" s="16"/>
      <c r="G438" s="16"/>
      <c r="H438" s="16"/>
      <c r="I438" s="16"/>
      <c r="J438" s="16"/>
      <c r="K438" s="16"/>
      <c r="L438" s="13"/>
      <c r="M438" s="13"/>
      <c r="N438" s="13"/>
      <c r="O438" s="13"/>
      <c r="P438" s="13"/>
      <c r="Q438" s="13"/>
      <c r="R438" s="13"/>
      <c r="S438" s="13"/>
      <c r="T438" s="13"/>
      <c r="U438" s="12"/>
      <c r="V438" s="14"/>
      <c r="W438" s="16"/>
      <c r="X438" s="16"/>
      <c r="Y438" s="16"/>
      <c r="Z438" s="16"/>
      <c r="AA438" s="15" t="str">
        <f aca="false">IF(AND(ISNUMBER(L438),ISNUMBER(M438)),M438-L438,"")</f>
        <v/>
      </c>
      <c r="AB438" s="15" t="str">
        <f aca="false">IF(AND(ISNUMBER(M438),ISNUMBER(P438)),P438-M438,"")</f>
        <v/>
      </c>
      <c r="AC438" s="15" t="str">
        <f aca="false">IF(AND(ISNUMBER(L438),ISNUMBER(P438)),P438-L438,"")</f>
        <v/>
      </c>
      <c r="AD438" s="15" t="str">
        <f aca="false">IF(AND(ISNUMBER(P438),ISNUMBER(Q438)),Q438-P438,"")</f>
        <v/>
      </c>
      <c r="AE438" s="15" t="str">
        <f aca="false">IF(AND(ISNUMBER(Q438),ISNUMBER(R438)),R438-Q438,IF(ISNUMBER(Y438),Y438,""))</f>
        <v/>
      </c>
      <c r="AF438" s="15" t="str">
        <f aca="false">IF(AND(ISNUMBER(R438),ISNUMBER(S438)),S438-R438,"")</f>
        <v/>
      </c>
      <c r="AG438" s="15" t="str">
        <f aca="false">IF(AND(ISNUMBER(S438),ISNUMBER(T438)),T438-S438,"")</f>
        <v/>
      </c>
      <c r="AH438" s="15" t="str">
        <f aca="false">IF(AND(ISNUMBER(L438),ISNUMBER(T438)),T438-L438,"")</f>
        <v/>
      </c>
      <c r="AI438" s="15" t="str">
        <f aca="false">IF(AND(ISNUMBER(O438),ISNUMBER(Q438)),Q438-O438,"")</f>
        <v/>
      </c>
      <c r="AJ438" s="15" t="str">
        <f aca="false">IF(B438="","",COUNT(L438:M438,P438:T438)&amp;"/7")</f>
        <v/>
      </c>
      <c r="AK438" s="15" t="str">
        <f aca="false">IF(B438="","",IF(OR(AND(ISNUMBER(L438),ISNUMBER(M438),M438&lt;L438),AND(ISNUMBER(M438),ISNUMBER(P438),P438&lt;M438),AND(ISNUMBER(P438),ISNUMBER(Q438),Q438&lt;P438),AND(ISNUMBER(Q438),ISNUMBER(R438),R438&lt;Q438),AND(ISNUMBER(R438),ISNUMBER(S438),S438&lt;R438),AND(ISNUMBER(S438),ISNUMBER(T438),T438&lt;S438),AND(ISNUMBER(N438),ISNUMBER(O438),O438&lt;N438)),"Urutan tanggal salah",IF(AND(ISNUMBER(Q438),ISNUMBER(R438),ISNUMBER(Y438),ABS(R438-Q438-Y438)&gt;2),"S tanggal ≠ Sailing tercatat",IF(AND(ISNUMBER(Q438),ISNUMBER(O438),ABS(Q438-O438)&gt;60),"Cek tahun laycan",IF(AND(ISNUMBER(Q438),ISNUMBER(N438),Q438&lt;N438),"Berangkat sebelum laycan",IF(NOT(ISNUMBER(AE438)),"S belum ada","OK"))))))</f>
        <v/>
      </c>
    </row>
    <row r="439" customFormat="false" ht="15" hidden="false" customHeight="false" outlineLevel="0" collapsed="false">
      <c r="A439" s="16" t="str">
        <f aca="false">IF(B439="","",ROW()-4)</f>
        <v/>
      </c>
      <c r="B439" s="12"/>
      <c r="C439" s="16"/>
      <c r="D439" s="16"/>
      <c r="E439" s="16"/>
      <c r="F439" s="16"/>
      <c r="G439" s="16"/>
      <c r="H439" s="16"/>
      <c r="I439" s="16"/>
      <c r="J439" s="16"/>
      <c r="K439" s="16"/>
      <c r="L439" s="13"/>
      <c r="M439" s="13"/>
      <c r="N439" s="13"/>
      <c r="O439" s="13"/>
      <c r="P439" s="13"/>
      <c r="Q439" s="13"/>
      <c r="R439" s="13"/>
      <c r="S439" s="13"/>
      <c r="T439" s="13"/>
      <c r="U439" s="12"/>
      <c r="V439" s="14"/>
      <c r="W439" s="16"/>
      <c r="X439" s="16"/>
      <c r="Y439" s="16"/>
      <c r="Z439" s="16"/>
      <c r="AA439" s="15" t="str">
        <f aca="false">IF(AND(ISNUMBER(L439),ISNUMBER(M439)),M439-L439,"")</f>
        <v/>
      </c>
      <c r="AB439" s="15" t="str">
        <f aca="false">IF(AND(ISNUMBER(M439),ISNUMBER(P439)),P439-M439,"")</f>
        <v/>
      </c>
      <c r="AC439" s="15" t="str">
        <f aca="false">IF(AND(ISNUMBER(L439),ISNUMBER(P439)),P439-L439,"")</f>
        <v/>
      </c>
      <c r="AD439" s="15" t="str">
        <f aca="false">IF(AND(ISNUMBER(P439),ISNUMBER(Q439)),Q439-P439,"")</f>
        <v/>
      </c>
      <c r="AE439" s="15" t="str">
        <f aca="false">IF(AND(ISNUMBER(Q439),ISNUMBER(R439)),R439-Q439,IF(ISNUMBER(Y439),Y439,""))</f>
        <v/>
      </c>
      <c r="AF439" s="15" t="str">
        <f aca="false">IF(AND(ISNUMBER(R439),ISNUMBER(S439)),S439-R439,"")</f>
        <v/>
      </c>
      <c r="AG439" s="15" t="str">
        <f aca="false">IF(AND(ISNUMBER(S439),ISNUMBER(T439)),T439-S439,"")</f>
        <v/>
      </c>
      <c r="AH439" s="15" t="str">
        <f aca="false">IF(AND(ISNUMBER(L439),ISNUMBER(T439)),T439-L439,"")</f>
        <v/>
      </c>
      <c r="AI439" s="15" t="str">
        <f aca="false">IF(AND(ISNUMBER(O439),ISNUMBER(Q439)),Q439-O439,"")</f>
        <v/>
      </c>
      <c r="AJ439" s="15" t="str">
        <f aca="false">IF(B439="","",COUNT(L439:M439,P439:T439)&amp;"/7")</f>
        <v/>
      </c>
      <c r="AK439" s="15" t="str">
        <f aca="false">IF(B439="","",IF(OR(AND(ISNUMBER(L439),ISNUMBER(M439),M439&lt;L439),AND(ISNUMBER(M439),ISNUMBER(P439),P439&lt;M439),AND(ISNUMBER(P439),ISNUMBER(Q439),Q439&lt;P439),AND(ISNUMBER(Q439),ISNUMBER(R439),R439&lt;Q439),AND(ISNUMBER(R439),ISNUMBER(S439),S439&lt;R439),AND(ISNUMBER(S439),ISNUMBER(T439),T439&lt;S439),AND(ISNUMBER(N439),ISNUMBER(O439),O439&lt;N439)),"Urutan tanggal salah",IF(AND(ISNUMBER(Q439),ISNUMBER(R439),ISNUMBER(Y439),ABS(R439-Q439-Y439)&gt;2),"S tanggal ≠ Sailing tercatat",IF(AND(ISNUMBER(Q439),ISNUMBER(O439),ABS(Q439-O439)&gt;60),"Cek tahun laycan",IF(AND(ISNUMBER(Q439),ISNUMBER(N439),Q439&lt;N439),"Berangkat sebelum laycan",IF(NOT(ISNUMBER(AE439)),"S belum ada","OK"))))))</f>
        <v/>
      </c>
    </row>
    <row r="440" customFormat="false" ht="15" hidden="false" customHeight="false" outlineLevel="0" collapsed="false">
      <c r="A440" s="16" t="str">
        <f aca="false">IF(B440="","",ROW()-4)</f>
        <v/>
      </c>
      <c r="B440" s="12"/>
      <c r="C440" s="16"/>
      <c r="D440" s="16"/>
      <c r="E440" s="16"/>
      <c r="F440" s="16"/>
      <c r="G440" s="16"/>
      <c r="H440" s="16"/>
      <c r="I440" s="16"/>
      <c r="J440" s="16"/>
      <c r="K440" s="16"/>
      <c r="L440" s="13"/>
      <c r="M440" s="13"/>
      <c r="N440" s="13"/>
      <c r="O440" s="13"/>
      <c r="P440" s="13"/>
      <c r="Q440" s="13"/>
      <c r="R440" s="13"/>
      <c r="S440" s="13"/>
      <c r="T440" s="13"/>
      <c r="U440" s="12"/>
      <c r="V440" s="14"/>
      <c r="W440" s="16"/>
      <c r="X440" s="16"/>
      <c r="Y440" s="16"/>
      <c r="Z440" s="16"/>
      <c r="AA440" s="15" t="str">
        <f aca="false">IF(AND(ISNUMBER(L440),ISNUMBER(M440)),M440-L440,"")</f>
        <v/>
      </c>
      <c r="AB440" s="15" t="str">
        <f aca="false">IF(AND(ISNUMBER(M440),ISNUMBER(P440)),P440-M440,"")</f>
        <v/>
      </c>
      <c r="AC440" s="15" t="str">
        <f aca="false">IF(AND(ISNUMBER(L440),ISNUMBER(P440)),P440-L440,"")</f>
        <v/>
      </c>
      <c r="AD440" s="15" t="str">
        <f aca="false">IF(AND(ISNUMBER(P440),ISNUMBER(Q440)),Q440-P440,"")</f>
        <v/>
      </c>
      <c r="AE440" s="15" t="str">
        <f aca="false">IF(AND(ISNUMBER(Q440),ISNUMBER(R440)),R440-Q440,IF(ISNUMBER(Y440),Y440,""))</f>
        <v/>
      </c>
      <c r="AF440" s="15" t="str">
        <f aca="false">IF(AND(ISNUMBER(R440),ISNUMBER(S440)),S440-R440,"")</f>
        <v/>
      </c>
      <c r="AG440" s="15" t="str">
        <f aca="false">IF(AND(ISNUMBER(S440),ISNUMBER(T440)),T440-S440,"")</f>
        <v/>
      </c>
      <c r="AH440" s="15" t="str">
        <f aca="false">IF(AND(ISNUMBER(L440),ISNUMBER(T440)),T440-L440,"")</f>
        <v/>
      </c>
      <c r="AI440" s="15" t="str">
        <f aca="false">IF(AND(ISNUMBER(O440),ISNUMBER(Q440)),Q440-O440,"")</f>
        <v/>
      </c>
      <c r="AJ440" s="15" t="str">
        <f aca="false">IF(B440="","",COUNT(L440:M440,P440:T440)&amp;"/7")</f>
        <v/>
      </c>
      <c r="AK440" s="15" t="str">
        <f aca="false">IF(B440="","",IF(OR(AND(ISNUMBER(L440),ISNUMBER(M440),M440&lt;L440),AND(ISNUMBER(M440),ISNUMBER(P440),P440&lt;M440),AND(ISNUMBER(P440),ISNUMBER(Q440),Q440&lt;P440),AND(ISNUMBER(Q440),ISNUMBER(R440),R440&lt;Q440),AND(ISNUMBER(R440),ISNUMBER(S440),S440&lt;R440),AND(ISNUMBER(S440),ISNUMBER(T440),T440&lt;S440),AND(ISNUMBER(N440),ISNUMBER(O440),O440&lt;N440)),"Urutan tanggal salah",IF(AND(ISNUMBER(Q440),ISNUMBER(R440),ISNUMBER(Y440),ABS(R440-Q440-Y440)&gt;2),"S tanggal ≠ Sailing tercatat",IF(AND(ISNUMBER(Q440),ISNUMBER(O440),ABS(Q440-O440)&gt;60),"Cek tahun laycan",IF(AND(ISNUMBER(Q440),ISNUMBER(N440),Q440&lt;N440),"Berangkat sebelum laycan",IF(NOT(ISNUMBER(AE440)),"S belum ada","OK"))))))</f>
        <v/>
      </c>
    </row>
    <row r="441" customFormat="false" ht="15" hidden="false" customHeight="false" outlineLevel="0" collapsed="false">
      <c r="A441" s="16" t="str">
        <f aca="false">IF(B441="","",ROW()-4)</f>
        <v/>
      </c>
      <c r="B441" s="12"/>
      <c r="C441" s="16"/>
      <c r="D441" s="16"/>
      <c r="E441" s="16"/>
      <c r="F441" s="16"/>
      <c r="G441" s="16"/>
      <c r="H441" s="16"/>
      <c r="I441" s="16"/>
      <c r="J441" s="16"/>
      <c r="K441" s="16"/>
      <c r="L441" s="13"/>
      <c r="M441" s="13"/>
      <c r="N441" s="13"/>
      <c r="O441" s="13"/>
      <c r="P441" s="13"/>
      <c r="Q441" s="13"/>
      <c r="R441" s="13"/>
      <c r="S441" s="13"/>
      <c r="T441" s="13"/>
      <c r="U441" s="12"/>
      <c r="V441" s="14"/>
      <c r="W441" s="16"/>
      <c r="X441" s="16"/>
      <c r="Y441" s="16"/>
      <c r="Z441" s="16"/>
      <c r="AA441" s="15" t="str">
        <f aca="false">IF(AND(ISNUMBER(L441),ISNUMBER(M441)),M441-L441,"")</f>
        <v/>
      </c>
      <c r="AB441" s="15" t="str">
        <f aca="false">IF(AND(ISNUMBER(M441),ISNUMBER(P441)),P441-M441,"")</f>
        <v/>
      </c>
      <c r="AC441" s="15" t="str">
        <f aca="false">IF(AND(ISNUMBER(L441),ISNUMBER(P441)),P441-L441,"")</f>
        <v/>
      </c>
      <c r="AD441" s="15" t="str">
        <f aca="false">IF(AND(ISNUMBER(P441),ISNUMBER(Q441)),Q441-P441,"")</f>
        <v/>
      </c>
      <c r="AE441" s="15" t="str">
        <f aca="false">IF(AND(ISNUMBER(Q441),ISNUMBER(R441)),R441-Q441,IF(ISNUMBER(Y441),Y441,""))</f>
        <v/>
      </c>
      <c r="AF441" s="15" t="str">
        <f aca="false">IF(AND(ISNUMBER(R441),ISNUMBER(S441)),S441-R441,"")</f>
        <v/>
      </c>
      <c r="AG441" s="15" t="str">
        <f aca="false">IF(AND(ISNUMBER(S441),ISNUMBER(T441)),T441-S441,"")</f>
        <v/>
      </c>
      <c r="AH441" s="15" t="str">
        <f aca="false">IF(AND(ISNUMBER(L441),ISNUMBER(T441)),T441-L441,"")</f>
        <v/>
      </c>
      <c r="AI441" s="15" t="str">
        <f aca="false">IF(AND(ISNUMBER(O441),ISNUMBER(Q441)),Q441-O441,"")</f>
        <v/>
      </c>
      <c r="AJ441" s="15" t="str">
        <f aca="false">IF(B441="","",COUNT(L441:M441,P441:T441)&amp;"/7")</f>
        <v/>
      </c>
      <c r="AK441" s="15" t="str">
        <f aca="false">IF(B441="","",IF(OR(AND(ISNUMBER(L441),ISNUMBER(M441),M441&lt;L441),AND(ISNUMBER(M441),ISNUMBER(P441),P441&lt;M441),AND(ISNUMBER(P441),ISNUMBER(Q441),Q441&lt;P441),AND(ISNUMBER(Q441),ISNUMBER(R441),R441&lt;Q441),AND(ISNUMBER(R441),ISNUMBER(S441),S441&lt;R441),AND(ISNUMBER(S441),ISNUMBER(T441),T441&lt;S441),AND(ISNUMBER(N441),ISNUMBER(O441),O441&lt;N441)),"Urutan tanggal salah",IF(AND(ISNUMBER(Q441),ISNUMBER(R441),ISNUMBER(Y441),ABS(R441-Q441-Y441)&gt;2),"S tanggal ≠ Sailing tercatat",IF(AND(ISNUMBER(Q441),ISNUMBER(O441),ABS(Q441-O441)&gt;60),"Cek tahun laycan",IF(AND(ISNUMBER(Q441),ISNUMBER(N441),Q441&lt;N441),"Berangkat sebelum laycan",IF(NOT(ISNUMBER(AE441)),"S belum ada","OK"))))))</f>
        <v/>
      </c>
    </row>
    <row r="442" customFormat="false" ht="15" hidden="false" customHeight="false" outlineLevel="0" collapsed="false">
      <c r="A442" s="16" t="str">
        <f aca="false">IF(B442="","",ROW()-4)</f>
        <v/>
      </c>
      <c r="B442" s="12"/>
      <c r="C442" s="16"/>
      <c r="D442" s="16"/>
      <c r="E442" s="16"/>
      <c r="F442" s="16"/>
      <c r="G442" s="16"/>
      <c r="H442" s="16"/>
      <c r="I442" s="16"/>
      <c r="J442" s="16"/>
      <c r="K442" s="16"/>
      <c r="L442" s="13"/>
      <c r="M442" s="13"/>
      <c r="N442" s="13"/>
      <c r="O442" s="13"/>
      <c r="P442" s="13"/>
      <c r="Q442" s="13"/>
      <c r="R442" s="13"/>
      <c r="S442" s="13"/>
      <c r="T442" s="13"/>
      <c r="U442" s="12"/>
      <c r="V442" s="14"/>
      <c r="W442" s="16"/>
      <c r="X442" s="16"/>
      <c r="Y442" s="16"/>
      <c r="Z442" s="16"/>
      <c r="AA442" s="15" t="str">
        <f aca="false">IF(AND(ISNUMBER(L442),ISNUMBER(M442)),M442-L442,"")</f>
        <v/>
      </c>
      <c r="AB442" s="15" t="str">
        <f aca="false">IF(AND(ISNUMBER(M442),ISNUMBER(P442)),P442-M442,"")</f>
        <v/>
      </c>
      <c r="AC442" s="15" t="str">
        <f aca="false">IF(AND(ISNUMBER(L442),ISNUMBER(P442)),P442-L442,"")</f>
        <v/>
      </c>
      <c r="AD442" s="15" t="str">
        <f aca="false">IF(AND(ISNUMBER(P442),ISNUMBER(Q442)),Q442-P442,"")</f>
        <v/>
      </c>
      <c r="AE442" s="15" t="str">
        <f aca="false">IF(AND(ISNUMBER(Q442),ISNUMBER(R442)),R442-Q442,IF(ISNUMBER(Y442),Y442,""))</f>
        <v/>
      </c>
      <c r="AF442" s="15" t="str">
        <f aca="false">IF(AND(ISNUMBER(R442),ISNUMBER(S442)),S442-R442,"")</f>
        <v/>
      </c>
      <c r="AG442" s="15" t="str">
        <f aca="false">IF(AND(ISNUMBER(S442),ISNUMBER(T442)),T442-S442,"")</f>
        <v/>
      </c>
      <c r="AH442" s="15" t="str">
        <f aca="false">IF(AND(ISNUMBER(L442),ISNUMBER(T442)),T442-L442,"")</f>
        <v/>
      </c>
      <c r="AI442" s="15" t="str">
        <f aca="false">IF(AND(ISNUMBER(O442),ISNUMBER(Q442)),Q442-O442,"")</f>
        <v/>
      </c>
      <c r="AJ442" s="15" t="str">
        <f aca="false">IF(B442="","",COUNT(L442:M442,P442:T442)&amp;"/7")</f>
        <v/>
      </c>
      <c r="AK442" s="15" t="str">
        <f aca="false">IF(B442="","",IF(OR(AND(ISNUMBER(L442),ISNUMBER(M442),M442&lt;L442),AND(ISNUMBER(M442),ISNUMBER(P442),P442&lt;M442),AND(ISNUMBER(P442),ISNUMBER(Q442),Q442&lt;P442),AND(ISNUMBER(Q442),ISNUMBER(R442),R442&lt;Q442),AND(ISNUMBER(R442),ISNUMBER(S442),S442&lt;R442),AND(ISNUMBER(S442),ISNUMBER(T442),T442&lt;S442),AND(ISNUMBER(N442),ISNUMBER(O442),O442&lt;N442)),"Urutan tanggal salah",IF(AND(ISNUMBER(Q442),ISNUMBER(R442),ISNUMBER(Y442),ABS(R442-Q442-Y442)&gt;2),"S tanggal ≠ Sailing tercatat",IF(AND(ISNUMBER(Q442),ISNUMBER(O442),ABS(Q442-O442)&gt;60),"Cek tahun laycan",IF(AND(ISNUMBER(Q442),ISNUMBER(N442),Q442&lt;N442),"Berangkat sebelum laycan",IF(NOT(ISNUMBER(AE442)),"S belum ada","OK"))))))</f>
        <v/>
      </c>
    </row>
    <row r="443" customFormat="false" ht="15" hidden="false" customHeight="false" outlineLevel="0" collapsed="false">
      <c r="A443" s="16" t="str">
        <f aca="false">IF(B443="","",ROW()-4)</f>
        <v/>
      </c>
      <c r="B443" s="12"/>
      <c r="C443" s="16"/>
      <c r="D443" s="16"/>
      <c r="E443" s="16"/>
      <c r="F443" s="16"/>
      <c r="G443" s="16"/>
      <c r="H443" s="16"/>
      <c r="I443" s="16"/>
      <c r="J443" s="16"/>
      <c r="K443" s="16"/>
      <c r="L443" s="13"/>
      <c r="M443" s="13"/>
      <c r="N443" s="13"/>
      <c r="O443" s="13"/>
      <c r="P443" s="13"/>
      <c r="Q443" s="13"/>
      <c r="R443" s="13"/>
      <c r="S443" s="13"/>
      <c r="T443" s="13"/>
      <c r="U443" s="12"/>
      <c r="V443" s="14"/>
      <c r="W443" s="16"/>
      <c r="X443" s="16"/>
      <c r="Y443" s="16"/>
      <c r="Z443" s="16"/>
      <c r="AA443" s="15" t="str">
        <f aca="false">IF(AND(ISNUMBER(L443),ISNUMBER(M443)),M443-L443,"")</f>
        <v/>
      </c>
      <c r="AB443" s="15" t="str">
        <f aca="false">IF(AND(ISNUMBER(M443),ISNUMBER(P443)),P443-M443,"")</f>
        <v/>
      </c>
      <c r="AC443" s="15" t="str">
        <f aca="false">IF(AND(ISNUMBER(L443),ISNUMBER(P443)),P443-L443,"")</f>
        <v/>
      </c>
      <c r="AD443" s="15" t="str">
        <f aca="false">IF(AND(ISNUMBER(P443),ISNUMBER(Q443)),Q443-P443,"")</f>
        <v/>
      </c>
      <c r="AE443" s="15" t="str">
        <f aca="false">IF(AND(ISNUMBER(Q443),ISNUMBER(R443)),R443-Q443,IF(ISNUMBER(Y443),Y443,""))</f>
        <v/>
      </c>
      <c r="AF443" s="15" t="str">
        <f aca="false">IF(AND(ISNUMBER(R443),ISNUMBER(S443)),S443-R443,"")</f>
        <v/>
      </c>
      <c r="AG443" s="15" t="str">
        <f aca="false">IF(AND(ISNUMBER(S443),ISNUMBER(T443)),T443-S443,"")</f>
        <v/>
      </c>
      <c r="AH443" s="15" t="str">
        <f aca="false">IF(AND(ISNUMBER(L443),ISNUMBER(T443)),T443-L443,"")</f>
        <v/>
      </c>
      <c r="AI443" s="15" t="str">
        <f aca="false">IF(AND(ISNUMBER(O443),ISNUMBER(Q443)),Q443-O443,"")</f>
        <v/>
      </c>
      <c r="AJ443" s="15" t="str">
        <f aca="false">IF(B443="","",COUNT(L443:M443,P443:T443)&amp;"/7")</f>
        <v/>
      </c>
      <c r="AK443" s="15" t="str">
        <f aca="false">IF(B443="","",IF(OR(AND(ISNUMBER(L443),ISNUMBER(M443),M443&lt;L443),AND(ISNUMBER(M443),ISNUMBER(P443),P443&lt;M443),AND(ISNUMBER(P443),ISNUMBER(Q443),Q443&lt;P443),AND(ISNUMBER(Q443),ISNUMBER(R443),R443&lt;Q443),AND(ISNUMBER(R443),ISNUMBER(S443),S443&lt;R443),AND(ISNUMBER(S443),ISNUMBER(T443),T443&lt;S443),AND(ISNUMBER(N443),ISNUMBER(O443),O443&lt;N443)),"Urutan tanggal salah",IF(AND(ISNUMBER(Q443),ISNUMBER(R443),ISNUMBER(Y443),ABS(R443-Q443-Y443)&gt;2),"S tanggal ≠ Sailing tercatat",IF(AND(ISNUMBER(Q443),ISNUMBER(O443),ABS(Q443-O443)&gt;60),"Cek tahun laycan",IF(AND(ISNUMBER(Q443),ISNUMBER(N443),Q443&lt;N443),"Berangkat sebelum laycan",IF(NOT(ISNUMBER(AE443)),"S belum ada","OK"))))))</f>
        <v/>
      </c>
    </row>
    <row r="444" customFormat="false" ht="15" hidden="false" customHeight="false" outlineLevel="0" collapsed="false">
      <c r="A444" s="16" t="str">
        <f aca="false">IF(B444="","",ROW()-4)</f>
        <v/>
      </c>
      <c r="B444" s="12"/>
      <c r="C444" s="16"/>
      <c r="D444" s="16"/>
      <c r="E444" s="16"/>
      <c r="F444" s="16"/>
      <c r="G444" s="16"/>
      <c r="H444" s="16"/>
      <c r="I444" s="16"/>
      <c r="J444" s="16"/>
      <c r="K444" s="16"/>
      <c r="L444" s="13"/>
      <c r="M444" s="13"/>
      <c r="N444" s="13"/>
      <c r="O444" s="13"/>
      <c r="P444" s="13"/>
      <c r="Q444" s="13"/>
      <c r="R444" s="13"/>
      <c r="S444" s="13"/>
      <c r="T444" s="13"/>
      <c r="U444" s="12"/>
      <c r="V444" s="14"/>
      <c r="W444" s="16"/>
      <c r="X444" s="16"/>
      <c r="Y444" s="16"/>
      <c r="Z444" s="16"/>
      <c r="AA444" s="15" t="str">
        <f aca="false">IF(AND(ISNUMBER(L444),ISNUMBER(M444)),M444-L444,"")</f>
        <v/>
      </c>
      <c r="AB444" s="15" t="str">
        <f aca="false">IF(AND(ISNUMBER(M444),ISNUMBER(P444)),P444-M444,"")</f>
        <v/>
      </c>
      <c r="AC444" s="15" t="str">
        <f aca="false">IF(AND(ISNUMBER(L444),ISNUMBER(P444)),P444-L444,"")</f>
        <v/>
      </c>
      <c r="AD444" s="15" t="str">
        <f aca="false">IF(AND(ISNUMBER(P444),ISNUMBER(Q444)),Q444-P444,"")</f>
        <v/>
      </c>
      <c r="AE444" s="15" t="str">
        <f aca="false">IF(AND(ISNUMBER(Q444),ISNUMBER(R444)),R444-Q444,IF(ISNUMBER(Y444),Y444,""))</f>
        <v/>
      </c>
      <c r="AF444" s="15" t="str">
        <f aca="false">IF(AND(ISNUMBER(R444),ISNUMBER(S444)),S444-R444,"")</f>
        <v/>
      </c>
      <c r="AG444" s="15" t="str">
        <f aca="false">IF(AND(ISNUMBER(S444),ISNUMBER(T444)),T444-S444,"")</f>
        <v/>
      </c>
      <c r="AH444" s="15" t="str">
        <f aca="false">IF(AND(ISNUMBER(L444),ISNUMBER(T444)),T444-L444,"")</f>
        <v/>
      </c>
      <c r="AI444" s="15" t="str">
        <f aca="false">IF(AND(ISNUMBER(O444),ISNUMBER(Q444)),Q444-O444,"")</f>
        <v/>
      </c>
      <c r="AJ444" s="15" t="str">
        <f aca="false">IF(B444="","",COUNT(L444:M444,P444:T444)&amp;"/7")</f>
        <v/>
      </c>
      <c r="AK444" s="15" t="str">
        <f aca="false">IF(B444="","",IF(OR(AND(ISNUMBER(L444),ISNUMBER(M444),M444&lt;L444),AND(ISNUMBER(M444),ISNUMBER(P444),P444&lt;M444),AND(ISNUMBER(P444),ISNUMBER(Q444),Q444&lt;P444),AND(ISNUMBER(Q444),ISNUMBER(R444),R444&lt;Q444),AND(ISNUMBER(R444),ISNUMBER(S444),S444&lt;R444),AND(ISNUMBER(S444),ISNUMBER(T444),T444&lt;S444),AND(ISNUMBER(N444),ISNUMBER(O444),O444&lt;N444)),"Urutan tanggal salah",IF(AND(ISNUMBER(Q444),ISNUMBER(R444),ISNUMBER(Y444),ABS(R444-Q444-Y444)&gt;2),"S tanggal ≠ Sailing tercatat",IF(AND(ISNUMBER(Q444),ISNUMBER(O444),ABS(Q444-O444)&gt;60),"Cek tahun laycan",IF(AND(ISNUMBER(Q444),ISNUMBER(N444),Q444&lt;N444),"Berangkat sebelum laycan",IF(NOT(ISNUMBER(AE444)),"S belum ada","OK"))))))</f>
        <v/>
      </c>
    </row>
    <row r="445" customFormat="false" ht="15" hidden="false" customHeight="false" outlineLevel="0" collapsed="false">
      <c r="A445" s="16" t="str">
        <f aca="false">IF(B445="","",ROW()-4)</f>
        <v/>
      </c>
      <c r="B445" s="12"/>
      <c r="C445" s="16"/>
      <c r="D445" s="16"/>
      <c r="E445" s="16"/>
      <c r="F445" s="16"/>
      <c r="G445" s="16"/>
      <c r="H445" s="16"/>
      <c r="I445" s="16"/>
      <c r="J445" s="16"/>
      <c r="K445" s="16"/>
      <c r="L445" s="13"/>
      <c r="M445" s="13"/>
      <c r="N445" s="13"/>
      <c r="O445" s="13"/>
      <c r="P445" s="13"/>
      <c r="Q445" s="13"/>
      <c r="R445" s="13"/>
      <c r="S445" s="13"/>
      <c r="T445" s="13"/>
      <c r="U445" s="12"/>
      <c r="V445" s="14"/>
      <c r="W445" s="16"/>
      <c r="X445" s="16"/>
      <c r="Y445" s="16"/>
      <c r="Z445" s="16"/>
      <c r="AA445" s="15" t="str">
        <f aca="false">IF(AND(ISNUMBER(L445),ISNUMBER(M445)),M445-L445,"")</f>
        <v/>
      </c>
      <c r="AB445" s="15" t="str">
        <f aca="false">IF(AND(ISNUMBER(M445),ISNUMBER(P445)),P445-M445,"")</f>
        <v/>
      </c>
      <c r="AC445" s="15" t="str">
        <f aca="false">IF(AND(ISNUMBER(L445),ISNUMBER(P445)),P445-L445,"")</f>
        <v/>
      </c>
      <c r="AD445" s="15" t="str">
        <f aca="false">IF(AND(ISNUMBER(P445),ISNUMBER(Q445)),Q445-P445,"")</f>
        <v/>
      </c>
      <c r="AE445" s="15" t="str">
        <f aca="false">IF(AND(ISNUMBER(Q445),ISNUMBER(R445)),R445-Q445,IF(ISNUMBER(Y445),Y445,""))</f>
        <v/>
      </c>
      <c r="AF445" s="15" t="str">
        <f aca="false">IF(AND(ISNUMBER(R445),ISNUMBER(S445)),S445-R445,"")</f>
        <v/>
      </c>
      <c r="AG445" s="15" t="str">
        <f aca="false">IF(AND(ISNUMBER(S445),ISNUMBER(T445)),T445-S445,"")</f>
        <v/>
      </c>
      <c r="AH445" s="15" t="str">
        <f aca="false">IF(AND(ISNUMBER(L445),ISNUMBER(T445)),T445-L445,"")</f>
        <v/>
      </c>
      <c r="AI445" s="15" t="str">
        <f aca="false">IF(AND(ISNUMBER(O445),ISNUMBER(Q445)),Q445-O445,"")</f>
        <v/>
      </c>
      <c r="AJ445" s="15" t="str">
        <f aca="false">IF(B445="","",COUNT(L445:M445,P445:T445)&amp;"/7")</f>
        <v/>
      </c>
      <c r="AK445" s="15" t="str">
        <f aca="false">IF(B445="","",IF(OR(AND(ISNUMBER(L445),ISNUMBER(M445),M445&lt;L445),AND(ISNUMBER(M445),ISNUMBER(P445),P445&lt;M445),AND(ISNUMBER(P445),ISNUMBER(Q445),Q445&lt;P445),AND(ISNUMBER(Q445),ISNUMBER(R445),R445&lt;Q445),AND(ISNUMBER(R445),ISNUMBER(S445),S445&lt;R445),AND(ISNUMBER(S445),ISNUMBER(T445),T445&lt;S445),AND(ISNUMBER(N445),ISNUMBER(O445),O445&lt;N445)),"Urutan tanggal salah",IF(AND(ISNUMBER(Q445),ISNUMBER(R445),ISNUMBER(Y445),ABS(R445-Q445-Y445)&gt;2),"S tanggal ≠ Sailing tercatat",IF(AND(ISNUMBER(Q445),ISNUMBER(O445),ABS(Q445-O445)&gt;60),"Cek tahun laycan",IF(AND(ISNUMBER(Q445),ISNUMBER(N445),Q445&lt;N445),"Berangkat sebelum laycan",IF(NOT(ISNUMBER(AE445)),"S belum ada","OK"))))))</f>
        <v/>
      </c>
    </row>
    <row r="446" customFormat="false" ht="15" hidden="false" customHeight="false" outlineLevel="0" collapsed="false">
      <c r="A446" s="16" t="str">
        <f aca="false">IF(B446="","",ROW()-4)</f>
        <v/>
      </c>
      <c r="B446" s="12"/>
      <c r="C446" s="16"/>
      <c r="D446" s="16"/>
      <c r="E446" s="16"/>
      <c r="F446" s="16"/>
      <c r="G446" s="16"/>
      <c r="H446" s="16"/>
      <c r="I446" s="16"/>
      <c r="J446" s="16"/>
      <c r="K446" s="16"/>
      <c r="L446" s="13"/>
      <c r="M446" s="13"/>
      <c r="N446" s="13"/>
      <c r="O446" s="13"/>
      <c r="P446" s="13"/>
      <c r="Q446" s="13"/>
      <c r="R446" s="13"/>
      <c r="S446" s="13"/>
      <c r="T446" s="13"/>
      <c r="U446" s="12"/>
      <c r="V446" s="14"/>
      <c r="W446" s="16"/>
      <c r="X446" s="16"/>
      <c r="Y446" s="16"/>
      <c r="Z446" s="16"/>
      <c r="AA446" s="15" t="str">
        <f aca="false">IF(AND(ISNUMBER(L446),ISNUMBER(M446)),M446-L446,"")</f>
        <v/>
      </c>
      <c r="AB446" s="15" t="str">
        <f aca="false">IF(AND(ISNUMBER(M446),ISNUMBER(P446)),P446-M446,"")</f>
        <v/>
      </c>
      <c r="AC446" s="15" t="str">
        <f aca="false">IF(AND(ISNUMBER(L446),ISNUMBER(P446)),P446-L446,"")</f>
        <v/>
      </c>
      <c r="AD446" s="15" t="str">
        <f aca="false">IF(AND(ISNUMBER(P446),ISNUMBER(Q446)),Q446-P446,"")</f>
        <v/>
      </c>
      <c r="AE446" s="15" t="str">
        <f aca="false">IF(AND(ISNUMBER(Q446),ISNUMBER(R446)),R446-Q446,IF(ISNUMBER(Y446),Y446,""))</f>
        <v/>
      </c>
      <c r="AF446" s="15" t="str">
        <f aca="false">IF(AND(ISNUMBER(R446),ISNUMBER(S446)),S446-R446,"")</f>
        <v/>
      </c>
      <c r="AG446" s="15" t="str">
        <f aca="false">IF(AND(ISNUMBER(S446),ISNUMBER(T446)),T446-S446,"")</f>
        <v/>
      </c>
      <c r="AH446" s="15" t="str">
        <f aca="false">IF(AND(ISNUMBER(L446),ISNUMBER(T446)),T446-L446,"")</f>
        <v/>
      </c>
      <c r="AI446" s="15" t="str">
        <f aca="false">IF(AND(ISNUMBER(O446),ISNUMBER(Q446)),Q446-O446,"")</f>
        <v/>
      </c>
      <c r="AJ446" s="15" t="str">
        <f aca="false">IF(B446="","",COUNT(L446:M446,P446:T446)&amp;"/7")</f>
        <v/>
      </c>
      <c r="AK446" s="15" t="str">
        <f aca="false">IF(B446="","",IF(OR(AND(ISNUMBER(L446),ISNUMBER(M446),M446&lt;L446),AND(ISNUMBER(M446),ISNUMBER(P446),P446&lt;M446),AND(ISNUMBER(P446),ISNUMBER(Q446),Q446&lt;P446),AND(ISNUMBER(Q446),ISNUMBER(R446),R446&lt;Q446),AND(ISNUMBER(R446),ISNUMBER(S446),S446&lt;R446),AND(ISNUMBER(S446),ISNUMBER(T446),T446&lt;S446),AND(ISNUMBER(N446),ISNUMBER(O446),O446&lt;N446)),"Urutan tanggal salah",IF(AND(ISNUMBER(Q446),ISNUMBER(R446),ISNUMBER(Y446),ABS(R446-Q446-Y446)&gt;2),"S tanggal ≠ Sailing tercatat",IF(AND(ISNUMBER(Q446),ISNUMBER(O446),ABS(Q446-O446)&gt;60),"Cek tahun laycan",IF(AND(ISNUMBER(Q446),ISNUMBER(N446),Q446&lt;N446),"Berangkat sebelum laycan",IF(NOT(ISNUMBER(AE446)),"S belum ada","OK"))))))</f>
        <v/>
      </c>
    </row>
    <row r="447" customFormat="false" ht="15" hidden="false" customHeight="false" outlineLevel="0" collapsed="false">
      <c r="A447" s="16" t="str">
        <f aca="false">IF(B447="","",ROW()-4)</f>
        <v/>
      </c>
      <c r="B447" s="12"/>
      <c r="C447" s="16"/>
      <c r="D447" s="16"/>
      <c r="E447" s="16"/>
      <c r="F447" s="16"/>
      <c r="G447" s="16"/>
      <c r="H447" s="16"/>
      <c r="I447" s="16"/>
      <c r="J447" s="16"/>
      <c r="K447" s="16"/>
      <c r="L447" s="13"/>
      <c r="M447" s="13"/>
      <c r="N447" s="13"/>
      <c r="O447" s="13"/>
      <c r="P447" s="13"/>
      <c r="Q447" s="13"/>
      <c r="R447" s="13"/>
      <c r="S447" s="13"/>
      <c r="T447" s="13"/>
      <c r="U447" s="12"/>
      <c r="V447" s="14"/>
      <c r="W447" s="16"/>
      <c r="X447" s="16"/>
      <c r="Y447" s="16"/>
      <c r="Z447" s="16"/>
      <c r="AA447" s="15" t="str">
        <f aca="false">IF(AND(ISNUMBER(L447),ISNUMBER(M447)),M447-L447,"")</f>
        <v/>
      </c>
      <c r="AB447" s="15" t="str">
        <f aca="false">IF(AND(ISNUMBER(M447),ISNUMBER(P447)),P447-M447,"")</f>
        <v/>
      </c>
      <c r="AC447" s="15" t="str">
        <f aca="false">IF(AND(ISNUMBER(L447),ISNUMBER(P447)),P447-L447,"")</f>
        <v/>
      </c>
      <c r="AD447" s="15" t="str">
        <f aca="false">IF(AND(ISNUMBER(P447),ISNUMBER(Q447)),Q447-P447,"")</f>
        <v/>
      </c>
      <c r="AE447" s="15" t="str">
        <f aca="false">IF(AND(ISNUMBER(Q447),ISNUMBER(R447)),R447-Q447,IF(ISNUMBER(Y447),Y447,""))</f>
        <v/>
      </c>
      <c r="AF447" s="15" t="str">
        <f aca="false">IF(AND(ISNUMBER(R447),ISNUMBER(S447)),S447-R447,"")</f>
        <v/>
      </c>
      <c r="AG447" s="15" t="str">
        <f aca="false">IF(AND(ISNUMBER(S447),ISNUMBER(T447)),T447-S447,"")</f>
        <v/>
      </c>
      <c r="AH447" s="15" t="str">
        <f aca="false">IF(AND(ISNUMBER(L447),ISNUMBER(T447)),T447-L447,"")</f>
        <v/>
      </c>
      <c r="AI447" s="15" t="str">
        <f aca="false">IF(AND(ISNUMBER(O447),ISNUMBER(Q447)),Q447-O447,"")</f>
        <v/>
      </c>
      <c r="AJ447" s="15" t="str">
        <f aca="false">IF(B447="","",COUNT(L447:M447,P447:T447)&amp;"/7")</f>
        <v/>
      </c>
      <c r="AK447" s="15" t="str">
        <f aca="false">IF(B447="","",IF(OR(AND(ISNUMBER(L447),ISNUMBER(M447),M447&lt;L447),AND(ISNUMBER(M447),ISNUMBER(P447),P447&lt;M447),AND(ISNUMBER(P447),ISNUMBER(Q447),Q447&lt;P447),AND(ISNUMBER(Q447),ISNUMBER(R447),R447&lt;Q447),AND(ISNUMBER(R447),ISNUMBER(S447),S447&lt;R447),AND(ISNUMBER(S447),ISNUMBER(T447),T447&lt;S447),AND(ISNUMBER(N447),ISNUMBER(O447),O447&lt;N447)),"Urutan tanggal salah",IF(AND(ISNUMBER(Q447),ISNUMBER(R447),ISNUMBER(Y447),ABS(R447-Q447-Y447)&gt;2),"S tanggal ≠ Sailing tercatat",IF(AND(ISNUMBER(Q447),ISNUMBER(O447),ABS(Q447-O447)&gt;60),"Cek tahun laycan",IF(AND(ISNUMBER(Q447),ISNUMBER(N447),Q447&lt;N447),"Berangkat sebelum laycan",IF(NOT(ISNUMBER(AE447)),"S belum ada","OK"))))))</f>
        <v/>
      </c>
    </row>
    <row r="448" customFormat="false" ht="15" hidden="false" customHeight="false" outlineLevel="0" collapsed="false">
      <c r="A448" s="16" t="str">
        <f aca="false">IF(B448="","",ROW()-4)</f>
        <v/>
      </c>
      <c r="B448" s="12"/>
      <c r="C448" s="16"/>
      <c r="D448" s="16"/>
      <c r="E448" s="16"/>
      <c r="F448" s="16"/>
      <c r="G448" s="16"/>
      <c r="H448" s="16"/>
      <c r="I448" s="16"/>
      <c r="J448" s="16"/>
      <c r="K448" s="16"/>
      <c r="L448" s="13"/>
      <c r="M448" s="13"/>
      <c r="N448" s="13"/>
      <c r="O448" s="13"/>
      <c r="P448" s="13"/>
      <c r="Q448" s="13"/>
      <c r="R448" s="13"/>
      <c r="S448" s="13"/>
      <c r="T448" s="13"/>
      <c r="U448" s="12"/>
      <c r="V448" s="14"/>
      <c r="W448" s="16"/>
      <c r="X448" s="16"/>
      <c r="Y448" s="16"/>
      <c r="Z448" s="16"/>
      <c r="AA448" s="15" t="str">
        <f aca="false">IF(AND(ISNUMBER(L448),ISNUMBER(M448)),M448-L448,"")</f>
        <v/>
      </c>
      <c r="AB448" s="15" t="str">
        <f aca="false">IF(AND(ISNUMBER(M448),ISNUMBER(P448)),P448-M448,"")</f>
        <v/>
      </c>
      <c r="AC448" s="15" t="str">
        <f aca="false">IF(AND(ISNUMBER(L448),ISNUMBER(P448)),P448-L448,"")</f>
        <v/>
      </c>
      <c r="AD448" s="15" t="str">
        <f aca="false">IF(AND(ISNUMBER(P448),ISNUMBER(Q448)),Q448-P448,"")</f>
        <v/>
      </c>
      <c r="AE448" s="15" t="str">
        <f aca="false">IF(AND(ISNUMBER(Q448),ISNUMBER(R448)),R448-Q448,IF(ISNUMBER(Y448),Y448,""))</f>
        <v/>
      </c>
      <c r="AF448" s="15" t="str">
        <f aca="false">IF(AND(ISNUMBER(R448),ISNUMBER(S448)),S448-R448,"")</f>
        <v/>
      </c>
      <c r="AG448" s="15" t="str">
        <f aca="false">IF(AND(ISNUMBER(S448),ISNUMBER(T448)),T448-S448,"")</f>
        <v/>
      </c>
      <c r="AH448" s="15" t="str">
        <f aca="false">IF(AND(ISNUMBER(L448),ISNUMBER(T448)),T448-L448,"")</f>
        <v/>
      </c>
      <c r="AI448" s="15" t="str">
        <f aca="false">IF(AND(ISNUMBER(O448),ISNUMBER(Q448)),Q448-O448,"")</f>
        <v/>
      </c>
      <c r="AJ448" s="15" t="str">
        <f aca="false">IF(B448="","",COUNT(L448:M448,P448:T448)&amp;"/7")</f>
        <v/>
      </c>
      <c r="AK448" s="15" t="str">
        <f aca="false">IF(B448="","",IF(OR(AND(ISNUMBER(L448),ISNUMBER(M448),M448&lt;L448),AND(ISNUMBER(M448),ISNUMBER(P448),P448&lt;M448),AND(ISNUMBER(P448),ISNUMBER(Q448),Q448&lt;P448),AND(ISNUMBER(Q448),ISNUMBER(R448),R448&lt;Q448),AND(ISNUMBER(R448),ISNUMBER(S448),S448&lt;R448),AND(ISNUMBER(S448),ISNUMBER(T448),T448&lt;S448),AND(ISNUMBER(N448),ISNUMBER(O448),O448&lt;N448)),"Urutan tanggal salah",IF(AND(ISNUMBER(Q448),ISNUMBER(R448),ISNUMBER(Y448),ABS(R448-Q448-Y448)&gt;2),"S tanggal ≠ Sailing tercatat",IF(AND(ISNUMBER(Q448),ISNUMBER(O448),ABS(Q448-O448)&gt;60),"Cek tahun laycan",IF(AND(ISNUMBER(Q448),ISNUMBER(N448),Q448&lt;N448),"Berangkat sebelum laycan",IF(NOT(ISNUMBER(AE448)),"S belum ada","OK"))))))</f>
        <v/>
      </c>
    </row>
    <row r="449" customFormat="false" ht="15" hidden="false" customHeight="false" outlineLevel="0" collapsed="false">
      <c r="A449" s="16" t="str">
        <f aca="false">IF(B449="","",ROW()-4)</f>
        <v/>
      </c>
      <c r="B449" s="12"/>
      <c r="C449" s="16"/>
      <c r="D449" s="16"/>
      <c r="E449" s="16"/>
      <c r="F449" s="16"/>
      <c r="G449" s="16"/>
      <c r="H449" s="16"/>
      <c r="I449" s="16"/>
      <c r="J449" s="16"/>
      <c r="K449" s="16"/>
      <c r="L449" s="13"/>
      <c r="M449" s="13"/>
      <c r="N449" s="13"/>
      <c r="O449" s="13"/>
      <c r="P449" s="13"/>
      <c r="Q449" s="13"/>
      <c r="R449" s="13"/>
      <c r="S449" s="13"/>
      <c r="T449" s="13"/>
      <c r="U449" s="12"/>
      <c r="V449" s="14"/>
      <c r="W449" s="16"/>
      <c r="X449" s="16"/>
      <c r="Y449" s="16"/>
      <c r="Z449" s="16"/>
      <c r="AA449" s="15" t="str">
        <f aca="false">IF(AND(ISNUMBER(L449),ISNUMBER(M449)),M449-L449,"")</f>
        <v/>
      </c>
      <c r="AB449" s="15" t="str">
        <f aca="false">IF(AND(ISNUMBER(M449),ISNUMBER(P449)),P449-M449,"")</f>
        <v/>
      </c>
      <c r="AC449" s="15" t="str">
        <f aca="false">IF(AND(ISNUMBER(L449),ISNUMBER(P449)),P449-L449,"")</f>
        <v/>
      </c>
      <c r="AD449" s="15" t="str">
        <f aca="false">IF(AND(ISNUMBER(P449),ISNUMBER(Q449)),Q449-P449,"")</f>
        <v/>
      </c>
      <c r="AE449" s="15" t="str">
        <f aca="false">IF(AND(ISNUMBER(Q449),ISNUMBER(R449)),R449-Q449,IF(ISNUMBER(Y449),Y449,""))</f>
        <v/>
      </c>
      <c r="AF449" s="15" t="str">
        <f aca="false">IF(AND(ISNUMBER(R449),ISNUMBER(S449)),S449-R449,"")</f>
        <v/>
      </c>
      <c r="AG449" s="15" t="str">
        <f aca="false">IF(AND(ISNUMBER(S449),ISNUMBER(T449)),T449-S449,"")</f>
        <v/>
      </c>
      <c r="AH449" s="15" t="str">
        <f aca="false">IF(AND(ISNUMBER(L449),ISNUMBER(T449)),T449-L449,"")</f>
        <v/>
      </c>
      <c r="AI449" s="15" t="str">
        <f aca="false">IF(AND(ISNUMBER(O449),ISNUMBER(Q449)),Q449-O449,"")</f>
        <v/>
      </c>
      <c r="AJ449" s="15" t="str">
        <f aca="false">IF(B449="","",COUNT(L449:M449,P449:T449)&amp;"/7")</f>
        <v/>
      </c>
      <c r="AK449" s="15" t="str">
        <f aca="false">IF(B449="","",IF(OR(AND(ISNUMBER(L449),ISNUMBER(M449),M449&lt;L449),AND(ISNUMBER(M449),ISNUMBER(P449),P449&lt;M449),AND(ISNUMBER(P449),ISNUMBER(Q449),Q449&lt;P449),AND(ISNUMBER(Q449),ISNUMBER(R449),R449&lt;Q449),AND(ISNUMBER(R449),ISNUMBER(S449),S449&lt;R449),AND(ISNUMBER(S449),ISNUMBER(T449),T449&lt;S449),AND(ISNUMBER(N449),ISNUMBER(O449),O449&lt;N449)),"Urutan tanggal salah",IF(AND(ISNUMBER(Q449),ISNUMBER(R449),ISNUMBER(Y449),ABS(R449-Q449-Y449)&gt;2),"S tanggal ≠ Sailing tercatat",IF(AND(ISNUMBER(Q449),ISNUMBER(O449),ABS(Q449-O449)&gt;60),"Cek tahun laycan",IF(AND(ISNUMBER(Q449),ISNUMBER(N449),Q449&lt;N449),"Berangkat sebelum laycan",IF(NOT(ISNUMBER(AE449)),"S belum ada","OK"))))))</f>
        <v/>
      </c>
    </row>
    <row r="450" customFormat="false" ht="15" hidden="false" customHeight="false" outlineLevel="0" collapsed="false">
      <c r="A450" s="16" t="str">
        <f aca="false">IF(B450="","",ROW()-4)</f>
        <v/>
      </c>
      <c r="B450" s="12"/>
      <c r="C450" s="16"/>
      <c r="D450" s="16"/>
      <c r="E450" s="16"/>
      <c r="F450" s="16"/>
      <c r="G450" s="16"/>
      <c r="H450" s="16"/>
      <c r="I450" s="16"/>
      <c r="J450" s="16"/>
      <c r="K450" s="16"/>
      <c r="L450" s="13"/>
      <c r="M450" s="13"/>
      <c r="N450" s="13"/>
      <c r="O450" s="13"/>
      <c r="P450" s="13"/>
      <c r="Q450" s="13"/>
      <c r="R450" s="13"/>
      <c r="S450" s="13"/>
      <c r="T450" s="13"/>
      <c r="U450" s="12"/>
      <c r="V450" s="14"/>
      <c r="W450" s="16"/>
      <c r="X450" s="16"/>
      <c r="Y450" s="16"/>
      <c r="Z450" s="16"/>
      <c r="AA450" s="15" t="str">
        <f aca="false">IF(AND(ISNUMBER(L450),ISNUMBER(M450)),M450-L450,"")</f>
        <v/>
      </c>
      <c r="AB450" s="15" t="str">
        <f aca="false">IF(AND(ISNUMBER(M450),ISNUMBER(P450)),P450-M450,"")</f>
        <v/>
      </c>
      <c r="AC450" s="15" t="str">
        <f aca="false">IF(AND(ISNUMBER(L450),ISNUMBER(P450)),P450-L450,"")</f>
        <v/>
      </c>
      <c r="AD450" s="15" t="str">
        <f aca="false">IF(AND(ISNUMBER(P450),ISNUMBER(Q450)),Q450-P450,"")</f>
        <v/>
      </c>
      <c r="AE450" s="15" t="str">
        <f aca="false">IF(AND(ISNUMBER(Q450),ISNUMBER(R450)),R450-Q450,IF(ISNUMBER(Y450),Y450,""))</f>
        <v/>
      </c>
      <c r="AF450" s="15" t="str">
        <f aca="false">IF(AND(ISNUMBER(R450),ISNUMBER(S450)),S450-R450,"")</f>
        <v/>
      </c>
      <c r="AG450" s="15" t="str">
        <f aca="false">IF(AND(ISNUMBER(S450),ISNUMBER(T450)),T450-S450,"")</f>
        <v/>
      </c>
      <c r="AH450" s="15" t="str">
        <f aca="false">IF(AND(ISNUMBER(L450),ISNUMBER(T450)),T450-L450,"")</f>
        <v/>
      </c>
      <c r="AI450" s="15" t="str">
        <f aca="false">IF(AND(ISNUMBER(O450),ISNUMBER(Q450)),Q450-O450,"")</f>
        <v/>
      </c>
      <c r="AJ450" s="15" t="str">
        <f aca="false">IF(B450="","",COUNT(L450:M450,P450:T450)&amp;"/7")</f>
        <v/>
      </c>
      <c r="AK450" s="15" t="str">
        <f aca="false">IF(B450="","",IF(OR(AND(ISNUMBER(L450),ISNUMBER(M450),M450&lt;L450),AND(ISNUMBER(M450),ISNUMBER(P450),P450&lt;M450),AND(ISNUMBER(P450),ISNUMBER(Q450),Q450&lt;P450),AND(ISNUMBER(Q450),ISNUMBER(R450),R450&lt;Q450),AND(ISNUMBER(R450),ISNUMBER(S450),S450&lt;R450),AND(ISNUMBER(S450),ISNUMBER(T450),T450&lt;S450),AND(ISNUMBER(N450),ISNUMBER(O450),O450&lt;N450)),"Urutan tanggal salah",IF(AND(ISNUMBER(Q450),ISNUMBER(R450),ISNUMBER(Y450),ABS(R450-Q450-Y450)&gt;2),"S tanggal ≠ Sailing tercatat",IF(AND(ISNUMBER(Q450),ISNUMBER(O450),ABS(Q450-O450)&gt;60),"Cek tahun laycan",IF(AND(ISNUMBER(Q450),ISNUMBER(N450),Q450&lt;N450),"Berangkat sebelum laycan",IF(NOT(ISNUMBER(AE450)),"S belum ada","OK"))))))</f>
        <v/>
      </c>
    </row>
    <row r="451" customFormat="false" ht="15" hidden="false" customHeight="false" outlineLevel="0" collapsed="false">
      <c r="A451" s="16" t="str">
        <f aca="false">IF(B451="","",ROW()-4)</f>
        <v/>
      </c>
      <c r="B451" s="12"/>
      <c r="C451" s="16"/>
      <c r="D451" s="16"/>
      <c r="E451" s="16"/>
      <c r="F451" s="16"/>
      <c r="G451" s="16"/>
      <c r="H451" s="16"/>
      <c r="I451" s="16"/>
      <c r="J451" s="16"/>
      <c r="K451" s="16"/>
      <c r="L451" s="13"/>
      <c r="M451" s="13"/>
      <c r="N451" s="13"/>
      <c r="O451" s="13"/>
      <c r="P451" s="13"/>
      <c r="Q451" s="13"/>
      <c r="R451" s="13"/>
      <c r="S451" s="13"/>
      <c r="T451" s="13"/>
      <c r="U451" s="12"/>
      <c r="V451" s="14"/>
      <c r="W451" s="16"/>
      <c r="X451" s="16"/>
      <c r="Y451" s="16"/>
      <c r="Z451" s="16"/>
      <c r="AA451" s="15" t="str">
        <f aca="false">IF(AND(ISNUMBER(L451),ISNUMBER(M451)),M451-L451,"")</f>
        <v/>
      </c>
      <c r="AB451" s="15" t="str">
        <f aca="false">IF(AND(ISNUMBER(M451),ISNUMBER(P451)),P451-M451,"")</f>
        <v/>
      </c>
      <c r="AC451" s="15" t="str">
        <f aca="false">IF(AND(ISNUMBER(L451),ISNUMBER(P451)),P451-L451,"")</f>
        <v/>
      </c>
      <c r="AD451" s="15" t="str">
        <f aca="false">IF(AND(ISNUMBER(P451),ISNUMBER(Q451)),Q451-P451,"")</f>
        <v/>
      </c>
      <c r="AE451" s="15" t="str">
        <f aca="false">IF(AND(ISNUMBER(Q451),ISNUMBER(R451)),R451-Q451,IF(ISNUMBER(Y451),Y451,""))</f>
        <v/>
      </c>
      <c r="AF451" s="15" t="str">
        <f aca="false">IF(AND(ISNUMBER(R451),ISNUMBER(S451)),S451-R451,"")</f>
        <v/>
      </c>
      <c r="AG451" s="15" t="str">
        <f aca="false">IF(AND(ISNUMBER(S451),ISNUMBER(T451)),T451-S451,"")</f>
        <v/>
      </c>
      <c r="AH451" s="15" t="str">
        <f aca="false">IF(AND(ISNUMBER(L451),ISNUMBER(T451)),T451-L451,"")</f>
        <v/>
      </c>
      <c r="AI451" s="15" t="str">
        <f aca="false">IF(AND(ISNUMBER(O451),ISNUMBER(Q451)),Q451-O451,"")</f>
        <v/>
      </c>
      <c r="AJ451" s="15" t="str">
        <f aca="false">IF(B451="","",COUNT(L451:M451,P451:T451)&amp;"/7")</f>
        <v/>
      </c>
      <c r="AK451" s="15" t="str">
        <f aca="false">IF(B451="","",IF(OR(AND(ISNUMBER(L451),ISNUMBER(M451),M451&lt;L451),AND(ISNUMBER(M451),ISNUMBER(P451),P451&lt;M451),AND(ISNUMBER(P451),ISNUMBER(Q451),Q451&lt;P451),AND(ISNUMBER(Q451),ISNUMBER(R451),R451&lt;Q451),AND(ISNUMBER(R451),ISNUMBER(S451),S451&lt;R451),AND(ISNUMBER(S451),ISNUMBER(T451),T451&lt;S451),AND(ISNUMBER(N451),ISNUMBER(O451),O451&lt;N451)),"Urutan tanggal salah",IF(AND(ISNUMBER(Q451),ISNUMBER(R451),ISNUMBER(Y451),ABS(R451-Q451-Y451)&gt;2),"S tanggal ≠ Sailing tercatat",IF(AND(ISNUMBER(Q451),ISNUMBER(O451),ABS(Q451-O451)&gt;60),"Cek tahun laycan",IF(AND(ISNUMBER(Q451),ISNUMBER(N451),Q451&lt;N451),"Berangkat sebelum laycan",IF(NOT(ISNUMBER(AE451)),"S belum ada","OK"))))))</f>
        <v/>
      </c>
    </row>
    <row r="452" customFormat="false" ht="15" hidden="false" customHeight="false" outlineLevel="0" collapsed="false">
      <c r="A452" s="16" t="str">
        <f aca="false">IF(B452="","",ROW()-4)</f>
        <v/>
      </c>
      <c r="B452" s="12"/>
      <c r="C452" s="16"/>
      <c r="D452" s="16"/>
      <c r="E452" s="16"/>
      <c r="F452" s="16"/>
      <c r="G452" s="16"/>
      <c r="H452" s="16"/>
      <c r="I452" s="16"/>
      <c r="J452" s="16"/>
      <c r="K452" s="16"/>
      <c r="L452" s="13"/>
      <c r="M452" s="13"/>
      <c r="N452" s="13"/>
      <c r="O452" s="13"/>
      <c r="P452" s="13"/>
      <c r="Q452" s="13"/>
      <c r="R452" s="13"/>
      <c r="S452" s="13"/>
      <c r="T452" s="13"/>
      <c r="U452" s="12"/>
      <c r="V452" s="14"/>
      <c r="W452" s="16"/>
      <c r="X452" s="16"/>
      <c r="Y452" s="16"/>
      <c r="Z452" s="16"/>
      <c r="AA452" s="15" t="str">
        <f aca="false">IF(AND(ISNUMBER(L452),ISNUMBER(M452)),M452-L452,"")</f>
        <v/>
      </c>
      <c r="AB452" s="15" t="str">
        <f aca="false">IF(AND(ISNUMBER(M452),ISNUMBER(P452)),P452-M452,"")</f>
        <v/>
      </c>
      <c r="AC452" s="15" t="str">
        <f aca="false">IF(AND(ISNUMBER(L452),ISNUMBER(P452)),P452-L452,"")</f>
        <v/>
      </c>
      <c r="AD452" s="15" t="str">
        <f aca="false">IF(AND(ISNUMBER(P452),ISNUMBER(Q452)),Q452-P452,"")</f>
        <v/>
      </c>
      <c r="AE452" s="15" t="str">
        <f aca="false">IF(AND(ISNUMBER(Q452),ISNUMBER(R452)),R452-Q452,IF(ISNUMBER(Y452),Y452,""))</f>
        <v/>
      </c>
      <c r="AF452" s="15" t="str">
        <f aca="false">IF(AND(ISNUMBER(R452),ISNUMBER(S452)),S452-R452,"")</f>
        <v/>
      </c>
      <c r="AG452" s="15" t="str">
        <f aca="false">IF(AND(ISNUMBER(S452),ISNUMBER(T452)),T452-S452,"")</f>
        <v/>
      </c>
      <c r="AH452" s="15" t="str">
        <f aca="false">IF(AND(ISNUMBER(L452),ISNUMBER(T452)),T452-L452,"")</f>
        <v/>
      </c>
      <c r="AI452" s="15" t="str">
        <f aca="false">IF(AND(ISNUMBER(O452),ISNUMBER(Q452)),Q452-O452,"")</f>
        <v/>
      </c>
      <c r="AJ452" s="15" t="str">
        <f aca="false">IF(B452="","",COUNT(L452:M452,P452:T452)&amp;"/7")</f>
        <v/>
      </c>
      <c r="AK452" s="15" t="str">
        <f aca="false">IF(B452="","",IF(OR(AND(ISNUMBER(L452),ISNUMBER(M452),M452&lt;L452),AND(ISNUMBER(M452),ISNUMBER(P452),P452&lt;M452),AND(ISNUMBER(P452),ISNUMBER(Q452),Q452&lt;P452),AND(ISNUMBER(Q452),ISNUMBER(R452),R452&lt;Q452),AND(ISNUMBER(R452),ISNUMBER(S452),S452&lt;R452),AND(ISNUMBER(S452),ISNUMBER(T452),T452&lt;S452),AND(ISNUMBER(N452),ISNUMBER(O452),O452&lt;N452)),"Urutan tanggal salah",IF(AND(ISNUMBER(Q452),ISNUMBER(R452),ISNUMBER(Y452),ABS(R452-Q452-Y452)&gt;2),"S tanggal ≠ Sailing tercatat",IF(AND(ISNUMBER(Q452),ISNUMBER(O452),ABS(Q452-O452)&gt;60),"Cek tahun laycan",IF(AND(ISNUMBER(Q452),ISNUMBER(N452),Q452&lt;N452),"Berangkat sebelum laycan",IF(NOT(ISNUMBER(AE452)),"S belum ada","OK"))))))</f>
        <v/>
      </c>
    </row>
    <row r="453" customFormat="false" ht="15" hidden="false" customHeight="false" outlineLevel="0" collapsed="false">
      <c r="A453" s="16" t="str">
        <f aca="false">IF(B453="","",ROW()-4)</f>
        <v/>
      </c>
      <c r="B453" s="12"/>
      <c r="C453" s="16"/>
      <c r="D453" s="16"/>
      <c r="E453" s="16"/>
      <c r="F453" s="16"/>
      <c r="G453" s="16"/>
      <c r="H453" s="16"/>
      <c r="I453" s="16"/>
      <c r="J453" s="16"/>
      <c r="K453" s="16"/>
      <c r="L453" s="13"/>
      <c r="M453" s="13"/>
      <c r="N453" s="13"/>
      <c r="O453" s="13"/>
      <c r="P453" s="13"/>
      <c r="Q453" s="13"/>
      <c r="R453" s="13"/>
      <c r="S453" s="13"/>
      <c r="T453" s="13"/>
      <c r="U453" s="12"/>
      <c r="V453" s="14"/>
      <c r="W453" s="16"/>
      <c r="X453" s="16"/>
      <c r="Y453" s="16"/>
      <c r="Z453" s="16"/>
      <c r="AA453" s="15" t="str">
        <f aca="false">IF(AND(ISNUMBER(L453),ISNUMBER(M453)),M453-L453,"")</f>
        <v/>
      </c>
      <c r="AB453" s="15" t="str">
        <f aca="false">IF(AND(ISNUMBER(M453),ISNUMBER(P453)),P453-M453,"")</f>
        <v/>
      </c>
      <c r="AC453" s="15" t="str">
        <f aca="false">IF(AND(ISNUMBER(L453),ISNUMBER(P453)),P453-L453,"")</f>
        <v/>
      </c>
      <c r="AD453" s="15" t="str">
        <f aca="false">IF(AND(ISNUMBER(P453),ISNUMBER(Q453)),Q453-P453,"")</f>
        <v/>
      </c>
      <c r="AE453" s="15" t="str">
        <f aca="false">IF(AND(ISNUMBER(Q453),ISNUMBER(R453)),R453-Q453,IF(ISNUMBER(Y453),Y453,""))</f>
        <v/>
      </c>
      <c r="AF453" s="15" t="str">
        <f aca="false">IF(AND(ISNUMBER(R453),ISNUMBER(S453)),S453-R453,"")</f>
        <v/>
      </c>
      <c r="AG453" s="15" t="str">
        <f aca="false">IF(AND(ISNUMBER(S453),ISNUMBER(T453)),T453-S453,"")</f>
        <v/>
      </c>
      <c r="AH453" s="15" t="str">
        <f aca="false">IF(AND(ISNUMBER(L453),ISNUMBER(T453)),T453-L453,"")</f>
        <v/>
      </c>
      <c r="AI453" s="15" t="str">
        <f aca="false">IF(AND(ISNUMBER(O453),ISNUMBER(Q453)),Q453-O453,"")</f>
        <v/>
      </c>
      <c r="AJ453" s="15" t="str">
        <f aca="false">IF(B453="","",COUNT(L453:M453,P453:T453)&amp;"/7")</f>
        <v/>
      </c>
      <c r="AK453" s="15" t="str">
        <f aca="false">IF(B453="","",IF(OR(AND(ISNUMBER(L453),ISNUMBER(M453),M453&lt;L453),AND(ISNUMBER(M453),ISNUMBER(P453),P453&lt;M453),AND(ISNUMBER(P453),ISNUMBER(Q453),Q453&lt;P453),AND(ISNUMBER(Q453),ISNUMBER(R453),R453&lt;Q453),AND(ISNUMBER(R453),ISNUMBER(S453),S453&lt;R453),AND(ISNUMBER(S453),ISNUMBER(T453),T453&lt;S453),AND(ISNUMBER(N453),ISNUMBER(O453),O453&lt;N453)),"Urutan tanggal salah",IF(AND(ISNUMBER(Q453),ISNUMBER(R453),ISNUMBER(Y453),ABS(R453-Q453-Y453)&gt;2),"S tanggal ≠ Sailing tercatat",IF(AND(ISNUMBER(Q453),ISNUMBER(O453),ABS(Q453-O453)&gt;60),"Cek tahun laycan",IF(AND(ISNUMBER(Q453),ISNUMBER(N453),Q453&lt;N453),"Berangkat sebelum laycan",IF(NOT(ISNUMBER(AE453)),"S belum ada","OK"))))))</f>
        <v/>
      </c>
    </row>
    <row r="454" customFormat="false" ht="15" hidden="false" customHeight="false" outlineLevel="0" collapsed="false">
      <c r="A454" s="16" t="str">
        <f aca="false">IF(B454="","",ROW()-4)</f>
        <v/>
      </c>
      <c r="B454" s="12"/>
      <c r="C454" s="16"/>
      <c r="D454" s="16"/>
      <c r="E454" s="16"/>
      <c r="F454" s="16"/>
      <c r="G454" s="16"/>
      <c r="H454" s="16"/>
      <c r="I454" s="16"/>
      <c r="J454" s="16"/>
      <c r="K454" s="16"/>
      <c r="L454" s="13"/>
      <c r="M454" s="13"/>
      <c r="N454" s="13"/>
      <c r="O454" s="13"/>
      <c r="P454" s="13"/>
      <c r="Q454" s="13"/>
      <c r="R454" s="13"/>
      <c r="S454" s="13"/>
      <c r="T454" s="13"/>
      <c r="U454" s="12"/>
      <c r="V454" s="14"/>
      <c r="W454" s="16"/>
      <c r="X454" s="16"/>
      <c r="Y454" s="16"/>
      <c r="Z454" s="16"/>
      <c r="AA454" s="15" t="str">
        <f aca="false">IF(AND(ISNUMBER(L454),ISNUMBER(M454)),M454-L454,"")</f>
        <v/>
      </c>
      <c r="AB454" s="15" t="str">
        <f aca="false">IF(AND(ISNUMBER(M454),ISNUMBER(P454)),P454-M454,"")</f>
        <v/>
      </c>
      <c r="AC454" s="15" t="str">
        <f aca="false">IF(AND(ISNUMBER(L454),ISNUMBER(P454)),P454-L454,"")</f>
        <v/>
      </c>
      <c r="AD454" s="15" t="str">
        <f aca="false">IF(AND(ISNUMBER(P454),ISNUMBER(Q454)),Q454-P454,"")</f>
        <v/>
      </c>
      <c r="AE454" s="15" t="str">
        <f aca="false">IF(AND(ISNUMBER(Q454),ISNUMBER(R454)),R454-Q454,IF(ISNUMBER(Y454),Y454,""))</f>
        <v/>
      </c>
      <c r="AF454" s="15" t="str">
        <f aca="false">IF(AND(ISNUMBER(R454),ISNUMBER(S454)),S454-R454,"")</f>
        <v/>
      </c>
      <c r="AG454" s="15" t="str">
        <f aca="false">IF(AND(ISNUMBER(S454),ISNUMBER(T454)),T454-S454,"")</f>
        <v/>
      </c>
      <c r="AH454" s="15" t="str">
        <f aca="false">IF(AND(ISNUMBER(L454),ISNUMBER(T454)),T454-L454,"")</f>
        <v/>
      </c>
      <c r="AI454" s="15" t="str">
        <f aca="false">IF(AND(ISNUMBER(O454),ISNUMBER(Q454)),Q454-O454,"")</f>
        <v/>
      </c>
      <c r="AJ454" s="15" t="str">
        <f aca="false">IF(B454="","",COUNT(L454:M454,P454:T454)&amp;"/7")</f>
        <v/>
      </c>
      <c r="AK454" s="15" t="str">
        <f aca="false">IF(B454="","",IF(OR(AND(ISNUMBER(L454),ISNUMBER(M454),M454&lt;L454),AND(ISNUMBER(M454),ISNUMBER(P454),P454&lt;M454),AND(ISNUMBER(P454),ISNUMBER(Q454),Q454&lt;P454),AND(ISNUMBER(Q454),ISNUMBER(R454),R454&lt;Q454),AND(ISNUMBER(R454),ISNUMBER(S454),S454&lt;R454),AND(ISNUMBER(S454),ISNUMBER(T454),T454&lt;S454),AND(ISNUMBER(N454),ISNUMBER(O454),O454&lt;N454)),"Urutan tanggal salah",IF(AND(ISNUMBER(Q454),ISNUMBER(R454),ISNUMBER(Y454),ABS(R454-Q454-Y454)&gt;2),"S tanggal ≠ Sailing tercatat",IF(AND(ISNUMBER(Q454),ISNUMBER(O454),ABS(Q454-O454)&gt;60),"Cek tahun laycan",IF(AND(ISNUMBER(Q454),ISNUMBER(N454),Q454&lt;N454),"Berangkat sebelum laycan",IF(NOT(ISNUMBER(AE454)),"S belum ada","OK"))))))</f>
        <v/>
      </c>
    </row>
    <row r="455" customFormat="false" ht="15" hidden="false" customHeight="false" outlineLevel="0" collapsed="false">
      <c r="A455" s="16" t="str">
        <f aca="false">IF(B455="","",ROW()-4)</f>
        <v/>
      </c>
      <c r="B455" s="12"/>
      <c r="C455" s="16"/>
      <c r="D455" s="16"/>
      <c r="E455" s="16"/>
      <c r="F455" s="16"/>
      <c r="G455" s="16"/>
      <c r="H455" s="16"/>
      <c r="I455" s="16"/>
      <c r="J455" s="16"/>
      <c r="K455" s="16"/>
      <c r="L455" s="13"/>
      <c r="M455" s="13"/>
      <c r="N455" s="13"/>
      <c r="O455" s="13"/>
      <c r="P455" s="13"/>
      <c r="Q455" s="13"/>
      <c r="R455" s="13"/>
      <c r="S455" s="13"/>
      <c r="T455" s="13"/>
      <c r="U455" s="12"/>
      <c r="V455" s="14"/>
      <c r="W455" s="16"/>
      <c r="X455" s="16"/>
      <c r="Y455" s="16"/>
      <c r="Z455" s="16"/>
      <c r="AA455" s="15" t="str">
        <f aca="false">IF(AND(ISNUMBER(L455),ISNUMBER(M455)),M455-L455,"")</f>
        <v/>
      </c>
      <c r="AB455" s="15" t="str">
        <f aca="false">IF(AND(ISNUMBER(M455),ISNUMBER(P455)),P455-M455,"")</f>
        <v/>
      </c>
      <c r="AC455" s="15" t="str">
        <f aca="false">IF(AND(ISNUMBER(L455),ISNUMBER(P455)),P455-L455,"")</f>
        <v/>
      </c>
      <c r="AD455" s="15" t="str">
        <f aca="false">IF(AND(ISNUMBER(P455),ISNUMBER(Q455)),Q455-P455,"")</f>
        <v/>
      </c>
      <c r="AE455" s="15" t="str">
        <f aca="false">IF(AND(ISNUMBER(Q455),ISNUMBER(R455)),R455-Q455,IF(ISNUMBER(Y455),Y455,""))</f>
        <v/>
      </c>
      <c r="AF455" s="15" t="str">
        <f aca="false">IF(AND(ISNUMBER(R455),ISNUMBER(S455)),S455-R455,"")</f>
        <v/>
      </c>
      <c r="AG455" s="15" t="str">
        <f aca="false">IF(AND(ISNUMBER(S455),ISNUMBER(T455)),T455-S455,"")</f>
        <v/>
      </c>
      <c r="AH455" s="15" t="str">
        <f aca="false">IF(AND(ISNUMBER(L455),ISNUMBER(T455)),T455-L455,"")</f>
        <v/>
      </c>
      <c r="AI455" s="15" t="str">
        <f aca="false">IF(AND(ISNUMBER(O455),ISNUMBER(Q455)),Q455-O455,"")</f>
        <v/>
      </c>
      <c r="AJ455" s="15" t="str">
        <f aca="false">IF(B455="","",COUNT(L455:M455,P455:T455)&amp;"/7")</f>
        <v/>
      </c>
      <c r="AK455" s="15" t="str">
        <f aca="false">IF(B455="","",IF(OR(AND(ISNUMBER(L455),ISNUMBER(M455),M455&lt;L455),AND(ISNUMBER(M455),ISNUMBER(P455),P455&lt;M455),AND(ISNUMBER(P455),ISNUMBER(Q455),Q455&lt;P455),AND(ISNUMBER(Q455),ISNUMBER(R455),R455&lt;Q455),AND(ISNUMBER(R455),ISNUMBER(S455),S455&lt;R455),AND(ISNUMBER(S455),ISNUMBER(T455),T455&lt;S455),AND(ISNUMBER(N455),ISNUMBER(O455),O455&lt;N455)),"Urutan tanggal salah",IF(AND(ISNUMBER(Q455),ISNUMBER(R455),ISNUMBER(Y455),ABS(R455-Q455-Y455)&gt;2),"S tanggal ≠ Sailing tercatat",IF(AND(ISNUMBER(Q455),ISNUMBER(O455),ABS(Q455-O455)&gt;60),"Cek tahun laycan",IF(AND(ISNUMBER(Q455),ISNUMBER(N455),Q455&lt;N455),"Berangkat sebelum laycan",IF(NOT(ISNUMBER(AE455)),"S belum ada","OK"))))))</f>
        <v/>
      </c>
    </row>
    <row r="456" customFormat="false" ht="15" hidden="false" customHeight="false" outlineLevel="0" collapsed="false">
      <c r="A456" s="16" t="str">
        <f aca="false">IF(B456="","",ROW()-4)</f>
        <v/>
      </c>
      <c r="B456" s="12"/>
      <c r="C456" s="16"/>
      <c r="D456" s="16"/>
      <c r="E456" s="16"/>
      <c r="F456" s="16"/>
      <c r="G456" s="16"/>
      <c r="H456" s="16"/>
      <c r="I456" s="16"/>
      <c r="J456" s="16"/>
      <c r="K456" s="16"/>
      <c r="L456" s="13"/>
      <c r="M456" s="13"/>
      <c r="N456" s="13"/>
      <c r="O456" s="13"/>
      <c r="P456" s="13"/>
      <c r="Q456" s="13"/>
      <c r="R456" s="13"/>
      <c r="S456" s="13"/>
      <c r="T456" s="13"/>
      <c r="U456" s="12"/>
      <c r="V456" s="14"/>
      <c r="W456" s="16"/>
      <c r="X456" s="16"/>
      <c r="Y456" s="16"/>
      <c r="Z456" s="16"/>
      <c r="AA456" s="15" t="str">
        <f aca="false">IF(AND(ISNUMBER(L456),ISNUMBER(M456)),M456-L456,"")</f>
        <v/>
      </c>
      <c r="AB456" s="15" t="str">
        <f aca="false">IF(AND(ISNUMBER(M456),ISNUMBER(P456)),P456-M456,"")</f>
        <v/>
      </c>
      <c r="AC456" s="15" t="str">
        <f aca="false">IF(AND(ISNUMBER(L456),ISNUMBER(P456)),P456-L456,"")</f>
        <v/>
      </c>
      <c r="AD456" s="15" t="str">
        <f aca="false">IF(AND(ISNUMBER(P456),ISNUMBER(Q456)),Q456-P456,"")</f>
        <v/>
      </c>
      <c r="AE456" s="15" t="str">
        <f aca="false">IF(AND(ISNUMBER(Q456),ISNUMBER(R456)),R456-Q456,IF(ISNUMBER(Y456),Y456,""))</f>
        <v/>
      </c>
      <c r="AF456" s="15" t="str">
        <f aca="false">IF(AND(ISNUMBER(R456),ISNUMBER(S456)),S456-R456,"")</f>
        <v/>
      </c>
      <c r="AG456" s="15" t="str">
        <f aca="false">IF(AND(ISNUMBER(S456),ISNUMBER(T456)),T456-S456,"")</f>
        <v/>
      </c>
      <c r="AH456" s="15" t="str">
        <f aca="false">IF(AND(ISNUMBER(L456),ISNUMBER(T456)),T456-L456,"")</f>
        <v/>
      </c>
      <c r="AI456" s="15" t="str">
        <f aca="false">IF(AND(ISNUMBER(O456),ISNUMBER(Q456)),Q456-O456,"")</f>
        <v/>
      </c>
      <c r="AJ456" s="15" t="str">
        <f aca="false">IF(B456="","",COUNT(L456:M456,P456:T456)&amp;"/7")</f>
        <v/>
      </c>
      <c r="AK456" s="15" t="str">
        <f aca="false">IF(B456="","",IF(OR(AND(ISNUMBER(L456),ISNUMBER(M456),M456&lt;L456),AND(ISNUMBER(M456),ISNUMBER(P456),P456&lt;M456),AND(ISNUMBER(P456),ISNUMBER(Q456),Q456&lt;P456),AND(ISNUMBER(Q456),ISNUMBER(R456),R456&lt;Q456),AND(ISNUMBER(R456),ISNUMBER(S456),S456&lt;R456),AND(ISNUMBER(S456),ISNUMBER(T456),T456&lt;S456),AND(ISNUMBER(N456),ISNUMBER(O456),O456&lt;N456)),"Urutan tanggal salah",IF(AND(ISNUMBER(Q456),ISNUMBER(R456),ISNUMBER(Y456),ABS(R456-Q456-Y456)&gt;2),"S tanggal ≠ Sailing tercatat",IF(AND(ISNUMBER(Q456),ISNUMBER(O456),ABS(Q456-O456)&gt;60),"Cek tahun laycan",IF(AND(ISNUMBER(Q456),ISNUMBER(N456),Q456&lt;N456),"Berangkat sebelum laycan",IF(NOT(ISNUMBER(AE456)),"S belum ada","OK"))))))</f>
        <v/>
      </c>
    </row>
    <row r="457" customFormat="false" ht="15" hidden="false" customHeight="false" outlineLevel="0" collapsed="false">
      <c r="A457" s="16" t="str">
        <f aca="false">IF(B457="","",ROW()-4)</f>
        <v/>
      </c>
      <c r="B457" s="12"/>
      <c r="C457" s="16"/>
      <c r="D457" s="16"/>
      <c r="E457" s="16"/>
      <c r="F457" s="16"/>
      <c r="G457" s="16"/>
      <c r="H457" s="16"/>
      <c r="I457" s="16"/>
      <c r="J457" s="16"/>
      <c r="K457" s="16"/>
      <c r="L457" s="13"/>
      <c r="M457" s="13"/>
      <c r="N457" s="13"/>
      <c r="O457" s="13"/>
      <c r="P457" s="13"/>
      <c r="Q457" s="13"/>
      <c r="R457" s="13"/>
      <c r="S457" s="13"/>
      <c r="T457" s="13"/>
      <c r="U457" s="12"/>
      <c r="V457" s="14"/>
      <c r="W457" s="16"/>
      <c r="X457" s="16"/>
      <c r="Y457" s="16"/>
      <c r="Z457" s="16"/>
      <c r="AA457" s="15" t="str">
        <f aca="false">IF(AND(ISNUMBER(L457),ISNUMBER(M457)),M457-L457,"")</f>
        <v/>
      </c>
      <c r="AB457" s="15" t="str">
        <f aca="false">IF(AND(ISNUMBER(M457),ISNUMBER(P457)),P457-M457,"")</f>
        <v/>
      </c>
      <c r="AC457" s="15" t="str">
        <f aca="false">IF(AND(ISNUMBER(L457),ISNUMBER(P457)),P457-L457,"")</f>
        <v/>
      </c>
      <c r="AD457" s="15" t="str">
        <f aca="false">IF(AND(ISNUMBER(P457),ISNUMBER(Q457)),Q457-P457,"")</f>
        <v/>
      </c>
      <c r="AE457" s="15" t="str">
        <f aca="false">IF(AND(ISNUMBER(Q457),ISNUMBER(R457)),R457-Q457,IF(ISNUMBER(Y457),Y457,""))</f>
        <v/>
      </c>
      <c r="AF457" s="15" t="str">
        <f aca="false">IF(AND(ISNUMBER(R457),ISNUMBER(S457)),S457-R457,"")</f>
        <v/>
      </c>
      <c r="AG457" s="15" t="str">
        <f aca="false">IF(AND(ISNUMBER(S457),ISNUMBER(T457)),T457-S457,"")</f>
        <v/>
      </c>
      <c r="AH457" s="15" t="str">
        <f aca="false">IF(AND(ISNUMBER(L457),ISNUMBER(T457)),T457-L457,"")</f>
        <v/>
      </c>
      <c r="AI457" s="15" t="str">
        <f aca="false">IF(AND(ISNUMBER(O457),ISNUMBER(Q457)),Q457-O457,"")</f>
        <v/>
      </c>
      <c r="AJ457" s="15" t="str">
        <f aca="false">IF(B457="","",COUNT(L457:M457,P457:T457)&amp;"/7")</f>
        <v/>
      </c>
      <c r="AK457" s="15" t="str">
        <f aca="false">IF(B457="","",IF(OR(AND(ISNUMBER(L457),ISNUMBER(M457),M457&lt;L457),AND(ISNUMBER(M457),ISNUMBER(P457),P457&lt;M457),AND(ISNUMBER(P457),ISNUMBER(Q457),Q457&lt;P457),AND(ISNUMBER(Q457),ISNUMBER(R457),R457&lt;Q457),AND(ISNUMBER(R457),ISNUMBER(S457),S457&lt;R457),AND(ISNUMBER(S457),ISNUMBER(T457),T457&lt;S457),AND(ISNUMBER(N457),ISNUMBER(O457),O457&lt;N457)),"Urutan tanggal salah",IF(AND(ISNUMBER(Q457),ISNUMBER(R457),ISNUMBER(Y457),ABS(R457-Q457-Y457)&gt;2),"S tanggal ≠ Sailing tercatat",IF(AND(ISNUMBER(Q457),ISNUMBER(O457),ABS(Q457-O457)&gt;60),"Cek tahun laycan",IF(AND(ISNUMBER(Q457),ISNUMBER(N457),Q457&lt;N457),"Berangkat sebelum laycan",IF(NOT(ISNUMBER(AE457)),"S belum ada","OK"))))))</f>
        <v/>
      </c>
    </row>
    <row r="458" customFormat="false" ht="15" hidden="false" customHeight="false" outlineLevel="0" collapsed="false">
      <c r="A458" s="16" t="str">
        <f aca="false">IF(B458="","",ROW()-4)</f>
        <v/>
      </c>
      <c r="B458" s="12"/>
      <c r="C458" s="16"/>
      <c r="D458" s="16"/>
      <c r="E458" s="16"/>
      <c r="F458" s="16"/>
      <c r="G458" s="16"/>
      <c r="H458" s="16"/>
      <c r="I458" s="16"/>
      <c r="J458" s="16"/>
      <c r="K458" s="16"/>
      <c r="L458" s="13"/>
      <c r="M458" s="13"/>
      <c r="N458" s="13"/>
      <c r="O458" s="13"/>
      <c r="P458" s="13"/>
      <c r="Q458" s="13"/>
      <c r="R458" s="13"/>
      <c r="S458" s="13"/>
      <c r="T458" s="13"/>
      <c r="U458" s="12"/>
      <c r="V458" s="14"/>
      <c r="W458" s="16"/>
      <c r="X458" s="16"/>
      <c r="Y458" s="16"/>
      <c r="Z458" s="16"/>
      <c r="AA458" s="15" t="str">
        <f aca="false">IF(AND(ISNUMBER(L458),ISNUMBER(M458)),M458-L458,"")</f>
        <v/>
      </c>
      <c r="AB458" s="15" t="str">
        <f aca="false">IF(AND(ISNUMBER(M458),ISNUMBER(P458)),P458-M458,"")</f>
        <v/>
      </c>
      <c r="AC458" s="15" t="str">
        <f aca="false">IF(AND(ISNUMBER(L458),ISNUMBER(P458)),P458-L458,"")</f>
        <v/>
      </c>
      <c r="AD458" s="15" t="str">
        <f aca="false">IF(AND(ISNUMBER(P458),ISNUMBER(Q458)),Q458-P458,"")</f>
        <v/>
      </c>
      <c r="AE458" s="15" t="str">
        <f aca="false">IF(AND(ISNUMBER(Q458),ISNUMBER(R458)),R458-Q458,IF(ISNUMBER(Y458),Y458,""))</f>
        <v/>
      </c>
      <c r="AF458" s="15" t="str">
        <f aca="false">IF(AND(ISNUMBER(R458),ISNUMBER(S458)),S458-R458,"")</f>
        <v/>
      </c>
      <c r="AG458" s="15" t="str">
        <f aca="false">IF(AND(ISNUMBER(S458),ISNUMBER(T458)),T458-S458,"")</f>
        <v/>
      </c>
      <c r="AH458" s="15" t="str">
        <f aca="false">IF(AND(ISNUMBER(L458),ISNUMBER(T458)),T458-L458,"")</f>
        <v/>
      </c>
      <c r="AI458" s="15" t="str">
        <f aca="false">IF(AND(ISNUMBER(O458),ISNUMBER(Q458)),Q458-O458,"")</f>
        <v/>
      </c>
      <c r="AJ458" s="15" t="str">
        <f aca="false">IF(B458="","",COUNT(L458:M458,P458:T458)&amp;"/7")</f>
        <v/>
      </c>
      <c r="AK458" s="15" t="str">
        <f aca="false">IF(B458="","",IF(OR(AND(ISNUMBER(L458),ISNUMBER(M458),M458&lt;L458),AND(ISNUMBER(M458),ISNUMBER(P458),P458&lt;M458),AND(ISNUMBER(P458),ISNUMBER(Q458),Q458&lt;P458),AND(ISNUMBER(Q458),ISNUMBER(R458),R458&lt;Q458),AND(ISNUMBER(R458),ISNUMBER(S458),S458&lt;R458),AND(ISNUMBER(S458),ISNUMBER(T458),T458&lt;S458),AND(ISNUMBER(N458),ISNUMBER(O458),O458&lt;N458)),"Urutan tanggal salah",IF(AND(ISNUMBER(Q458),ISNUMBER(R458),ISNUMBER(Y458),ABS(R458-Q458-Y458)&gt;2),"S tanggal ≠ Sailing tercatat",IF(AND(ISNUMBER(Q458),ISNUMBER(O458),ABS(Q458-O458)&gt;60),"Cek tahun laycan",IF(AND(ISNUMBER(Q458),ISNUMBER(N458),Q458&lt;N458),"Berangkat sebelum laycan",IF(NOT(ISNUMBER(AE458)),"S belum ada","OK"))))))</f>
        <v/>
      </c>
    </row>
    <row r="459" customFormat="false" ht="15" hidden="false" customHeight="false" outlineLevel="0" collapsed="false">
      <c r="A459" s="16" t="str">
        <f aca="false">IF(B459="","",ROW()-4)</f>
        <v/>
      </c>
      <c r="B459" s="12"/>
      <c r="C459" s="16"/>
      <c r="D459" s="16"/>
      <c r="E459" s="16"/>
      <c r="F459" s="16"/>
      <c r="G459" s="16"/>
      <c r="H459" s="16"/>
      <c r="I459" s="16"/>
      <c r="J459" s="16"/>
      <c r="K459" s="16"/>
      <c r="L459" s="13"/>
      <c r="M459" s="13"/>
      <c r="N459" s="13"/>
      <c r="O459" s="13"/>
      <c r="P459" s="13"/>
      <c r="Q459" s="13"/>
      <c r="R459" s="13"/>
      <c r="S459" s="13"/>
      <c r="T459" s="13"/>
      <c r="U459" s="12"/>
      <c r="V459" s="14"/>
      <c r="W459" s="16"/>
      <c r="X459" s="16"/>
      <c r="Y459" s="16"/>
      <c r="Z459" s="16"/>
      <c r="AA459" s="15" t="str">
        <f aca="false">IF(AND(ISNUMBER(L459),ISNUMBER(M459)),M459-L459,"")</f>
        <v/>
      </c>
      <c r="AB459" s="15" t="str">
        <f aca="false">IF(AND(ISNUMBER(M459),ISNUMBER(P459)),P459-M459,"")</f>
        <v/>
      </c>
      <c r="AC459" s="15" t="str">
        <f aca="false">IF(AND(ISNUMBER(L459),ISNUMBER(P459)),P459-L459,"")</f>
        <v/>
      </c>
      <c r="AD459" s="15" t="str">
        <f aca="false">IF(AND(ISNUMBER(P459),ISNUMBER(Q459)),Q459-P459,"")</f>
        <v/>
      </c>
      <c r="AE459" s="15" t="str">
        <f aca="false">IF(AND(ISNUMBER(Q459),ISNUMBER(R459)),R459-Q459,IF(ISNUMBER(Y459),Y459,""))</f>
        <v/>
      </c>
      <c r="AF459" s="15" t="str">
        <f aca="false">IF(AND(ISNUMBER(R459),ISNUMBER(S459)),S459-R459,"")</f>
        <v/>
      </c>
      <c r="AG459" s="15" t="str">
        <f aca="false">IF(AND(ISNUMBER(S459),ISNUMBER(T459)),T459-S459,"")</f>
        <v/>
      </c>
      <c r="AH459" s="15" t="str">
        <f aca="false">IF(AND(ISNUMBER(L459),ISNUMBER(T459)),T459-L459,"")</f>
        <v/>
      </c>
      <c r="AI459" s="15" t="str">
        <f aca="false">IF(AND(ISNUMBER(O459),ISNUMBER(Q459)),Q459-O459,"")</f>
        <v/>
      </c>
      <c r="AJ459" s="15" t="str">
        <f aca="false">IF(B459="","",COUNT(L459:M459,P459:T459)&amp;"/7")</f>
        <v/>
      </c>
      <c r="AK459" s="15" t="str">
        <f aca="false">IF(B459="","",IF(OR(AND(ISNUMBER(L459),ISNUMBER(M459),M459&lt;L459),AND(ISNUMBER(M459),ISNUMBER(P459),P459&lt;M459),AND(ISNUMBER(P459),ISNUMBER(Q459),Q459&lt;P459),AND(ISNUMBER(Q459),ISNUMBER(R459),R459&lt;Q459),AND(ISNUMBER(R459),ISNUMBER(S459),S459&lt;R459),AND(ISNUMBER(S459),ISNUMBER(T459),T459&lt;S459),AND(ISNUMBER(N459),ISNUMBER(O459),O459&lt;N459)),"Urutan tanggal salah",IF(AND(ISNUMBER(Q459),ISNUMBER(R459),ISNUMBER(Y459),ABS(R459-Q459-Y459)&gt;2),"S tanggal ≠ Sailing tercatat",IF(AND(ISNUMBER(Q459),ISNUMBER(O459),ABS(Q459-O459)&gt;60),"Cek tahun laycan",IF(AND(ISNUMBER(Q459),ISNUMBER(N459),Q459&lt;N459),"Berangkat sebelum laycan",IF(NOT(ISNUMBER(AE459)),"S belum ada","OK"))))))</f>
        <v/>
      </c>
    </row>
    <row r="460" customFormat="false" ht="15" hidden="false" customHeight="false" outlineLevel="0" collapsed="false">
      <c r="A460" s="16" t="str">
        <f aca="false">IF(B460="","",ROW()-4)</f>
        <v/>
      </c>
      <c r="B460" s="12"/>
      <c r="C460" s="16"/>
      <c r="D460" s="16"/>
      <c r="E460" s="16"/>
      <c r="F460" s="16"/>
      <c r="G460" s="16"/>
      <c r="H460" s="16"/>
      <c r="I460" s="16"/>
      <c r="J460" s="16"/>
      <c r="K460" s="16"/>
      <c r="L460" s="13"/>
      <c r="M460" s="13"/>
      <c r="N460" s="13"/>
      <c r="O460" s="13"/>
      <c r="P460" s="13"/>
      <c r="Q460" s="13"/>
      <c r="R460" s="13"/>
      <c r="S460" s="13"/>
      <c r="T460" s="13"/>
      <c r="U460" s="12"/>
      <c r="V460" s="14"/>
      <c r="W460" s="16"/>
      <c r="X460" s="16"/>
      <c r="Y460" s="16"/>
      <c r="Z460" s="16"/>
      <c r="AA460" s="15" t="str">
        <f aca="false">IF(AND(ISNUMBER(L460),ISNUMBER(M460)),M460-L460,"")</f>
        <v/>
      </c>
      <c r="AB460" s="15" t="str">
        <f aca="false">IF(AND(ISNUMBER(M460),ISNUMBER(P460)),P460-M460,"")</f>
        <v/>
      </c>
      <c r="AC460" s="15" t="str">
        <f aca="false">IF(AND(ISNUMBER(L460),ISNUMBER(P460)),P460-L460,"")</f>
        <v/>
      </c>
      <c r="AD460" s="15" t="str">
        <f aca="false">IF(AND(ISNUMBER(P460),ISNUMBER(Q460)),Q460-P460,"")</f>
        <v/>
      </c>
      <c r="AE460" s="15" t="str">
        <f aca="false">IF(AND(ISNUMBER(Q460),ISNUMBER(R460)),R460-Q460,IF(ISNUMBER(Y460),Y460,""))</f>
        <v/>
      </c>
      <c r="AF460" s="15" t="str">
        <f aca="false">IF(AND(ISNUMBER(R460),ISNUMBER(S460)),S460-R460,"")</f>
        <v/>
      </c>
      <c r="AG460" s="15" t="str">
        <f aca="false">IF(AND(ISNUMBER(S460),ISNUMBER(T460)),T460-S460,"")</f>
        <v/>
      </c>
      <c r="AH460" s="15" t="str">
        <f aca="false">IF(AND(ISNUMBER(L460),ISNUMBER(T460)),T460-L460,"")</f>
        <v/>
      </c>
      <c r="AI460" s="15" t="str">
        <f aca="false">IF(AND(ISNUMBER(O460),ISNUMBER(Q460)),Q460-O460,"")</f>
        <v/>
      </c>
      <c r="AJ460" s="15" t="str">
        <f aca="false">IF(B460="","",COUNT(L460:M460,P460:T460)&amp;"/7")</f>
        <v/>
      </c>
      <c r="AK460" s="15" t="str">
        <f aca="false">IF(B460="","",IF(OR(AND(ISNUMBER(L460),ISNUMBER(M460),M460&lt;L460),AND(ISNUMBER(M460),ISNUMBER(P460),P460&lt;M460),AND(ISNUMBER(P460),ISNUMBER(Q460),Q460&lt;P460),AND(ISNUMBER(Q460),ISNUMBER(R460),R460&lt;Q460),AND(ISNUMBER(R460),ISNUMBER(S460),S460&lt;R460),AND(ISNUMBER(S460),ISNUMBER(T460),T460&lt;S460),AND(ISNUMBER(N460),ISNUMBER(O460),O460&lt;N460)),"Urutan tanggal salah",IF(AND(ISNUMBER(Q460),ISNUMBER(R460),ISNUMBER(Y460),ABS(R460-Q460-Y460)&gt;2),"S tanggal ≠ Sailing tercatat",IF(AND(ISNUMBER(Q460),ISNUMBER(O460),ABS(Q460-O460)&gt;60),"Cek tahun laycan",IF(AND(ISNUMBER(Q460),ISNUMBER(N460),Q460&lt;N460),"Berangkat sebelum laycan",IF(NOT(ISNUMBER(AE460)),"S belum ada","OK"))))))</f>
        <v/>
      </c>
    </row>
    <row r="461" customFormat="false" ht="15" hidden="false" customHeight="false" outlineLevel="0" collapsed="false">
      <c r="A461" s="16" t="str">
        <f aca="false">IF(B461="","",ROW()-4)</f>
        <v/>
      </c>
      <c r="B461" s="12"/>
      <c r="C461" s="16"/>
      <c r="D461" s="16"/>
      <c r="E461" s="16"/>
      <c r="F461" s="16"/>
      <c r="G461" s="16"/>
      <c r="H461" s="16"/>
      <c r="I461" s="16"/>
      <c r="J461" s="16"/>
      <c r="K461" s="16"/>
      <c r="L461" s="13"/>
      <c r="M461" s="13"/>
      <c r="N461" s="13"/>
      <c r="O461" s="13"/>
      <c r="P461" s="13"/>
      <c r="Q461" s="13"/>
      <c r="R461" s="13"/>
      <c r="S461" s="13"/>
      <c r="T461" s="13"/>
      <c r="U461" s="12"/>
      <c r="V461" s="14"/>
      <c r="W461" s="16"/>
      <c r="X461" s="16"/>
      <c r="Y461" s="16"/>
      <c r="Z461" s="16"/>
      <c r="AA461" s="15" t="str">
        <f aca="false">IF(AND(ISNUMBER(L461),ISNUMBER(M461)),M461-L461,"")</f>
        <v/>
      </c>
      <c r="AB461" s="15" t="str">
        <f aca="false">IF(AND(ISNUMBER(M461),ISNUMBER(P461)),P461-M461,"")</f>
        <v/>
      </c>
      <c r="AC461" s="15" t="str">
        <f aca="false">IF(AND(ISNUMBER(L461),ISNUMBER(P461)),P461-L461,"")</f>
        <v/>
      </c>
      <c r="AD461" s="15" t="str">
        <f aca="false">IF(AND(ISNUMBER(P461),ISNUMBER(Q461)),Q461-P461,"")</f>
        <v/>
      </c>
      <c r="AE461" s="15" t="str">
        <f aca="false">IF(AND(ISNUMBER(Q461),ISNUMBER(R461)),R461-Q461,IF(ISNUMBER(Y461),Y461,""))</f>
        <v/>
      </c>
      <c r="AF461" s="15" t="str">
        <f aca="false">IF(AND(ISNUMBER(R461),ISNUMBER(S461)),S461-R461,"")</f>
        <v/>
      </c>
      <c r="AG461" s="15" t="str">
        <f aca="false">IF(AND(ISNUMBER(S461),ISNUMBER(T461)),T461-S461,"")</f>
        <v/>
      </c>
      <c r="AH461" s="15" t="str">
        <f aca="false">IF(AND(ISNUMBER(L461),ISNUMBER(T461)),T461-L461,"")</f>
        <v/>
      </c>
      <c r="AI461" s="15" t="str">
        <f aca="false">IF(AND(ISNUMBER(O461),ISNUMBER(Q461)),Q461-O461,"")</f>
        <v/>
      </c>
      <c r="AJ461" s="15" t="str">
        <f aca="false">IF(B461="","",COUNT(L461:M461,P461:T461)&amp;"/7")</f>
        <v/>
      </c>
      <c r="AK461" s="15" t="str">
        <f aca="false">IF(B461="","",IF(OR(AND(ISNUMBER(L461),ISNUMBER(M461),M461&lt;L461),AND(ISNUMBER(M461),ISNUMBER(P461),P461&lt;M461),AND(ISNUMBER(P461),ISNUMBER(Q461),Q461&lt;P461),AND(ISNUMBER(Q461),ISNUMBER(R461),R461&lt;Q461),AND(ISNUMBER(R461),ISNUMBER(S461),S461&lt;R461),AND(ISNUMBER(S461),ISNUMBER(T461),T461&lt;S461),AND(ISNUMBER(N461),ISNUMBER(O461),O461&lt;N461)),"Urutan tanggal salah",IF(AND(ISNUMBER(Q461),ISNUMBER(R461),ISNUMBER(Y461),ABS(R461-Q461-Y461)&gt;2),"S tanggal ≠ Sailing tercatat",IF(AND(ISNUMBER(Q461),ISNUMBER(O461),ABS(Q461-O461)&gt;60),"Cek tahun laycan",IF(AND(ISNUMBER(Q461),ISNUMBER(N461),Q461&lt;N461),"Berangkat sebelum laycan",IF(NOT(ISNUMBER(AE461)),"S belum ada","OK"))))))</f>
        <v/>
      </c>
    </row>
    <row r="462" customFormat="false" ht="15" hidden="false" customHeight="false" outlineLevel="0" collapsed="false">
      <c r="A462" s="16" t="str">
        <f aca="false">IF(B462="","",ROW()-4)</f>
        <v/>
      </c>
      <c r="B462" s="12"/>
      <c r="C462" s="16"/>
      <c r="D462" s="16"/>
      <c r="E462" s="16"/>
      <c r="F462" s="16"/>
      <c r="G462" s="16"/>
      <c r="H462" s="16"/>
      <c r="I462" s="16"/>
      <c r="J462" s="16"/>
      <c r="K462" s="16"/>
      <c r="L462" s="13"/>
      <c r="M462" s="13"/>
      <c r="N462" s="13"/>
      <c r="O462" s="13"/>
      <c r="P462" s="13"/>
      <c r="Q462" s="13"/>
      <c r="R462" s="13"/>
      <c r="S462" s="13"/>
      <c r="T462" s="13"/>
      <c r="U462" s="12"/>
      <c r="V462" s="14"/>
      <c r="W462" s="16"/>
      <c r="X462" s="16"/>
      <c r="Y462" s="16"/>
      <c r="Z462" s="16"/>
      <c r="AA462" s="15" t="str">
        <f aca="false">IF(AND(ISNUMBER(L462),ISNUMBER(M462)),M462-L462,"")</f>
        <v/>
      </c>
      <c r="AB462" s="15" t="str">
        <f aca="false">IF(AND(ISNUMBER(M462),ISNUMBER(P462)),P462-M462,"")</f>
        <v/>
      </c>
      <c r="AC462" s="15" t="str">
        <f aca="false">IF(AND(ISNUMBER(L462),ISNUMBER(P462)),P462-L462,"")</f>
        <v/>
      </c>
      <c r="AD462" s="15" t="str">
        <f aca="false">IF(AND(ISNUMBER(P462),ISNUMBER(Q462)),Q462-P462,"")</f>
        <v/>
      </c>
      <c r="AE462" s="15" t="str">
        <f aca="false">IF(AND(ISNUMBER(Q462),ISNUMBER(R462)),R462-Q462,IF(ISNUMBER(Y462),Y462,""))</f>
        <v/>
      </c>
      <c r="AF462" s="15" t="str">
        <f aca="false">IF(AND(ISNUMBER(R462),ISNUMBER(S462)),S462-R462,"")</f>
        <v/>
      </c>
      <c r="AG462" s="15" t="str">
        <f aca="false">IF(AND(ISNUMBER(S462),ISNUMBER(T462)),T462-S462,"")</f>
        <v/>
      </c>
      <c r="AH462" s="15" t="str">
        <f aca="false">IF(AND(ISNUMBER(L462),ISNUMBER(T462)),T462-L462,"")</f>
        <v/>
      </c>
      <c r="AI462" s="15" t="str">
        <f aca="false">IF(AND(ISNUMBER(O462),ISNUMBER(Q462)),Q462-O462,"")</f>
        <v/>
      </c>
      <c r="AJ462" s="15" t="str">
        <f aca="false">IF(B462="","",COUNT(L462:M462,P462:T462)&amp;"/7")</f>
        <v/>
      </c>
      <c r="AK462" s="15" t="str">
        <f aca="false">IF(B462="","",IF(OR(AND(ISNUMBER(L462),ISNUMBER(M462),M462&lt;L462),AND(ISNUMBER(M462),ISNUMBER(P462),P462&lt;M462),AND(ISNUMBER(P462),ISNUMBER(Q462),Q462&lt;P462),AND(ISNUMBER(Q462),ISNUMBER(R462),R462&lt;Q462),AND(ISNUMBER(R462),ISNUMBER(S462),S462&lt;R462),AND(ISNUMBER(S462),ISNUMBER(T462),T462&lt;S462),AND(ISNUMBER(N462),ISNUMBER(O462),O462&lt;N462)),"Urutan tanggal salah",IF(AND(ISNUMBER(Q462),ISNUMBER(R462),ISNUMBER(Y462),ABS(R462-Q462-Y462)&gt;2),"S tanggal ≠ Sailing tercatat",IF(AND(ISNUMBER(Q462),ISNUMBER(O462),ABS(Q462-O462)&gt;60),"Cek tahun laycan",IF(AND(ISNUMBER(Q462),ISNUMBER(N462),Q462&lt;N462),"Berangkat sebelum laycan",IF(NOT(ISNUMBER(AE462)),"S belum ada","OK"))))))</f>
        <v/>
      </c>
    </row>
    <row r="463" customFormat="false" ht="15" hidden="false" customHeight="false" outlineLevel="0" collapsed="false">
      <c r="A463" s="16" t="str">
        <f aca="false">IF(B463="","",ROW()-4)</f>
        <v/>
      </c>
      <c r="B463" s="12"/>
      <c r="C463" s="16"/>
      <c r="D463" s="16"/>
      <c r="E463" s="16"/>
      <c r="F463" s="16"/>
      <c r="G463" s="16"/>
      <c r="H463" s="16"/>
      <c r="I463" s="16"/>
      <c r="J463" s="16"/>
      <c r="K463" s="16"/>
      <c r="L463" s="13"/>
      <c r="M463" s="13"/>
      <c r="N463" s="13"/>
      <c r="O463" s="13"/>
      <c r="P463" s="13"/>
      <c r="Q463" s="13"/>
      <c r="R463" s="13"/>
      <c r="S463" s="13"/>
      <c r="T463" s="13"/>
      <c r="U463" s="12"/>
      <c r="V463" s="14"/>
      <c r="W463" s="16"/>
      <c r="X463" s="16"/>
      <c r="Y463" s="16"/>
      <c r="Z463" s="16"/>
      <c r="AA463" s="15" t="str">
        <f aca="false">IF(AND(ISNUMBER(L463),ISNUMBER(M463)),M463-L463,"")</f>
        <v/>
      </c>
      <c r="AB463" s="15" t="str">
        <f aca="false">IF(AND(ISNUMBER(M463),ISNUMBER(P463)),P463-M463,"")</f>
        <v/>
      </c>
      <c r="AC463" s="15" t="str">
        <f aca="false">IF(AND(ISNUMBER(L463),ISNUMBER(P463)),P463-L463,"")</f>
        <v/>
      </c>
      <c r="AD463" s="15" t="str">
        <f aca="false">IF(AND(ISNUMBER(P463),ISNUMBER(Q463)),Q463-P463,"")</f>
        <v/>
      </c>
      <c r="AE463" s="15" t="str">
        <f aca="false">IF(AND(ISNUMBER(Q463),ISNUMBER(R463)),R463-Q463,IF(ISNUMBER(Y463),Y463,""))</f>
        <v/>
      </c>
      <c r="AF463" s="15" t="str">
        <f aca="false">IF(AND(ISNUMBER(R463),ISNUMBER(S463)),S463-R463,"")</f>
        <v/>
      </c>
      <c r="AG463" s="15" t="str">
        <f aca="false">IF(AND(ISNUMBER(S463),ISNUMBER(T463)),T463-S463,"")</f>
        <v/>
      </c>
      <c r="AH463" s="15" t="str">
        <f aca="false">IF(AND(ISNUMBER(L463),ISNUMBER(T463)),T463-L463,"")</f>
        <v/>
      </c>
      <c r="AI463" s="15" t="str">
        <f aca="false">IF(AND(ISNUMBER(O463),ISNUMBER(Q463)),Q463-O463,"")</f>
        <v/>
      </c>
      <c r="AJ463" s="15" t="str">
        <f aca="false">IF(B463="","",COUNT(L463:M463,P463:T463)&amp;"/7")</f>
        <v/>
      </c>
      <c r="AK463" s="15" t="str">
        <f aca="false">IF(B463="","",IF(OR(AND(ISNUMBER(L463),ISNUMBER(M463),M463&lt;L463),AND(ISNUMBER(M463),ISNUMBER(P463),P463&lt;M463),AND(ISNUMBER(P463),ISNUMBER(Q463),Q463&lt;P463),AND(ISNUMBER(Q463),ISNUMBER(R463),R463&lt;Q463),AND(ISNUMBER(R463),ISNUMBER(S463),S463&lt;R463),AND(ISNUMBER(S463),ISNUMBER(T463),T463&lt;S463),AND(ISNUMBER(N463),ISNUMBER(O463),O463&lt;N463)),"Urutan tanggal salah",IF(AND(ISNUMBER(Q463),ISNUMBER(R463),ISNUMBER(Y463),ABS(R463-Q463-Y463)&gt;2),"S tanggal ≠ Sailing tercatat",IF(AND(ISNUMBER(Q463),ISNUMBER(O463),ABS(Q463-O463)&gt;60),"Cek tahun laycan",IF(AND(ISNUMBER(Q463),ISNUMBER(N463),Q463&lt;N463),"Berangkat sebelum laycan",IF(NOT(ISNUMBER(AE463)),"S belum ada","OK"))))))</f>
        <v/>
      </c>
    </row>
    <row r="464" customFormat="false" ht="15" hidden="false" customHeight="false" outlineLevel="0" collapsed="false">
      <c r="A464" s="16" t="str">
        <f aca="false">IF(B464="","",ROW()-4)</f>
        <v/>
      </c>
      <c r="B464" s="12"/>
      <c r="C464" s="16"/>
      <c r="D464" s="16"/>
      <c r="E464" s="16"/>
      <c r="F464" s="16"/>
      <c r="G464" s="16"/>
      <c r="H464" s="16"/>
      <c r="I464" s="16"/>
      <c r="J464" s="16"/>
      <c r="K464" s="16"/>
      <c r="L464" s="13"/>
      <c r="M464" s="13"/>
      <c r="N464" s="13"/>
      <c r="O464" s="13"/>
      <c r="P464" s="13"/>
      <c r="Q464" s="13"/>
      <c r="R464" s="13"/>
      <c r="S464" s="13"/>
      <c r="T464" s="13"/>
      <c r="U464" s="12"/>
      <c r="V464" s="14"/>
      <c r="W464" s="16"/>
      <c r="X464" s="16"/>
      <c r="Y464" s="16"/>
      <c r="Z464" s="16"/>
      <c r="AA464" s="15" t="str">
        <f aca="false">IF(AND(ISNUMBER(L464),ISNUMBER(M464)),M464-L464,"")</f>
        <v/>
      </c>
      <c r="AB464" s="15" t="str">
        <f aca="false">IF(AND(ISNUMBER(M464),ISNUMBER(P464)),P464-M464,"")</f>
        <v/>
      </c>
      <c r="AC464" s="15" t="str">
        <f aca="false">IF(AND(ISNUMBER(L464),ISNUMBER(P464)),P464-L464,"")</f>
        <v/>
      </c>
      <c r="AD464" s="15" t="str">
        <f aca="false">IF(AND(ISNUMBER(P464),ISNUMBER(Q464)),Q464-P464,"")</f>
        <v/>
      </c>
      <c r="AE464" s="15" t="str">
        <f aca="false">IF(AND(ISNUMBER(Q464),ISNUMBER(R464)),R464-Q464,IF(ISNUMBER(Y464),Y464,""))</f>
        <v/>
      </c>
      <c r="AF464" s="15" t="str">
        <f aca="false">IF(AND(ISNUMBER(R464),ISNUMBER(S464)),S464-R464,"")</f>
        <v/>
      </c>
      <c r="AG464" s="15" t="str">
        <f aca="false">IF(AND(ISNUMBER(S464),ISNUMBER(T464)),T464-S464,"")</f>
        <v/>
      </c>
      <c r="AH464" s="15" t="str">
        <f aca="false">IF(AND(ISNUMBER(L464),ISNUMBER(T464)),T464-L464,"")</f>
        <v/>
      </c>
      <c r="AI464" s="15" t="str">
        <f aca="false">IF(AND(ISNUMBER(O464),ISNUMBER(Q464)),Q464-O464,"")</f>
        <v/>
      </c>
      <c r="AJ464" s="15" t="str">
        <f aca="false">IF(B464="","",COUNT(L464:M464,P464:T464)&amp;"/7")</f>
        <v/>
      </c>
      <c r="AK464" s="15" t="str">
        <f aca="false">IF(B464="","",IF(OR(AND(ISNUMBER(L464),ISNUMBER(M464),M464&lt;L464),AND(ISNUMBER(M464),ISNUMBER(P464),P464&lt;M464),AND(ISNUMBER(P464),ISNUMBER(Q464),Q464&lt;P464),AND(ISNUMBER(Q464),ISNUMBER(R464),R464&lt;Q464),AND(ISNUMBER(R464),ISNUMBER(S464),S464&lt;R464),AND(ISNUMBER(S464),ISNUMBER(T464),T464&lt;S464),AND(ISNUMBER(N464),ISNUMBER(O464),O464&lt;N464)),"Urutan tanggal salah",IF(AND(ISNUMBER(Q464),ISNUMBER(R464),ISNUMBER(Y464),ABS(R464-Q464-Y464)&gt;2),"S tanggal ≠ Sailing tercatat",IF(AND(ISNUMBER(Q464),ISNUMBER(O464),ABS(Q464-O464)&gt;60),"Cek tahun laycan",IF(AND(ISNUMBER(Q464),ISNUMBER(N464),Q464&lt;N464),"Berangkat sebelum laycan",IF(NOT(ISNUMBER(AE464)),"S belum ada","OK"))))))</f>
        <v/>
      </c>
    </row>
    <row r="465" customFormat="false" ht="15" hidden="false" customHeight="false" outlineLevel="0" collapsed="false">
      <c r="A465" s="16" t="str">
        <f aca="false">IF(B465="","",ROW()-4)</f>
        <v/>
      </c>
      <c r="B465" s="12"/>
      <c r="C465" s="16"/>
      <c r="D465" s="16"/>
      <c r="E465" s="16"/>
      <c r="F465" s="16"/>
      <c r="G465" s="16"/>
      <c r="H465" s="16"/>
      <c r="I465" s="16"/>
      <c r="J465" s="16"/>
      <c r="K465" s="16"/>
      <c r="L465" s="13"/>
      <c r="M465" s="13"/>
      <c r="N465" s="13"/>
      <c r="O465" s="13"/>
      <c r="P465" s="13"/>
      <c r="Q465" s="13"/>
      <c r="R465" s="13"/>
      <c r="S465" s="13"/>
      <c r="T465" s="13"/>
      <c r="U465" s="12"/>
      <c r="V465" s="14"/>
      <c r="W465" s="16"/>
      <c r="X465" s="16"/>
      <c r="Y465" s="16"/>
      <c r="Z465" s="16"/>
      <c r="AA465" s="15" t="str">
        <f aca="false">IF(AND(ISNUMBER(L465),ISNUMBER(M465)),M465-L465,"")</f>
        <v/>
      </c>
      <c r="AB465" s="15" t="str">
        <f aca="false">IF(AND(ISNUMBER(M465),ISNUMBER(P465)),P465-M465,"")</f>
        <v/>
      </c>
      <c r="AC465" s="15" t="str">
        <f aca="false">IF(AND(ISNUMBER(L465),ISNUMBER(P465)),P465-L465,"")</f>
        <v/>
      </c>
      <c r="AD465" s="15" t="str">
        <f aca="false">IF(AND(ISNUMBER(P465),ISNUMBER(Q465)),Q465-P465,"")</f>
        <v/>
      </c>
      <c r="AE465" s="15" t="str">
        <f aca="false">IF(AND(ISNUMBER(Q465),ISNUMBER(R465)),R465-Q465,IF(ISNUMBER(Y465),Y465,""))</f>
        <v/>
      </c>
      <c r="AF465" s="15" t="str">
        <f aca="false">IF(AND(ISNUMBER(R465),ISNUMBER(S465)),S465-R465,"")</f>
        <v/>
      </c>
      <c r="AG465" s="15" t="str">
        <f aca="false">IF(AND(ISNUMBER(S465),ISNUMBER(T465)),T465-S465,"")</f>
        <v/>
      </c>
      <c r="AH465" s="15" t="str">
        <f aca="false">IF(AND(ISNUMBER(L465),ISNUMBER(T465)),T465-L465,"")</f>
        <v/>
      </c>
      <c r="AI465" s="15" t="str">
        <f aca="false">IF(AND(ISNUMBER(O465),ISNUMBER(Q465)),Q465-O465,"")</f>
        <v/>
      </c>
      <c r="AJ465" s="15" t="str">
        <f aca="false">IF(B465="","",COUNT(L465:M465,P465:T465)&amp;"/7")</f>
        <v/>
      </c>
      <c r="AK465" s="15" t="str">
        <f aca="false">IF(B465="","",IF(OR(AND(ISNUMBER(L465),ISNUMBER(M465),M465&lt;L465),AND(ISNUMBER(M465),ISNUMBER(P465),P465&lt;M465),AND(ISNUMBER(P465),ISNUMBER(Q465),Q465&lt;P465),AND(ISNUMBER(Q465),ISNUMBER(R465),R465&lt;Q465),AND(ISNUMBER(R465),ISNUMBER(S465),S465&lt;R465),AND(ISNUMBER(S465),ISNUMBER(T465),T465&lt;S465),AND(ISNUMBER(N465),ISNUMBER(O465),O465&lt;N465)),"Urutan tanggal salah",IF(AND(ISNUMBER(Q465),ISNUMBER(R465),ISNUMBER(Y465),ABS(R465-Q465-Y465)&gt;2),"S tanggal ≠ Sailing tercatat",IF(AND(ISNUMBER(Q465),ISNUMBER(O465),ABS(Q465-O465)&gt;60),"Cek tahun laycan",IF(AND(ISNUMBER(Q465),ISNUMBER(N465),Q465&lt;N465),"Berangkat sebelum laycan",IF(NOT(ISNUMBER(AE465)),"S belum ada","OK"))))))</f>
        <v/>
      </c>
    </row>
    <row r="466" customFormat="false" ht="15" hidden="false" customHeight="false" outlineLevel="0" collapsed="false">
      <c r="A466" s="16" t="str">
        <f aca="false">IF(B466="","",ROW()-4)</f>
        <v/>
      </c>
      <c r="B466" s="12"/>
      <c r="C466" s="16"/>
      <c r="D466" s="16"/>
      <c r="E466" s="16"/>
      <c r="F466" s="16"/>
      <c r="G466" s="16"/>
      <c r="H466" s="16"/>
      <c r="I466" s="16"/>
      <c r="J466" s="16"/>
      <c r="K466" s="16"/>
      <c r="L466" s="13"/>
      <c r="M466" s="13"/>
      <c r="N466" s="13"/>
      <c r="O466" s="13"/>
      <c r="P466" s="13"/>
      <c r="Q466" s="13"/>
      <c r="R466" s="13"/>
      <c r="S466" s="13"/>
      <c r="T466" s="13"/>
      <c r="U466" s="12"/>
      <c r="V466" s="14"/>
      <c r="W466" s="16"/>
      <c r="X466" s="16"/>
      <c r="Y466" s="16"/>
      <c r="Z466" s="16"/>
      <c r="AA466" s="15" t="str">
        <f aca="false">IF(AND(ISNUMBER(L466),ISNUMBER(M466)),M466-L466,"")</f>
        <v/>
      </c>
      <c r="AB466" s="15" t="str">
        <f aca="false">IF(AND(ISNUMBER(M466),ISNUMBER(P466)),P466-M466,"")</f>
        <v/>
      </c>
      <c r="AC466" s="15" t="str">
        <f aca="false">IF(AND(ISNUMBER(L466),ISNUMBER(P466)),P466-L466,"")</f>
        <v/>
      </c>
      <c r="AD466" s="15" t="str">
        <f aca="false">IF(AND(ISNUMBER(P466),ISNUMBER(Q466)),Q466-P466,"")</f>
        <v/>
      </c>
      <c r="AE466" s="15" t="str">
        <f aca="false">IF(AND(ISNUMBER(Q466),ISNUMBER(R466)),R466-Q466,IF(ISNUMBER(Y466),Y466,""))</f>
        <v/>
      </c>
      <c r="AF466" s="15" t="str">
        <f aca="false">IF(AND(ISNUMBER(R466),ISNUMBER(S466)),S466-R466,"")</f>
        <v/>
      </c>
      <c r="AG466" s="15" t="str">
        <f aca="false">IF(AND(ISNUMBER(S466),ISNUMBER(T466)),T466-S466,"")</f>
        <v/>
      </c>
      <c r="AH466" s="15" t="str">
        <f aca="false">IF(AND(ISNUMBER(L466),ISNUMBER(T466)),T466-L466,"")</f>
        <v/>
      </c>
      <c r="AI466" s="15" t="str">
        <f aca="false">IF(AND(ISNUMBER(O466),ISNUMBER(Q466)),Q466-O466,"")</f>
        <v/>
      </c>
      <c r="AJ466" s="15" t="str">
        <f aca="false">IF(B466="","",COUNT(L466:M466,P466:T466)&amp;"/7")</f>
        <v/>
      </c>
      <c r="AK466" s="15" t="str">
        <f aca="false">IF(B466="","",IF(OR(AND(ISNUMBER(L466),ISNUMBER(M466),M466&lt;L466),AND(ISNUMBER(M466),ISNUMBER(P466),P466&lt;M466),AND(ISNUMBER(P466),ISNUMBER(Q466),Q466&lt;P466),AND(ISNUMBER(Q466),ISNUMBER(R466),R466&lt;Q466),AND(ISNUMBER(R466),ISNUMBER(S466),S466&lt;R466),AND(ISNUMBER(S466),ISNUMBER(T466),T466&lt;S466),AND(ISNUMBER(N466),ISNUMBER(O466),O466&lt;N466)),"Urutan tanggal salah",IF(AND(ISNUMBER(Q466),ISNUMBER(R466),ISNUMBER(Y466),ABS(R466-Q466-Y466)&gt;2),"S tanggal ≠ Sailing tercatat",IF(AND(ISNUMBER(Q466),ISNUMBER(O466),ABS(Q466-O466)&gt;60),"Cek tahun laycan",IF(AND(ISNUMBER(Q466),ISNUMBER(N466),Q466&lt;N466),"Berangkat sebelum laycan",IF(NOT(ISNUMBER(AE466)),"S belum ada","OK"))))))</f>
        <v/>
      </c>
    </row>
    <row r="467" customFormat="false" ht="15" hidden="false" customHeight="false" outlineLevel="0" collapsed="false">
      <c r="A467" s="16" t="str">
        <f aca="false">IF(B467="","",ROW()-4)</f>
        <v/>
      </c>
      <c r="B467" s="12"/>
      <c r="C467" s="16"/>
      <c r="D467" s="16"/>
      <c r="E467" s="16"/>
      <c r="F467" s="16"/>
      <c r="G467" s="16"/>
      <c r="H467" s="16"/>
      <c r="I467" s="16"/>
      <c r="J467" s="16"/>
      <c r="K467" s="16"/>
      <c r="L467" s="13"/>
      <c r="M467" s="13"/>
      <c r="N467" s="13"/>
      <c r="O467" s="13"/>
      <c r="P467" s="13"/>
      <c r="Q467" s="13"/>
      <c r="R467" s="13"/>
      <c r="S467" s="13"/>
      <c r="T467" s="13"/>
      <c r="U467" s="12"/>
      <c r="V467" s="14"/>
      <c r="W467" s="16"/>
      <c r="X467" s="16"/>
      <c r="Y467" s="16"/>
      <c r="Z467" s="16"/>
      <c r="AA467" s="15" t="str">
        <f aca="false">IF(AND(ISNUMBER(L467),ISNUMBER(M467)),M467-L467,"")</f>
        <v/>
      </c>
      <c r="AB467" s="15" t="str">
        <f aca="false">IF(AND(ISNUMBER(M467),ISNUMBER(P467)),P467-M467,"")</f>
        <v/>
      </c>
      <c r="AC467" s="15" t="str">
        <f aca="false">IF(AND(ISNUMBER(L467),ISNUMBER(P467)),P467-L467,"")</f>
        <v/>
      </c>
      <c r="AD467" s="15" t="str">
        <f aca="false">IF(AND(ISNUMBER(P467),ISNUMBER(Q467)),Q467-P467,"")</f>
        <v/>
      </c>
      <c r="AE467" s="15" t="str">
        <f aca="false">IF(AND(ISNUMBER(Q467),ISNUMBER(R467)),R467-Q467,IF(ISNUMBER(Y467),Y467,""))</f>
        <v/>
      </c>
      <c r="AF467" s="15" t="str">
        <f aca="false">IF(AND(ISNUMBER(R467),ISNUMBER(S467)),S467-R467,"")</f>
        <v/>
      </c>
      <c r="AG467" s="15" t="str">
        <f aca="false">IF(AND(ISNUMBER(S467),ISNUMBER(T467)),T467-S467,"")</f>
        <v/>
      </c>
      <c r="AH467" s="15" t="str">
        <f aca="false">IF(AND(ISNUMBER(L467),ISNUMBER(T467)),T467-L467,"")</f>
        <v/>
      </c>
      <c r="AI467" s="15" t="str">
        <f aca="false">IF(AND(ISNUMBER(O467),ISNUMBER(Q467)),Q467-O467,"")</f>
        <v/>
      </c>
      <c r="AJ467" s="15" t="str">
        <f aca="false">IF(B467="","",COUNT(L467:M467,P467:T467)&amp;"/7")</f>
        <v/>
      </c>
      <c r="AK467" s="15" t="str">
        <f aca="false">IF(B467="","",IF(OR(AND(ISNUMBER(L467),ISNUMBER(M467),M467&lt;L467),AND(ISNUMBER(M467),ISNUMBER(P467),P467&lt;M467),AND(ISNUMBER(P467),ISNUMBER(Q467),Q467&lt;P467),AND(ISNUMBER(Q467),ISNUMBER(R467),R467&lt;Q467),AND(ISNUMBER(R467),ISNUMBER(S467),S467&lt;R467),AND(ISNUMBER(S467),ISNUMBER(T467),T467&lt;S467),AND(ISNUMBER(N467),ISNUMBER(O467),O467&lt;N467)),"Urutan tanggal salah",IF(AND(ISNUMBER(Q467),ISNUMBER(R467),ISNUMBER(Y467),ABS(R467-Q467-Y467)&gt;2),"S tanggal ≠ Sailing tercatat",IF(AND(ISNUMBER(Q467),ISNUMBER(O467),ABS(Q467-O467)&gt;60),"Cek tahun laycan",IF(AND(ISNUMBER(Q467),ISNUMBER(N467),Q467&lt;N467),"Berangkat sebelum laycan",IF(NOT(ISNUMBER(AE467)),"S belum ada","OK"))))))</f>
        <v/>
      </c>
    </row>
    <row r="468" customFormat="false" ht="15" hidden="false" customHeight="false" outlineLevel="0" collapsed="false">
      <c r="A468" s="16" t="str">
        <f aca="false">IF(B468="","",ROW()-4)</f>
        <v/>
      </c>
      <c r="B468" s="12"/>
      <c r="C468" s="16"/>
      <c r="D468" s="16"/>
      <c r="E468" s="16"/>
      <c r="F468" s="16"/>
      <c r="G468" s="16"/>
      <c r="H468" s="16"/>
      <c r="I468" s="16"/>
      <c r="J468" s="16"/>
      <c r="K468" s="16"/>
      <c r="L468" s="13"/>
      <c r="M468" s="13"/>
      <c r="N468" s="13"/>
      <c r="O468" s="13"/>
      <c r="P468" s="13"/>
      <c r="Q468" s="13"/>
      <c r="R468" s="13"/>
      <c r="S468" s="13"/>
      <c r="T468" s="13"/>
      <c r="U468" s="12"/>
      <c r="V468" s="14"/>
      <c r="W468" s="16"/>
      <c r="X468" s="16"/>
      <c r="Y468" s="16"/>
      <c r="Z468" s="16"/>
      <c r="AA468" s="15" t="str">
        <f aca="false">IF(AND(ISNUMBER(L468),ISNUMBER(M468)),M468-L468,"")</f>
        <v/>
      </c>
      <c r="AB468" s="15" t="str">
        <f aca="false">IF(AND(ISNUMBER(M468),ISNUMBER(P468)),P468-M468,"")</f>
        <v/>
      </c>
      <c r="AC468" s="15" t="str">
        <f aca="false">IF(AND(ISNUMBER(L468),ISNUMBER(P468)),P468-L468,"")</f>
        <v/>
      </c>
      <c r="AD468" s="15" t="str">
        <f aca="false">IF(AND(ISNUMBER(P468),ISNUMBER(Q468)),Q468-P468,"")</f>
        <v/>
      </c>
      <c r="AE468" s="15" t="str">
        <f aca="false">IF(AND(ISNUMBER(Q468),ISNUMBER(R468)),R468-Q468,IF(ISNUMBER(Y468),Y468,""))</f>
        <v/>
      </c>
      <c r="AF468" s="15" t="str">
        <f aca="false">IF(AND(ISNUMBER(R468),ISNUMBER(S468)),S468-R468,"")</f>
        <v/>
      </c>
      <c r="AG468" s="15" t="str">
        <f aca="false">IF(AND(ISNUMBER(S468),ISNUMBER(T468)),T468-S468,"")</f>
        <v/>
      </c>
      <c r="AH468" s="15" t="str">
        <f aca="false">IF(AND(ISNUMBER(L468),ISNUMBER(T468)),T468-L468,"")</f>
        <v/>
      </c>
      <c r="AI468" s="15" t="str">
        <f aca="false">IF(AND(ISNUMBER(O468),ISNUMBER(Q468)),Q468-O468,"")</f>
        <v/>
      </c>
      <c r="AJ468" s="15" t="str">
        <f aca="false">IF(B468="","",COUNT(L468:M468,P468:T468)&amp;"/7")</f>
        <v/>
      </c>
      <c r="AK468" s="15" t="str">
        <f aca="false">IF(B468="","",IF(OR(AND(ISNUMBER(L468),ISNUMBER(M468),M468&lt;L468),AND(ISNUMBER(M468),ISNUMBER(P468),P468&lt;M468),AND(ISNUMBER(P468),ISNUMBER(Q468),Q468&lt;P468),AND(ISNUMBER(Q468),ISNUMBER(R468),R468&lt;Q468),AND(ISNUMBER(R468),ISNUMBER(S468),S468&lt;R468),AND(ISNUMBER(S468),ISNUMBER(T468),T468&lt;S468),AND(ISNUMBER(N468),ISNUMBER(O468),O468&lt;N468)),"Urutan tanggal salah",IF(AND(ISNUMBER(Q468),ISNUMBER(R468),ISNUMBER(Y468),ABS(R468-Q468-Y468)&gt;2),"S tanggal ≠ Sailing tercatat",IF(AND(ISNUMBER(Q468),ISNUMBER(O468),ABS(Q468-O468)&gt;60),"Cek tahun laycan",IF(AND(ISNUMBER(Q468),ISNUMBER(N468),Q468&lt;N468),"Berangkat sebelum laycan",IF(NOT(ISNUMBER(AE468)),"S belum ada","OK"))))))</f>
        <v/>
      </c>
    </row>
    <row r="469" customFormat="false" ht="15" hidden="false" customHeight="false" outlineLevel="0" collapsed="false">
      <c r="A469" s="16" t="str">
        <f aca="false">IF(B469="","",ROW()-4)</f>
        <v/>
      </c>
      <c r="B469" s="12"/>
      <c r="C469" s="16"/>
      <c r="D469" s="16"/>
      <c r="E469" s="16"/>
      <c r="F469" s="16"/>
      <c r="G469" s="16"/>
      <c r="H469" s="16"/>
      <c r="I469" s="16"/>
      <c r="J469" s="16"/>
      <c r="K469" s="16"/>
      <c r="L469" s="13"/>
      <c r="M469" s="13"/>
      <c r="N469" s="13"/>
      <c r="O469" s="13"/>
      <c r="P469" s="13"/>
      <c r="Q469" s="13"/>
      <c r="R469" s="13"/>
      <c r="S469" s="13"/>
      <c r="T469" s="13"/>
      <c r="U469" s="12"/>
      <c r="V469" s="14"/>
      <c r="W469" s="16"/>
      <c r="X469" s="16"/>
      <c r="Y469" s="16"/>
      <c r="Z469" s="16"/>
      <c r="AA469" s="15" t="str">
        <f aca="false">IF(AND(ISNUMBER(L469),ISNUMBER(M469)),M469-L469,"")</f>
        <v/>
      </c>
      <c r="AB469" s="15" t="str">
        <f aca="false">IF(AND(ISNUMBER(M469),ISNUMBER(P469)),P469-M469,"")</f>
        <v/>
      </c>
      <c r="AC469" s="15" t="str">
        <f aca="false">IF(AND(ISNUMBER(L469),ISNUMBER(P469)),P469-L469,"")</f>
        <v/>
      </c>
      <c r="AD469" s="15" t="str">
        <f aca="false">IF(AND(ISNUMBER(P469),ISNUMBER(Q469)),Q469-P469,"")</f>
        <v/>
      </c>
      <c r="AE469" s="15" t="str">
        <f aca="false">IF(AND(ISNUMBER(Q469),ISNUMBER(R469)),R469-Q469,IF(ISNUMBER(Y469),Y469,""))</f>
        <v/>
      </c>
      <c r="AF469" s="15" t="str">
        <f aca="false">IF(AND(ISNUMBER(R469),ISNUMBER(S469)),S469-R469,"")</f>
        <v/>
      </c>
      <c r="AG469" s="15" t="str">
        <f aca="false">IF(AND(ISNUMBER(S469),ISNUMBER(T469)),T469-S469,"")</f>
        <v/>
      </c>
      <c r="AH469" s="15" t="str">
        <f aca="false">IF(AND(ISNUMBER(L469),ISNUMBER(T469)),T469-L469,"")</f>
        <v/>
      </c>
      <c r="AI469" s="15" t="str">
        <f aca="false">IF(AND(ISNUMBER(O469),ISNUMBER(Q469)),Q469-O469,"")</f>
        <v/>
      </c>
      <c r="AJ469" s="15" t="str">
        <f aca="false">IF(B469="","",COUNT(L469:M469,P469:T469)&amp;"/7")</f>
        <v/>
      </c>
      <c r="AK469" s="15" t="str">
        <f aca="false">IF(B469="","",IF(OR(AND(ISNUMBER(L469),ISNUMBER(M469),M469&lt;L469),AND(ISNUMBER(M469),ISNUMBER(P469),P469&lt;M469),AND(ISNUMBER(P469),ISNUMBER(Q469),Q469&lt;P469),AND(ISNUMBER(Q469),ISNUMBER(R469),R469&lt;Q469),AND(ISNUMBER(R469),ISNUMBER(S469),S469&lt;R469),AND(ISNUMBER(S469),ISNUMBER(T469),T469&lt;S469),AND(ISNUMBER(N469),ISNUMBER(O469),O469&lt;N469)),"Urutan tanggal salah",IF(AND(ISNUMBER(Q469),ISNUMBER(R469),ISNUMBER(Y469),ABS(R469-Q469-Y469)&gt;2),"S tanggal ≠ Sailing tercatat",IF(AND(ISNUMBER(Q469),ISNUMBER(O469),ABS(Q469-O469)&gt;60),"Cek tahun laycan",IF(AND(ISNUMBER(Q469),ISNUMBER(N469),Q469&lt;N469),"Berangkat sebelum laycan",IF(NOT(ISNUMBER(AE469)),"S belum ada","OK"))))))</f>
        <v/>
      </c>
    </row>
    <row r="470" customFormat="false" ht="15" hidden="false" customHeight="false" outlineLevel="0" collapsed="false">
      <c r="A470" s="16" t="str">
        <f aca="false">IF(B470="","",ROW()-4)</f>
        <v/>
      </c>
      <c r="B470" s="12"/>
      <c r="C470" s="16"/>
      <c r="D470" s="16"/>
      <c r="E470" s="16"/>
      <c r="F470" s="16"/>
      <c r="G470" s="16"/>
      <c r="H470" s="16"/>
      <c r="I470" s="16"/>
      <c r="J470" s="16"/>
      <c r="K470" s="16"/>
      <c r="L470" s="13"/>
      <c r="M470" s="13"/>
      <c r="N470" s="13"/>
      <c r="O470" s="13"/>
      <c r="P470" s="13"/>
      <c r="Q470" s="13"/>
      <c r="R470" s="13"/>
      <c r="S470" s="13"/>
      <c r="T470" s="13"/>
      <c r="U470" s="12"/>
      <c r="V470" s="14"/>
      <c r="W470" s="16"/>
      <c r="X470" s="16"/>
      <c r="Y470" s="16"/>
      <c r="Z470" s="16"/>
      <c r="AA470" s="15" t="str">
        <f aca="false">IF(AND(ISNUMBER(L470),ISNUMBER(M470)),M470-L470,"")</f>
        <v/>
      </c>
      <c r="AB470" s="15" t="str">
        <f aca="false">IF(AND(ISNUMBER(M470),ISNUMBER(P470)),P470-M470,"")</f>
        <v/>
      </c>
      <c r="AC470" s="15" t="str">
        <f aca="false">IF(AND(ISNUMBER(L470),ISNUMBER(P470)),P470-L470,"")</f>
        <v/>
      </c>
      <c r="AD470" s="15" t="str">
        <f aca="false">IF(AND(ISNUMBER(P470),ISNUMBER(Q470)),Q470-P470,"")</f>
        <v/>
      </c>
      <c r="AE470" s="15" t="str">
        <f aca="false">IF(AND(ISNUMBER(Q470),ISNUMBER(R470)),R470-Q470,IF(ISNUMBER(Y470),Y470,""))</f>
        <v/>
      </c>
      <c r="AF470" s="15" t="str">
        <f aca="false">IF(AND(ISNUMBER(R470),ISNUMBER(S470)),S470-R470,"")</f>
        <v/>
      </c>
      <c r="AG470" s="15" t="str">
        <f aca="false">IF(AND(ISNUMBER(S470),ISNUMBER(T470)),T470-S470,"")</f>
        <v/>
      </c>
      <c r="AH470" s="15" t="str">
        <f aca="false">IF(AND(ISNUMBER(L470),ISNUMBER(T470)),T470-L470,"")</f>
        <v/>
      </c>
      <c r="AI470" s="15" t="str">
        <f aca="false">IF(AND(ISNUMBER(O470),ISNUMBER(Q470)),Q470-O470,"")</f>
        <v/>
      </c>
      <c r="AJ470" s="15" t="str">
        <f aca="false">IF(B470="","",COUNT(L470:M470,P470:T470)&amp;"/7")</f>
        <v/>
      </c>
      <c r="AK470" s="15" t="str">
        <f aca="false">IF(B470="","",IF(OR(AND(ISNUMBER(L470),ISNUMBER(M470),M470&lt;L470),AND(ISNUMBER(M470),ISNUMBER(P470),P470&lt;M470),AND(ISNUMBER(P470),ISNUMBER(Q470),Q470&lt;P470),AND(ISNUMBER(Q470),ISNUMBER(R470),R470&lt;Q470),AND(ISNUMBER(R470),ISNUMBER(S470),S470&lt;R470),AND(ISNUMBER(S470),ISNUMBER(T470),T470&lt;S470),AND(ISNUMBER(N470),ISNUMBER(O470),O470&lt;N470)),"Urutan tanggal salah",IF(AND(ISNUMBER(Q470),ISNUMBER(R470),ISNUMBER(Y470),ABS(R470-Q470-Y470)&gt;2),"S tanggal ≠ Sailing tercatat",IF(AND(ISNUMBER(Q470),ISNUMBER(O470),ABS(Q470-O470)&gt;60),"Cek tahun laycan",IF(AND(ISNUMBER(Q470),ISNUMBER(N470),Q470&lt;N470),"Berangkat sebelum laycan",IF(NOT(ISNUMBER(AE470)),"S belum ada","OK"))))))</f>
        <v/>
      </c>
    </row>
    <row r="471" customFormat="false" ht="15" hidden="false" customHeight="false" outlineLevel="0" collapsed="false">
      <c r="A471" s="16" t="str">
        <f aca="false">IF(B471="","",ROW()-4)</f>
        <v/>
      </c>
      <c r="B471" s="12"/>
      <c r="C471" s="16"/>
      <c r="D471" s="16"/>
      <c r="E471" s="16"/>
      <c r="F471" s="16"/>
      <c r="G471" s="16"/>
      <c r="H471" s="16"/>
      <c r="I471" s="16"/>
      <c r="J471" s="16"/>
      <c r="K471" s="16"/>
      <c r="L471" s="13"/>
      <c r="M471" s="13"/>
      <c r="N471" s="13"/>
      <c r="O471" s="13"/>
      <c r="P471" s="13"/>
      <c r="Q471" s="13"/>
      <c r="R471" s="13"/>
      <c r="S471" s="13"/>
      <c r="T471" s="13"/>
      <c r="U471" s="12"/>
      <c r="V471" s="14"/>
      <c r="W471" s="16"/>
      <c r="X471" s="16"/>
      <c r="Y471" s="16"/>
      <c r="Z471" s="16"/>
      <c r="AA471" s="15" t="str">
        <f aca="false">IF(AND(ISNUMBER(L471),ISNUMBER(M471)),M471-L471,"")</f>
        <v/>
      </c>
      <c r="AB471" s="15" t="str">
        <f aca="false">IF(AND(ISNUMBER(M471),ISNUMBER(P471)),P471-M471,"")</f>
        <v/>
      </c>
      <c r="AC471" s="15" t="str">
        <f aca="false">IF(AND(ISNUMBER(L471),ISNUMBER(P471)),P471-L471,"")</f>
        <v/>
      </c>
      <c r="AD471" s="15" t="str">
        <f aca="false">IF(AND(ISNUMBER(P471),ISNUMBER(Q471)),Q471-P471,"")</f>
        <v/>
      </c>
      <c r="AE471" s="15" t="str">
        <f aca="false">IF(AND(ISNUMBER(Q471),ISNUMBER(R471)),R471-Q471,IF(ISNUMBER(Y471),Y471,""))</f>
        <v/>
      </c>
      <c r="AF471" s="15" t="str">
        <f aca="false">IF(AND(ISNUMBER(R471),ISNUMBER(S471)),S471-R471,"")</f>
        <v/>
      </c>
      <c r="AG471" s="15" t="str">
        <f aca="false">IF(AND(ISNUMBER(S471),ISNUMBER(T471)),T471-S471,"")</f>
        <v/>
      </c>
      <c r="AH471" s="15" t="str">
        <f aca="false">IF(AND(ISNUMBER(L471),ISNUMBER(T471)),T471-L471,"")</f>
        <v/>
      </c>
      <c r="AI471" s="15" t="str">
        <f aca="false">IF(AND(ISNUMBER(O471),ISNUMBER(Q471)),Q471-O471,"")</f>
        <v/>
      </c>
      <c r="AJ471" s="15" t="str">
        <f aca="false">IF(B471="","",COUNT(L471:M471,P471:T471)&amp;"/7")</f>
        <v/>
      </c>
      <c r="AK471" s="15" t="str">
        <f aca="false">IF(B471="","",IF(OR(AND(ISNUMBER(L471),ISNUMBER(M471),M471&lt;L471),AND(ISNUMBER(M471),ISNUMBER(P471),P471&lt;M471),AND(ISNUMBER(P471),ISNUMBER(Q471),Q471&lt;P471),AND(ISNUMBER(Q471),ISNUMBER(R471),R471&lt;Q471),AND(ISNUMBER(R471),ISNUMBER(S471),S471&lt;R471),AND(ISNUMBER(S471),ISNUMBER(T471),T471&lt;S471),AND(ISNUMBER(N471),ISNUMBER(O471),O471&lt;N471)),"Urutan tanggal salah",IF(AND(ISNUMBER(Q471),ISNUMBER(R471),ISNUMBER(Y471),ABS(R471-Q471-Y471)&gt;2),"S tanggal ≠ Sailing tercatat",IF(AND(ISNUMBER(Q471),ISNUMBER(O471),ABS(Q471-O471)&gt;60),"Cek tahun laycan",IF(AND(ISNUMBER(Q471),ISNUMBER(N471),Q471&lt;N471),"Berangkat sebelum laycan",IF(NOT(ISNUMBER(AE471)),"S belum ada","OK"))))))</f>
        <v/>
      </c>
    </row>
    <row r="472" customFormat="false" ht="15" hidden="false" customHeight="false" outlineLevel="0" collapsed="false">
      <c r="A472" s="16" t="str">
        <f aca="false">IF(B472="","",ROW()-4)</f>
        <v/>
      </c>
      <c r="B472" s="12"/>
      <c r="C472" s="16"/>
      <c r="D472" s="16"/>
      <c r="E472" s="16"/>
      <c r="F472" s="16"/>
      <c r="G472" s="16"/>
      <c r="H472" s="16"/>
      <c r="I472" s="16"/>
      <c r="J472" s="16"/>
      <c r="K472" s="16"/>
      <c r="L472" s="13"/>
      <c r="M472" s="13"/>
      <c r="N472" s="13"/>
      <c r="O472" s="13"/>
      <c r="P472" s="13"/>
      <c r="Q472" s="13"/>
      <c r="R472" s="13"/>
      <c r="S472" s="13"/>
      <c r="T472" s="13"/>
      <c r="U472" s="12"/>
      <c r="V472" s="14"/>
      <c r="W472" s="16"/>
      <c r="X472" s="16"/>
      <c r="Y472" s="16"/>
      <c r="Z472" s="16"/>
      <c r="AA472" s="15" t="str">
        <f aca="false">IF(AND(ISNUMBER(L472),ISNUMBER(M472)),M472-L472,"")</f>
        <v/>
      </c>
      <c r="AB472" s="15" t="str">
        <f aca="false">IF(AND(ISNUMBER(M472),ISNUMBER(P472)),P472-M472,"")</f>
        <v/>
      </c>
      <c r="AC472" s="15" t="str">
        <f aca="false">IF(AND(ISNUMBER(L472),ISNUMBER(P472)),P472-L472,"")</f>
        <v/>
      </c>
      <c r="AD472" s="15" t="str">
        <f aca="false">IF(AND(ISNUMBER(P472),ISNUMBER(Q472)),Q472-P472,"")</f>
        <v/>
      </c>
      <c r="AE472" s="15" t="str">
        <f aca="false">IF(AND(ISNUMBER(Q472),ISNUMBER(R472)),R472-Q472,IF(ISNUMBER(Y472),Y472,""))</f>
        <v/>
      </c>
      <c r="AF472" s="15" t="str">
        <f aca="false">IF(AND(ISNUMBER(R472),ISNUMBER(S472)),S472-R472,"")</f>
        <v/>
      </c>
      <c r="AG472" s="15" t="str">
        <f aca="false">IF(AND(ISNUMBER(S472),ISNUMBER(T472)),T472-S472,"")</f>
        <v/>
      </c>
      <c r="AH472" s="15" t="str">
        <f aca="false">IF(AND(ISNUMBER(L472),ISNUMBER(T472)),T472-L472,"")</f>
        <v/>
      </c>
      <c r="AI472" s="15" t="str">
        <f aca="false">IF(AND(ISNUMBER(O472),ISNUMBER(Q472)),Q472-O472,"")</f>
        <v/>
      </c>
      <c r="AJ472" s="15" t="str">
        <f aca="false">IF(B472="","",COUNT(L472:M472,P472:T472)&amp;"/7")</f>
        <v/>
      </c>
      <c r="AK472" s="15" t="str">
        <f aca="false">IF(B472="","",IF(OR(AND(ISNUMBER(L472),ISNUMBER(M472),M472&lt;L472),AND(ISNUMBER(M472),ISNUMBER(P472),P472&lt;M472),AND(ISNUMBER(P472),ISNUMBER(Q472),Q472&lt;P472),AND(ISNUMBER(Q472),ISNUMBER(R472),R472&lt;Q472),AND(ISNUMBER(R472),ISNUMBER(S472),S472&lt;R472),AND(ISNUMBER(S472),ISNUMBER(T472),T472&lt;S472),AND(ISNUMBER(N472),ISNUMBER(O472),O472&lt;N472)),"Urutan tanggal salah",IF(AND(ISNUMBER(Q472),ISNUMBER(R472),ISNUMBER(Y472),ABS(R472-Q472-Y472)&gt;2),"S tanggal ≠ Sailing tercatat",IF(AND(ISNUMBER(Q472),ISNUMBER(O472),ABS(Q472-O472)&gt;60),"Cek tahun laycan",IF(AND(ISNUMBER(Q472),ISNUMBER(N472),Q472&lt;N472),"Berangkat sebelum laycan",IF(NOT(ISNUMBER(AE472)),"S belum ada","OK"))))))</f>
        <v/>
      </c>
    </row>
    <row r="473" customFormat="false" ht="15" hidden="false" customHeight="false" outlineLevel="0" collapsed="false">
      <c r="A473" s="16" t="str">
        <f aca="false">IF(B473="","",ROW()-4)</f>
        <v/>
      </c>
      <c r="B473" s="12"/>
      <c r="C473" s="16"/>
      <c r="D473" s="16"/>
      <c r="E473" s="16"/>
      <c r="F473" s="16"/>
      <c r="G473" s="16"/>
      <c r="H473" s="16"/>
      <c r="I473" s="16"/>
      <c r="J473" s="16"/>
      <c r="K473" s="16"/>
      <c r="L473" s="13"/>
      <c r="M473" s="13"/>
      <c r="N473" s="13"/>
      <c r="O473" s="13"/>
      <c r="P473" s="13"/>
      <c r="Q473" s="13"/>
      <c r="R473" s="13"/>
      <c r="S473" s="13"/>
      <c r="T473" s="13"/>
      <c r="U473" s="12"/>
      <c r="V473" s="14"/>
      <c r="W473" s="16"/>
      <c r="X473" s="16"/>
      <c r="Y473" s="16"/>
      <c r="Z473" s="16"/>
      <c r="AA473" s="15" t="str">
        <f aca="false">IF(AND(ISNUMBER(L473),ISNUMBER(M473)),M473-L473,"")</f>
        <v/>
      </c>
      <c r="AB473" s="15" t="str">
        <f aca="false">IF(AND(ISNUMBER(M473),ISNUMBER(P473)),P473-M473,"")</f>
        <v/>
      </c>
      <c r="AC473" s="15" t="str">
        <f aca="false">IF(AND(ISNUMBER(L473),ISNUMBER(P473)),P473-L473,"")</f>
        <v/>
      </c>
      <c r="AD473" s="15" t="str">
        <f aca="false">IF(AND(ISNUMBER(P473),ISNUMBER(Q473)),Q473-P473,"")</f>
        <v/>
      </c>
      <c r="AE473" s="15" t="str">
        <f aca="false">IF(AND(ISNUMBER(Q473),ISNUMBER(R473)),R473-Q473,IF(ISNUMBER(Y473),Y473,""))</f>
        <v/>
      </c>
      <c r="AF473" s="15" t="str">
        <f aca="false">IF(AND(ISNUMBER(R473),ISNUMBER(S473)),S473-R473,"")</f>
        <v/>
      </c>
      <c r="AG473" s="15" t="str">
        <f aca="false">IF(AND(ISNUMBER(S473),ISNUMBER(T473)),T473-S473,"")</f>
        <v/>
      </c>
      <c r="AH473" s="15" t="str">
        <f aca="false">IF(AND(ISNUMBER(L473),ISNUMBER(T473)),T473-L473,"")</f>
        <v/>
      </c>
      <c r="AI473" s="15" t="str">
        <f aca="false">IF(AND(ISNUMBER(O473),ISNUMBER(Q473)),Q473-O473,"")</f>
        <v/>
      </c>
      <c r="AJ473" s="15" t="str">
        <f aca="false">IF(B473="","",COUNT(L473:M473,P473:T473)&amp;"/7")</f>
        <v/>
      </c>
      <c r="AK473" s="15" t="str">
        <f aca="false">IF(B473="","",IF(OR(AND(ISNUMBER(L473),ISNUMBER(M473),M473&lt;L473),AND(ISNUMBER(M473),ISNUMBER(P473),P473&lt;M473),AND(ISNUMBER(P473),ISNUMBER(Q473),Q473&lt;P473),AND(ISNUMBER(Q473),ISNUMBER(R473),R473&lt;Q473),AND(ISNUMBER(R473),ISNUMBER(S473),S473&lt;R473),AND(ISNUMBER(S473),ISNUMBER(T473),T473&lt;S473),AND(ISNUMBER(N473),ISNUMBER(O473),O473&lt;N473)),"Urutan tanggal salah",IF(AND(ISNUMBER(Q473),ISNUMBER(R473),ISNUMBER(Y473),ABS(R473-Q473-Y473)&gt;2),"S tanggal ≠ Sailing tercatat",IF(AND(ISNUMBER(Q473),ISNUMBER(O473),ABS(Q473-O473)&gt;60),"Cek tahun laycan",IF(AND(ISNUMBER(Q473),ISNUMBER(N473),Q473&lt;N473),"Berangkat sebelum laycan",IF(NOT(ISNUMBER(AE473)),"S belum ada","OK"))))))</f>
        <v/>
      </c>
    </row>
    <row r="474" customFormat="false" ht="15" hidden="false" customHeight="false" outlineLevel="0" collapsed="false">
      <c r="A474" s="16" t="str">
        <f aca="false">IF(B474="","",ROW()-4)</f>
        <v/>
      </c>
      <c r="B474" s="12"/>
      <c r="C474" s="16"/>
      <c r="D474" s="16"/>
      <c r="E474" s="16"/>
      <c r="F474" s="16"/>
      <c r="G474" s="16"/>
      <c r="H474" s="16"/>
      <c r="I474" s="16"/>
      <c r="J474" s="16"/>
      <c r="K474" s="16"/>
      <c r="L474" s="13"/>
      <c r="M474" s="13"/>
      <c r="N474" s="13"/>
      <c r="O474" s="13"/>
      <c r="P474" s="13"/>
      <c r="Q474" s="13"/>
      <c r="R474" s="13"/>
      <c r="S474" s="13"/>
      <c r="T474" s="13"/>
      <c r="U474" s="12"/>
      <c r="V474" s="14"/>
      <c r="W474" s="16"/>
      <c r="X474" s="16"/>
      <c r="Y474" s="16"/>
      <c r="Z474" s="16"/>
      <c r="AA474" s="15" t="str">
        <f aca="false">IF(AND(ISNUMBER(L474),ISNUMBER(M474)),M474-L474,"")</f>
        <v/>
      </c>
      <c r="AB474" s="15" t="str">
        <f aca="false">IF(AND(ISNUMBER(M474),ISNUMBER(P474)),P474-M474,"")</f>
        <v/>
      </c>
      <c r="AC474" s="15" t="str">
        <f aca="false">IF(AND(ISNUMBER(L474),ISNUMBER(P474)),P474-L474,"")</f>
        <v/>
      </c>
      <c r="AD474" s="15" t="str">
        <f aca="false">IF(AND(ISNUMBER(P474),ISNUMBER(Q474)),Q474-P474,"")</f>
        <v/>
      </c>
      <c r="AE474" s="15" t="str">
        <f aca="false">IF(AND(ISNUMBER(Q474),ISNUMBER(R474)),R474-Q474,IF(ISNUMBER(Y474),Y474,""))</f>
        <v/>
      </c>
      <c r="AF474" s="15" t="str">
        <f aca="false">IF(AND(ISNUMBER(R474),ISNUMBER(S474)),S474-R474,"")</f>
        <v/>
      </c>
      <c r="AG474" s="15" t="str">
        <f aca="false">IF(AND(ISNUMBER(S474),ISNUMBER(T474)),T474-S474,"")</f>
        <v/>
      </c>
      <c r="AH474" s="15" t="str">
        <f aca="false">IF(AND(ISNUMBER(L474),ISNUMBER(T474)),T474-L474,"")</f>
        <v/>
      </c>
      <c r="AI474" s="15" t="str">
        <f aca="false">IF(AND(ISNUMBER(O474),ISNUMBER(Q474)),Q474-O474,"")</f>
        <v/>
      </c>
      <c r="AJ474" s="15" t="str">
        <f aca="false">IF(B474="","",COUNT(L474:M474,P474:T474)&amp;"/7")</f>
        <v/>
      </c>
      <c r="AK474" s="15" t="str">
        <f aca="false">IF(B474="","",IF(OR(AND(ISNUMBER(L474),ISNUMBER(M474),M474&lt;L474),AND(ISNUMBER(M474),ISNUMBER(P474),P474&lt;M474),AND(ISNUMBER(P474),ISNUMBER(Q474),Q474&lt;P474),AND(ISNUMBER(Q474),ISNUMBER(R474),R474&lt;Q474),AND(ISNUMBER(R474),ISNUMBER(S474),S474&lt;R474),AND(ISNUMBER(S474),ISNUMBER(T474),T474&lt;S474),AND(ISNUMBER(N474),ISNUMBER(O474),O474&lt;N474)),"Urutan tanggal salah",IF(AND(ISNUMBER(Q474),ISNUMBER(R474),ISNUMBER(Y474),ABS(R474-Q474-Y474)&gt;2),"S tanggal ≠ Sailing tercatat",IF(AND(ISNUMBER(Q474),ISNUMBER(O474),ABS(Q474-O474)&gt;60),"Cek tahun laycan",IF(AND(ISNUMBER(Q474),ISNUMBER(N474),Q474&lt;N474),"Berangkat sebelum laycan",IF(NOT(ISNUMBER(AE474)),"S belum ada","OK"))))))</f>
        <v/>
      </c>
    </row>
    <row r="475" customFormat="false" ht="15" hidden="false" customHeight="false" outlineLevel="0" collapsed="false">
      <c r="A475" s="16" t="str">
        <f aca="false">IF(B475="","",ROW()-4)</f>
        <v/>
      </c>
      <c r="B475" s="12"/>
      <c r="C475" s="16"/>
      <c r="D475" s="16"/>
      <c r="E475" s="16"/>
      <c r="F475" s="16"/>
      <c r="G475" s="16"/>
      <c r="H475" s="16"/>
      <c r="I475" s="16"/>
      <c r="J475" s="16"/>
      <c r="K475" s="16"/>
      <c r="L475" s="13"/>
      <c r="M475" s="13"/>
      <c r="N475" s="13"/>
      <c r="O475" s="13"/>
      <c r="P475" s="13"/>
      <c r="Q475" s="13"/>
      <c r="R475" s="13"/>
      <c r="S475" s="13"/>
      <c r="T475" s="13"/>
      <c r="U475" s="12"/>
      <c r="V475" s="14"/>
      <c r="W475" s="16"/>
      <c r="X475" s="16"/>
      <c r="Y475" s="16"/>
      <c r="Z475" s="16"/>
      <c r="AA475" s="15" t="str">
        <f aca="false">IF(AND(ISNUMBER(L475),ISNUMBER(M475)),M475-L475,"")</f>
        <v/>
      </c>
      <c r="AB475" s="15" t="str">
        <f aca="false">IF(AND(ISNUMBER(M475),ISNUMBER(P475)),P475-M475,"")</f>
        <v/>
      </c>
      <c r="AC475" s="15" t="str">
        <f aca="false">IF(AND(ISNUMBER(L475),ISNUMBER(P475)),P475-L475,"")</f>
        <v/>
      </c>
      <c r="AD475" s="15" t="str">
        <f aca="false">IF(AND(ISNUMBER(P475),ISNUMBER(Q475)),Q475-P475,"")</f>
        <v/>
      </c>
      <c r="AE475" s="15" t="str">
        <f aca="false">IF(AND(ISNUMBER(Q475),ISNUMBER(R475)),R475-Q475,IF(ISNUMBER(Y475),Y475,""))</f>
        <v/>
      </c>
      <c r="AF475" s="15" t="str">
        <f aca="false">IF(AND(ISNUMBER(R475),ISNUMBER(S475)),S475-R475,"")</f>
        <v/>
      </c>
      <c r="AG475" s="15" t="str">
        <f aca="false">IF(AND(ISNUMBER(S475),ISNUMBER(T475)),T475-S475,"")</f>
        <v/>
      </c>
      <c r="AH475" s="15" t="str">
        <f aca="false">IF(AND(ISNUMBER(L475),ISNUMBER(T475)),T475-L475,"")</f>
        <v/>
      </c>
      <c r="AI475" s="15" t="str">
        <f aca="false">IF(AND(ISNUMBER(O475),ISNUMBER(Q475)),Q475-O475,"")</f>
        <v/>
      </c>
      <c r="AJ475" s="15" t="str">
        <f aca="false">IF(B475="","",COUNT(L475:M475,P475:T475)&amp;"/7")</f>
        <v/>
      </c>
      <c r="AK475" s="15" t="str">
        <f aca="false">IF(B475="","",IF(OR(AND(ISNUMBER(L475),ISNUMBER(M475),M475&lt;L475),AND(ISNUMBER(M475),ISNUMBER(P475),P475&lt;M475),AND(ISNUMBER(P475),ISNUMBER(Q475),Q475&lt;P475),AND(ISNUMBER(Q475),ISNUMBER(R475),R475&lt;Q475),AND(ISNUMBER(R475),ISNUMBER(S475),S475&lt;R475),AND(ISNUMBER(S475),ISNUMBER(T475),T475&lt;S475),AND(ISNUMBER(N475),ISNUMBER(O475),O475&lt;N475)),"Urutan tanggal salah",IF(AND(ISNUMBER(Q475),ISNUMBER(R475),ISNUMBER(Y475),ABS(R475-Q475-Y475)&gt;2),"S tanggal ≠ Sailing tercatat",IF(AND(ISNUMBER(Q475),ISNUMBER(O475),ABS(Q475-O475)&gt;60),"Cek tahun laycan",IF(AND(ISNUMBER(Q475),ISNUMBER(N475),Q475&lt;N475),"Berangkat sebelum laycan",IF(NOT(ISNUMBER(AE475)),"S belum ada","OK"))))))</f>
        <v/>
      </c>
    </row>
    <row r="476" customFormat="false" ht="15" hidden="false" customHeight="false" outlineLevel="0" collapsed="false">
      <c r="A476" s="16" t="str">
        <f aca="false">IF(B476="","",ROW()-4)</f>
        <v/>
      </c>
      <c r="B476" s="12"/>
      <c r="C476" s="16"/>
      <c r="D476" s="16"/>
      <c r="E476" s="16"/>
      <c r="F476" s="16"/>
      <c r="G476" s="16"/>
      <c r="H476" s="16"/>
      <c r="I476" s="16"/>
      <c r="J476" s="16"/>
      <c r="K476" s="16"/>
      <c r="L476" s="13"/>
      <c r="M476" s="13"/>
      <c r="N476" s="13"/>
      <c r="O476" s="13"/>
      <c r="P476" s="13"/>
      <c r="Q476" s="13"/>
      <c r="R476" s="13"/>
      <c r="S476" s="13"/>
      <c r="T476" s="13"/>
      <c r="U476" s="12"/>
      <c r="V476" s="14"/>
      <c r="W476" s="16"/>
      <c r="X476" s="16"/>
      <c r="Y476" s="16"/>
      <c r="Z476" s="16"/>
      <c r="AA476" s="15" t="str">
        <f aca="false">IF(AND(ISNUMBER(L476),ISNUMBER(M476)),M476-L476,"")</f>
        <v/>
      </c>
      <c r="AB476" s="15" t="str">
        <f aca="false">IF(AND(ISNUMBER(M476),ISNUMBER(P476)),P476-M476,"")</f>
        <v/>
      </c>
      <c r="AC476" s="15" t="str">
        <f aca="false">IF(AND(ISNUMBER(L476),ISNUMBER(P476)),P476-L476,"")</f>
        <v/>
      </c>
      <c r="AD476" s="15" t="str">
        <f aca="false">IF(AND(ISNUMBER(P476),ISNUMBER(Q476)),Q476-P476,"")</f>
        <v/>
      </c>
      <c r="AE476" s="15" t="str">
        <f aca="false">IF(AND(ISNUMBER(Q476),ISNUMBER(R476)),R476-Q476,IF(ISNUMBER(Y476),Y476,""))</f>
        <v/>
      </c>
      <c r="AF476" s="15" t="str">
        <f aca="false">IF(AND(ISNUMBER(R476),ISNUMBER(S476)),S476-R476,"")</f>
        <v/>
      </c>
      <c r="AG476" s="15" t="str">
        <f aca="false">IF(AND(ISNUMBER(S476),ISNUMBER(T476)),T476-S476,"")</f>
        <v/>
      </c>
      <c r="AH476" s="15" t="str">
        <f aca="false">IF(AND(ISNUMBER(L476),ISNUMBER(T476)),T476-L476,"")</f>
        <v/>
      </c>
      <c r="AI476" s="15" t="str">
        <f aca="false">IF(AND(ISNUMBER(O476),ISNUMBER(Q476)),Q476-O476,"")</f>
        <v/>
      </c>
      <c r="AJ476" s="15" t="str">
        <f aca="false">IF(B476="","",COUNT(L476:M476,P476:T476)&amp;"/7")</f>
        <v/>
      </c>
      <c r="AK476" s="15" t="str">
        <f aca="false">IF(B476="","",IF(OR(AND(ISNUMBER(L476),ISNUMBER(M476),M476&lt;L476),AND(ISNUMBER(M476),ISNUMBER(P476),P476&lt;M476),AND(ISNUMBER(P476),ISNUMBER(Q476),Q476&lt;P476),AND(ISNUMBER(Q476),ISNUMBER(R476),R476&lt;Q476),AND(ISNUMBER(R476),ISNUMBER(S476),S476&lt;R476),AND(ISNUMBER(S476),ISNUMBER(T476),T476&lt;S476),AND(ISNUMBER(N476),ISNUMBER(O476),O476&lt;N476)),"Urutan tanggal salah",IF(AND(ISNUMBER(Q476),ISNUMBER(R476),ISNUMBER(Y476),ABS(R476-Q476-Y476)&gt;2),"S tanggal ≠ Sailing tercatat",IF(AND(ISNUMBER(Q476),ISNUMBER(O476),ABS(Q476-O476)&gt;60),"Cek tahun laycan",IF(AND(ISNUMBER(Q476),ISNUMBER(N476),Q476&lt;N476),"Berangkat sebelum laycan",IF(NOT(ISNUMBER(AE476)),"S belum ada","OK"))))))</f>
        <v/>
      </c>
    </row>
    <row r="477" customFormat="false" ht="15" hidden="false" customHeight="false" outlineLevel="0" collapsed="false">
      <c r="A477" s="16" t="str">
        <f aca="false">IF(B477="","",ROW()-4)</f>
        <v/>
      </c>
      <c r="B477" s="12"/>
      <c r="C477" s="16"/>
      <c r="D477" s="16"/>
      <c r="E477" s="16"/>
      <c r="F477" s="16"/>
      <c r="G477" s="16"/>
      <c r="H477" s="16"/>
      <c r="I477" s="16"/>
      <c r="J477" s="16"/>
      <c r="K477" s="16"/>
      <c r="L477" s="13"/>
      <c r="M477" s="13"/>
      <c r="N477" s="13"/>
      <c r="O477" s="13"/>
      <c r="P477" s="13"/>
      <c r="Q477" s="13"/>
      <c r="R477" s="13"/>
      <c r="S477" s="13"/>
      <c r="T477" s="13"/>
      <c r="U477" s="12"/>
      <c r="V477" s="14"/>
      <c r="W477" s="16"/>
      <c r="X477" s="16"/>
      <c r="Y477" s="16"/>
      <c r="Z477" s="16"/>
      <c r="AA477" s="15" t="str">
        <f aca="false">IF(AND(ISNUMBER(L477),ISNUMBER(M477)),M477-L477,"")</f>
        <v/>
      </c>
      <c r="AB477" s="15" t="str">
        <f aca="false">IF(AND(ISNUMBER(M477),ISNUMBER(P477)),P477-M477,"")</f>
        <v/>
      </c>
      <c r="AC477" s="15" t="str">
        <f aca="false">IF(AND(ISNUMBER(L477),ISNUMBER(P477)),P477-L477,"")</f>
        <v/>
      </c>
      <c r="AD477" s="15" t="str">
        <f aca="false">IF(AND(ISNUMBER(P477),ISNUMBER(Q477)),Q477-P477,"")</f>
        <v/>
      </c>
      <c r="AE477" s="15" t="str">
        <f aca="false">IF(AND(ISNUMBER(Q477),ISNUMBER(R477)),R477-Q477,IF(ISNUMBER(Y477),Y477,""))</f>
        <v/>
      </c>
      <c r="AF477" s="15" t="str">
        <f aca="false">IF(AND(ISNUMBER(R477),ISNUMBER(S477)),S477-R477,"")</f>
        <v/>
      </c>
      <c r="AG477" s="15" t="str">
        <f aca="false">IF(AND(ISNUMBER(S477),ISNUMBER(T477)),T477-S477,"")</f>
        <v/>
      </c>
      <c r="AH477" s="15" t="str">
        <f aca="false">IF(AND(ISNUMBER(L477),ISNUMBER(T477)),T477-L477,"")</f>
        <v/>
      </c>
      <c r="AI477" s="15" t="str">
        <f aca="false">IF(AND(ISNUMBER(O477),ISNUMBER(Q477)),Q477-O477,"")</f>
        <v/>
      </c>
      <c r="AJ477" s="15" t="str">
        <f aca="false">IF(B477="","",COUNT(L477:M477,P477:T477)&amp;"/7")</f>
        <v/>
      </c>
      <c r="AK477" s="15" t="str">
        <f aca="false">IF(B477="","",IF(OR(AND(ISNUMBER(L477),ISNUMBER(M477),M477&lt;L477),AND(ISNUMBER(M477),ISNUMBER(P477),P477&lt;M477),AND(ISNUMBER(P477),ISNUMBER(Q477),Q477&lt;P477),AND(ISNUMBER(Q477),ISNUMBER(R477),R477&lt;Q477),AND(ISNUMBER(R477),ISNUMBER(S477),S477&lt;R477),AND(ISNUMBER(S477),ISNUMBER(T477),T477&lt;S477),AND(ISNUMBER(N477),ISNUMBER(O477),O477&lt;N477)),"Urutan tanggal salah",IF(AND(ISNUMBER(Q477),ISNUMBER(R477),ISNUMBER(Y477),ABS(R477-Q477-Y477)&gt;2),"S tanggal ≠ Sailing tercatat",IF(AND(ISNUMBER(Q477),ISNUMBER(O477),ABS(Q477-O477)&gt;60),"Cek tahun laycan",IF(AND(ISNUMBER(Q477),ISNUMBER(N477),Q477&lt;N477),"Berangkat sebelum laycan",IF(NOT(ISNUMBER(AE477)),"S belum ada","OK"))))))</f>
        <v/>
      </c>
    </row>
    <row r="478" customFormat="false" ht="15" hidden="false" customHeight="false" outlineLevel="0" collapsed="false">
      <c r="A478" s="16" t="str">
        <f aca="false">IF(B478="","",ROW()-4)</f>
        <v/>
      </c>
      <c r="B478" s="12"/>
      <c r="C478" s="16"/>
      <c r="D478" s="16"/>
      <c r="E478" s="16"/>
      <c r="F478" s="16"/>
      <c r="G478" s="16"/>
      <c r="H478" s="16"/>
      <c r="I478" s="16"/>
      <c r="J478" s="16"/>
      <c r="K478" s="16"/>
      <c r="L478" s="13"/>
      <c r="M478" s="13"/>
      <c r="N478" s="13"/>
      <c r="O478" s="13"/>
      <c r="P478" s="13"/>
      <c r="Q478" s="13"/>
      <c r="R478" s="13"/>
      <c r="S478" s="13"/>
      <c r="T478" s="13"/>
      <c r="U478" s="12"/>
      <c r="V478" s="14"/>
      <c r="W478" s="16"/>
      <c r="X478" s="16"/>
      <c r="Y478" s="16"/>
      <c r="Z478" s="16"/>
      <c r="AA478" s="15" t="str">
        <f aca="false">IF(AND(ISNUMBER(L478),ISNUMBER(M478)),M478-L478,"")</f>
        <v/>
      </c>
      <c r="AB478" s="15" t="str">
        <f aca="false">IF(AND(ISNUMBER(M478),ISNUMBER(P478)),P478-M478,"")</f>
        <v/>
      </c>
      <c r="AC478" s="15" t="str">
        <f aca="false">IF(AND(ISNUMBER(L478),ISNUMBER(P478)),P478-L478,"")</f>
        <v/>
      </c>
      <c r="AD478" s="15" t="str">
        <f aca="false">IF(AND(ISNUMBER(P478),ISNUMBER(Q478)),Q478-P478,"")</f>
        <v/>
      </c>
      <c r="AE478" s="15" t="str">
        <f aca="false">IF(AND(ISNUMBER(Q478),ISNUMBER(R478)),R478-Q478,IF(ISNUMBER(Y478),Y478,""))</f>
        <v/>
      </c>
      <c r="AF478" s="15" t="str">
        <f aca="false">IF(AND(ISNUMBER(R478),ISNUMBER(S478)),S478-R478,"")</f>
        <v/>
      </c>
      <c r="AG478" s="15" t="str">
        <f aca="false">IF(AND(ISNUMBER(S478),ISNUMBER(T478)),T478-S478,"")</f>
        <v/>
      </c>
      <c r="AH478" s="15" t="str">
        <f aca="false">IF(AND(ISNUMBER(L478),ISNUMBER(T478)),T478-L478,"")</f>
        <v/>
      </c>
      <c r="AI478" s="15" t="str">
        <f aca="false">IF(AND(ISNUMBER(O478),ISNUMBER(Q478)),Q478-O478,"")</f>
        <v/>
      </c>
      <c r="AJ478" s="15" t="str">
        <f aca="false">IF(B478="","",COUNT(L478:M478,P478:T478)&amp;"/7")</f>
        <v/>
      </c>
      <c r="AK478" s="15" t="str">
        <f aca="false">IF(B478="","",IF(OR(AND(ISNUMBER(L478),ISNUMBER(M478),M478&lt;L478),AND(ISNUMBER(M478),ISNUMBER(P478),P478&lt;M478),AND(ISNUMBER(P478),ISNUMBER(Q478),Q478&lt;P478),AND(ISNUMBER(Q478),ISNUMBER(R478),R478&lt;Q478),AND(ISNUMBER(R478),ISNUMBER(S478),S478&lt;R478),AND(ISNUMBER(S478),ISNUMBER(T478),T478&lt;S478),AND(ISNUMBER(N478),ISNUMBER(O478),O478&lt;N478)),"Urutan tanggal salah",IF(AND(ISNUMBER(Q478),ISNUMBER(R478),ISNUMBER(Y478),ABS(R478-Q478-Y478)&gt;2),"S tanggal ≠ Sailing tercatat",IF(AND(ISNUMBER(Q478),ISNUMBER(O478),ABS(Q478-O478)&gt;60),"Cek tahun laycan",IF(AND(ISNUMBER(Q478),ISNUMBER(N478),Q478&lt;N478),"Berangkat sebelum laycan",IF(NOT(ISNUMBER(AE478)),"S belum ada","OK"))))))</f>
        <v/>
      </c>
    </row>
    <row r="479" customFormat="false" ht="15" hidden="false" customHeight="false" outlineLevel="0" collapsed="false">
      <c r="A479" s="16" t="str">
        <f aca="false">IF(B479="","",ROW()-4)</f>
        <v/>
      </c>
      <c r="B479" s="12"/>
      <c r="C479" s="16"/>
      <c r="D479" s="16"/>
      <c r="E479" s="16"/>
      <c r="F479" s="16"/>
      <c r="G479" s="16"/>
      <c r="H479" s="16"/>
      <c r="I479" s="16"/>
      <c r="J479" s="16"/>
      <c r="K479" s="16"/>
      <c r="L479" s="13"/>
      <c r="M479" s="13"/>
      <c r="N479" s="13"/>
      <c r="O479" s="13"/>
      <c r="P479" s="13"/>
      <c r="Q479" s="13"/>
      <c r="R479" s="13"/>
      <c r="S479" s="13"/>
      <c r="T479" s="13"/>
      <c r="U479" s="12"/>
      <c r="V479" s="14"/>
      <c r="W479" s="16"/>
      <c r="X479" s="16"/>
      <c r="Y479" s="16"/>
      <c r="Z479" s="16"/>
      <c r="AA479" s="15" t="str">
        <f aca="false">IF(AND(ISNUMBER(L479),ISNUMBER(M479)),M479-L479,"")</f>
        <v/>
      </c>
      <c r="AB479" s="15" t="str">
        <f aca="false">IF(AND(ISNUMBER(M479),ISNUMBER(P479)),P479-M479,"")</f>
        <v/>
      </c>
      <c r="AC479" s="15" t="str">
        <f aca="false">IF(AND(ISNUMBER(L479),ISNUMBER(P479)),P479-L479,"")</f>
        <v/>
      </c>
      <c r="AD479" s="15" t="str">
        <f aca="false">IF(AND(ISNUMBER(P479),ISNUMBER(Q479)),Q479-P479,"")</f>
        <v/>
      </c>
      <c r="AE479" s="15" t="str">
        <f aca="false">IF(AND(ISNUMBER(Q479),ISNUMBER(R479)),R479-Q479,IF(ISNUMBER(Y479),Y479,""))</f>
        <v/>
      </c>
      <c r="AF479" s="15" t="str">
        <f aca="false">IF(AND(ISNUMBER(R479),ISNUMBER(S479)),S479-R479,"")</f>
        <v/>
      </c>
      <c r="AG479" s="15" t="str">
        <f aca="false">IF(AND(ISNUMBER(S479),ISNUMBER(T479)),T479-S479,"")</f>
        <v/>
      </c>
      <c r="AH479" s="15" t="str">
        <f aca="false">IF(AND(ISNUMBER(L479),ISNUMBER(T479)),T479-L479,"")</f>
        <v/>
      </c>
      <c r="AI479" s="15" t="str">
        <f aca="false">IF(AND(ISNUMBER(O479),ISNUMBER(Q479)),Q479-O479,"")</f>
        <v/>
      </c>
      <c r="AJ479" s="15" t="str">
        <f aca="false">IF(B479="","",COUNT(L479:M479,P479:T479)&amp;"/7")</f>
        <v/>
      </c>
      <c r="AK479" s="15" t="str">
        <f aca="false">IF(B479="","",IF(OR(AND(ISNUMBER(L479),ISNUMBER(M479),M479&lt;L479),AND(ISNUMBER(M479),ISNUMBER(P479),P479&lt;M479),AND(ISNUMBER(P479),ISNUMBER(Q479),Q479&lt;P479),AND(ISNUMBER(Q479),ISNUMBER(R479),R479&lt;Q479),AND(ISNUMBER(R479),ISNUMBER(S479),S479&lt;R479),AND(ISNUMBER(S479),ISNUMBER(T479),T479&lt;S479),AND(ISNUMBER(N479),ISNUMBER(O479),O479&lt;N479)),"Urutan tanggal salah",IF(AND(ISNUMBER(Q479),ISNUMBER(R479),ISNUMBER(Y479),ABS(R479-Q479-Y479)&gt;2),"S tanggal ≠ Sailing tercatat",IF(AND(ISNUMBER(Q479),ISNUMBER(O479),ABS(Q479-O479)&gt;60),"Cek tahun laycan",IF(AND(ISNUMBER(Q479),ISNUMBER(N479),Q479&lt;N479),"Berangkat sebelum laycan",IF(NOT(ISNUMBER(AE479)),"S belum ada","OK"))))))</f>
        <v/>
      </c>
    </row>
    <row r="480" customFormat="false" ht="15" hidden="false" customHeight="false" outlineLevel="0" collapsed="false">
      <c r="A480" s="16" t="str">
        <f aca="false">IF(B480="","",ROW()-4)</f>
        <v/>
      </c>
      <c r="B480" s="12"/>
      <c r="C480" s="16"/>
      <c r="D480" s="16"/>
      <c r="E480" s="16"/>
      <c r="F480" s="16"/>
      <c r="G480" s="16"/>
      <c r="H480" s="16"/>
      <c r="I480" s="16"/>
      <c r="J480" s="16"/>
      <c r="K480" s="16"/>
      <c r="L480" s="13"/>
      <c r="M480" s="13"/>
      <c r="N480" s="13"/>
      <c r="O480" s="13"/>
      <c r="P480" s="13"/>
      <c r="Q480" s="13"/>
      <c r="R480" s="13"/>
      <c r="S480" s="13"/>
      <c r="T480" s="13"/>
      <c r="U480" s="12"/>
      <c r="V480" s="14"/>
      <c r="W480" s="16"/>
      <c r="X480" s="16"/>
      <c r="Y480" s="16"/>
      <c r="Z480" s="16"/>
      <c r="AA480" s="15" t="str">
        <f aca="false">IF(AND(ISNUMBER(L480),ISNUMBER(M480)),M480-L480,"")</f>
        <v/>
      </c>
      <c r="AB480" s="15" t="str">
        <f aca="false">IF(AND(ISNUMBER(M480),ISNUMBER(P480)),P480-M480,"")</f>
        <v/>
      </c>
      <c r="AC480" s="15" t="str">
        <f aca="false">IF(AND(ISNUMBER(L480),ISNUMBER(P480)),P480-L480,"")</f>
        <v/>
      </c>
      <c r="AD480" s="15" t="str">
        <f aca="false">IF(AND(ISNUMBER(P480),ISNUMBER(Q480)),Q480-P480,"")</f>
        <v/>
      </c>
      <c r="AE480" s="15" t="str">
        <f aca="false">IF(AND(ISNUMBER(Q480),ISNUMBER(R480)),R480-Q480,IF(ISNUMBER(Y480),Y480,""))</f>
        <v/>
      </c>
      <c r="AF480" s="15" t="str">
        <f aca="false">IF(AND(ISNUMBER(R480),ISNUMBER(S480)),S480-R480,"")</f>
        <v/>
      </c>
      <c r="AG480" s="15" t="str">
        <f aca="false">IF(AND(ISNUMBER(S480),ISNUMBER(T480)),T480-S480,"")</f>
        <v/>
      </c>
      <c r="AH480" s="15" t="str">
        <f aca="false">IF(AND(ISNUMBER(L480),ISNUMBER(T480)),T480-L480,"")</f>
        <v/>
      </c>
      <c r="AI480" s="15" t="str">
        <f aca="false">IF(AND(ISNUMBER(O480),ISNUMBER(Q480)),Q480-O480,"")</f>
        <v/>
      </c>
      <c r="AJ480" s="15" t="str">
        <f aca="false">IF(B480="","",COUNT(L480:M480,P480:T480)&amp;"/7")</f>
        <v/>
      </c>
      <c r="AK480" s="15" t="str">
        <f aca="false">IF(B480="","",IF(OR(AND(ISNUMBER(L480),ISNUMBER(M480),M480&lt;L480),AND(ISNUMBER(M480),ISNUMBER(P480),P480&lt;M480),AND(ISNUMBER(P480),ISNUMBER(Q480),Q480&lt;P480),AND(ISNUMBER(Q480),ISNUMBER(R480),R480&lt;Q480),AND(ISNUMBER(R480),ISNUMBER(S480),S480&lt;R480),AND(ISNUMBER(S480),ISNUMBER(T480),T480&lt;S480),AND(ISNUMBER(N480),ISNUMBER(O480),O480&lt;N480)),"Urutan tanggal salah",IF(AND(ISNUMBER(Q480),ISNUMBER(R480),ISNUMBER(Y480),ABS(R480-Q480-Y480)&gt;2),"S tanggal ≠ Sailing tercatat",IF(AND(ISNUMBER(Q480),ISNUMBER(O480),ABS(Q480-O480)&gt;60),"Cek tahun laycan",IF(AND(ISNUMBER(Q480),ISNUMBER(N480),Q480&lt;N480),"Berangkat sebelum laycan",IF(NOT(ISNUMBER(AE480)),"S belum ada","OK"))))))</f>
        <v/>
      </c>
    </row>
    <row r="481" customFormat="false" ht="15" hidden="false" customHeight="false" outlineLevel="0" collapsed="false">
      <c r="A481" s="16" t="str">
        <f aca="false">IF(B481="","",ROW()-4)</f>
        <v/>
      </c>
      <c r="B481" s="12"/>
      <c r="C481" s="16"/>
      <c r="D481" s="16"/>
      <c r="E481" s="16"/>
      <c r="F481" s="16"/>
      <c r="G481" s="16"/>
      <c r="H481" s="16"/>
      <c r="I481" s="16"/>
      <c r="J481" s="16"/>
      <c r="K481" s="16"/>
      <c r="L481" s="13"/>
      <c r="M481" s="13"/>
      <c r="N481" s="13"/>
      <c r="O481" s="13"/>
      <c r="P481" s="13"/>
      <c r="Q481" s="13"/>
      <c r="R481" s="13"/>
      <c r="S481" s="13"/>
      <c r="T481" s="13"/>
      <c r="U481" s="12"/>
      <c r="V481" s="14"/>
      <c r="W481" s="16"/>
      <c r="X481" s="16"/>
      <c r="Y481" s="16"/>
      <c r="Z481" s="16"/>
      <c r="AA481" s="15" t="str">
        <f aca="false">IF(AND(ISNUMBER(L481),ISNUMBER(M481)),M481-L481,"")</f>
        <v/>
      </c>
      <c r="AB481" s="15" t="str">
        <f aca="false">IF(AND(ISNUMBER(M481),ISNUMBER(P481)),P481-M481,"")</f>
        <v/>
      </c>
      <c r="AC481" s="15" t="str">
        <f aca="false">IF(AND(ISNUMBER(L481),ISNUMBER(P481)),P481-L481,"")</f>
        <v/>
      </c>
      <c r="AD481" s="15" t="str">
        <f aca="false">IF(AND(ISNUMBER(P481),ISNUMBER(Q481)),Q481-P481,"")</f>
        <v/>
      </c>
      <c r="AE481" s="15" t="str">
        <f aca="false">IF(AND(ISNUMBER(Q481),ISNUMBER(R481)),R481-Q481,IF(ISNUMBER(Y481),Y481,""))</f>
        <v/>
      </c>
      <c r="AF481" s="15" t="str">
        <f aca="false">IF(AND(ISNUMBER(R481),ISNUMBER(S481)),S481-R481,"")</f>
        <v/>
      </c>
      <c r="AG481" s="15" t="str">
        <f aca="false">IF(AND(ISNUMBER(S481),ISNUMBER(T481)),T481-S481,"")</f>
        <v/>
      </c>
      <c r="AH481" s="15" t="str">
        <f aca="false">IF(AND(ISNUMBER(L481),ISNUMBER(T481)),T481-L481,"")</f>
        <v/>
      </c>
      <c r="AI481" s="15" t="str">
        <f aca="false">IF(AND(ISNUMBER(O481),ISNUMBER(Q481)),Q481-O481,"")</f>
        <v/>
      </c>
      <c r="AJ481" s="15" t="str">
        <f aca="false">IF(B481="","",COUNT(L481:M481,P481:T481)&amp;"/7")</f>
        <v/>
      </c>
      <c r="AK481" s="15" t="str">
        <f aca="false">IF(B481="","",IF(OR(AND(ISNUMBER(L481),ISNUMBER(M481),M481&lt;L481),AND(ISNUMBER(M481),ISNUMBER(P481),P481&lt;M481),AND(ISNUMBER(P481),ISNUMBER(Q481),Q481&lt;P481),AND(ISNUMBER(Q481),ISNUMBER(R481),R481&lt;Q481),AND(ISNUMBER(R481),ISNUMBER(S481),S481&lt;R481),AND(ISNUMBER(S481),ISNUMBER(T481),T481&lt;S481),AND(ISNUMBER(N481),ISNUMBER(O481),O481&lt;N481)),"Urutan tanggal salah",IF(AND(ISNUMBER(Q481),ISNUMBER(R481),ISNUMBER(Y481),ABS(R481-Q481-Y481)&gt;2),"S tanggal ≠ Sailing tercatat",IF(AND(ISNUMBER(Q481),ISNUMBER(O481),ABS(Q481-O481)&gt;60),"Cek tahun laycan",IF(AND(ISNUMBER(Q481),ISNUMBER(N481),Q481&lt;N481),"Berangkat sebelum laycan",IF(NOT(ISNUMBER(AE481)),"S belum ada","OK"))))))</f>
        <v/>
      </c>
    </row>
    <row r="482" customFormat="false" ht="15" hidden="false" customHeight="false" outlineLevel="0" collapsed="false">
      <c r="A482" s="16" t="str">
        <f aca="false">IF(B482="","",ROW()-4)</f>
        <v/>
      </c>
      <c r="B482" s="12"/>
      <c r="C482" s="16"/>
      <c r="D482" s="16"/>
      <c r="E482" s="16"/>
      <c r="F482" s="16"/>
      <c r="G482" s="16"/>
      <c r="H482" s="16"/>
      <c r="I482" s="16"/>
      <c r="J482" s="16"/>
      <c r="K482" s="16"/>
      <c r="L482" s="13"/>
      <c r="M482" s="13"/>
      <c r="N482" s="13"/>
      <c r="O482" s="13"/>
      <c r="P482" s="13"/>
      <c r="Q482" s="13"/>
      <c r="R482" s="13"/>
      <c r="S482" s="13"/>
      <c r="T482" s="13"/>
      <c r="U482" s="12"/>
      <c r="V482" s="14"/>
      <c r="W482" s="16"/>
      <c r="X482" s="16"/>
      <c r="Y482" s="16"/>
      <c r="Z482" s="16"/>
      <c r="AA482" s="15" t="str">
        <f aca="false">IF(AND(ISNUMBER(L482),ISNUMBER(M482)),M482-L482,"")</f>
        <v/>
      </c>
      <c r="AB482" s="15" t="str">
        <f aca="false">IF(AND(ISNUMBER(M482),ISNUMBER(P482)),P482-M482,"")</f>
        <v/>
      </c>
      <c r="AC482" s="15" t="str">
        <f aca="false">IF(AND(ISNUMBER(L482),ISNUMBER(P482)),P482-L482,"")</f>
        <v/>
      </c>
      <c r="AD482" s="15" t="str">
        <f aca="false">IF(AND(ISNUMBER(P482),ISNUMBER(Q482)),Q482-P482,"")</f>
        <v/>
      </c>
      <c r="AE482" s="15" t="str">
        <f aca="false">IF(AND(ISNUMBER(Q482),ISNUMBER(R482)),R482-Q482,IF(ISNUMBER(Y482),Y482,""))</f>
        <v/>
      </c>
      <c r="AF482" s="15" t="str">
        <f aca="false">IF(AND(ISNUMBER(R482),ISNUMBER(S482)),S482-R482,"")</f>
        <v/>
      </c>
      <c r="AG482" s="15" t="str">
        <f aca="false">IF(AND(ISNUMBER(S482),ISNUMBER(T482)),T482-S482,"")</f>
        <v/>
      </c>
      <c r="AH482" s="15" t="str">
        <f aca="false">IF(AND(ISNUMBER(L482),ISNUMBER(T482)),T482-L482,"")</f>
        <v/>
      </c>
      <c r="AI482" s="15" t="str">
        <f aca="false">IF(AND(ISNUMBER(O482),ISNUMBER(Q482)),Q482-O482,"")</f>
        <v/>
      </c>
      <c r="AJ482" s="15" t="str">
        <f aca="false">IF(B482="","",COUNT(L482:M482,P482:T482)&amp;"/7")</f>
        <v/>
      </c>
      <c r="AK482" s="15" t="str">
        <f aca="false">IF(B482="","",IF(OR(AND(ISNUMBER(L482),ISNUMBER(M482),M482&lt;L482),AND(ISNUMBER(M482),ISNUMBER(P482),P482&lt;M482),AND(ISNUMBER(P482),ISNUMBER(Q482),Q482&lt;P482),AND(ISNUMBER(Q482),ISNUMBER(R482),R482&lt;Q482),AND(ISNUMBER(R482),ISNUMBER(S482),S482&lt;R482),AND(ISNUMBER(S482),ISNUMBER(T482),T482&lt;S482),AND(ISNUMBER(N482),ISNUMBER(O482),O482&lt;N482)),"Urutan tanggal salah",IF(AND(ISNUMBER(Q482),ISNUMBER(R482),ISNUMBER(Y482),ABS(R482-Q482-Y482)&gt;2),"S tanggal ≠ Sailing tercatat",IF(AND(ISNUMBER(Q482),ISNUMBER(O482),ABS(Q482-O482)&gt;60),"Cek tahun laycan",IF(AND(ISNUMBER(Q482),ISNUMBER(N482),Q482&lt;N482),"Berangkat sebelum laycan",IF(NOT(ISNUMBER(AE482)),"S belum ada","OK"))))))</f>
        <v/>
      </c>
    </row>
    <row r="483" customFormat="false" ht="15" hidden="false" customHeight="false" outlineLevel="0" collapsed="false">
      <c r="A483" s="16" t="str">
        <f aca="false">IF(B483="","",ROW()-4)</f>
        <v/>
      </c>
      <c r="B483" s="12"/>
      <c r="C483" s="16"/>
      <c r="D483" s="16"/>
      <c r="E483" s="16"/>
      <c r="F483" s="16"/>
      <c r="G483" s="16"/>
      <c r="H483" s="16"/>
      <c r="I483" s="16"/>
      <c r="J483" s="16"/>
      <c r="K483" s="16"/>
      <c r="L483" s="13"/>
      <c r="M483" s="13"/>
      <c r="N483" s="13"/>
      <c r="O483" s="13"/>
      <c r="P483" s="13"/>
      <c r="Q483" s="13"/>
      <c r="R483" s="13"/>
      <c r="S483" s="13"/>
      <c r="T483" s="13"/>
      <c r="U483" s="12"/>
      <c r="V483" s="14"/>
      <c r="W483" s="16"/>
      <c r="X483" s="16"/>
      <c r="Y483" s="16"/>
      <c r="Z483" s="16"/>
      <c r="AA483" s="15" t="str">
        <f aca="false">IF(AND(ISNUMBER(L483),ISNUMBER(M483)),M483-L483,"")</f>
        <v/>
      </c>
      <c r="AB483" s="15" t="str">
        <f aca="false">IF(AND(ISNUMBER(M483),ISNUMBER(P483)),P483-M483,"")</f>
        <v/>
      </c>
      <c r="AC483" s="15" t="str">
        <f aca="false">IF(AND(ISNUMBER(L483),ISNUMBER(P483)),P483-L483,"")</f>
        <v/>
      </c>
      <c r="AD483" s="15" t="str">
        <f aca="false">IF(AND(ISNUMBER(P483),ISNUMBER(Q483)),Q483-P483,"")</f>
        <v/>
      </c>
      <c r="AE483" s="15" t="str">
        <f aca="false">IF(AND(ISNUMBER(Q483),ISNUMBER(R483)),R483-Q483,IF(ISNUMBER(Y483),Y483,""))</f>
        <v/>
      </c>
      <c r="AF483" s="15" t="str">
        <f aca="false">IF(AND(ISNUMBER(R483),ISNUMBER(S483)),S483-R483,"")</f>
        <v/>
      </c>
      <c r="AG483" s="15" t="str">
        <f aca="false">IF(AND(ISNUMBER(S483),ISNUMBER(T483)),T483-S483,"")</f>
        <v/>
      </c>
      <c r="AH483" s="15" t="str">
        <f aca="false">IF(AND(ISNUMBER(L483),ISNUMBER(T483)),T483-L483,"")</f>
        <v/>
      </c>
      <c r="AI483" s="15" t="str">
        <f aca="false">IF(AND(ISNUMBER(O483),ISNUMBER(Q483)),Q483-O483,"")</f>
        <v/>
      </c>
      <c r="AJ483" s="15" t="str">
        <f aca="false">IF(B483="","",COUNT(L483:M483,P483:T483)&amp;"/7")</f>
        <v/>
      </c>
      <c r="AK483" s="15" t="str">
        <f aca="false">IF(B483="","",IF(OR(AND(ISNUMBER(L483),ISNUMBER(M483),M483&lt;L483),AND(ISNUMBER(M483),ISNUMBER(P483),P483&lt;M483),AND(ISNUMBER(P483),ISNUMBER(Q483),Q483&lt;P483),AND(ISNUMBER(Q483),ISNUMBER(R483),R483&lt;Q483),AND(ISNUMBER(R483),ISNUMBER(S483),S483&lt;R483),AND(ISNUMBER(S483),ISNUMBER(T483),T483&lt;S483),AND(ISNUMBER(N483),ISNUMBER(O483),O483&lt;N483)),"Urutan tanggal salah",IF(AND(ISNUMBER(Q483),ISNUMBER(R483),ISNUMBER(Y483),ABS(R483-Q483-Y483)&gt;2),"S tanggal ≠ Sailing tercatat",IF(AND(ISNUMBER(Q483),ISNUMBER(O483),ABS(Q483-O483)&gt;60),"Cek tahun laycan",IF(AND(ISNUMBER(Q483),ISNUMBER(N483),Q483&lt;N483),"Berangkat sebelum laycan",IF(NOT(ISNUMBER(AE483)),"S belum ada","OK"))))))</f>
        <v/>
      </c>
    </row>
    <row r="484" customFormat="false" ht="15" hidden="false" customHeight="false" outlineLevel="0" collapsed="false">
      <c r="A484" s="16" t="str">
        <f aca="false">IF(B484="","",ROW()-4)</f>
        <v/>
      </c>
      <c r="B484" s="12"/>
      <c r="C484" s="16"/>
      <c r="D484" s="16"/>
      <c r="E484" s="16"/>
      <c r="F484" s="16"/>
      <c r="G484" s="16"/>
      <c r="H484" s="16"/>
      <c r="I484" s="16"/>
      <c r="J484" s="16"/>
      <c r="K484" s="16"/>
      <c r="L484" s="13"/>
      <c r="M484" s="13"/>
      <c r="N484" s="13"/>
      <c r="O484" s="13"/>
      <c r="P484" s="13"/>
      <c r="Q484" s="13"/>
      <c r="R484" s="13"/>
      <c r="S484" s="13"/>
      <c r="T484" s="13"/>
      <c r="U484" s="12"/>
      <c r="V484" s="14"/>
      <c r="W484" s="16"/>
      <c r="X484" s="16"/>
      <c r="Y484" s="16"/>
      <c r="Z484" s="16"/>
      <c r="AA484" s="15" t="str">
        <f aca="false">IF(AND(ISNUMBER(L484),ISNUMBER(M484)),M484-L484,"")</f>
        <v/>
      </c>
      <c r="AB484" s="15" t="str">
        <f aca="false">IF(AND(ISNUMBER(M484),ISNUMBER(P484)),P484-M484,"")</f>
        <v/>
      </c>
      <c r="AC484" s="15" t="str">
        <f aca="false">IF(AND(ISNUMBER(L484),ISNUMBER(P484)),P484-L484,"")</f>
        <v/>
      </c>
      <c r="AD484" s="15" t="str">
        <f aca="false">IF(AND(ISNUMBER(P484),ISNUMBER(Q484)),Q484-P484,"")</f>
        <v/>
      </c>
      <c r="AE484" s="15" t="str">
        <f aca="false">IF(AND(ISNUMBER(Q484),ISNUMBER(R484)),R484-Q484,IF(ISNUMBER(Y484),Y484,""))</f>
        <v/>
      </c>
      <c r="AF484" s="15" t="str">
        <f aca="false">IF(AND(ISNUMBER(R484),ISNUMBER(S484)),S484-R484,"")</f>
        <v/>
      </c>
      <c r="AG484" s="15" t="str">
        <f aca="false">IF(AND(ISNUMBER(S484),ISNUMBER(T484)),T484-S484,"")</f>
        <v/>
      </c>
      <c r="AH484" s="15" t="str">
        <f aca="false">IF(AND(ISNUMBER(L484),ISNUMBER(T484)),T484-L484,"")</f>
        <v/>
      </c>
      <c r="AI484" s="15" t="str">
        <f aca="false">IF(AND(ISNUMBER(O484),ISNUMBER(Q484)),Q484-O484,"")</f>
        <v/>
      </c>
      <c r="AJ484" s="15" t="str">
        <f aca="false">IF(B484="","",COUNT(L484:M484,P484:T484)&amp;"/7")</f>
        <v/>
      </c>
      <c r="AK484" s="15" t="str">
        <f aca="false">IF(B484="","",IF(OR(AND(ISNUMBER(L484),ISNUMBER(M484),M484&lt;L484),AND(ISNUMBER(M484),ISNUMBER(P484),P484&lt;M484),AND(ISNUMBER(P484),ISNUMBER(Q484),Q484&lt;P484),AND(ISNUMBER(Q484),ISNUMBER(R484),R484&lt;Q484),AND(ISNUMBER(R484),ISNUMBER(S484),S484&lt;R484),AND(ISNUMBER(S484),ISNUMBER(T484),T484&lt;S484),AND(ISNUMBER(N484),ISNUMBER(O484),O484&lt;N484)),"Urutan tanggal salah",IF(AND(ISNUMBER(Q484),ISNUMBER(R484),ISNUMBER(Y484),ABS(R484-Q484-Y484)&gt;2),"S tanggal ≠ Sailing tercatat",IF(AND(ISNUMBER(Q484),ISNUMBER(O484),ABS(Q484-O484)&gt;60),"Cek tahun laycan",IF(AND(ISNUMBER(Q484),ISNUMBER(N484),Q484&lt;N484),"Berangkat sebelum laycan",IF(NOT(ISNUMBER(AE484)),"S belum ada","OK"))))))</f>
        <v/>
      </c>
    </row>
    <row r="485" customFormat="false" ht="15" hidden="false" customHeight="false" outlineLevel="0" collapsed="false">
      <c r="A485" s="16" t="str">
        <f aca="false">IF(B485="","",ROW()-4)</f>
        <v/>
      </c>
      <c r="B485" s="12"/>
      <c r="C485" s="16"/>
      <c r="D485" s="16"/>
      <c r="E485" s="16"/>
      <c r="F485" s="16"/>
      <c r="G485" s="16"/>
      <c r="H485" s="16"/>
      <c r="I485" s="16"/>
      <c r="J485" s="16"/>
      <c r="K485" s="16"/>
      <c r="L485" s="13"/>
      <c r="M485" s="13"/>
      <c r="N485" s="13"/>
      <c r="O485" s="13"/>
      <c r="P485" s="13"/>
      <c r="Q485" s="13"/>
      <c r="R485" s="13"/>
      <c r="S485" s="13"/>
      <c r="T485" s="13"/>
      <c r="U485" s="12"/>
      <c r="V485" s="14"/>
      <c r="W485" s="16"/>
      <c r="X485" s="16"/>
      <c r="Y485" s="16"/>
      <c r="Z485" s="16"/>
      <c r="AA485" s="15" t="str">
        <f aca="false">IF(AND(ISNUMBER(L485),ISNUMBER(M485)),M485-L485,"")</f>
        <v/>
      </c>
      <c r="AB485" s="15" t="str">
        <f aca="false">IF(AND(ISNUMBER(M485),ISNUMBER(P485)),P485-M485,"")</f>
        <v/>
      </c>
      <c r="AC485" s="15" t="str">
        <f aca="false">IF(AND(ISNUMBER(L485),ISNUMBER(P485)),P485-L485,"")</f>
        <v/>
      </c>
      <c r="AD485" s="15" t="str">
        <f aca="false">IF(AND(ISNUMBER(P485),ISNUMBER(Q485)),Q485-P485,"")</f>
        <v/>
      </c>
      <c r="AE485" s="15" t="str">
        <f aca="false">IF(AND(ISNUMBER(Q485),ISNUMBER(R485)),R485-Q485,IF(ISNUMBER(Y485),Y485,""))</f>
        <v/>
      </c>
      <c r="AF485" s="15" t="str">
        <f aca="false">IF(AND(ISNUMBER(R485),ISNUMBER(S485)),S485-R485,"")</f>
        <v/>
      </c>
      <c r="AG485" s="15" t="str">
        <f aca="false">IF(AND(ISNUMBER(S485),ISNUMBER(T485)),T485-S485,"")</f>
        <v/>
      </c>
      <c r="AH485" s="15" t="str">
        <f aca="false">IF(AND(ISNUMBER(L485),ISNUMBER(T485)),T485-L485,"")</f>
        <v/>
      </c>
      <c r="AI485" s="15" t="str">
        <f aca="false">IF(AND(ISNUMBER(O485),ISNUMBER(Q485)),Q485-O485,"")</f>
        <v/>
      </c>
      <c r="AJ485" s="15" t="str">
        <f aca="false">IF(B485="","",COUNT(L485:M485,P485:T485)&amp;"/7")</f>
        <v/>
      </c>
      <c r="AK485" s="15" t="str">
        <f aca="false">IF(B485="","",IF(OR(AND(ISNUMBER(L485),ISNUMBER(M485),M485&lt;L485),AND(ISNUMBER(M485),ISNUMBER(P485),P485&lt;M485),AND(ISNUMBER(P485),ISNUMBER(Q485),Q485&lt;P485),AND(ISNUMBER(Q485),ISNUMBER(R485),R485&lt;Q485),AND(ISNUMBER(R485),ISNUMBER(S485),S485&lt;R485),AND(ISNUMBER(S485),ISNUMBER(T485),T485&lt;S485),AND(ISNUMBER(N485),ISNUMBER(O485),O485&lt;N485)),"Urutan tanggal salah",IF(AND(ISNUMBER(Q485),ISNUMBER(R485),ISNUMBER(Y485),ABS(R485-Q485-Y485)&gt;2),"S tanggal ≠ Sailing tercatat",IF(AND(ISNUMBER(Q485),ISNUMBER(O485),ABS(Q485-O485)&gt;60),"Cek tahun laycan",IF(AND(ISNUMBER(Q485),ISNUMBER(N485),Q485&lt;N485),"Berangkat sebelum laycan",IF(NOT(ISNUMBER(AE485)),"S belum ada","OK"))))))</f>
        <v/>
      </c>
    </row>
    <row r="486" customFormat="false" ht="15" hidden="false" customHeight="false" outlineLevel="0" collapsed="false">
      <c r="A486" s="16" t="str">
        <f aca="false">IF(B486="","",ROW()-4)</f>
        <v/>
      </c>
      <c r="B486" s="12"/>
      <c r="C486" s="16"/>
      <c r="D486" s="16"/>
      <c r="E486" s="16"/>
      <c r="F486" s="16"/>
      <c r="G486" s="16"/>
      <c r="H486" s="16"/>
      <c r="I486" s="16"/>
      <c r="J486" s="16"/>
      <c r="K486" s="16"/>
      <c r="L486" s="13"/>
      <c r="M486" s="13"/>
      <c r="N486" s="13"/>
      <c r="O486" s="13"/>
      <c r="P486" s="13"/>
      <c r="Q486" s="13"/>
      <c r="R486" s="13"/>
      <c r="S486" s="13"/>
      <c r="T486" s="13"/>
      <c r="U486" s="12"/>
      <c r="V486" s="14"/>
      <c r="W486" s="16"/>
      <c r="X486" s="16"/>
      <c r="Y486" s="16"/>
      <c r="Z486" s="16"/>
      <c r="AA486" s="15" t="str">
        <f aca="false">IF(AND(ISNUMBER(L486),ISNUMBER(M486)),M486-L486,"")</f>
        <v/>
      </c>
      <c r="AB486" s="15" t="str">
        <f aca="false">IF(AND(ISNUMBER(M486),ISNUMBER(P486)),P486-M486,"")</f>
        <v/>
      </c>
      <c r="AC486" s="15" t="str">
        <f aca="false">IF(AND(ISNUMBER(L486),ISNUMBER(P486)),P486-L486,"")</f>
        <v/>
      </c>
      <c r="AD486" s="15" t="str">
        <f aca="false">IF(AND(ISNUMBER(P486),ISNUMBER(Q486)),Q486-P486,"")</f>
        <v/>
      </c>
      <c r="AE486" s="15" t="str">
        <f aca="false">IF(AND(ISNUMBER(Q486),ISNUMBER(R486)),R486-Q486,IF(ISNUMBER(Y486),Y486,""))</f>
        <v/>
      </c>
      <c r="AF486" s="15" t="str">
        <f aca="false">IF(AND(ISNUMBER(R486),ISNUMBER(S486)),S486-R486,"")</f>
        <v/>
      </c>
      <c r="AG486" s="15" t="str">
        <f aca="false">IF(AND(ISNUMBER(S486),ISNUMBER(T486)),T486-S486,"")</f>
        <v/>
      </c>
      <c r="AH486" s="15" t="str">
        <f aca="false">IF(AND(ISNUMBER(L486),ISNUMBER(T486)),T486-L486,"")</f>
        <v/>
      </c>
      <c r="AI486" s="15" t="str">
        <f aca="false">IF(AND(ISNUMBER(O486),ISNUMBER(Q486)),Q486-O486,"")</f>
        <v/>
      </c>
      <c r="AJ486" s="15" t="str">
        <f aca="false">IF(B486="","",COUNT(L486:M486,P486:T486)&amp;"/7")</f>
        <v/>
      </c>
      <c r="AK486" s="15" t="str">
        <f aca="false">IF(B486="","",IF(OR(AND(ISNUMBER(L486),ISNUMBER(M486),M486&lt;L486),AND(ISNUMBER(M486),ISNUMBER(P486),P486&lt;M486),AND(ISNUMBER(P486),ISNUMBER(Q486),Q486&lt;P486),AND(ISNUMBER(Q486),ISNUMBER(R486),R486&lt;Q486),AND(ISNUMBER(R486),ISNUMBER(S486),S486&lt;R486),AND(ISNUMBER(S486),ISNUMBER(T486),T486&lt;S486),AND(ISNUMBER(N486),ISNUMBER(O486),O486&lt;N486)),"Urutan tanggal salah",IF(AND(ISNUMBER(Q486),ISNUMBER(R486),ISNUMBER(Y486),ABS(R486-Q486-Y486)&gt;2),"S tanggal ≠ Sailing tercatat",IF(AND(ISNUMBER(Q486),ISNUMBER(O486),ABS(Q486-O486)&gt;60),"Cek tahun laycan",IF(AND(ISNUMBER(Q486),ISNUMBER(N486),Q486&lt;N486),"Berangkat sebelum laycan",IF(NOT(ISNUMBER(AE486)),"S belum ada","OK"))))))</f>
        <v/>
      </c>
    </row>
    <row r="487" customFormat="false" ht="15" hidden="false" customHeight="false" outlineLevel="0" collapsed="false">
      <c r="A487" s="16" t="str">
        <f aca="false">IF(B487="","",ROW()-4)</f>
        <v/>
      </c>
      <c r="B487" s="12"/>
      <c r="C487" s="16"/>
      <c r="D487" s="16"/>
      <c r="E487" s="16"/>
      <c r="F487" s="16"/>
      <c r="G487" s="16"/>
      <c r="H487" s="16"/>
      <c r="I487" s="16"/>
      <c r="J487" s="16"/>
      <c r="K487" s="16"/>
      <c r="L487" s="13"/>
      <c r="M487" s="13"/>
      <c r="N487" s="13"/>
      <c r="O487" s="13"/>
      <c r="P487" s="13"/>
      <c r="Q487" s="13"/>
      <c r="R487" s="13"/>
      <c r="S487" s="13"/>
      <c r="T487" s="13"/>
      <c r="U487" s="12"/>
      <c r="V487" s="14"/>
      <c r="W487" s="16"/>
      <c r="X487" s="16"/>
      <c r="Y487" s="16"/>
      <c r="Z487" s="16"/>
      <c r="AA487" s="15" t="str">
        <f aca="false">IF(AND(ISNUMBER(L487),ISNUMBER(M487)),M487-L487,"")</f>
        <v/>
      </c>
      <c r="AB487" s="15" t="str">
        <f aca="false">IF(AND(ISNUMBER(M487),ISNUMBER(P487)),P487-M487,"")</f>
        <v/>
      </c>
      <c r="AC487" s="15" t="str">
        <f aca="false">IF(AND(ISNUMBER(L487),ISNUMBER(P487)),P487-L487,"")</f>
        <v/>
      </c>
      <c r="AD487" s="15" t="str">
        <f aca="false">IF(AND(ISNUMBER(P487),ISNUMBER(Q487)),Q487-P487,"")</f>
        <v/>
      </c>
      <c r="AE487" s="15" t="str">
        <f aca="false">IF(AND(ISNUMBER(Q487),ISNUMBER(R487)),R487-Q487,IF(ISNUMBER(Y487),Y487,""))</f>
        <v/>
      </c>
      <c r="AF487" s="15" t="str">
        <f aca="false">IF(AND(ISNUMBER(R487),ISNUMBER(S487)),S487-R487,"")</f>
        <v/>
      </c>
      <c r="AG487" s="15" t="str">
        <f aca="false">IF(AND(ISNUMBER(S487),ISNUMBER(T487)),T487-S487,"")</f>
        <v/>
      </c>
      <c r="AH487" s="15" t="str">
        <f aca="false">IF(AND(ISNUMBER(L487),ISNUMBER(T487)),T487-L487,"")</f>
        <v/>
      </c>
      <c r="AI487" s="15" t="str">
        <f aca="false">IF(AND(ISNUMBER(O487),ISNUMBER(Q487)),Q487-O487,"")</f>
        <v/>
      </c>
      <c r="AJ487" s="15" t="str">
        <f aca="false">IF(B487="","",COUNT(L487:M487,P487:T487)&amp;"/7")</f>
        <v/>
      </c>
      <c r="AK487" s="15" t="str">
        <f aca="false">IF(B487="","",IF(OR(AND(ISNUMBER(L487),ISNUMBER(M487),M487&lt;L487),AND(ISNUMBER(M487),ISNUMBER(P487),P487&lt;M487),AND(ISNUMBER(P487),ISNUMBER(Q487),Q487&lt;P487),AND(ISNUMBER(Q487),ISNUMBER(R487),R487&lt;Q487),AND(ISNUMBER(R487),ISNUMBER(S487),S487&lt;R487),AND(ISNUMBER(S487),ISNUMBER(T487),T487&lt;S487),AND(ISNUMBER(N487),ISNUMBER(O487),O487&lt;N487)),"Urutan tanggal salah",IF(AND(ISNUMBER(Q487),ISNUMBER(R487),ISNUMBER(Y487),ABS(R487-Q487-Y487)&gt;2),"S tanggal ≠ Sailing tercatat",IF(AND(ISNUMBER(Q487),ISNUMBER(O487),ABS(Q487-O487)&gt;60),"Cek tahun laycan",IF(AND(ISNUMBER(Q487),ISNUMBER(N487),Q487&lt;N487),"Berangkat sebelum laycan",IF(NOT(ISNUMBER(AE487)),"S belum ada","OK"))))))</f>
        <v/>
      </c>
    </row>
    <row r="488" customFormat="false" ht="15" hidden="false" customHeight="false" outlineLevel="0" collapsed="false">
      <c r="A488" s="16" t="str">
        <f aca="false">IF(B488="","",ROW()-4)</f>
        <v/>
      </c>
      <c r="B488" s="12"/>
      <c r="C488" s="16"/>
      <c r="D488" s="16"/>
      <c r="E488" s="16"/>
      <c r="F488" s="16"/>
      <c r="G488" s="16"/>
      <c r="H488" s="16"/>
      <c r="I488" s="16"/>
      <c r="J488" s="16"/>
      <c r="K488" s="16"/>
      <c r="L488" s="13"/>
      <c r="M488" s="13"/>
      <c r="N488" s="13"/>
      <c r="O488" s="13"/>
      <c r="P488" s="13"/>
      <c r="Q488" s="13"/>
      <c r="R488" s="13"/>
      <c r="S488" s="13"/>
      <c r="T488" s="13"/>
      <c r="U488" s="12"/>
      <c r="V488" s="14"/>
      <c r="W488" s="16"/>
      <c r="X488" s="16"/>
      <c r="Y488" s="16"/>
      <c r="Z488" s="16"/>
      <c r="AA488" s="15" t="str">
        <f aca="false">IF(AND(ISNUMBER(L488),ISNUMBER(M488)),M488-L488,"")</f>
        <v/>
      </c>
      <c r="AB488" s="15" t="str">
        <f aca="false">IF(AND(ISNUMBER(M488),ISNUMBER(P488)),P488-M488,"")</f>
        <v/>
      </c>
      <c r="AC488" s="15" t="str">
        <f aca="false">IF(AND(ISNUMBER(L488),ISNUMBER(P488)),P488-L488,"")</f>
        <v/>
      </c>
      <c r="AD488" s="15" t="str">
        <f aca="false">IF(AND(ISNUMBER(P488),ISNUMBER(Q488)),Q488-P488,"")</f>
        <v/>
      </c>
      <c r="AE488" s="15" t="str">
        <f aca="false">IF(AND(ISNUMBER(Q488),ISNUMBER(R488)),R488-Q488,IF(ISNUMBER(Y488),Y488,""))</f>
        <v/>
      </c>
      <c r="AF488" s="15" t="str">
        <f aca="false">IF(AND(ISNUMBER(R488),ISNUMBER(S488)),S488-R488,"")</f>
        <v/>
      </c>
      <c r="AG488" s="15" t="str">
        <f aca="false">IF(AND(ISNUMBER(S488),ISNUMBER(T488)),T488-S488,"")</f>
        <v/>
      </c>
      <c r="AH488" s="15" t="str">
        <f aca="false">IF(AND(ISNUMBER(L488),ISNUMBER(T488)),T488-L488,"")</f>
        <v/>
      </c>
      <c r="AI488" s="15" t="str">
        <f aca="false">IF(AND(ISNUMBER(O488),ISNUMBER(Q488)),Q488-O488,"")</f>
        <v/>
      </c>
      <c r="AJ488" s="15" t="str">
        <f aca="false">IF(B488="","",COUNT(L488:M488,P488:T488)&amp;"/7")</f>
        <v/>
      </c>
      <c r="AK488" s="15" t="str">
        <f aca="false">IF(B488="","",IF(OR(AND(ISNUMBER(L488),ISNUMBER(M488),M488&lt;L488),AND(ISNUMBER(M488),ISNUMBER(P488),P488&lt;M488),AND(ISNUMBER(P488),ISNUMBER(Q488),Q488&lt;P488),AND(ISNUMBER(Q488),ISNUMBER(R488),R488&lt;Q488),AND(ISNUMBER(R488),ISNUMBER(S488),S488&lt;R488),AND(ISNUMBER(S488),ISNUMBER(T488),T488&lt;S488),AND(ISNUMBER(N488),ISNUMBER(O488),O488&lt;N488)),"Urutan tanggal salah",IF(AND(ISNUMBER(Q488),ISNUMBER(R488),ISNUMBER(Y488),ABS(R488-Q488-Y488)&gt;2),"S tanggal ≠ Sailing tercatat",IF(AND(ISNUMBER(Q488),ISNUMBER(O488),ABS(Q488-O488)&gt;60),"Cek tahun laycan",IF(AND(ISNUMBER(Q488),ISNUMBER(N488),Q488&lt;N488),"Berangkat sebelum laycan",IF(NOT(ISNUMBER(AE488)),"S belum ada","OK"))))))</f>
        <v/>
      </c>
    </row>
    <row r="489" customFormat="false" ht="15" hidden="false" customHeight="false" outlineLevel="0" collapsed="false">
      <c r="A489" s="16" t="str">
        <f aca="false">IF(B489="","",ROW()-4)</f>
        <v/>
      </c>
      <c r="B489" s="12"/>
      <c r="C489" s="16"/>
      <c r="D489" s="16"/>
      <c r="E489" s="16"/>
      <c r="F489" s="16"/>
      <c r="G489" s="16"/>
      <c r="H489" s="16"/>
      <c r="I489" s="16"/>
      <c r="J489" s="16"/>
      <c r="K489" s="16"/>
      <c r="L489" s="13"/>
      <c r="M489" s="13"/>
      <c r="N489" s="13"/>
      <c r="O489" s="13"/>
      <c r="P489" s="13"/>
      <c r="Q489" s="13"/>
      <c r="R489" s="13"/>
      <c r="S489" s="13"/>
      <c r="T489" s="13"/>
      <c r="U489" s="12"/>
      <c r="V489" s="14"/>
      <c r="W489" s="16"/>
      <c r="X489" s="16"/>
      <c r="Y489" s="16"/>
      <c r="Z489" s="16"/>
      <c r="AA489" s="15" t="str">
        <f aca="false">IF(AND(ISNUMBER(L489),ISNUMBER(M489)),M489-L489,"")</f>
        <v/>
      </c>
      <c r="AB489" s="15" t="str">
        <f aca="false">IF(AND(ISNUMBER(M489),ISNUMBER(P489)),P489-M489,"")</f>
        <v/>
      </c>
      <c r="AC489" s="15" t="str">
        <f aca="false">IF(AND(ISNUMBER(L489),ISNUMBER(P489)),P489-L489,"")</f>
        <v/>
      </c>
      <c r="AD489" s="15" t="str">
        <f aca="false">IF(AND(ISNUMBER(P489),ISNUMBER(Q489)),Q489-P489,"")</f>
        <v/>
      </c>
      <c r="AE489" s="15" t="str">
        <f aca="false">IF(AND(ISNUMBER(Q489),ISNUMBER(R489)),R489-Q489,IF(ISNUMBER(Y489),Y489,""))</f>
        <v/>
      </c>
      <c r="AF489" s="15" t="str">
        <f aca="false">IF(AND(ISNUMBER(R489),ISNUMBER(S489)),S489-R489,"")</f>
        <v/>
      </c>
      <c r="AG489" s="15" t="str">
        <f aca="false">IF(AND(ISNUMBER(S489),ISNUMBER(T489)),T489-S489,"")</f>
        <v/>
      </c>
      <c r="AH489" s="15" t="str">
        <f aca="false">IF(AND(ISNUMBER(L489),ISNUMBER(T489)),T489-L489,"")</f>
        <v/>
      </c>
      <c r="AI489" s="15" t="str">
        <f aca="false">IF(AND(ISNUMBER(O489),ISNUMBER(Q489)),Q489-O489,"")</f>
        <v/>
      </c>
      <c r="AJ489" s="15" t="str">
        <f aca="false">IF(B489="","",COUNT(L489:M489,P489:T489)&amp;"/7")</f>
        <v/>
      </c>
      <c r="AK489" s="15" t="str">
        <f aca="false">IF(B489="","",IF(OR(AND(ISNUMBER(L489),ISNUMBER(M489),M489&lt;L489),AND(ISNUMBER(M489),ISNUMBER(P489),P489&lt;M489),AND(ISNUMBER(P489),ISNUMBER(Q489),Q489&lt;P489),AND(ISNUMBER(Q489),ISNUMBER(R489),R489&lt;Q489),AND(ISNUMBER(R489),ISNUMBER(S489),S489&lt;R489),AND(ISNUMBER(S489),ISNUMBER(T489),T489&lt;S489),AND(ISNUMBER(N489),ISNUMBER(O489),O489&lt;N489)),"Urutan tanggal salah",IF(AND(ISNUMBER(Q489),ISNUMBER(R489),ISNUMBER(Y489),ABS(R489-Q489-Y489)&gt;2),"S tanggal ≠ Sailing tercatat",IF(AND(ISNUMBER(Q489),ISNUMBER(O489),ABS(Q489-O489)&gt;60),"Cek tahun laycan",IF(AND(ISNUMBER(Q489),ISNUMBER(N489),Q489&lt;N489),"Berangkat sebelum laycan",IF(NOT(ISNUMBER(AE489)),"S belum ada","OK"))))))</f>
        <v/>
      </c>
    </row>
    <row r="490" customFormat="false" ht="15" hidden="false" customHeight="false" outlineLevel="0" collapsed="false">
      <c r="A490" s="16" t="str">
        <f aca="false">IF(B490="","",ROW()-4)</f>
        <v/>
      </c>
      <c r="B490" s="12"/>
      <c r="C490" s="16"/>
      <c r="D490" s="16"/>
      <c r="E490" s="16"/>
      <c r="F490" s="16"/>
      <c r="G490" s="16"/>
      <c r="H490" s="16"/>
      <c r="I490" s="16"/>
      <c r="J490" s="16"/>
      <c r="K490" s="16"/>
      <c r="L490" s="13"/>
      <c r="M490" s="13"/>
      <c r="N490" s="13"/>
      <c r="O490" s="13"/>
      <c r="P490" s="13"/>
      <c r="Q490" s="13"/>
      <c r="R490" s="13"/>
      <c r="S490" s="13"/>
      <c r="T490" s="13"/>
      <c r="U490" s="12"/>
      <c r="V490" s="14"/>
      <c r="W490" s="16"/>
      <c r="X490" s="16"/>
      <c r="Y490" s="16"/>
      <c r="Z490" s="16"/>
      <c r="AA490" s="15" t="str">
        <f aca="false">IF(AND(ISNUMBER(L490),ISNUMBER(M490)),M490-L490,"")</f>
        <v/>
      </c>
      <c r="AB490" s="15" t="str">
        <f aca="false">IF(AND(ISNUMBER(M490),ISNUMBER(P490)),P490-M490,"")</f>
        <v/>
      </c>
      <c r="AC490" s="15" t="str">
        <f aca="false">IF(AND(ISNUMBER(L490),ISNUMBER(P490)),P490-L490,"")</f>
        <v/>
      </c>
      <c r="AD490" s="15" t="str">
        <f aca="false">IF(AND(ISNUMBER(P490),ISNUMBER(Q490)),Q490-P490,"")</f>
        <v/>
      </c>
      <c r="AE490" s="15" t="str">
        <f aca="false">IF(AND(ISNUMBER(Q490),ISNUMBER(R490)),R490-Q490,IF(ISNUMBER(Y490),Y490,""))</f>
        <v/>
      </c>
      <c r="AF490" s="15" t="str">
        <f aca="false">IF(AND(ISNUMBER(R490),ISNUMBER(S490)),S490-R490,"")</f>
        <v/>
      </c>
      <c r="AG490" s="15" t="str">
        <f aca="false">IF(AND(ISNUMBER(S490),ISNUMBER(T490)),T490-S490,"")</f>
        <v/>
      </c>
      <c r="AH490" s="15" t="str">
        <f aca="false">IF(AND(ISNUMBER(L490),ISNUMBER(T490)),T490-L490,"")</f>
        <v/>
      </c>
      <c r="AI490" s="15" t="str">
        <f aca="false">IF(AND(ISNUMBER(O490),ISNUMBER(Q490)),Q490-O490,"")</f>
        <v/>
      </c>
      <c r="AJ490" s="15" t="str">
        <f aca="false">IF(B490="","",COUNT(L490:M490,P490:T490)&amp;"/7")</f>
        <v/>
      </c>
      <c r="AK490" s="15" t="str">
        <f aca="false">IF(B490="","",IF(OR(AND(ISNUMBER(L490),ISNUMBER(M490),M490&lt;L490),AND(ISNUMBER(M490),ISNUMBER(P490),P490&lt;M490),AND(ISNUMBER(P490),ISNUMBER(Q490),Q490&lt;P490),AND(ISNUMBER(Q490),ISNUMBER(R490),R490&lt;Q490),AND(ISNUMBER(R490),ISNUMBER(S490),S490&lt;R490),AND(ISNUMBER(S490),ISNUMBER(T490),T490&lt;S490),AND(ISNUMBER(N490),ISNUMBER(O490),O490&lt;N490)),"Urutan tanggal salah",IF(AND(ISNUMBER(Q490),ISNUMBER(R490),ISNUMBER(Y490),ABS(R490-Q490-Y490)&gt;2),"S tanggal ≠ Sailing tercatat",IF(AND(ISNUMBER(Q490),ISNUMBER(O490),ABS(Q490-O490)&gt;60),"Cek tahun laycan",IF(AND(ISNUMBER(Q490),ISNUMBER(N490),Q490&lt;N490),"Berangkat sebelum laycan",IF(NOT(ISNUMBER(AE490)),"S belum ada","OK"))))))</f>
        <v/>
      </c>
    </row>
    <row r="491" customFormat="false" ht="15" hidden="false" customHeight="false" outlineLevel="0" collapsed="false">
      <c r="A491" s="16" t="str">
        <f aca="false">IF(B491="","",ROW()-4)</f>
        <v/>
      </c>
      <c r="B491" s="12"/>
      <c r="C491" s="16"/>
      <c r="D491" s="16"/>
      <c r="E491" s="16"/>
      <c r="F491" s="16"/>
      <c r="G491" s="16"/>
      <c r="H491" s="16"/>
      <c r="I491" s="16"/>
      <c r="J491" s="16"/>
      <c r="K491" s="16"/>
      <c r="L491" s="13"/>
      <c r="M491" s="13"/>
      <c r="N491" s="13"/>
      <c r="O491" s="13"/>
      <c r="P491" s="13"/>
      <c r="Q491" s="13"/>
      <c r="R491" s="13"/>
      <c r="S491" s="13"/>
      <c r="T491" s="13"/>
      <c r="U491" s="12"/>
      <c r="V491" s="14"/>
      <c r="W491" s="16"/>
      <c r="X491" s="16"/>
      <c r="Y491" s="16"/>
      <c r="Z491" s="16"/>
      <c r="AA491" s="15" t="str">
        <f aca="false">IF(AND(ISNUMBER(L491),ISNUMBER(M491)),M491-L491,"")</f>
        <v/>
      </c>
      <c r="AB491" s="15" t="str">
        <f aca="false">IF(AND(ISNUMBER(M491),ISNUMBER(P491)),P491-M491,"")</f>
        <v/>
      </c>
      <c r="AC491" s="15" t="str">
        <f aca="false">IF(AND(ISNUMBER(L491),ISNUMBER(P491)),P491-L491,"")</f>
        <v/>
      </c>
      <c r="AD491" s="15" t="str">
        <f aca="false">IF(AND(ISNUMBER(P491),ISNUMBER(Q491)),Q491-P491,"")</f>
        <v/>
      </c>
      <c r="AE491" s="15" t="str">
        <f aca="false">IF(AND(ISNUMBER(Q491),ISNUMBER(R491)),R491-Q491,IF(ISNUMBER(Y491),Y491,""))</f>
        <v/>
      </c>
      <c r="AF491" s="15" t="str">
        <f aca="false">IF(AND(ISNUMBER(R491),ISNUMBER(S491)),S491-R491,"")</f>
        <v/>
      </c>
      <c r="AG491" s="15" t="str">
        <f aca="false">IF(AND(ISNUMBER(S491),ISNUMBER(T491)),T491-S491,"")</f>
        <v/>
      </c>
      <c r="AH491" s="15" t="str">
        <f aca="false">IF(AND(ISNUMBER(L491),ISNUMBER(T491)),T491-L491,"")</f>
        <v/>
      </c>
      <c r="AI491" s="15" t="str">
        <f aca="false">IF(AND(ISNUMBER(O491),ISNUMBER(Q491)),Q491-O491,"")</f>
        <v/>
      </c>
      <c r="AJ491" s="15" t="str">
        <f aca="false">IF(B491="","",COUNT(L491:M491,P491:T491)&amp;"/7")</f>
        <v/>
      </c>
      <c r="AK491" s="15" t="str">
        <f aca="false">IF(B491="","",IF(OR(AND(ISNUMBER(L491),ISNUMBER(M491),M491&lt;L491),AND(ISNUMBER(M491),ISNUMBER(P491),P491&lt;M491),AND(ISNUMBER(P491),ISNUMBER(Q491),Q491&lt;P491),AND(ISNUMBER(Q491),ISNUMBER(R491),R491&lt;Q491),AND(ISNUMBER(R491),ISNUMBER(S491),S491&lt;R491),AND(ISNUMBER(S491),ISNUMBER(T491),T491&lt;S491),AND(ISNUMBER(N491),ISNUMBER(O491),O491&lt;N491)),"Urutan tanggal salah",IF(AND(ISNUMBER(Q491),ISNUMBER(R491),ISNUMBER(Y491),ABS(R491-Q491-Y491)&gt;2),"S tanggal ≠ Sailing tercatat",IF(AND(ISNUMBER(Q491),ISNUMBER(O491),ABS(Q491-O491)&gt;60),"Cek tahun laycan",IF(AND(ISNUMBER(Q491),ISNUMBER(N491),Q491&lt;N491),"Berangkat sebelum laycan",IF(NOT(ISNUMBER(AE491)),"S belum ada","OK"))))))</f>
        <v/>
      </c>
    </row>
    <row r="492" customFormat="false" ht="15" hidden="false" customHeight="false" outlineLevel="0" collapsed="false">
      <c r="A492" s="16" t="str">
        <f aca="false">IF(B492="","",ROW()-4)</f>
        <v/>
      </c>
      <c r="B492" s="12"/>
      <c r="C492" s="16"/>
      <c r="D492" s="16"/>
      <c r="E492" s="16"/>
      <c r="F492" s="16"/>
      <c r="G492" s="16"/>
      <c r="H492" s="16"/>
      <c r="I492" s="16"/>
      <c r="J492" s="16"/>
      <c r="K492" s="16"/>
      <c r="L492" s="13"/>
      <c r="M492" s="13"/>
      <c r="N492" s="13"/>
      <c r="O492" s="13"/>
      <c r="P492" s="13"/>
      <c r="Q492" s="13"/>
      <c r="R492" s="13"/>
      <c r="S492" s="13"/>
      <c r="T492" s="13"/>
      <c r="U492" s="12"/>
      <c r="V492" s="14"/>
      <c r="W492" s="16"/>
      <c r="X492" s="16"/>
      <c r="Y492" s="16"/>
      <c r="Z492" s="16"/>
      <c r="AA492" s="15" t="str">
        <f aca="false">IF(AND(ISNUMBER(L492),ISNUMBER(M492)),M492-L492,"")</f>
        <v/>
      </c>
      <c r="AB492" s="15" t="str">
        <f aca="false">IF(AND(ISNUMBER(M492),ISNUMBER(P492)),P492-M492,"")</f>
        <v/>
      </c>
      <c r="AC492" s="15" t="str">
        <f aca="false">IF(AND(ISNUMBER(L492),ISNUMBER(P492)),P492-L492,"")</f>
        <v/>
      </c>
      <c r="AD492" s="15" t="str">
        <f aca="false">IF(AND(ISNUMBER(P492),ISNUMBER(Q492)),Q492-P492,"")</f>
        <v/>
      </c>
      <c r="AE492" s="15" t="str">
        <f aca="false">IF(AND(ISNUMBER(Q492),ISNUMBER(R492)),R492-Q492,IF(ISNUMBER(Y492),Y492,""))</f>
        <v/>
      </c>
      <c r="AF492" s="15" t="str">
        <f aca="false">IF(AND(ISNUMBER(R492),ISNUMBER(S492)),S492-R492,"")</f>
        <v/>
      </c>
      <c r="AG492" s="15" t="str">
        <f aca="false">IF(AND(ISNUMBER(S492),ISNUMBER(T492)),T492-S492,"")</f>
        <v/>
      </c>
      <c r="AH492" s="15" t="str">
        <f aca="false">IF(AND(ISNUMBER(L492),ISNUMBER(T492)),T492-L492,"")</f>
        <v/>
      </c>
      <c r="AI492" s="15" t="str">
        <f aca="false">IF(AND(ISNUMBER(O492),ISNUMBER(Q492)),Q492-O492,"")</f>
        <v/>
      </c>
      <c r="AJ492" s="15" t="str">
        <f aca="false">IF(B492="","",COUNT(L492:M492,P492:T492)&amp;"/7")</f>
        <v/>
      </c>
      <c r="AK492" s="15" t="str">
        <f aca="false">IF(B492="","",IF(OR(AND(ISNUMBER(L492),ISNUMBER(M492),M492&lt;L492),AND(ISNUMBER(M492),ISNUMBER(P492),P492&lt;M492),AND(ISNUMBER(P492),ISNUMBER(Q492),Q492&lt;P492),AND(ISNUMBER(Q492),ISNUMBER(R492),R492&lt;Q492),AND(ISNUMBER(R492),ISNUMBER(S492),S492&lt;R492),AND(ISNUMBER(S492),ISNUMBER(T492),T492&lt;S492),AND(ISNUMBER(N492),ISNUMBER(O492),O492&lt;N492)),"Urutan tanggal salah",IF(AND(ISNUMBER(Q492),ISNUMBER(R492),ISNUMBER(Y492),ABS(R492-Q492-Y492)&gt;2),"S tanggal ≠ Sailing tercatat",IF(AND(ISNUMBER(Q492),ISNUMBER(O492),ABS(Q492-O492)&gt;60),"Cek tahun laycan",IF(AND(ISNUMBER(Q492),ISNUMBER(N492),Q492&lt;N492),"Berangkat sebelum laycan",IF(NOT(ISNUMBER(AE492)),"S belum ada","OK"))))))</f>
        <v/>
      </c>
    </row>
    <row r="493" customFormat="false" ht="15" hidden="false" customHeight="false" outlineLevel="0" collapsed="false">
      <c r="A493" s="16" t="str">
        <f aca="false">IF(B493="","",ROW()-4)</f>
        <v/>
      </c>
      <c r="B493" s="12"/>
      <c r="C493" s="16"/>
      <c r="D493" s="16"/>
      <c r="E493" s="16"/>
      <c r="F493" s="16"/>
      <c r="G493" s="16"/>
      <c r="H493" s="16"/>
      <c r="I493" s="16"/>
      <c r="J493" s="16"/>
      <c r="K493" s="16"/>
      <c r="L493" s="13"/>
      <c r="M493" s="13"/>
      <c r="N493" s="13"/>
      <c r="O493" s="13"/>
      <c r="P493" s="13"/>
      <c r="Q493" s="13"/>
      <c r="R493" s="13"/>
      <c r="S493" s="13"/>
      <c r="T493" s="13"/>
      <c r="U493" s="12"/>
      <c r="V493" s="14"/>
      <c r="W493" s="16"/>
      <c r="X493" s="16"/>
      <c r="Y493" s="16"/>
      <c r="Z493" s="16"/>
      <c r="AA493" s="15" t="str">
        <f aca="false">IF(AND(ISNUMBER(L493),ISNUMBER(M493)),M493-L493,"")</f>
        <v/>
      </c>
      <c r="AB493" s="15" t="str">
        <f aca="false">IF(AND(ISNUMBER(M493),ISNUMBER(P493)),P493-M493,"")</f>
        <v/>
      </c>
      <c r="AC493" s="15" t="str">
        <f aca="false">IF(AND(ISNUMBER(L493),ISNUMBER(P493)),P493-L493,"")</f>
        <v/>
      </c>
      <c r="AD493" s="15" t="str">
        <f aca="false">IF(AND(ISNUMBER(P493),ISNUMBER(Q493)),Q493-P493,"")</f>
        <v/>
      </c>
      <c r="AE493" s="15" t="str">
        <f aca="false">IF(AND(ISNUMBER(Q493),ISNUMBER(R493)),R493-Q493,IF(ISNUMBER(Y493),Y493,""))</f>
        <v/>
      </c>
      <c r="AF493" s="15" t="str">
        <f aca="false">IF(AND(ISNUMBER(R493),ISNUMBER(S493)),S493-R493,"")</f>
        <v/>
      </c>
      <c r="AG493" s="15" t="str">
        <f aca="false">IF(AND(ISNUMBER(S493),ISNUMBER(T493)),T493-S493,"")</f>
        <v/>
      </c>
      <c r="AH493" s="15" t="str">
        <f aca="false">IF(AND(ISNUMBER(L493),ISNUMBER(T493)),T493-L493,"")</f>
        <v/>
      </c>
      <c r="AI493" s="15" t="str">
        <f aca="false">IF(AND(ISNUMBER(O493),ISNUMBER(Q493)),Q493-O493,"")</f>
        <v/>
      </c>
      <c r="AJ493" s="15" t="str">
        <f aca="false">IF(B493="","",COUNT(L493:M493,P493:T493)&amp;"/7")</f>
        <v/>
      </c>
      <c r="AK493" s="15" t="str">
        <f aca="false">IF(B493="","",IF(OR(AND(ISNUMBER(L493),ISNUMBER(M493),M493&lt;L493),AND(ISNUMBER(M493),ISNUMBER(P493),P493&lt;M493),AND(ISNUMBER(P493),ISNUMBER(Q493),Q493&lt;P493),AND(ISNUMBER(Q493),ISNUMBER(R493),R493&lt;Q493),AND(ISNUMBER(R493),ISNUMBER(S493),S493&lt;R493),AND(ISNUMBER(S493),ISNUMBER(T493),T493&lt;S493),AND(ISNUMBER(N493),ISNUMBER(O493),O493&lt;N493)),"Urutan tanggal salah",IF(AND(ISNUMBER(Q493),ISNUMBER(R493),ISNUMBER(Y493),ABS(R493-Q493-Y493)&gt;2),"S tanggal ≠ Sailing tercatat",IF(AND(ISNUMBER(Q493),ISNUMBER(O493),ABS(Q493-O493)&gt;60),"Cek tahun laycan",IF(AND(ISNUMBER(Q493),ISNUMBER(N493),Q493&lt;N493),"Berangkat sebelum laycan",IF(NOT(ISNUMBER(AE493)),"S belum ada","OK"))))))</f>
        <v/>
      </c>
    </row>
    <row r="494" customFormat="false" ht="15" hidden="false" customHeight="false" outlineLevel="0" collapsed="false">
      <c r="A494" s="16" t="str">
        <f aca="false">IF(B494="","",ROW()-4)</f>
        <v/>
      </c>
      <c r="B494" s="12"/>
      <c r="C494" s="16"/>
      <c r="D494" s="16"/>
      <c r="E494" s="16"/>
      <c r="F494" s="16"/>
      <c r="G494" s="16"/>
      <c r="H494" s="16"/>
      <c r="I494" s="16"/>
      <c r="J494" s="16"/>
      <c r="K494" s="16"/>
      <c r="L494" s="13"/>
      <c r="M494" s="13"/>
      <c r="N494" s="13"/>
      <c r="O494" s="13"/>
      <c r="P494" s="13"/>
      <c r="Q494" s="13"/>
      <c r="R494" s="13"/>
      <c r="S494" s="13"/>
      <c r="T494" s="13"/>
      <c r="U494" s="12"/>
      <c r="V494" s="14"/>
      <c r="W494" s="16"/>
      <c r="X494" s="16"/>
      <c r="Y494" s="16"/>
      <c r="Z494" s="16"/>
      <c r="AA494" s="15" t="str">
        <f aca="false">IF(AND(ISNUMBER(L494),ISNUMBER(M494)),M494-L494,"")</f>
        <v/>
      </c>
      <c r="AB494" s="15" t="str">
        <f aca="false">IF(AND(ISNUMBER(M494),ISNUMBER(P494)),P494-M494,"")</f>
        <v/>
      </c>
      <c r="AC494" s="15" t="str">
        <f aca="false">IF(AND(ISNUMBER(L494),ISNUMBER(P494)),P494-L494,"")</f>
        <v/>
      </c>
      <c r="AD494" s="15" t="str">
        <f aca="false">IF(AND(ISNUMBER(P494),ISNUMBER(Q494)),Q494-P494,"")</f>
        <v/>
      </c>
      <c r="AE494" s="15" t="str">
        <f aca="false">IF(AND(ISNUMBER(Q494),ISNUMBER(R494)),R494-Q494,IF(ISNUMBER(Y494),Y494,""))</f>
        <v/>
      </c>
      <c r="AF494" s="15" t="str">
        <f aca="false">IF(AND(ISNUMBER(R494),ISNUMBER(S494)),S494-R494,"")</f>
        <v/>
      </c>
      <c r="AG494" s="15" t="str">
        <f aca="false">IF(AND(ISNUMBER(S494),ISNUMBER(T494)),T494-S494,"")</f>
        <v/>
      </c>
      <c r="AH494" s="15" t="str">
        <f aca="false">IF(AND(ISNUMBER(L494),ISNUMBER(T494)),T494-L494,"")</f>
        <v/>
      </c>
      <c r="AI494" s="15" t="str">
        <f aca="false">IF(AND(ISNUMBER(O494),ISNUMBER(Q494)),Q494-O494,"")</f>
        <v/>
      </c>
      <c r="AJ494" s="15" t="str">
        <f aca="false">IF(B494="","",COUNT(L494:M494,P494:T494)&amp;"/7")</f>
        <v/>
      </c>
      <c r="AK494" s="15" t="str">
        <f aca="false">IF(B494="","",IF(OR(AND(ISNUMBER(L494),ISNUMBER(M494),M494&lt;L494),AND(ISNUMBER(M494),ISNUMBER(P494),P494&lt;M494),AND(ISNUMBER(P494),ISNUMBER(Q494),Q494&lt;P494),AND(ISNUMBER(Q494),ISNUMBER(R494),R494&lt;Q494),AND(ISNUMBER(R494),ISNUMBER(S494),S494&lt;R494),AND(ISNUMBER(S494),ISNUMBER(T494),T494&lt;S494),AND(ISNUMBER(N494),ISNUMBER(O494),O494&lt;N494)),"Urutan tanggal salah",IF(AND(ISNUMBER(Q494),ISNUMBER(R494),ISNUMBER(Y494),ABS(R494-Q494-Y494)&gt;2),"S tanggal ≠ Sailing tercatat",IF(AND(ISNUMBER(Q494),ISNUMBER(O494),ABS(Q494-O494)&gt;60),"Cek tahun laycan",IF(AND(ISNUMBER(Q494),ISNUMBER(N494),Q494&lt;N494),"Berangkat sebelum laycan",IF(NOT(ISNUMBER(AE494)),"S belum ada","OK"))))))</f>
        <v/>
      </c>
    </row>
    <row r="495" customFormat="false" ht="15" hidden="false" customHeight="false" outlineLevel="0" collapsed="false">
      <c r="A495" s="16" t="str">
        <f aca="false">IF(B495="","",ROW()-4)</f>
        <v/>
      </c>
      <c r="B495" s="12"/>
      <c r="C495" s="16"/>
      <c r="D495" s="16"/>
      <c r="E495" s="16"/>
      <c r="F495" s="16"/>
      <c r="G495" s="16"/>
      <c r="H495" s="16"/>
      <c r="I495" s="16"/>
      <c r="J495" s="16"/>
      <c r="K495" s="16"/>
      <c r="L495" s="13"/>
      <c r="M495" s="13"/>
      <c r="N495" s="13"/>
      <c r="O495" s="13"/>
      <c r="P495" s="13"/>
      <c r="Q495" s="13"/>
      <c r="R495" s="13"/>
      <c r="S495" s="13"/>
      <c r="T495" s="13"/>
      <c r="U495" s="12"/>
      <c r="V495" s="14"/>
      <c r="W495" s="16"/>
      <c r="X495" s="16"/>
      <c r="Y495" s="16"/>
      <c r="Z495" s="16"/>
      <c r="AA495" s="15" t="str">
        <f aca="false">IF(AND(ISNUMBER(L495),ISNUMBER(M495)),M495-L495,"")</f>
        <v/>
      </c>
      <c r="AB495" s="15" t="str">
        <f aca="false">IF(AND(ISNUMBER(M495),ISNUMBER(P495)),P495-M495,"")</f>
        <v/>
      </c>
      <c r="AC495" s="15" t="str">
        <f aca="false">IF(AND(ISNUMBER(L495),ISNUMBER(P495)),P495-L495,"")</f>
        <v/>
      </c>
      <c r="AD495" s="15" t="str">
        <f aca="false">IF(AND(ISNUMBER(P495),ISNUMBER(Q495)),Q495-P495,"")</f>
        <v/>
      </c>
      <c r="AE495" s="15" t="str">
        <f aca="false">IF(AND(ISNUMBER(Q495),ISNUMBER(R495)),R495-Q495,IF(ISNUMBER(Y495),Y495,""))</f>
        <v/>
      </c>
      <c r="AF495" s="15" t="str">
        <f aca="false">IF(AND(ISNUMBER(R495),ISNUMBER(S495)),S495-R495,"")</f>
        <v/>
      </c>
      <c r="AG495" s="15" t="str">
        <f aca="false">IF(AND(ISNUMBER(S495),ISNUMBER(T495)),T495-S495,"")</f>
        <v/>
      </c>
      <c r="AH495" s="15" t="str">
        <f aca="false">IF(AND(ISNUMBER(L495),ISNUMBER(T495)),T495-L495,"")</f>
        <v/>
      </c>
      <c r="AI495" s="15" t="str">
        <f aca="false">IF(AND(ISNUMBER(O495),ISNUMBER(Q495)),Q495-O495,"")</f>
        <v/>
      </c>
      <c r="AJ495" s="15" t="str">
        <f aca="false">IF(B495="","",COUNT(L495:M495,P495:T495)&amp;"/7")</f>
        <v/>
      </c>
      <c r="AK495" s="15" t="str">
        <f aca="false">IF(B495="","",IF(OR(AND(ISNUMBER(L495),ISNUMBER(M495),M495&lt;L495),AND(ISNUMBER(M495),ISNUMBER(P495),P495&lt;M495),AND(ISNUMBER(P495),ISNUMBER(Q495),Q495&lt;P495),AND(ISNUMBER(Q495),ISNUMBER(R495),R495&lt;Q495),AND(ISNUMBER(R495),ISNUMBER(S495),S495&lt;R495),AND(ISNUMBER(S495),ISNUMBER(T495),T495&lt;S495),AND(ISNUMBER(N495),ISNUMBER(O495),O495&lt;N495)),"Urutan tanggal salah",IF(AND(ISNUMBER(Q495),ISNUMBER(R495),ISNUMBER(Y495),ABS(R495-Q495-Y495)&gt;2),"S tanggal ≠ Sailing tercatat",IF(AND(ISNUMBER(Q495),ISNUMBER(O495),ABS(Q495-O495)&gt;60),"Cek tahun laycan",IF(AND(ISNUMBER(Q495),ISNUMBER(N495),Q495&lt;N495),"Berangkat sebelum laycan",IF(NOT(ISNUMBER(AE495)),"S belum ada","OK"))))))</f>
        <v/>
      </c>
    </row>
    <row r="496" customFormat="false" ht="15" hidden="false" customHeight="false" outlineLevel="0" collapsed="false">
      <c r="A496" s="16" t="str">
        <f aca="false">IF(B496="","",ROW()-4)</f>
        <v/>
      </c>
      <c r="B496" s="12"/>
      <c r="C496" s="16"/>
      <c r="D496" s="16"/>
      <c r="E496" s="16"/>
      <c r="F496" s="16"/>
      <c r="G496" s="16"/>
      <c r="H496" s="16"/>
      <c r="I496" s="16"/>
      <c r="J496" s="16"/>
      <c r="K496" s="16"/>
      <c r="L496" s="13"/>
      <c r="M496" s="13"/>
      <c r="N496" s="13"/>
      <c r="O496" s="13"/>
      <c r="P496" s="13"/>
      <c r="Q496" s="13"/>
      <c r="R496" s="13"/>
      <c r="S496" s="13"/>
      <c r="T496" s="13"/>
      <c r="U496" s="12"/>
      <c r="V496" s="14"/>
      <c r="W496" s="16"/>
      <c r="X496" s="16"/>
      <c r="Y496" s="16"/>
      <c r="Z496" s="16"/>
      <c r="AA496" s="15" t="str">
        <f aca="false">IF(AND(ISNUMBER(L496),ISNUMBER(M496)),M496-L496,"")</f>
        <v/>
      </c>
      <c r="AB496" s="15" t="str">
        <f aca="false">IF(AND(ISNUMBER(M496),ISNUMBER(P496)),P496-M496,"")</f>
        <v/>
      </c>
      <c r="AC496" s="15" t="str">
        <f aca="false">IF(AND(ISNUMBER(L496),ISNUMBER(P496)),P496-L496,"")</f>
        <v/>
      </c>
      <c r="AD496" s="15" t="str">
        <f aca="false">IF(AND(ISNUMBER(P496),ISNUMBER(Q496)),Q496-P496,"")</f>
        <v/>
      </c>
      <c r="AE496" s="15" t="str">
        <f aca="false">IF(AND(ISNUMBER(Q496),ISNUMBER(R496)),R496-Q496,IF(ISNUMBER(Y496),Y496,""))</f>
        <v/>
      </c>
      <c r="AF496" s="15" t="str">
        <f aca="false">IF(AND(ISNUMBER(R496),ISNUMBER(S496)),S496-R496,"")</f>
        <v/>
      </c>
      <c r="AG496" s="15" t="str">
        <f aca="false">IF(AND(ISNUMBER(S496),ISNUMBER(T496)),T496-S496,"")</f>
        <v/>
      </c>
      <c r="AH496" s="15" t="str">
        <f aca="false">IF(AND(ISNUMBER(L496),ISNUMBER(T496)),T496-L496,"")</f>
        <v/>
      </c>
      <c r="AI496" s="15" t="str">
        <f aca="false">IF(AND(ISNUMBER(O496),ISNUMBER(Q496)),Q496-O496,"")</f>
        <v/>
      </c>
      <c r="AJ496" s="15" t="str">
        <f aca="false">IF(B496="","",COUNT(L496:M496,P496:T496)&amp;"/7")</f>
        <v/>
      </c>
      <c r="AK496" s="15" t="str">
        <f aca="false">IF(B496="","",IF(OR(AND(ISNUMBER(L496),ISNUMBER(M496),M496&lt;L496),AND(ISNUMBER(M496),ISNUMBER(P496),P496&lt;M496),AND(ISNUMBER(P496),ISNUMBER(Q496),Q496&lt;P496),AND(ISNUMBER(Q496),ISNUMBER(R496),R496&lt;Q496),AND(ISNUMBER(R496),ISNUMBER(S496),S496&lt;R496),AND(ISNUMBER(S496),ISNUMBER(T496),T496&lt;S496),AND(ISNUMBER(N496),ISNUMBER(O496),O496&lt;N496)),"Urutan tanggal salah",IF(AND(ISNUMBER(Q496),ISNUMBER(R496),ISNUMBER(Y496),ABS(R496-Q496-Y496)&gt;2),"S tanggal ≠ Sailing tercatat",IF(AND(ISNUMBER(Q496),ISNUMBER(O496),ABS(Q496-O496)&gt;60),"Cek tahun laycan",IF(AND(ISNUMBER(Q496),ISNUMBER(N496),Q496&lt;N496),"Berangkat sebelum laycan",IF(NOT(ISNUMBER(AE496)),"S belum ada","OK"))))))</f>
        <v/>
      </c>
    </row>
    <row r="497" customFormat="false" ht="15" hidden="false" customHeight="false" outlineLevel="0" collapsed="false">
      <c r="A497" s="16" t="str">
        <f aca="false">IF(B497="","",ROW()-4)</f>
        <v/>
      </c>
      <c r="B497" s="12"/>
      <c r="C497" s="16"/>
      <c r="D497" s="16"/>
      <c r="E497" s="16"/>
      <c r="F497" s="16"/>
      <c r="G497" s="16"/>
      <c r="H497" s="16"/>
      <c r="I497" s="16"/>
      <c r="J497" s="16"/>
      <c r="K497" s="16"/>
      <c r="L497" s="13"/>
      <c r="M497" s="13"/>
      <c r="N497" s="13"/>
      <c r="O497" s="13"/>
      <c r="P497" s="13"/>
      <c r="Q497" s="13"/>
      <c r="R497" s="13"/>
      <c r="S497" s="13"/>
      <c r="T497" s="13"/>
      <c r="U497" s="12"/>
      <c r="V497" s="14"/>
      <c r="W497" s="16"/>
      <c r="X497" s="16"/>
      <c r="Y497" s="16"/>
      <c r="Z497" s="16"/>
      <c r="AA497" s="15" t="str">
        <f aca="false">IF(AND(ISNUMBER(L497),ISNUMBER(M497)),M497-L497,"")</f>
        <v/>
      </c>
      <c r="AB497" s="15" t="str">
        <f aca="false">IF(AND(ISNUMBER(M497),ISNUMBER(P497)),P497-M497,"")</f>
        <v/>
      </c>
      <c r="AC497" s="15" t="str">
        <f aca="false">IF(AND(ISNUMBER(L497),ISNUMBER(P497)),P497-L497,"")</f>
        <v/>
      </c>
      <c r="AD497" s="15" t="str">
        <f aca="false">IF(AND(ISNUMBER(P497),ISNUMBER(Q497)),Q497-P497,"")</f>
        <v/>
      </c>
      <c r="AE497" s="15" t="str">
        <f aca="false">IF(AND(ISNUMBER(Q497),ISNUMBER(R497)),R497-Q497,IF(ISNUMBER(Y497),Y497,""))</f>
        <v/>
      </c>
      <c r="AF497" s="15" t="str">
        <f aca="false">IF(AND(ISNUMBER(R497),ISNUMBER(S497)),S497-R497,"")</f>
        <v/>
      </c>
      <c r="AG497" s="15" t="str">
        <f aca="false">IF(AND(ISNUMBER(S497),ISNUMBER(T497)),T497-S497,"")</f>
        <v/>
      </c>
      <c r="AH497" s="15" t="str">
        <f aca="false">IF(AND(ISNUMBER(L497),ISNUMBER(T497)),T497-L497,"")</f>
        <v/>
      </c>
      <c r="AI497" s="15" t="str">
        <f aca="false">IF(AND(ISNUMBER(O497),ISNUMBER(Q497)),Q497-O497,"")</f>
        <v/>
      </c>
      <c r="AJ497" s="15" t="str">
        <f aca="false">IF(B497="","",COUNT(L497:M497,P497:T497)&amp;"/7")</f>
        <v/>
      </c>
      <c r="AK497" s="15" t="str">
        <f aca="false">IF(B497="","",IF(OR(AND(ISNUMBER(L497),ISNUMBER(M497),M497&lt;L497),AND(ISNUMBER(M497),ISNUMBER(P497),P497&lt;M497),AND(ISNUMBER(P497),ISNUMBER(Q497),Q497&lt;P497),AND(ISNUMBER(Q497),ISNUMBER(R497),R497&lt;Q497),AND(ISNUMBER(R497),ISNUMBER(S497),S497&lt;R497),AND(ISNUMBER(S497),ISNUMBER(T497),T497&lt;S497),AND(ISNUMBER(N497),ISNUMBER(O497),O497&lt;N497)),"Urutan tanggal salah",IF(AND(ISNUMBER(Q497),ISNUMBER(R497),ISNUMBER(Y497),ABS(R497-Q497-Y497)&gt;2),"S tanggal ≠ Sailing tercatat",IF(AND(ISNUMBER(Q497),ISNUMBER(O497),ABS(Q497-O497)&gt;60),"Cek tahun laycan",IF(AND(ISNUMBER(Q497),ISNUMBER(N497),Q497&lt;N497),"Berangkat sebelum laycan",IF(NOT(ISNUMBER(AE497)),"S belum ada","OK"))))))</f>
        <v/>
      </c>
    </row>
    <row r="498" customFormat="false" ht="15" hidden="false" customHeight="false" outlineLevel="0" collapsed="false">
      <c r="A498" s="16" t="str">
        <f aca="false">IF(B498="","",ROW()-4)</f>
        <v/>
      </c>
      <c r="B498" s="12"/>
      <c r="C498" s="16"/>
      <c r="D498" s="16"/>
      <c r="E498" s="16"/>
      <c r="F498" s="16"/>
      <c r="G498" s="16"/>
      <c r="H498" s="16"/>
      <c r="I498" s="16"/>
      <c r="J498" s="16"/>
      <c r="K498" s="16"/>
      <c r="L498" s="13"/>
      <c r="M498" s="13"/>
      <c r="N498" s="13"/>
      <c r="O498" s="13"/>
      <c r="P498" s="13"/>
      <c r="Q498" s="13"/>
      <c r="R498" s="13"/>
      <c r="S498" s="13"/>
      <c r="T498" s="13"/>
      <c r="U498" s="12"/>
      <c r="V498" s="14"/>
      <c r="W498" s="16"/>
      <c r="X498" s="16"/>
      <c r="Y498" s="16"/>
      <c r="Z498" s="16"/>
      <c r="AA498" s="15" t="str">
        <f aca="false">IF(AND(ISNUMBER(L498),ISNUMBER(M498)),M498-L498,"")</f>
        <v/>
      </c>
      <c r="AB498" s="15" t="str">
        <f aca="false">IF(AND(ISNUMBER(M498),ISNUMBER(P498)),P498-M498,"")</f>
        <v/>
      </c>
      <c r="AC498" s="15" t="str">
        <f aca="false">IF(AND(ISNUMBER(L498),ISNUMBER(P498)),P498-L498,"")</f>
        <v/>
      </c>
      <c r="AD498" s="15" t="str">
        <f aca="false">IF(AND(ISNUMBER(P498),ISNUMBER(Q498)),Q498-P498,"")</f>
        <v/>
      </c>
      <c r="AE498" s="15" t="str">
        <f aca="false">IF(AND(ISNUMBER(Q498),ISNUMBER(R498)),R498-Q498,IF(ISNUMBER(Y498),Y498,""))</f>
        <v/>
      </c>
      <c r="AF498" s="15" t="str">
        <f aca="false">IF(AND(ISNUMBER(R498),ISNUMBER(S498)),S498-R498,"")</f>
        <v/>
      </c>
      <c r="AG498" s="15" t="str">
        <f aca="false">IF(AND(ISNUMBER(S498),ISNUMBER(T498)),T498-S498,"")</f>
        <v/>
      </c>
      <c r="AH498" s="15" t="str">
        <f aca="false">IF(AND(ISNUMBER(L498),ISNUMBER(T498)),T498-L498,"")</f>
        <v/>
      </c>
      <c r="AI498" s="15" t="str">
        <f aca="false">IF(AND(ISNUMBER(O498),ISNUMBER(Q498)),Q498-O498,"")</f>
        <v/>
      </c>
      <c r="AJ498" s="15" t="str">
        <f aca="false">IF(B498="","",COUNT(L498:M498,P498:T498)&amp;"/7")</f>
        <v/>
      </c>
      <c r="AK498" s="15" t="str">
        <f aca="false">IF(B498="","",IF(OR(AND(ISNUMBER(L498),ISNUMBER(M498),M498&lt;L498),AND(ISNUMBER(M498),ISNUMBER(P498),P498&lt;M498),AND(ISNUMBER(P498),ISNUMBER(Q498),Q498&lt;P498),AND(ISNUMBER(Q498),ISNUMBER(R498),R498&lt;Q498),AND(ISNUMBER(R498),ISNUMBER(S498),S498&lt;R498),AND(ISNUMBER(S498),ISNUMBER(T498),T498&lt;S498),AND(ISNUMBER(N498),ISNUMBER(O498),O498&lt;N498)),"Urutan tanggal salah",IF(AND(ISNUMBER(Q498),ISNUMBER(R498),ISNUMBER(Y498),ABS(R498-Q498-Y498)&gt;2),"S tanggal ≠ Sailing tercatat",IF(AND(ISNUMBER(Q498),ISNUMBER(O498),ABS(Q498-O498)&gt;60),"Cek tahun laycan",IF(AND(ISNUMBER(Q498),ISNUMBER(N498),Q498&lt;N498),"Berangkat sebelum laycan",IF(NOT(ISNUMBER(AE498)),"S belum ada","OK"))))))</f>
        <v/>
      </c>
    </row>
    <row r="499" customFormat="false" ht="15" hidden="false" customHeight="false" outlineLevel="0" collapsed="false">
      <c r="A499" s="16" t="str">
        <f aca="false">IF(B499="","",ROW()-4)</f>
        <v/>
      </c>
      <c r="B499" s="12"/>
      <c r="C499" s="16"/>
      <c r="D499" s="16"/>
      <c r="E499" s="16"/>
      <c r="F499" s="16"/>
      <c r="G499" s="16"/>
      <c r="H499" s="16"/>
      <c r="I499" s="16"/>
      <c r="J499" s="16"/>
      <c r="K499" s="16"/>
      <c r="L499" s="13"/>
      <c r="M499" s="13"/>
      <c r="N499" s="13"/>
      <c r="O499" s="13"/>
      <c r="P499" s="13"/>
      <c r="Q499" s="13"/>
      <c r="R499" s="13"/>
      <c r="S499" s="13"/>
      <c r="T499" s="13"/>
      <c r="U499" s="12"/>
      <c r="V499" s="14"/>
      <c r="W499" s="16"/>
      <c r="X499" s="16"/>
      <c r="Y499" s="16"/>
      <c r="Z499" s="16"/>
      <c r="AA499" s="15" t="str">
        <f aca="false">IF(AND(ISNUMBER(L499),ISNUMBER(M499)),M499-L499,"")</f>
        <v/>
      </c>
      <c r="AB499" s="15" t="str">
        <f aca="false">IF(AND(ISNUMBER(M499),ISNUMBER(P499)),P499-M499,"")</f>
        <v/>
      </c>
      <c r="AC499" s="15" t="str">
        <f aca="false">IF(AND(ISNUMBER(L499),ISNUMBER(P499)),P499-L499,"")</f>
        <v/>
      </c>
      <c r="AD499" s="15" t="str">
        <f aca="false">IF(AND(ISNUMBER(P499),ISNUMBER(Q499)),Q499-P499,"")</f>
        <v/>
      </c>
      <c r="AE499" s="15" t="str">
        <f aca="false">IF(AND(ISNUMBER(Q499),ISNUMBER(R499)),R499-Q499,IF(ISNUMBER(Y499),Y499,""))</f>
        <v/>
      </c>
      <c r="AF499" s="15" t="str">
        <f aca="false">IF(AND(ISNUMBER(R499),ISNUMBER(S499)),S499-R499,"")</f>
        <v/>
      </c>
      <c r="AG499" s="15" t="str">
        <f aca="false">IF(AND(ISNUMBER(S499),ISNUMBER(T499)),T499-S499,"")</f>
        <v/>
      </c>
      <c r="AH499" s="15" t="str">
        <f aca="false">IF(AND(ISNUMBER(L499),ISNUMBER(T499)),T499-L499,"")</f>
        <v/>
      </c>
      <c r="AI499" s="15" t="str">
        <f aca="false">IF(AND(ISNUMBER(O499),ISNUMBER(Q499)),Q499-O499,"")</f>
        <v/>
      </c>
      <c r="AJ499" s="15" t="str">
        <f aca="false">IF(B499="","",COUNT(L499:M499,P499:T499)&amp;"/7")</f>
        <v/>
      </c>
      <c r="AK499" s="15" t="str">
        <f aca="false">IF(B499="","",IF(OR(AND(ISNUMBER(L499),ISNUMBER(M499),M499&lt;L499),AND(ISNUMBER(M499),ISNUMBER(P499),P499&lt;M499),AND(ISNUMBER(P499),ISNUMBER(Q499),Q499&lt;P499),AND(ISNUMBER(Q499),ISNUMBER(R499),R499&lt;Q499),AND(ISNUMBER(R499),ISNUMBER(S499),S499&lt;R499),AND(ISNUMBER(S499),ISNUMBER(T499),T499&lt;S499),AND(ISNUMBER(N499),ISNUMBER(O499),O499&lt;N499)),"Urutan tanggal salah",IF(AND(ISNUMBER(Q499),ISNUMBER(R499),ISNUMBER(Y499),ABS(R499-Q499-Y499)&gt;2),"S tanggal ≠ Sailing tercatat",IF(AND(ISNUMBER(Q499),ISNUMBER(O499),ABS(Q499-O499)&gt;60),"Cek tahun laycan",IF(AND(ISNUMBER(Q499),ISNUMBER(N499),Q499&lt;N499),"Berangkat sebelum laycan",IF(NOT(ISNUMBER(AE499)),"S belum ada","OK"))))))</f>
        <v/>
      </c>
    </row>
    <row r="500" customFormat="false" ht="15" hidden="false" customHeight="false" outlineLevel="0" collapsed="false">
      <c r="A500" s="16" t="str">
        <f aca="false">IF(B500="","",ROW()-4)</f>
        <v/>
      </c>
      <c r="B500" s="12"/>
      <c r="C500" s="16"/>
      <c r="D500" s="16"/>
      <c r="E500" s="16"/>
      <c r="F500" s="16"/>
      <c r="G500" s="16"/>
      <c r="H500" s="16"/>
      <c r="I500" s="16"/>
      <c r="J500" s="16"/>
      <c r="K500" s="16"/>
      <c r="L500" s="13"/>
      <c r="M500" s="13"/>
      <c r="N500" s="13"/>
      <c r="O500" s="13"/>
      <c r="P500" s="13"/>
      <c r="Q500" s="13"/>
      <c r="R500" s="13"/>
      <c r="S500" s="13"/>
      <c r="T500" s="13"/>
      <c r="U500" s="12"/>
      <c r="V500" s="14"/>
      <c r="W500" s="16"/>
      <c r="X500" s="16"/>
      <c r="Y500" s="16"/>
      <c r="Z500" s="16"/>
      <c r="AA500" s="15" t="str">
        <f aca="false">IF(AND(ISNUMBER(L500),ISNUMBER(M500)),M500-L500,"")</f>
        <v/>
      </c>
      <c r="AB500" s="15" t="str">
        <f aca="false">IF(AND(ISNUMBER(M500),ISNUMBER(P500)),P500-M500,"")</f>
        <v/>
      </c>
      <c r="AC500" s="15" t="str">
        <f aca="false">IF(AND(ISNUMBER(L500),ISNUMBER(P500)),P500-L500,"")</f>
        <v/>
      </c>
      <c r="AD500" s="15" t="str">
        <f aca="false">IF(AND(ISNUMBER(P500),ISNUMBER(Q500)),Q500-P500,"")</f>
        <v/>
      </c>
      <c r="AE500" s="15" t="str">
        <f aca="false">IF(AND(ISNUMBER(Q500),ISNUMBER(R500)),R500-Q500,IF(ISNUMBER(Y500),Y500,""))</f>
        <v/>
      </c>
      <c r="AF500" s="15" t="str">
        <f aca="false">IF(AND(ISNUMBER(R500),ISNUMBER(S500)),S500-R500,"")</f>
        <v/>
      </c>
      <c r="AG500" s="15" t="str">
        <f aca="false">IF(AND(ISNUMBER(S500),ISNUMBER(T500)),T500-S500,"")</f>
        <v/>
      </c>
      <c r="AH500" s="15" t="str">
        <f aca="false">IF(AND(ISNUMBER(L500),ISNUMBER(T500)),T500-L500,"")</f>
        <v/>
      </c>
      <c r="AI500" s="15" t="str">
        <f aca="false">IF(AND(ISNUMBER(O500),ISNUMBER(Q500)),Q500-O500,"")</f>
        <v/>
      </c>
      <c r="AJ500" s="15" t="str">
        <f aca="false">IF(B500="","",COUNT(L500:M500,P500:T500)&amp;"/7")</f>
        <v/>
      </c>
      <c r="AK500" s="15" t="str">
        <f aca="false">IF(B500="","",IF(OR(AND(ISNUMBER(L500),ISNUMBER(M500),M500&lt;L500),AND(ISNUMBER(M500),ISNUMBER(P500),P500&lt;M500),AND(ISNUMBER(P500),ISNUMBER(Q500),Q500&lt;P500),AND(ISNUMBER(Q500),ISNUMBER(R500),R500&lt;Q500),AND(ISNUMBER(R500),ISNUMBER(S500),S500&lt;R500),AND(ISNUMBER(S500),ISNUMBER(T500),T500&lt;S500),AND(ISNUMBER(N500),ISNUMBER(O500),O500&lt;N500)),"Urutan tanggal salah",IF(AND(ISNUMBER(Q500),ISNUMBER(R500),ISNUMBER(Y500),ABS(R500-Q500-Y500)&gt;2),"S tanggal ≠ Sailing tercatat",IF(AND(ISNUMBER(Q500),ISNUMBER(O500),ABS(Q500-O500)&gt;60),"Cek tahun laycan",IF(AND(ISNUMBER(Q500),ISNUMBER(N500),Q500&lt;N500),"Berangkat sebelum laycan",IF(NOT(ISNUMBER(AE500)),"S belum ada","OK"))))))</f>
        <v/>
      </c>
    </row>
    <row r="501" customFormat="false" ht="15" hidden="false" customHeight="false" outlineLevel="0" collapsed="false">
      <c r="A501" s="16" t="str">
        <f aca="false">IF(B501="","",ROW()-4)</f>
        <v/>
      </c>
      <c r="B501" s="12"/>
      <c r="C501" s="16"/>
      <c r="D501" s="16"/>
      <c r="E501" s="16"/>
      <c r="F501" s="16"/>
      <c r="G501" s="16"/>
      <c r="H501" s="16"/>
      <c r="I501" s="16"/>
      <c r="J501" s="16"/>
      <c r="K501" s="16"/>
      <c r="L501" s="13"/>
      <c r="M501" s="13"/>
      <c r="N501" s="13"/>
      <c r="O501" s="13"/>
      <c r="P501" s="13"/>
      <c r="Q501" s="13"/>
      <c r="R501" s="13"/>
      <c r="S501" s="13"/>
      <c r="T501" s="13"/>
      <c r="U501" s="12"/>
      <c r="V501" s="14"/>
      <c r="W501" s="16"/>
      <c r="X501" s="16"/>
      <c r="Y501" s="16"/>
      <c r="Z501" s="16"/>
      <c r="AA501" s="15" t="str">
        <f aca="false">IF(AND(ISNUMBER(L501),ISNUMBER(M501)),M501-L501,"")</f>
        <v/>
      </c>
      <c r="AB501" s="15" t="str">
        <f aca="false">IF(AND(ISNUMBER(M501),ISNUMBER(P501)),P501-M501,"")</f>
        <v/>
      </c>
      <c r="AC501" s="15" t="str">
        <f aca="false">IF(AND(ISNUMBER(L501),ISNUMBER(P501)),P501-L501,"")</f>
        <v/>
      </c>
      <c r="AD501" s="15" t="str">
        <f aca="false">IF(AND(ISNUMBER(P501),ISNUMBER(Q501)),Q501-P501,"")</f>
        <v/>
      </c>
      <c r="AE501" s="15" t="str">
        <f aca="false">IF(AND(ISNUMBER(Q501),ISNUMBER(R501)),R501-Q501,IF(ISNUMBER(Y501),Y501,""))</f>
        <v/>
      </c>
      <c r="AF501" s="15" t="str">
        <f aca="false">IF(AND(ISNUMBER(R501),ISNUMBER(S501)),S501-R501,"")</f>
        <v/>
      </c>
      <c r="AG501" s="15" t="str">
        <f aca="false">IF(AND(ISNUMBER(S501),ISNUMBER(T501)),T501-S501,"")</f>
        <v/>
      </c>
      <c r="AH501" s="15" t="str">
        <f aca="false">IF(AND(ISNUMBER(L501),ISNUMBER(T501)),T501-L501,"")</f>
        <v/>
      </c>
      <c r="AI501" s="15" t="str">
        <f aca="false">IF(AND(ISNUMBER(O501),ISNUMBER(Q501)),Q501-O501,"")</f>
        <v/>
      </c>
      <c r="AJ501" s="15" t="str">
        <f aca="false">IF(B501="","",COUNT(L501:M501,P501:T501)&amp;"/7")</f>
        <v/>
      </c>
      <c r="AK501" s="15" t="str">
        <f aca="false">IF(B501="","",IF(OR(AND(ISNUMBER(L501),ISNUMBER(M501),M501&lt;L501),AND(ISNUMBER(M501),ISNUMBER(P501),P501&lt;M501),AND(ISNUMBER(P501),ISNUMBER(Q501),Q501&lt;P501),AND(ISNUMBER(Q501),ISNUMBER(R501),R501&lt;Q501),AND(ISNUMBER(R501),ISNUMBER(S501),S501&lt;R501),AND(ISNUMBER(S501),ISNUMBER(T501),T501&lt;S501),AND(ISNUMBER(N501),ISNUMBER(O501),O501&lt;N501)),"Urutan tanggal salah",IF(AND(ISNUMBER(Q501),ISNUMBER(R501),ISNUMBER(Y501),ABS(R501-Q501-Y501)&gt;2),"S tanggal ≠ Sailing tercatat",IF(AND(ISNUMBER(Q501),ISNUMBER(O501),ABS(Q501-O501)&gt;60),"Cek tahun laycan",IF(AND(ISNUMBER(Q501),ISNUMBER(N501),Q501&lt;N501),"Berangkat sebelum laycan",IF(NOT(ISNUMBER(AE501)),"S belum ada","OK"))))))</f>
        <v/>
      </c>
    </row>
    <row r="502" customFormat="false" ht="15" hidden="false" customHeight="false" outlineLevel="0" collapsed="false">
      <c r="A502" s="16" t="str">
        <f aca="false">IF(B502="","",ROW()-4)</f>
        <v/>
      </c>
      <c r="B502" s="12"/>
      <c r="C502" s="16"/>
      <c r="D502" s="16"/>
      <c r="E502" s="16"/>
      <c r="F502" s="16"/>
      <c r="G502" s="16"/>
      <c r="H502" s="16"/>
      <c r="I502" s="16"/>
      <c r="J502" s="16"/>
      <c r="K502" s="16"/>
      <c r="L502" s="13"/>
      <c r="M502" s="13"/>
      <c r="N502" s="13"/>
      <c r="O502" s="13"/>
      <c r="P502" s="13"/>
      <c r="Q502" s="13"/>
      <c r="R502" s="13"/>
      <c r="S502" s="13"/>
      <c r="T502" s="13"/>
      <c r="U502" s="12"/>
      <c r="V502" s="14"/>
      <c r="W502" s="16"/>
      <c r="X502" s="16"/>
      <c r="Y502" s="16"/>
      <c r="Z502" s="16"/>
      <c r="AA502" s="15" t="str">
        <f aca="false">IF(AND(ISNUMBER(L502),ISNUMBER(M502)),M502-L502,"")</f>
        <v/>
      </c>
      <c r="AB502" s="15" t="str">
        <f aca="false">IF(AND(ISNUMBER(M502),ISNUMBER(P502)),P502-M502,"")</f>
        <v/>
      </c>
      <c r="AC502" s="15" t="str">
        <f aca="false">IF(AND(ISNUMBER(L502),ISNUMBER(P502)),P502-L502,"")</f>
        <v/>
      </c>
      <c r="AD502" s="15" t="str">
        <f aca="false">IF(AND(ISNUMBER(P502),ISNUMBER(Q502)),Q502-P502,"")</f>
        <v/>
      </c>
      <c r="AE502" s="15" t="str">
        <f aca="false">IF(AND(ISNUMBER(Q502),ISNUMBER(R502)),R502-Q502,IF(ISNUMBER(Y502),Y502,""))</f>
        <v/>
      </c>
      <c r="AF502" s="15" t="str">
        <f aca="false">IF(AND(ISNUMBER(R502),ISNUMBER(S502)),S502-R502,"")</f>
        <v/>
      </c>
      <c r="AG502" s="15" t="str">
        <f aca="false">IF(AND(ISNUMBER(S502),ISNUMBER(T502)),T502-S502,"")</f>
        <v/>
      </c>
      <c r="AH502" s="15" t="str">
        <f aca="false">IF(AND(ISNUMBER(L502),ISNUMBER(T502)),T502-L502,"")</f>
        <v/>
      </c>
      <c r="AI502" s="15" t="str">
        <f aca="false">IF(AND(ISNUMBER(O502),ISNUMBER(Q502)),Q502-O502,"")</f>
        <v/>
      </c>
      <c r="AJ502" s="15" t="str">
        <f aca="false">IF(B502="","",COUNT(L502:M502,P502:T502)&amp;"/7")</f>
        <v/>
      </c>
      <c r="AK502" s="15" t="str">
        <f aca="false">IF(B502="","",IF(OR(AND(ISNUMBER(L502),ISNUMBER(M502),M502&lt;L502),AND(ISNUMBER(M502),ISNUMBER(P502),P502&lt;M502),AND(ISNUMBER(P502),ISNUMBER(Q502),Q502&lt;P502),AND(ISNUMBER(Q502),ISNUMBER(R502),R502&lt;Q502),AND(ISNUMBER(R502),ISNUMBER(S502),S502&lt;R502),AND(ISNUMBER(S502),ISNUMBER(T502),T502&lt;S502),AND(ISNUMBER(N502),ISNUMBER(O502),O502&lt;N502)),"Urutan tanggal salah",IF(AND(ISNUMBER(Q502),ISNUMBER(R502),ISNUMBER(Y502),ABS(R502-Q502-Y502)&gt;2),"S tanggal ≠ Sailing tercatat",IF(AND(ISNUMBER(Q502),ISNUMBER(O502),ABS(Q502-O502)&gt;60),"Cek tahun laycan",IF(AND(ISNUMBER(Q502),ISNUMBER(N502),Q502&lt;N502),"Berangkat sebelum laycan",IF(NOT(ISNUMBER(AE502)),"S belum ada","OK"))))))</f>
        <v/>
      </c>
    </row>
    <row r="503" customFormat="false" ht="15" hidden="false" customHeight="false" outlineLevel="0" collapsed="false">
      <c r="A503" s="16" t="str">
        <f aca="false">IF(B503="","",ROW()-4)</f>
        <v/>
      </c>
      <c r="B503" s="12"/>
      <c r="C503" s="16"/>
      <c r="D503" s="16"/>
      <c r="E503" s="16"/>
      <c r="F503" s="16"/>
      <c r="G503" s="16"/>
      <c r="H503" s="16"/>
      <c r="I503" s="16"/>
      <c r="J503" s="16"/>
      <c r="K503" s="16"/>
      <c r="L503" s="13"/>
      <c r="M503" s="13"/>
      <c r="N503" s="13"/>
      <c r="O503" s="13"/>
      <c r="P503" s="13"/>
      <c r="Q503" s="13"/>
      <c r="R503" s="13"/>
      <c r="S503" s="13"/>
      <c r="T503" s="13"/>
      <c r="U503" s="12"/>
      <c r="V503" s="14"/>
      <c r="W503" s="16"/>
      <c r="X503" s="16"/>
      <c r="Y503" s="16"/>
      <c r="Z503" s="16"/>
      <c r="AA503" s="15" t="str">
        <f aca="false">IF(AND(ISNUMBER(L503),ISNUMBER(M503)),M503-L503,"")</f>
        <v/>
      </c>
      <c r="AB503" s="15" t="str">
        <f aca="false">IF(AND(ISNUMBER(M503),ISNUMBER(P503)),P503-M503,"")</f>
        <v/>
      </c>
      <c r="AC503" s="15" t="str">
        <f aca="false">IF(AND(ISNUMBER(L503),ISNUMBER(P503)),P503-L503,"")</f>
        <v/>
      </c>
      <c r="AD503" s="15" t="str">
        <f aca="false">IF(AND(ISNUMBER(P503),ISNUMBER(Q503)),Q503-P503,"")</f>
        <v/>
      </c>
      <c r="AE503" s="15" t="str">
        <f aca="false">IF(AND(ISNUMBER(Q503),ISNUMBER(R503)),R503-Q503,IF(ISNUMBER(Y503),Y503,""))</f>
        <v/>
      </c>
      <c r="AF503" s="15" t="str">
        <f aca="false">IF(AND(ISNUMBER(R503),ISNUMBER(S503)),S503-R503,"")</f>
        <v/>
      </c>
      <c r="AG503" s="15" t="str">
        <f aca="false">IF(AND(ISNUMBER(S503),ISNUMBER(T503)),T503-S503,"")</f>
        <v/>
      </c>
      <c r="AH503" s="15" t="str">
        <f aca="false">IF(AND(ISNUMBER(L503),ISNUMBER(T503)),T503-L503,"")</f>
        <v/>
      </c>
      <c r="AI503" s="15" t="str">
        <f aca="false">IF(AND(ISNUMBER(O503),ISNUMBER(Q503)),Q503-O503,"")</f>
        <v/>
      </c>
      <c r="AJ503" s="15" t="str">
        <f aca="false">IF(B503="","",COUNT(L503:M503,P503:T503)&amp;"/7")</f>
        <v/>
      </c>
      <c r="AK503" s="15" t="str">
        <f aca="false">IF(B503="","",IF(OR(AND(ISNUMBER(L503),ISNUMBER(M503),M503&lt;L503),AND(ISNUMBER(M503),ISNUMBER(P503),P503&lt;M503),AND(ISNUMBER(P503),ISNUMBER(Q503),Q503&lt;P503),AND(ISNUMBER(Q503),ISNUMBER(R503),R503&lt;Q503),AND(ISNUMBER(R503),ISNUMBER(S503),S503&lt;R503),AND(ISNUMBER(S503),ISNUMBER(T503),T503&lt;S503),AND(ISNUMBER(N503),ISNUMBER(O503),O503&lt;N503)),"Urutan tanggal salah",IF(AND(ISNUMBER(Q503),ISNUMBER(R503),ISNUMBER(Y503),ABS(R503-Q503-Y503)&gt;2),"S tanggal ≠ Sailing tercatat",IF(AND(ISNUMBER(Q503),ISNUMBER(O503),ABS(Q503-O503)&gt;60),"Cek tahun laycan",IF(AND(ISNUMBER(Q503),ISNUMBER(N503),Q503&lt;N503),"Berangkat sebelum laycan",IF(NOT(ISNUMBER(AE503)),"S belum ada","OK"))))))</f>
        <v/>
      </c>
    </row>
    <row r="504" customFormat="false" ht="15" hidden="false" customHeight="false" outlineLevel="0" collapsed="false">
      <c r="A504" s="16" t="str">
        <f aca="false">IF(B504="","",ROW()-4)</f>
        <v/>
      </c>
      <c r="B504" s="12"/>
      <c r="C504" s="16"/>
      <c r="D504" s="16"/>
      <c r="E504" s="16"/>
      <c r="F504" s="16"/>
      <c r="G504" s="16"/>
      <c r="H504" s="16"/>
      <c r="I504" s="16"/>
      <c r="J504" s="16"/>
      <c r="K504" s="16"/>
      <c r="L504" s="13"/>
      <c r="M504" s="13"/>
      <c r="N504" s="13"/>
      <c r="O504" s="13"/>
      <c r="P504" s="13"/>
      <c r="Q504" s="13"/>
      <c r="R504" s="13"/>
      <c r="S504" s="13"/>
      <c r="T504" s="13"/>
      <c r="U504" s="12"/>
      <c r="V504" s="14"/>
      <c r="W504" s="16"/>
      <c r="X504" s="16"/>
      <c r="Y504" s="16"/>
      <c r="Z504" s="16"/>
      <c r="AA504" s="15" t="str">
        <f aca="false">IF(AND(ISNUMBER(L504),ISNUMBER(M504)),M504-L504,"")</f>
        <v/>
      </c>
      <c r="AB504" s="15" t="str">
        <f aca="false">IF(AND(ISNUMBER(M504),ISNUMBER(P504)),P504-M504,"")</f>
        <v/>
      </c>
      <c r="AC504" s="15" t="str">
        <f aca="false">IF(AND(ISNUMBER(L504),ISNUMBER(P504)),P504-L504,"")</f>
        <v/>
      </c>
      <c r="AD504" s="15" t="str">
        <f aca="false">IF(AND(ISNUMBER(P504),ISNUMBER(Q504)),Q504-P504,"")</f>
        <v/>
      </c>
      <c r="AE504" s="15" t="str">
        <f aca="false">IF(AND(ISNUMBER(Q504),ISNUMBER(R504)),R504-Q504,IF(ISNUMBER(Y504),Y504,""))</f>
        <v/>
      </c>
      <c r="AF504" s="15" t="str">
        <f aca="false">IF(AND(ISNUMBER(R504),ISNUMBER(S504)),S504-R504,"")</f>
        <v/>
      </c>
      <c r="AG504" s="15" t="str">
        <f aca="false">IF(AND(ISNUMBER(S504),ISNUMBER(T504)),T504-S504,"")</f>
        <v/>
      </c>
      <c r="AH504" s="15" t="str">
        <f aca="false">IF(AND(ISNUMBER(L504),ISNUMBER(T504)),T504-L504,"")</f>
        <v/>
      </c>
      <c r="AI504" s="15" t="str">
        <f aca="false">IF(AND(ISNUMBER(O504),ISNUMBER(Q504)),Q504-O504,"")</f>
        <v/>
      </c>
      <c r="AJ504" s="15" t="str">
        <f aca="false">IF(B504="","",COUNT(L504:M504,P504:T504)&amp;"/7")</f>
        <v/>
      </c>
      <c r="AK504" s="15" t="str">
        <f aca="false">IF(B504="","",IF(OR(AND(ISNUMBER(L504),ISNUMBER(M504),M504&lt;L504),AND(ISNUMBER(M504),ISNUMBER(P504),P504&lt;M504),AND(ISNUMBER(P504),ISNUMBER(Q504),Q504&lt;P504),AND(ISNUMBER(Q504),ISNUMBER(R504),R504&lt;Q504),AND(ISNUMBER(R504),ISNUMBER(S504),S504&lt;R504),AND(ISNUMBER(S504),ISNUMBER(T504),T504&lt;S504),AND(ISNUMBER(N504),ISNUMBER(O504),O504&lt;N504)),"Urutan tanggal salah",IF(AND(ISNUMBER(Q504),ISNUMBER(R504),ISNUMBER(Y504),ABS(R504-Q504-Y504)&gt;2),"S tanggal ≠ Sailing tercatat",IF(AND(ISNUMBER(Q504),ISNUMBER(O504),ABS(Q504-O504)&gt;60),"Cek tahun laycan",IF(AND(ISNUMBER(Q504),ISNUMBER(N504),Q504&lt;N504),"Berangkat sebelum laycan",IF(NOT(ISNUMBER(AE504)),"S belum ada","OK"))))))</f>
        <v/>
      </c>
    </row>
    <row r="505" customFormat="false" ht="15" hidden="false" customHeight="false" outlineLevel="0" collapsed="false">
      <c r="A505" s="16" t="str">
        <f aca="false">IF(B505="","",ROW()-4)</f>
        <v/>
      </c>
      <c r="B505" s="12"/>
      <c r="C505" s="16"/>
      <c r="D505" s="16"/>
      <c r="E505" s="16"/>
      <c r="F505" s="16"/>
      <c r="G505" s="16"/>
      <c r="H505" s="16"/>
      <c r="I505" s="16"/>
      <c r="J505" s="16"/>
      <c r="K505" s="16"/>
      <c r="L505" s="13"/>
      <c r="M505" s="13"/>
      <c r="N505" s="13"/>
      <c r="O505" s="13"/>
      <c r="P505" s="13"/>
      <c r="Q505" s="13"/>
      <c r="R505" s="13"/>
      <c r="S505" s="13"/>
      <c r="T505" s="13"/>
      <c r="U505" s="12"/>
      <c r="V505" s="14"/>
      <c r="W505" s="16"/>
      <c r="X505" s="16"/>
      <c r="Y505" s="16"/>
      <c r="Z505" s="16"/>
      <c r="AA505" s="15" t="str">
        <f aca="false">IF(AND(ISNUMBER(L505),ISNUMBER(M505)),M505-L505,"")</f>
        <v/>
      </c>
      <c r="AB505" s="15" t="str">
        <f aca="false">IF(AND(ISNUMBER(M505),ISNUMBER(P505)),P505-M505,"")</f>
        <v/>
      </c>
      <c r="AC505" s="15" t="str">
        <f aca="false">IF(AND(ISNUMBER(L505),ISNUMBER(P505)),P505-L505,"")</f>
        <v/>
      </c>
      <c r="AD505" s="15" t="str">
        <f aca="false">IF(AND(ISNUMBER(P505),ISNUMBER(Q505)),Q505-P505,"")</f>
        <v/>
      </c>
      <c r="AE505" s="15" t="str">
        <f aca="false">IF(AND(ISNUMBER(Q505),ISNUMBER(R505)),R505-Q505,IF(ISNUMBER(Y505),Y505,""))</f>
        <v/>
      </c>
      <c r="AF505" s="15" t="str">
        <f aca="false">IF(AND(ISNUMBER(R505),ISNUMBER(S505)),S505-R505,"")</f>
        <v/>
      </c>
      <c r="AG505" s="15" t="str">
        <f aca="false">IF(AND(ISNUMBER(S505),ISNUMBER(T505)),T505-S505,"")</f>
        <v/>
      </c>
      <c r="AH505" s="15" t="str">
        <f aca="false">IF(AND(ISNUMBER(L505),ISNUMBER(T505)),T505-L505,"")</f>
        <v/>
      </c>
      <c r="AI505" s="15" t="str">
        <f aca="false">IF(AND(ISNUMBER(O505),ISNUMBER(Q505)),Q505-O505,"")</f>
        <v/>
      </c>
      <c r="AJ505" s="15" t="str">
        <f aca="false">IF(B505="","",COUNT(L505:M505,P505:T505)&amp;"/7")</f>
        <v/>
      </c>
      <c r="AK505" s="15" t="str">
        <f aca="false">IF(B505="","",IF(OR(AND(ISNUMBER(L505),ISNUMBER(M505),M505&lt;L505),AND(ISNUMBER(M505),ISNUMBER(P505),P505&lt;M505),AND(ISNUMBER(P505),ISNUMBER(Q505),Q505&lt;P505),AND(ISNUMBER(Q505),ISNUMBER(R505),R505&lt;Q505),AND(ISNUMBER(R505),ISNUMBER(S505),S505&lt;R505),AND(ISNUMBER(S505),ISNUMBER(T505),T505&lt;S505),AND(ISNUMBER(N505),ISNUMBER(O505),O505&lt;N505)),"Urutan tanggal salah",IF(AND(ISNUMBER(Q505),ISNUMBER(R505),ISNUMBER(Y505),ABS(R505-Q505-Y505)&gt;2),"S tanggal ≠ Sailing tercatat",IF(AND(ISNUMBER(Q505),ISNUMBER(O505),ABS(Q505-O505)&gt;60),"Cek tahun laycan",IF(AND(ISNUMBER(Q505),ISNUMBER(N505),Q505&lt;N505),"Berangkat sebelum laycan",IF(NOT(ISNUMBER(AE505)),"S belum ada","OK"))))))</f>
        <v/>
      </c>
    </row>
    <row r="506" customFormat="false" ht="15" hidden="false" customHeight="false" outlineLevel="0" collapsed="false">
      <c r="A506" s="16" t="str">
        <f aca="false">IF(B506="","",ROW()-4)</f>
        <v/>
      </c>
      <c r="B506" s="12"/>
      <c r="C506" s="16"/>
      <c r="D506" s="16"/>
      <c r="E506" s="16"/>
      <c r="F506" s="16"/>
      <c r="G506" s="16"/>
      <c r="H506" s="16"/>
      <c r="I506" s="16"/>
      <c r="J506" s="16"/>
      <c r="K506" s="16"/>
      <c r="L506" s="13"/>
      <c r="M506" s="13"/>
      <c r="N506" s="13"/>
      <c r="O506" s="13"/>
      <c r="P506" s="13"/>
      <c r="Q506" s="13"/>
      <c r="R506" s="13"/>
      <c r="S506" s="13"/>
      <c r="T506" s="13"/>
      <c r="U506" s="12"/>
      <c r="V506" s="14"/>
      <c r="W506" s="16"/>
      <c r="X506" s="16"/>
      <c r="Y506" s="16"/>
      <c r="Z506" s="16"/>
      <c r="AA506" s="15" t="str">
        <f aca="false">IF(AND(ISNUMBER(L506),ISNUMBER(M506)),M506-L506,"")</f>
        <v/>
      </c>
      <c r="AB506" s="15" t="str">
        <f aca="false">IF(AND(ISNUMBER(M506),ISNUMBER(P506)),P506-M506,"")</f>
        <v/>
      </c>
      <c r="AC506" s="15" t="str">
        <f aca="false">IF(AND(ISNUMBER(L506),ISNUMBER(P506)),P506-L506,"")</f>
        <v/>
      </c>
      <c r="AD506" s="15" t="str">
        <f aca="false">IF(AND(ISNUMBER(P506),ISNUMBER(Q506)),Q506-P506,"")</f>
        <v/>
      </c>
      <c r="AE506" s="15" t="str">
        <f aca="false">IF(AND(ISNUMBER(Q506),ISNUMBER(R506)),R506-Q506,IF(ISNUMBER(Y506),Y506,""))</f>
        <v/>
      </c>
      <c r="AF506" s="15" t="str">
        <f aca="false">IF(AND(ISNUMBER(R506),ISNUMBER(S506)),S506-R506,"")</f>
        <v/>
      </c>
      <c r="AG506" s="15" t="str">
        <f aca="false">IF(AND(ISNUMBER(S506),ISNUMBER(T506)),T506-S506,"")</f>
        <v/>
      </c>
      <c r="AH506" s="15" t="str">
        <f aca="false">IF(AND(ISNUMBER(L506),ISNUMBER(T506)),T506-L506,"")</f>
        <v/>
      </c>
      <c r="AI506" s="15" t="str">
        <f aca="false">IF(AND(ISNUMBER(O506),ISNUMBER(Q506)),Q506-O506,"")</f>
        <v/>
      </c>
      <c r="AJ506" s="15" t="str">
        <f aca="false">IF(B506="","",COUNT(L506:M506,P506:T506)&amp;"/7")</f>
        <v/>
      </c>
      <c r="AK506" s="15" t="str">
        <f aca="false">IF(B506="","",IF(OR(AND(ISNUMBER(L506),ISNUMBER(M506),M506&lt;L506),AND(ISNUMBER(M506),ISNUMBER(P506),P506&lt;M506),AND(ISNUMBER(P506),ISNUMBER(Q506),Q506&lt;P506),AND(ISNUMBER(Q506),ISNUMBER(R506),R506&lt;Q506),AND(ISNUMBER(R506),ISNUMBER(S506),S506&lt;R506),AND(ISNUMBER(S506),ISNUMBER(T506),T506&lt;S506),AND(ISNUMBER(N506),ISNUMBER(O506),O506&lt;N506)),"Urutan tanggal salah",IF(AND(ISNUMBER(Q506),ISNUMBER(R506),ISNUMBER(Y506),ABS(R506-Q506-Y506)&gt;2),"S tanggal ≠ Sailing tercatat",IF(AND(ISNUMBER(Q506),ISNUMBER(O506),ABS(Q506-O506)&gt;60),"Cek tahun laycan",IF(AND(ISNUMBER(Q506),ISNUMBER(N506),Q506&lt;N506),"Berangkat sebelum laycan",IF(NOT(ISNUMBER(AE506)),"S belum ada","OK"))))))</f>
        <v/>
      </c>
    </row>
    <row r="507" customFormat="false" ht="15" hidden="false" customHeight="false" outlineLevel="0" collapsed="false">
      <c r="A507" s="16" t="str">
        <f aca="false">IF(B507="","",ROW()-4)</f>
        <v/>
      </c>
      <c r="B507" s="12"/>
      <c r="C507" s="16"/>
      <c r="D507" s="16"/>
      <c r="E507" s="16"/>
      <c r="F507" s="16"/>
      <c r="G507" s="16"/>
      <c r="H507" s="16"/>
      <c r="I507" s="16"/>
      <c r="J507" s="16"/>
      <c r="K507" s="16"/>
      <c r="L507" s="13"/>
      <c r="M507" s="13"/>
      <c r="N507" s="13"/>
      <c r="O507" s="13"/>
      <c r="P507" s="13"/>
      <c r="Q507" s="13"/>
      <c r="R507" s="13"/>
      <c r="S507" s="13"/>
      <c r="T507" s="13"/>
      <c r="U507" s="12"/>
      <c r="V507" s="14"/>
      <c r="W507" s="16"/>
      <c r="X507" s="16"/>
      <c r="Y507" s="16"/>
      <c r="Z507" s="16"/>
      <c r="AA507" s="15" t="str">
        <f aca="false">IF(AND(ISNUMBER(L507),ISNUMBER(M507)),M507-L507,"")</f>
        <v/>
      </c>
      <c r="AB507" s="15" t="str">
        <f aca="false">IF(AND(ISNUMBER(M507),ISNUMBER(P507)),P507-M507,"")</f>
        <v/>
      </c>
      <c r="AC507" s="15" t="str">
        <f aca="false">IF(AND(ISNUMBER(L507),ISNUMBER(P507)),P507-L507,"")</f>
        <v/>
      </c>
      <c r="AD507" s="15" t="str">
        <f aca="false">IF(AND(ISNUMBER(P507),ISNUMBER(Q507)),Q507-P507,"")</f>
        <v/>
      </c>
      <c r="AE507" s="15" t="str">
        <f aca="false">IF(AND(ISNUMBER(Q507),ISNUMBER(R507)),R507-Q507,IF(ISNUMBER(Y507),Y507,""))</f>
        <v/>
      </c>
      <c r="AF507" s="15" t="str">
        <f aca="false">IF(AND(ISNUMBER(R507),ISNUMBER(S507)),S507-R507,"")</f>
        <v/>
      </c>
      <c r="AG507" s="15" t="str">
        <f aca="false">IF(AND(ISNUMBER(S507),ISNUMBER(T507)),T507-S507,"")</f>
        <v/>
      </c>
      <c r="AH507" s="15" t="str">
        <f aca="false">IF(AND(ISNUMBER(L507),ISNUMBER(T507)),T507-L507,"")</f>
        <v/>
      </c>
      <c r="AI507" s="15" t="str">
        <f aca="false">IF(AND(ISNUMBER(O507),ISNUMBER(Q507)),Q507-O507,"")</f>
        <v/>
      </c>
      <c r="AJ507" s="15" t="str">
        <f aca="false">IF(B507="","",COUNT(L507:M507,P507:T507)&amp;"/7")</f>
        <v/>
      </c>
      <c r="AK507" s="15" t="str">
        <f aca="false">IF(B507="","",IF(OR(AND(ISNUMBER(L507),ISNUMBER(M507),M507&lt;L507),AND(ISNUMBER(M507),ISNUMBER(P507),P507&lt;M507),AND(ISNUMBER(P507),ISNUMBER(Q507),Q507&lt;P507),AND(ISNUMBER(Q507),ISNUMBER(R507),R507&lt;Q507),AND(ISNUMBER(R507),ISNUMBER(S507),S507&lt;R507),AND(ISNUMBER(S507),ISNUMBER(T507),T507&lt;S507),AND(ISNUMBER(N507),ISNUMBER(O507),O507&lt;N507)),"Urutan tanggal salah",IF(AND(ISNUMBER(Q507),ISNUMBER(R507),ISNUMBER(Y507),ABS(R507-Q507-Y507)&gt;2),"S tanggal ≠ Sailing tercatat",IF(AND(ISNUMBER(Q507),ISNUMBER(O507),ABS(Q507-O507)&gt;60),"Cek tahun laycan",IF(AND(ISNUMBER(Q507),ISNUMBER(N507),Q507&lt;N507),"Berangkat sebelum laycan",IF(NOT(ISNUMBER(AE507)),"S belum ada","OK"))))))</f>
        <v/>
      </c>
    </row>
    <row r="508" customFormat="false" ht="15" hidden="false" customHeight="false" outlineLevel="0" collapsed="false">
      <c r="A508" s="16" t="str">
        <f aca="false">IF(B508="","",ROW()-4)</f>
        <v/>
      </c>
      <c r="B508" s="12"/>
      <c r="C508" s="16"/>
      <c r="D508" s="16"/>
      <c r="E508" s="16"/>
      <c r="F508" s="16"/>
      <c r="G508" s="16"/>
      <c r="H508" s="16"/>
      <c r="I508" s="16"/>
      <c r="J508" s="16"/>
      <c r="K508" s="16"/>
      <c r="L508" s="13"/>
      <c r="M508" s="13"/>
      <c r="N508" s="13"/>
      <c r="O508" s="13"/>
      <c r="P508" s="13"/>
      <c r="Q508" s="13"/>
      <c r="R508" s="13"/>
      <c r="S508" s="13"/>
      <c r="T508" s="13"/>
      <c r="U508" s="12"/>
      <c r="V508" s="14"/>
      <c r="W508" s="16"/>
      <c r="X508" s="16"/>
      <c r="Y508" s="16"/>
      <c r="Z508" s="16"/>
      <c r="AA508" s="15" t="str">
        <f aca="false">IF(AND(ISNUMBER(L508),ISNUMBER(M508)),M508-L508,"")</f>
        <v/>
      </c>
      <c r="AB508" s="15" t="str">
        <f aca="false">IF(AND(ISNUMBER(M508),ISNUMBER(P508)),P508-M508,"")</f>
        <v/>
      </c>
      <c r="AC508" s="15" t="str">
        <f aca="false">IF(AND(ISNUMBER(L508),ISNUMBER(P508)),P508-L508,"")</f>
        <v/>
      </c>
      <c r="AD508" s="15" t="str">
        <f aca="false">IF(AND(ISNUMBER(P508),ISNUMBER(Q508)),Q508-P508,"")</f>
        <v/>
      </c>
      <c r="AE508" s="15" t="str">
        <f aca="false">IF(AND(ISNUMBER(Q508),ISNUMBER(R508)),R508-Q508,IF(ISNUMBER(Y508),Y508,""))</f>
        <v/>
      </c>
      <c r="AF508" s="15" t="str">
        <f aca="false">IF(AND(ISNUMBER(R508),ISNUMBER(S508)),S508-R508,"")</f>
        <v/>
      </c>
      <c r="AG508" s="15" t="str">
        <f aca="false">IF(AND(ISNUMBER(S508),ISNUMBER(T508)),T508-S508,"")</f>
        <v/>
      </c>
      <c r="AH508" s="15" t="str">
        <f aca="false">IF(AND(ISNUMBER(L508),ISNUMBER(T508)),T508-L508,"")</f>
        <v/>
      </c>
      <c r="AI508" s="15" t="str">
        <f aca="false">IF(AND(ISNUMBER(O508),ISNUMBER(Q508)),Q508-O508,"")</f>
        <v/>
      </c>
      <c r="AJ508" s="15" t="str">
        <f aca="false">IF(B508="","",COUNT(L508:M508,P508:T508)&amp;"/7")</f>
        <v/>
      </c>
      <c r="AK508" s="15" t="str">
        <f aca="false">IF(B508="","",IF(OR(AND(ISNUMBER(L508),ISNUMBER(M508),M508&lt;L508),AND(ISNUMBER(M508),ISNUMBER(P508),P508&lt;M508),AND(ISNUMBER(P508),ISNUMBER(Q508),Q508&lt;P508),AND(ISNUMBER(Q508),ISNUMBER(R508),R508&lt;Q508),AND(ISNUMBER(R508),ISNUMBER(S508),S508&lt;R508),AND(ISNUMBER(S508),ISNUMBER(T508),T508&lt;S508),AND(ISNUMBER(N508),ISNUMBER(O508),O508&lt;N508)),"Urutan tanggal salah",IF(AND(ISNUMBER(Q508),ISNUMBER(R508),ISNUMBER(Y508),ABS(R508-Q508-Y508)&gt;2),"S tanggal ≠ Sailing tercatat",IF(AND(ISNUMBER(Q508),ISNUMBER(O508),ABS(Q508-O508)&gt;60),"Cek tahun laycan",IF(AND(ISNUMBER(Q508),ISNUMBER(N508),Q508&lt;N508),"Berangkat sebelum laycan",IF(NOT(ISNUMBER(AE508)),"S belum ada","OK"))))))</f>
        <v/>
      </c>
    </row>
    <row r="509" customFormat="false" ht="15" hidden="false" customHeight="false" outlineLevel="0" collapsed="false">
      <c r="A509" s="16" t="str">
        <f aca="false">IF(B509="","",ROW()-4)</f>
        <v/>
      </c>
      <c r="B509" s="12"/>
      <c r="C509" s="16"/>
      <c r="D509" s="16"/>
      <c r="E509" s="16"/>
      <c r="F509" s="16"/>
      <c r="G509" s="16"/>
      <c r="H509" s="16"/>
      <c r="I509" s="16"/>
      <c r="J509" s="16"/>
      <c r="K509" s="16"/>
      <c r="L509" s="13"/>
      <c r="M509" s="13"/>
      <c r="N509" s="13"/>
      <c r="O509" s="13"/>
      <c r="P509" s="13"/>
      <c r="Q509" s="13"/>
      <c r="R509" s="13"/>
      <c r="S509" s="13"/>
      <c r="T509" s="13"/>
      <c r="U509" s="12"/>
      <c r="V509" s="14"/>
      <c r="W509" s="16"/>
      <c r="X509" s="16"/>
      <c r="Y509" s="16"/>
      <c r="Z509" s="16"/>
      <c r="AA509" s="15" t="str">
        <f aca="false">IF(AND(ISNUMBER(L509),ISNUMBER(M509)),M509-L509,"")</f>
        <v/>
      </c>
      <c r="AB509" s="15" t="str">
        <f aca="false">IF(AND(ISNUMBER(M509),ISNUMBER(P509)),P509-M509,"")</f>
        <v/>
      </c>
      <c r="AC509" s="15" t="str">
        <f aca="false">IF(AND(ISNUMBER(L509),ISNUMBER(P509)),P509-L509,"")</f>
        <v/>
      </c>
      <c r="AD509" s="15" t="str">
        <f aca="false">IF(AND(ISNUMBER(P509),ISNUMBER(Q509)),Q509-P509,"")</f>
        <v/>
      </c>
      <c r="AE509" s="15" t="str">
        <f aca="false">IF(AND(ISNUMBER(Q509),ISNUMBER(R509)),R509-Q509,IF(ISNUMBER(Y509),Y509,""))</f>
        <v/>
      </c>
      <c r="AF509" s="15" t="str">
        <f aca="false">IF(AND(ISNUMBER(R509),ISNUMBER(S509)),S509-R509,"")</f>
        <v/>
      </c>
      <c r="AG509" s="15" t="str">
        <f aca="false">IF(AND(ISNUMBER(S509),ISNUMBER(T509)),T509-S509,"")</f>
        <v/>
      </c>
      <c r="AH509" s="15" t="str">
        <f aca="false">IF(AND(ISNUMBER(L509),ISNUMBER(T509)),T509-L509,"")</f>
        <v/>
      </c>
      <c r="AI509" s="15" t="str">
        <f aca="false">IF(AND(ISNUMBER(O509),ISNUMBER(Q509)),Q509-O509,"")</f>
        <v/>
      </c>
      <c r="AJ509" s="15" t="str">
        <f aca="false">IF(B509="","",COUNT(L509:M509,P509:T509)&amp;"/7")</f>
        <v/>
      </c>
      <c r="AK509" s="15" t="str">
        <f aca="false">IF(B509="","",IF(OR(AND(ISNUMBER(L509),ISNUMBER(M509),M509&lt;L509),AND(ISNUMBER(M509),ISNUMBER(P509),P509&lt;M509),AND(ISNUMBER(P509),ISNUMBER(Q509),Q509&lt;P509),AND(ISNUMBER(Q509),ISNUMBER(R509),R509&lt;Q509),AND(ISNUMBER(R509),ISNUMBER(S509),S509&lt;R509),AND(ISNUMBER(S509),ISNUMBER(T509),T509&lt;S509),AND(ISNUMBER(N509),ISNUMBER(O509),O509&lt;N509)),"Urutan tanggal salah",IF(AND(ISNUMBER(Q509),ISNUMBER(R509),ISNUMBER(Y509),ABS(R509-Q509-Y509)&gt;2),"S tanggal ≠ Sailing tercatat",IF(AND(ISNUMBER(Q509),ISNUMBER(O509),ABS(Q509-O509)&gt;60),"Cek tahun laycan",IF(AND(ISNUMBER(Q509),ISNUMBER(N509),Q509&lt;N509),"Berangkat sebelum laycan",IF(NOT(ISNUMBER(AE509)),"S belum ada","OK"))))))</f>
        <v/>
      </c>
    </row>
    <row r="510" customFormat="false" ht="15" hidden="false" customHeight="false" outlineLevel="0" collapsed="false">
      <c r="A510" s="16" t="str">
        <f aca="false">IF(B510="","",ROW()-4)</f>
        <v/>
      </c>
      <c r="B510" s="12"/>
      <c r="C510" s="16"/>
      <c r="D510" s="16"/>
      <c r="E510" s="16"/>
      <c r="F510" s="16"/>
      <c r="G510" s="16"/>
      <c r="H510" s="16"/>
      <c r="I510" s="16"/>
      <c r="J510" s="16"/>
      <c r="K510" s="16"/>
      <c r="L510" s="13"/>
      <c r="M510" s="13"/>
      <c r="N510" s="13"/>
      <c r="O510" s="13"/>
      <c r="P510" s="13"/>
      <c r="Q510" s="13"/>
      <c r="R510" s="13"/>
      <c r="S510" s="13"/>
      <c r="T510" s="13"/>
      <c r="U510" s="12"/>
      <c r="V510" s="14"/>
      <c r="W510" s="16"/>
      <c r="X510" s="16"/>
      <c r="Y510" s="16"/>
      <c r="Z510" s="16"/>
      <c r="AA510" s="15" t="str">
        <f aca="false">IF(AND(ISNUMBER(L510),ISNUMBER(M510)),M510-L510,"")</f>
        <v/>
      </c>
      <c r="AB510" s="15" t="str">
        <f aca="false">IF(AND(ISNUMBER(M510),ISNUMBER(P510)),P510-M510,"")</f>
        <v/>
      </c>
      <c r="AC510" s="15" t="str">
        <f aca="false">IF(AND(ISNUMBER(L510),ISNUMBER(P510)),P510-L510,"")</f>
        <v/>
      </c>
      <c r="AD510" s="15" t="str">
        <f aca="false">IF(AND(ISNUMBER(P510),ISNUMBER(Q510)),Q510-P510,"")</f>
        <v/>
      </c>
      <c r="AE510" s="15" t="str">
        <f aca="false">IF(AND(ISNUMBER(Q510),ISNUMBER(R510)),R510-Q510,IF(ISNUMBER(Y510),Y510,""))</f>
        <v/>
      </c>
      <c r="AF510" s="15" t="str">
        <f aca="false">IF(AND(ISNUMBER(R510),ISNUMBER(S510)),S510-R510,"")</f>
        <v/>
      </c>
      <c r="AG510" s="15" t="str">
        <f aca="false">IF(AND(ISNUMBER(S510),ISNUMBER(T510)),T510-S510,"")</f>
        <v/>
      </c>
      <c r="AH510" s="15" t="str">
        <f aca="false">IF(AND(ISNUMBER(L510),ISNUMBER(T510)),T510-L510,"")</f>
        <v/>
      </c>
      <c r="AI510" s="15" t="str">
        <f aca="false">IF(AND(ISNUMBER(O510),ISNUMBER(Q510)),Q510-O510,"")</f>
        <v/>
      </c>
      <c r="AJ510" s="15" t="str">
        <f aca="false">IF(B510="","",COUNT(L510:M510,P510:T510)&amp;"/7")</f>
        <v/>
      </c>
      <c r="AK510" s="15" t="str">
        <f aca="false">IF(B510="","",IF(OR(AND(ISNUMBER(L510),ISNUMBER(M510),M510&lt;L510),AND(ISNUMBER(M510),ISNUMBER(P510),P510&lt;M510),AND(ISNUMBER(P510),ISNUMBER(Q510),Q510&lt;P510),AND(ISNUMBER(Q510),ISNUMBER(R510),R510&lt;Q510),AND(ISNUMBER(R510),ISNUMBER(S510),S510&lt;R510),AND(ISNUMBER(S510),ISNUMBER(T510),T510&lt;S510),AND(ISNUMBER(N510),ISNUMBER(O510),O510&lt;N510)),"Urutan tanggal salah",IF(AND(ISNUMBER(Q510),ISNUMBER(R510),ISNUMBER(Y510),ABS(R510-Q510-Y510)&gt;2),"S tanggal ≠ Sailing tercatat",IF(AND(ISNUMBER(Q510),ISNUMBER(O510),ABS(Q510-O510)&gt;60),"Cek tahun laycan",IF(AND(ISNUMBER(Q510),ISNUMBER(N510),Q510&lt;N510),"Berangkat sebelum laycan",IF(NOT(ISNUMBER(AE510)),"S belum ada","OK"))))))</f>
        <v/>
      </c>
    </row>
    <row r="511" customFormat="false" ht="15" hidden="false" customHeight="false" outlineLevel="0" collapsed="false">
      <c r="A511" s="16" t="str">
        <f aca="false">IF(B511="","",ROW()-4)</f>
        <v/>
      </c>
      <c r="B511" s="12"/>
      <c r="C511" s="16"/>
      <c r="D511" s="16"/>
      <c r="E511" s="16"/>
      <c r="F511" s="16"/>
      <c r="G511" s="16"/>
      <c r="H511" s="16"/>
      <c r="I511" s="16"/>
      <c r="J511" s="16"/>
      <c r="K511" s="16"/>
      <c r="L511" s="13"/>
      <c r="M511" s="13"/>
      <c r="N511" s="13"/>
      <c r="O511" s="13"/>
      <c r="P511" s="13"/>
      <c r="Q511" s="13"/>
      <c r="R511" s="13"/>
      <c r="S511" s="13"/>
      <c r="T511" s="13"/>
      <c r="U511" s="12"/>
      <c r="V511" s="14"/>
      <c r="W511" s="16"/>
      <c r="X511" s="16"/>
      <c r="Y511" s="16"/>
      <c r="Z511" s="16"/>
      <c r="AA511" s="15" t="str">
        <f aca="false">IF(AND(ISNUMBER(L511),ISNUMBER(M511)),M511-L511,"")</f>
        <v/>
      </c>
      <c r="AB511" s="15" t="str">
        <f aca="false">IF(AND(ISNUMBER(M511),ISNUMBER(P511)),P511-M511,"")</f>
        <v/>
      </c>
      <c r="AC511" s="15" t="str">
        <f aca="false">IF(AND(ISNUMBER(L511),ISNUMBER(P511)),P511-L511,"")</f>
        <v/>
      </c>
      <c r="AD511" s="15" t="str">
        <f aca="false">IF(AND(ISNUMBER(P511),ISNUMBER(Q511)),Q511-P511,"")</f>
        <v/>
      </c>
      <c r="AE511" s="15" t="str">
        <f aca="false">IF(AND(ISNUMBER(Q511),ISNUMBER(R511)),R511-Q511,IF(ISNUMBER(Y511),Y511,""))</f>
        <v/>
      </c>
      <c r="AF511" s="15" t="str">
        <f aca="false">IF(AND(ISNUMBER(R511),ISNUMBER(S511)),S511-R511,"")</f>
        <v/>
      </c>
      <c r="AG511" s="15" t="str">
        <f aca="false">IF(AND(ISNUMBER(S511),ISNUMBER(T511)),T511-S511,"")</f>
        <v/>
      </c>
      <c r="AH511" s="15" t="str">
        <f aca="false">IF(AND(ISNUMBER(L511),ISNUMBER(T511)),T511-L511,"")</f>
        <v/>
      </c>
      <c r="AI511" s="15" t="str">
        <f aca="false">IF(AND(ISNUMBER(O511),ISNUMBER(Q511)),Q511-O511,"")</f>
        <v/>
      </c>
      <c r="AJ511" s="15" t="str">
        <f aca="false">IF(B511="","",COUNT(L511:M511,P511:T511)&amp;"/7")</f>
        <v/>
      </c>
      <c r="AK511" s="15" t="str">
        <f aca="false">IF(B511="","",IF(OR(AND(ISNUMBER(L511),ISNUMBER(M511),M511&lt;L511),AND(ISNUMBER(M511),ISNUMBER(P511),P511&lt;M511),AND(ISNUMBER(P511),ISNUMBER(Q511),Q511&lt;P511),AND(ISNUMBER(Q511),ISNUMBER(R511),R511&lt;Q511),AND(ISNUMBER(R511),ISNUMBER(S511),S511&lt;R511),AND(ISNUMBER(S511),ISNUMBER(T511),T511&lt;S511),AND(ISNUMBER(N511),ISNUMBER(O511),O511&lt;N511)),"Urutan tanggal salah",IF(AND(ISNUMBER(Q511),ISNUMBER(R511),ISNUMBER(Y511),ABS(R511-Q511-Y511)&gt;2),"S tanggal ≠ Sailing tercatat",IF(AND(ISNUMBER(Q511),ISNUMBER(O511),ABS(Q511-O511)&gt;60),"Cek tahun laycan",IF(AND(ISNUMBER(Q511),ISNUMBER(N511),Q511&lt;N511),"Berangkat sebelum laycan",IF(NOT(ISNUMBER(AE511)),"S belum ada","OK"))))))</f>
        <v/>
      </c>
    </row>
    <row r="512" customFormat="false" ht="15" hidden="false" customHeight="false" outlineLevel="0" collapsed="false">
      <c r="A512" s="16" t="str">
        <f aca="false">IF(B512="","",ROW()-4)</f>
        <v/>
      </c>
      <c r="B512" s="12"/>
      <c r="C512" s="16"/>
      <c r="D512" s="16"/>
      <c r="E512" s="16"/>
      <c r="F512" s="16"/>
      <c r="G512" s="16"/>
      <c r="H512" s="16"/>
      <c r="I512" s="16"/>
      <c r="J512" s="16"/>
      <c r="K512" s="16"/>
      <c r="L512" s="13"/>
      <c r="M512" s="13"/>
      <c r="N512" s="13"/>
      <c r="O512" s="13"/>
      <c r="P512" s="13"/>
      <c r="Q512" s="13"/>
      <c r="R512" s="13"/>
      <c r="S512" s="13"/>
      <c r="T512" s="13"/>
      <c r="U512" s="12"/>
      <c r="V512" s="14"/>
      <c r="W512" s="16"/>
      <c r="X512" s="16"/>
      <c r="Y512" s="16"/>
      <c r="Z512" s="16"/>
      <c r="AA512" s="15" t="str">
        <f aca="false">IF(AND(ISNUMBER(L512),ISNUMBER(M512)),M512-L512,"")</f>
        <v/>
      </c>
      <c r="AB512" s="15" t="str">
        <f aca="false">IF(AND(ISNUMBER(M512),ISNUMBER(P512)),P512-M512,"")</f>
        <v/>
      </c>
      <c r="AC512" s="15" t="str">
        <f aca="false">IF(AND(ISNUMBER(L512),ISNUMBER(P512)),P512-L512,"")</f>
        <v/>
      </c>
      <c r="AD512" s="15" t="str">
        <f aca="false">IF(AND(ISNUMBER(P512),ISNUMBER(Q512)),Q512-P512,"")</f>
        <v/>
      </c>
      <c r="AE512" s="15" t="str">
        <f aca="false">IF(AND(ISNUMBER(Q512),ISNUMBER(R512)),R512-Q512,IF(ISNUMBER(Y512),Y512,""))</f>
        <v/>
      </c>
      <c r="AF512" s="15" t="str">
        <f aca="false">IF(AND(ISNUMBER(R512),ISNUMBER(S512)),S512-R512,"")</f>
        <v/>
      </c>
      <c r="AG512" s="15" t="str">
        <f aca="false">IF(AND(ISNUMBER(S512),ISNUMBER(T512)),T512-S512,"")</f>
        <v/>
      </c>
      <c r="AH512" s="15" t="str">
        <f aca="false">IF(AND(ISNUMBER(L512),ISNUMBER(T512)),T512-L512,"")</f>
        <v/>
      </c>
      <c r="AI512" s="15" t="str">
        <f aca="false">IF(AND(ISNUMBER(O512),ISNUMBER(Q512)),Q512-O512,"")</f>
        <v/>
      </c>
      <c r="AJ512" s="15" t="str">
        <f aca="false">IF(B512="","",COUNT(L512:M512,P512:T512)&amp;"/7")</f>
        <v/>
      </c>
      <c r="AK512" s="15" t="str">
        <f aca="false">IF(B512="","",IF(OR(AND(ISNUMBER(L512),ISNUMBER(M512),M512&lt;L512),AND(ISNUMBER(M512),ISNUMBER(P512),P512&lt;M512),AND(ISNUMBER(P512),ISNUMBER(Q512),Q512&lt;P512),AND(ISNUMBER(Q512),ISNUMBER(R512),R512&lt;Q512),AND(ISNUMBER(R512),ISNUMBER(S512),S512&lt;R512),AND(ISNUMBER(S512),ISNUMBER(T512),T512&lt;S512),AND(ISNUMBER(N512),ISNUMBER(O512),O512&lt;N512)),"Urutan tanggal salah",IF(AND(ISNUMBER(Q512),ISNUMBER(R512),ISNUMBER(Y512),ABS(R512-Q512-Y512)&gt;2),"S tanggal ≠ Sailing tercatat",IF(AND(ISNUMBER(Q512),ISNUMBER(O512),ABS(Q512-O512)&gt;60),"Cek tahun laycan",IF(AND(ISNUMBER(Q512),ISNUMBER(N512),Q512&lt;N512),"Berangkat sebelum laycan",IF(NOT(ISNUMBER(AE512)),"S belum ada","OK"))))))</f>
        <v/>
      </c>
    </row>
    <row r="513" customFormat="false" ht="15" hidden="false" customHeight="false" outlineLevel="0" collapsed="false">
      <c r="A513" s="16" t="str">
        <f aca="false">IF(B513="","",ROW()-4)</f>
        <v/>
      </c>
      <c r="B513" s="12"/>
      <c r="C513" s="16"/>
      <c r="D513" s="16"/>
      <c r="E513" s="16"/>
      <c r="F513" s="16"/>
      <c r="G513" s="16"/>
      <c r="H513" s="16"/>
      <c r="I513" s="16"/>
      <c r="J513" s="16"/>
      <c r="K513" s="16"/>
      <c r="L513" s="13"/>
      <c r="M513" s="13"/>
      <c r="N513" s="13"/>
      <c r="O513" s="13"/>
      <c r="P513" s="13"/>
      <c r="Q513" s="13"/>
      <c r="R513" s="13"/>
      <c r="S513" s="13"/>
      <c r="T513" s="13"/>
      <c r="U513" s="12"/>
      <c r="V513" s="14"/>
      <c r="W513" s="16"/>
      <c r="X513" s="16"/>
      <c r="Y513" s="16"/>
      <c r="Z513" s="16"/>
      <c r="AA513" s="15" t="str">
        <f aca="false">IF(AND(ISNUMBER(L513),ISNUMBER(M513)),M513-L513,"")</f>
        <v/>
      </c>
      <c r="AB513" s="15" t="str">
        <f aca="false">IF(AND(ISNUMBER(M513),ISNUMBER(P513)),P513-M513,"")</f>
        <v/>
      </c>
      <c r="AC513" s="15" t="str">
        <f aca="false">IF(AND(ISNUMBER(L513),ISNUMBER(P513)),P513-L513,"")</f>
        <v/>
      </c>
      <c r="AD513" s="15" t="str">
        <f aca="false">IF(AND(ISNUMBER(P513),ISNUMBER(Q513)),Q513-P513,"")</f>
        <v/>
      </c>
      <c r="AE513" s="15" t="str">
        <f aca="false">IF(AND(ISNUMBER(Q513),ISNUMBER(R513)),R513-Q513,IF(ISNUMBER(Y513),Y513,""))</f>
        <v/>
      </c>
      <c r="AF513" s="15" t="str">
        <f aca="false">IF(AND(ISNUMBER(R513),ISNUMBER(S513)),S513-R513,"")</f>
        <v/>
      </c>
      <c r="AG513" s="15" t="str">
        <f aca="false">IF(AND(ISNUMBER(S513),ISNUMBER(T513)),T513-S513,"")</f>
        <v/>
      </c>
      <c r="AH513" s="15" t="str">
        <f aca="false">IF(AND(ISNUMBER(L513),ISNUMBER(T513)),T513-L513,"")</f>
        <v/>
      </c>
      <c r="AI513" s="15" t="str">
        <f aca="false">IF(AND(ISNUMBER(O513),ISNUMBER(Q513)),Q513-O513,"")</f>
        <v/>
      </c>
      <c r="AJ513" s="15" t="str">
        <f aca="false">IF(B513="","",COUNT(L513:M513,P513:T513)&amp;"/7")</f>
        <v/>
      </c>
      <c r="AK513" s="15" t="str">
        <f aca="false">IF(B513="","",IF(OR(AND(ISNUMBER(L513),ISNUMBER(M513),M513&lt;L513),AND(ISNUMBER(M513),ISNUMBER(P513),P513&lt;M513),AND(ISNUMBER(P513),ISNUMBER(Q513),Q513&lt;P513),AND(ISNUMBER(Q513),ISNUMBER(R513),R513&lt;Q513),AND(ISNUMBER(R513),ISNUMBER(S513),S513&lt;R513),AND(ISNUMBER(S513),ISNUMBER(T513),T513&lt;S513),AND(ISNUMBER(N513),ISNUMBER(O513),O513&lt;N513)),"Urutan tanggal salah",IF(AND(ISNUMBER(Q513),ISNUMBER(R513),ISNUMBER(Y513),ABS(R513-Q513-Y513)&gt;2),"S tanggal ≠ Sailing tercatat",IF(AND(ISNUMBER(Q513),ISNUMBER(O513),ABS(Q513-O513)&gt;60),"Cek tahun laycan",IF(AND(ISNUMBER(Q513),ISNUMBER(N513),Q513&lt;N513),"Berangkat sebelum laycan",IF(NOT(ISNUMBER(AE513)),"S belum ada","OK"))))))</f>
        <v/>
      </c>
    </row>
    <row r="514" customFormat="false" ht="15" hidden="false" customHeight="false" outlineLevel="0" collapsed="false">
      <c r="A514" s="16" t="str">
        <f aca="false">IF(B514="","",ROW()-4)</f>
        <v/>
      </c>
      <c r="B514" s="12"/>
      <c r="C514" s="16"/>
      <c r="D514" s="16"/>
      <c r="E514" s="16"/>
      <c r="F514" s="16"/>
      <c r="G514" s="16"/>
      <c r="H514" s="16"/>
      <c r="I514" s="16"/>
      <c r="J514" s="16"/>
      <c r="K514" s="16"/>
      <c r="L514" s="13"/>
      <c r="M514" s="13"/>
      <c r="N514" s="13"/>
      <c r="O514" s="13"/>
      <c r="P514" s="13"/>
      <c r="Q514" s="13"/>
      <c r="R514" s="13"/>
      <c r="S514" s="13"/>
      <c r="T514" s="13"/>
      <c r="U514" s="12"/>
      <c r="V514" s="14"/>
      <c r="W514" s="16"/>
      <c r="X514" s="16"/>
      <c r="Y514" s="16"/>
      <c r="Z514" s="16"/>
      <c r="AA514" s="15" t="str">
        <f aca="false">IF(AND(ISNUMBER(L514),ISNUMBER(M514)),M514-L514,"")</f>
        <v/>
      </c>
      <c r="AB514" s="15" t="str">
        <f aca="false">IF(AND(ISNUMBER(M514),ISNUMBER(P514)),P514-M514,"")</f>
        <v/>
      </c>
      <c r="AC514" s="15" t="str">
        <f aca="false">IF(AND(ISNUMBER(L514),ISNUMBER(P514)),P514-L514,"")</f>
        <v/>
      </c>
      <c r="AD514" s="15" t="str">
        <f aca="false">IF(AND(ISNUMBER(P514),ISNUMBER(Q514)),Q514-P514,"")</f>
        <v/>
      </c>
      <c r="AE514" s="15" t="str">
        <f aca="false">IF(AND(ISNUMBER(Q514),ISNUMBER(R514)),R514-Q514,IF(ISNUMBER(Y514),Y514,""))</f>
        <v/>
      </c>
      <c r="AF514" s="15" t="str">
        <f aca="false">IF(AND(ISNUMBER(R514),ISNUMBER(S514)),S514-R514,"")</f>
        <v/>
      </c>
      <c r="AG514" s="15" t="str">
        <f aca="false">IF(AND(ISNUMBER(S514),ISNUMBER(T514)),T514-S514,"")</f>
        <v/>
      </c>
      <c r="AH514" s="15" t="str">
        <f aca="false">IF(AND(ISNUMBER(L514),ISNUMBER(T514)),T514-L514,"")</f>
        <v/>
      </c>
      <c r="AI514" s="15" t="str">
        <f aca="false">IF(AND(ISNUMBER(O514),ISNUMBER(Q514)),Q514-O514,"")</f>
        <v/>
      </c>
      <c r="AJ514" s="15" t="str">
        <f aca="false">IF(B514="","",COUNT(L514:M514,P514:T514)&amp;"/7")</f>
        <v/>
      </c>
      <c r="AK514" s="15" t="str">
        <f aca="false">IF(B514="","",IF(OR(AND(ISNUMBER(L514),ISNUMBER(M514),M514&lt;L514),AND(ISNUMBER(M514),ISNUMBER(P514),P514&lt;M514),AND(ISNUMBER(P514),ISNUMBER(Q514),Q514&lt;P514),AND(ISNUMBER(Q514),ISNUMBER(R514),R514&lt;Q514),AND(ISNUMBER(R514),ISNUMBER(S514),S514&lt;R514),AND(ISNUMBER(S514),ISNUMBER(T514),T514&lt;S514),AND(ISNUMBER(N514),ISNUMBER(O514),O514&lt;N514)),"Urutan tanggal salah",IF(AND(ISNUMBER(Q514),ISNUMBER(R514),ISNUMBER(Y514),ABS(R514-Q514-Y514)&gt;2),"S tanggal ≠ Sailing tercatat",IF(AND(ISNUMBER(Q514),ISNUMBER(O514),ABS(Q514-O514)&gt;60),"Cek tahun laycan",IF(AND(ISNUMBER(Q514),ISNUMBER(N514),Q514&lt;N514),"Berangkat sebelum laycan",IF(NOT(ISNUMBER(AE514)),"S belum ada","OK"))))))</f>
        <v/>
      </c>
    </row>
    <row r="515" customFormat="false" ht="15" hidden="false" customHeight="false" outlineLevel="0" collapsed="false">
      <c r="A515" s="16" t="str">
        <f aca="false">IF(B515="","",ROW()-4)</f>
        <v/>
      </c>
      <c r="B515" s="12"/>
      <c r="C515" s="16"/>
      <c r="D515" s="16"/>
      <c r="E515" s="16"/>
      <c r="F515" s="16"/>
      <c r="G515" s="16"/>
      <c r="H515" s="16"/>
      <c r="I515" s="16"/>
      <c r="J515" s="16"/>
      <c r="K515" s="16"/>
      <c r="L515" s="13"/>
      <c r="M515" s="13"/>
      <c r="N515" s="13"/>
      <c r="O515" s="13"/>
      <c r="P515" s="13"/>
      <c r="Q515" s="13"/>
      <c r="R515" s="13"/>
      <c r="S515" s="13"/>
      <c r="T515" s="13"/>
      <c r="U515" s="12"/>
      <c r="V515" s="14"/>
      <c r="W515" s="16"/>
      <c r="X515" s="16"/>
      <c r="Y515" s="16"/>
      <c r="Z515" s="16"/>
      <c r="AA515" s="15" t="str">
        <f aca="false">IF(AND(ISNUMBER(L515),ISNUMBER(M515)),M515-L515,"")</f>
        <v/>
      </c>
      <c r="AB515" s="15" t="str">
        <f aca="false">IF(AND(ISNUMBER(M515),ISNUMBER(P515)),P515-M515,"")</f>
        <v/>
      </c>
      <c r="AC515" s="15" t="str">
        <f aca="false">IF(AND(ISNUMBER(L515),ISNUMBER(P515)),P515-L515,"")</f>
        <v/>
      </c>
      <c r="AD515" s="15" t="str">
        <f aca="false">IF(AND(ISNUMBER(P515),ISNUMBER(Q515)),Q515-P515,"")</f>
        <v/>
      </c>
      <c r="AE515" s="15" t="str">
        <f aca="false">IF(AND(ISNUMBER(Q515),ISNUMBER(R515)),R515-Q515,IF(ISNUMBER(Y515),Y515,""))</f>
        <v/>
      </c>
      <c r="AF515" s="15" t="str">
        <f aca="false">IF(AND(ISNUMBER(R515),ISNUMBER(S515)),S515-R515,"")</f>
        <v/>
      </c>
      <c r="AG515" s="15" t="str">
        <f aca="false">IF(AND(ISNUMBER(S515),ISNUMBER(T515)),T515-S515,"")</f>
        <v/>
      </c>
      <c r="AH515" s="15" t="str">
        <f aca="false">IF(AND(ISNUMBER(L515),ISNUMBER(T515)),T515-L515,"")</f>
        <v/>
      </c>
      <c r="AI515" s="15" t="str">
        <f aca="false">IF(AND(ISNUMBER(O515),ISNUMBER(Q515)),Q515-O515,"")</f>
        <v/>
      </c>
      <c r="AJ515" s="15" t="str">
        <f aca="false">IF(B515="","",COUNT(L515:M515,P515:T515)&amp;"/7")</f>
        <v/>
      </c>
      <c r="AK515" s="15" t="str">
        <f aca="false">IF(B515="","",IF(OR(AND(ISNUMBER(L515),ISNUMBER(M515),M515&lt;L515),AND(ISNUMBER(M515),ISNUMBER(P515),P515&lt;M515),AND(ISNUMBER(P515),ISNUMBER(Q515),Q515&lt;P515),AND(ISNUMBER(Q515),ISNUMBER(R515),R515&lt;Q515),AND(ISNUMBER(R515),ISNUMBER(S515),S515&lt;R515),AND(ISNUMBER(S515),ISNUMBER(T515),T515&lt;S515),AND(ISNUMBER(N515),ISNUMBER(O515),O515&lt;N515)),"Urutan tanggal salah",IF(AND(ISNUMBER(Q515),ISNUMBER(R515),ISNUMBER(Y515),ABS(R515-Q515-Y515)&gt;2),"S tanggal ≠ Sailing tercatat",IF(AND(ISNUMBER(Q515),ISNUMBER(O515),ABS(Q515-O515)&gt;60),"Cek tahun laycan",IF(AND(ISNUMBER(Q515),ISNUMBER(N515),Q515&lt;N515),"Berangkat sebelum laycan",IF(NOT(ISNUMBER(AE515)),"S belum ada","OK"))))))</f>
        <v/>
      </c>
    </row>
    <row r="516" customFormat="false" ht="15" hidden="false" customHeight="false" outlineLevel="0" collapsed="false">
      <c r="A516" s="16" t="str">
        <f aca="false">IF(B516="","",ROW()-4)</f>
        <v/>
      </c>
      <c r="B516" s="12"/>
      <c r="C516" s="16"/>
      <c r="D516" s="16"/>
      <c r="E516" s="16"/>
      <c r="F516" s="16"/>
      <c r="G516" s="16"/>
      <c r="H516" s="16"/>
      <c r="I516" s="16"/>
      <c r="J516" s="16"/>
      <c r="K516" s="16"/>
      <c r="L516" s="13"/>
      <c r="M516" s="13"/>
      <c r="N516" s="13"/>
      <c r="O516" s="13"/>
      <c r="P516" s="13"/>
      <c r="Q516" s="13"/>
      <c r="R516" s="13"/>
      <c r="S516" s="13"/>
      <c r="T516" s="13"/>
      <c r="U516" s="12"/>
      <c r="V516" s="14"/>
      <c r="W516" s="16"/>
      <c r="X516" s="16"/>
      <c r="Y516" s="16"/>
      <c r="Z516" s="16"/>
      <c r="AA516" s="15" t="str">
        <f aca="false">IF(AND(ISNUMBER(L516),ISNUMBER(M516)),M516-L516,"")</f>
        <v/>
      </c>
      <c r="AB516" s="15" t="str">
        <f aca="false">IF(AND(ISNUMBER(M516),ISNUMBER(P516)),P516-M516,"")</f>
        <v/>
      </c>
      <c r="AC516" s="15" t="str">
        <f aca="false">IF(AND(ISNUMBER(L516),ISNUMBER(P516)),P516-L516,"")</f>
        <v/>
      </c>
      <c r="AD516" s="15" t="str">
        <f aca="false">IF(AND(ISNUMBER(P516),ISNUMBER(Q516)),Q516-P516,"")</f>
        <v/>
      </c>
      <c r="AE516" s="15" t="str">
        <f aca="false">IF(AND(ISNUMBER(Q516),ISNUMBER(R516)),R516-Q516,IF(ISNUMBER(Y516),Y516,""))</f>
        <v/>
      </c>
      <c r="AF516" s="15" t="str">
        <f aca="false">IF(AND(ISNUMBER(R516),ISNUMBER(S516)),S516-R516,"")</f>
        <v/>
      </c>
      <c r="AG516" s="15" t="str">
        <f aca="false">IF(AND(ISNUMBER(S516),ISNUMBER(T516)),T516-S516,"")</f>
        <v/>
      </c>
      <c r="AH516" s="15" t="str">
        <f aca="false">IF(AND(ISNUMBER(L516),ISNUMBER(T516)),T516-L516,"")</f>
        <v/>
      </c>
      <c r="AI516" s="15" t="str">
        <f aca="false">IF(AND(ISNUMBER(O516),ISNUMBER(Q516)),Q516-O516,"")</f>
        <v/>
      </c>
      <c r="AJ516" s="15" t="str">
        <f aca="false">IF(B516="","",COUNT(L516:M516,P516:T516)&amp;"/7")</f>
        <v/>
      </c>
      <c r="AK516" s="15" t="str">
        <f aca="false">IF(B516="","",IF(OR(AND(ISNUMBER(L516),ISNUMBER(M516),M516&lt;L516),AND(ISNUMBER(M516),ISNUMBER(P516),P516&lt;M516),AND(ISNUMBER(P516),ISNUMBER(Q516),Q516&lt;P516),AND(ISNUMBER(Q516),ISNUMBER(R516),R516&lt;Q516),AND(ISNUMBER(R516),ISNUMBER(S516),S516&lt;R516),AND(ISNUMBER(S516),ISNUMBER(T516),T516&lt;S516),AND(ISNUMBER(N516),ISNUMBER(O516),O516&lt;N516)),"Urutan tanggal salah",IF(AND(ISNUMBER(Q516),ISNUMBER(R516),ISNUMBER(Y516),ABS(R516-Q516-Y516)&gt;2),"S tanggal ≠ Sailing tercatat",IF(AND(ISNUMBER(Q516),ISNUMBER(O516),ABS(Q516-O516)&gt;60),"Cek tahun laycan",IF(AND(ISNUMBER(Q516),ISNUMBER(N516),Q516&lt;N516),"Berangkat sebelum laycan",IF(NOT(ISNUMBER(AE516)),"S belum ada","OK"))))))</f>
        <v/>
      </c>
    </row>
    <row r="517" customFormat="false" ht="15" hidden="false" customHeight="false" outlineLevel="0" collapsed="false">
      <c r="A517" s="16" t="str">
        <f aca="false">IF(B517="","",ROW()-4)</f>
        <v/>
      </c>
      <c r="B517" s="12"/>
      <c r="C517" s="16"/>
      <c r="D517" s="16"/>
      <c r="E517" s="16"/>
      <c r="F517" s="16"/>
      <c r="G517" s="16"/>
      <c r="H517" s="16"/>
      <c r="I517" s="16"/>
      <c r="J517" s="16"/>
      <c r="K517" s="16"/>
      <c r="L517" s="13"/>
      <c r="M517" s="13"/>
      <c r="N517" s="13"/>
      <c r="O517" s="13"/>
      <c r="P517" s="13"/>
      <c r="Q517" s="13"/>
      <c r="R517" s="13"/>
      <c r="S517" s="13"/>
      <c r="T517" s="13"/>
      <c r="U517" s="12"/>
      <c r="V517" s="14"/>
      <c r="W517" s="16"/>
      <c r="X517" s="16"/>
      <c r="Y517" s="16"/>
      <c r="Z517" s="16"/>
      <c r="AA517" s="15" t="str">
        <f aca="false">IF(AND(ISNUMBER(L517),ISNUMBER(M517)),M517-L517,"")</f>
        <v/>
      </c>
      <c r="AB517" s="15" t="str">
        <f aca="false">IF(AND(ISNUMBER(M517),ISNUMBER(P517)),P517-M517,"")</f>
        <v/>
      </c>
      <c r="AC517" s="15" t="str">
        <f aca="false">IF(AND(ISNUMBER(L517),ISNUMBER(P517)),P517-L517,"")</f>
        <v/>
      </c>
      <c r="AD517" s="15" t="str">
        <f aca="false">IF(AND(ISNUMBER(P517),ISNUMBER(Q517)),Q517-P517,"")</f>
        <v/>
      </c>
      <c r="AE517" s="15" t="str">
        <f aca="false">IF(AND(ISNUMBER(Q517),ISNUMBER(R517)),R517-Q517,IF(ISNUMBER(Y517),Y517,""))</f>
        <v/>
      </c>
      <c r="AF517" s="15" t="str">
        <f aca="false">IF(AND(ISNUMBER(R517),ISNUMBER(S517)),S517-R517,"")</f>
        <v/>
      </c>
      <c r="AG517" s="15" t="str">
        <f aca="false">IF(AND(ISNUMBER(S517),ISNUMBER(T517)),T517-S517,"")</f>
        <v/>
      </c>
      <c r="AH517" s="15" t="str">
        <f aca="false">IF(AND(ISNUMBER(L517),ISNUMBER(T517)),T517-L517,"")</f>
        <v/>
      </c>
      <c r="AI517" s="15" t="str">
        <f aca="false">IF(AND(ISNUMBER(O517),ISNUMBER(Q517)),Q517-O517,"")</f>
        <v/>
      </c>
      <c r="AJ517" s="15" t="str">
        <f aca="false">IF(B517="","",COUNT(L517:M517,P517:T517)&amp;"/7")</f>
        <v/>
      </c>
      <c r="AK517" s="15" t="str">
        <f aca="false">IF(B517="","",IF(OR(AND(ISNUMBER(L517),ISNUMBER(M517),M517&lt;L517),AND(ISNUMBER(M517),ISNUMBER(P517),P517&lt;M517),AND(ISNUMBER(P517),ISNUMBER(Q517),Q517&lt;P517),AND(ISNUMBER(Q517),ISNUMBER(R517),R517&lt;Q517),AND(ISNUMBER(R517),ISNUMBER(S517),S517&lt;R517),AND(ISNUMBER(S517),ISNUMBER(T517),T517&lt;S517),AND(ISNUMBER(N517),ISNUMBER(O517),O517&lt;N517)),"Urutan tanggal salah",IF(AND(ISNUMBER(Q517),ISNUMBER(R517),ISNUMBER(Y517),ABS(R517-Q517-Y517)&gt;2),"S tanggal ≠ Sailing tercatat",IF(AND(ISNUMBER(Q517),ISNUMBER(O517),ABS(Q517-O517)&gt;60),"Cek tahun laycan",IF(AND(ISNUMBER(Q517),ISNUMBER(N517),Q517&lt;N517),"Berangkat sebelum laycan",IF(NOT(ISNUMBER(AE517)),"S belum ada","OK"))))))</f>
        <v/>
      </c>
    </row>
    <row r="518" customFormat="false" ht="15" hidden="false" customHeight="false" outlineLevel="0" collapsed="false">
      <c r="A518" s="16" t="str">
        <f aca="false">IF(B518="","",ROW()-4)</f>
        <v/>
      </c>
      <c r="B518" s="12"/>
      <c r="C518" s="16"/>
      <c r="D518" s="16"/>
      <c r="E518" s="16"/>
      <c r="F518" s="16"/>
      <c r="G518" s="16"/>
      <c r="H518" s="16"/>
      <c r="I518" s="16"/>
      <c r="J518" s="16"/>
      <c r="K518" s="16"/>
      <c r="L518" s="13"/>
      <c r="M518" s="13"/>
      <c r="N518" s="13"/>
      <c r="O518" s="13"/>
      <c r="P518" s="13"/>
      <c r="Q518" s="13"/>
      <c r="R518" s="13"/>
      <c r="S518" s="13"/>
      <c r="T518" s="13"/>
      <c r="U518" s="12"/>
      <c r="V518" s="14"/>
      <c r="W518" s="16"/>
      <c r="X518" s="16"/>
      <c r="Y518" s="16"/>
      <c r="Z518" s="16"/>
      <c r="AA518" s="15" t="str">
        <f aca="false">IF(AND(ISNUMBER(L518),ISNUMBER(M518)),M518-L518,"")</f>
        <v/>
      </c>
      <c r="AB518" s="15" t="str">
        <f aca="false">IF(AND(ISNUMBER(M518),ISNUMBER(P518)),P518-M518,"")</f>
        <v/>
      </c>
      <c r="AC518" s="15" t="str">
        <f aca="false">IF(AND(ISNUMBER(L518),ISNUMBER(P518)),P518-L518,"")</f>
        <v/>
      </c>
      <c r="AD518" s="15" t="str">
        <f aca="false">IF(AND(ISNUMBER(P518),ISNUMBER(Q518)),Q518-P518,"")</f>
        <v/>
      </c>
      <c r="AE518" s="15" t="str">
        <f aca="false">IF(AND(ISNUMBER(Q518),ISNUMBER(R518)),R518-Q518,IF(ISNUMBER(Y518),Y518,""))</f>
        <v/>
      </c>
      <c r="AF518" s="15" t="str">
        <f aca="false">IF(AND(ISNUMBER(R518),ISNUMBER(S518)),S518-R518,"")</f>
        <v/>
      </c>
      <c r="AG518" s="15" t="str">
        <f aca="false">IF(AND(ISNUMBER(S518),ISNUMBER(T518)),T518-S518,"")</f>
        <v/>
      </c>
      <c r="AH518" s="15" t="str">
        <f aca="false">IF(AND(ISNUMBER(L518),ISNUMBER(T518)),T518-L518,"")</f>
        <v/>
      </c>
      <c r="AI518" s="15" t="str">
        <f aca="false">IF(AND(ISNUMBER(O518),ISNUMBER(Q518)),Q518-O518,"")</f>
        <v/>
      </c>
      <c r="AJ518" s="15" t="str">
        <f aca="false">IF(B518="","",COUNT(L518:M518,P518:T518)&amp;"/7")</f>
        <v/>
      </c>
      <c r="AK518" s="15" t="str">
        <f aca="false">IF(B518="","",IF(OR(AND(ISNUMBER(L518),ISNUMBER(M518),M518&lt;L518),AND(ISNUMBER(M518),ISNUMBER(P518),P518&lt;M518),AND(ISNUMBER(P518),ISNUMBER(Q518),Q518&lt;P518),AND(ISNUMBER(Q518),ISNUMBER(R518),R518&lt;Q518),AND(ISNUMBER(R518),ISNUMBER(S518),S518&lt;R518),AND(ISNUMBER(S518),ISNUMBER(T518),T518&lt;S518),AND(ISNUMBER(N518),ISNUMBER(O518),O518&lt;N518)),"Urutan tanggal salah",IF(AND(ISNUMBER(Q518),ISNUMBER(R518),ISNUMBER(Y518),ABS(R518-Q518-Y518)&gt;2),"S tanggal ≠ Sailing tercatat",IF(AND(ISNUMBER(Q518),ISNUMBER(O518),ABS(Q518-O518)&gt;60),"Cek tahun laycan",IF(AND(ISNUMBER(Q518),ISNUMBER(N518),Q518&lt;N518),"Berangkat sebelum laycan",IF(NOT(ISNUMBER(AE518)),"S belum ada","OK"))))))</f>
        <v/>
      </c>
    </row>
    <row r="519" customFormat="false" ht="15" hidden="false" customHeight="false" outlineLevel="0" collapsed="false">
      <c r="A519" s="16" t="str">
        <f aca="false">IF(B519="","",ROW()-4)</f>
        <v/>
      </c>
      <c r="B519" s="12"/>
      <c r="C519" s="16"/>
      <c r="D519" s="16"/>
      <c r="E519" s="16"/>
      <c r="F519" s="16"/>
      <c r="G519" s="16"/>
      <c r="H519" s="16"/>
      <c r="I519" s="16"/>
      <c r="J519" s="16"/>
      <c r="K519" s="16"/>
      <c r="L519" s="13"/>
      <c r="M519" s="13"/>
      <c r="N519" s="13"/>
      <c r="O519" s="13"/>
      <c r="P519" s="13"/>
      <c r="Q519" s="13"/>
      <c r="R519" s="13"/>
      <c r="S519" s="13"/>
      <c r="T519" s="13"/>
      <c r="U519" s="12"/>
      <c r="V519" s="14"/>
      <c r="W519" s="16"/>
      <c r="X519" s="16"/>
      <c r="Y519" s="16"/>
      <c r="Z519" s="16"/>
      <c r="AA519" s="15" t="str">
        <f aca="false">IF(AND(ISNUMBER(L519),ISNUMBER(M519)),M519-L519,"")</f>
        <v/>
      </c>
      <c r="AB519" s="15" t="str">
        <f aca="false">IF(AND(ISNUMBER(M519),ISNUMBER(P519)),P519-M519,"")</f>
        <v/>
      </c>
      <c r="AC519" s="15" t="str">
        <f aca="false">IF(AND(ISNUMBER(L519),ISNUMBER(P519)),P519-L519,"")</f>
        <v/>
      </c>
      <c r="AD519" s="15" t="str">
        <f aca="false">IF(AND(ISNUMBER(P519),ISNUMBER(Q519)),Q519-P519,"")</f>
        <v/>
      </c>
      <c r="AE519" s="15" t="str">
        <f aca="false">IF(AND(ISNUMBER(Q519),ISNUMBER(R519)),R519-Q519,IF(ISNUMBER(Y519),Y519,""))</f>
        <v/>
      </c>
      <c r="AF519" s="15" t="str">
        <f aca="false">IF(AND(ISNUMBER(R519),ISNUMBER(S519)),S519-R519,"")</f>
        <v/>
      </c>
      <c r="AG519" s="15" t="str">
        <f aca="false">IF(AND(ISNUMBER(S519),ISNUMBER(T519)),T519-S519,"")</f>
        <v/>
      </c>
      <c r="AH519" s="15" t="str">
        <f aca="false">IF(AND(ISNUMBER(L519),ISNUMBER(T519)),T519-L519,"")</f>
        <v/>
      </c>
      <c r="AI519" s="15" t="str">
        <f aca="false">IF(AND(ISNUMBER(O519),ISNUMBER(Q519)),Q519-O519,"")</f>
        <v/>
      </c>
      <c r="AJ519" s="15" t="str">
        <f aca="false">IF(B519="","",COUNT(L519:M519,P519:T519)&amp;"/7")</f>
        <v/>
      </c>
      <c r="AK519" s="15" t="str">
        <f aca="false">IF(B519="","",IF(OR(AND(ISNUMBER(L519),ISNUMBER(M519),M519&lt;L519),AND(ISNUMBER(M519),ISNUMBER(P519),P519&lt;M519),AND(ISNUMBER(P519),ISNUMBER(Q519),Q519&lt;P519),AND(ISNUMBER(Q519),ISNUMBER(R519),R519&lt;Q519),AND(ISNUMBER(R519),ISNUMBER(S519),S519&lt;R519),AND(ISNUMBER(S519),ISNUMBER(T519),T519&lt;S519),AND(ISNUMBER(N519),ISNUMBER(O519),O519&lt;N519)),"Urutan tanggal salah",IF(AND(ISNUMBER(Q519),ISNUMBER(R519),ISNUMBER(Y519),ABS(R519-Q519-Y519)&gt;2),"S tanggal ≠ Sailing tercatat",IF(AND(ISNUMBER(Q519),ISNUMBER(O519),ABS(Q519-O519)&gt;60),"Cek tahun laycan",IF(AND(ISNUMBER(Q519),ISNUMBER(N519),Q519&lt;N519),"Berangkat sebelum laycan",IF(NOT(ISNUMBER(AE519)),"S belum ada","OK"))))))</f>
        <v/>
      </c>
    </row>
    <row r="520" customFormat="false" ht="15" hidden="false" customHeight="false" outlineLevel="0" collapsed="false">
      <c r="A520" s="16" t="str">
        <f aca="false">IF(B520="","",ROW()-4)</f>
        <v/>
      </c>
      <c r="B520" s="12"/>
      <c r="C520" s="16"/>
      <c r="D520" s="16"/>
      <c r="E520" s="16"/>
      <c r="F520" s="16"/>
      <c r="G520" s="16"/>
      <c r="H520" s="16"/>
      <c r="I520" s="16"/>
      <c r="J520" s="16"/>
      <c r="K520" s="16"/>
      <c r="L520" s="13"/>
      <c r="M520" s="13"/>
      <c r="N520" s="13"/>
      <c r="O520" s="13"/>
      <c r="P520" s="13"/>
      <c r="Q520" s="13"/>
      <c r="R520" s="13"/>
      <c r="S520" s="13"/>
      <c r="T520" s="13"/>
      <c r="U520" s="12"/>
      <c r="V520" s="14"/>
      <c r="W520" s="16"/>
      <c r="X520" s="16"/>
      <c r="Y520" s="16"/>
      <c r="Z520" s="16"/>
      <c r="AA520" s="15" t="str">
        <f aca="false">IF(AND(ISNUMBER(L520),ISNUMBER(M520)),M520-L520,"")</f>
        <v/>
      </c>
      <c r="AB520" s="15" t="str">
        <f aca="false">IF(AND(ISNUMBER(M520),ISNUMBER(P520)),P520-M520,"")</f>
        <v/>
      </c>
      <c r="AC520" s="15" t="str">
        <f aca="false">IF(AND(ISNUMBER(L520),ISNUMBER(P520)),P520-L520,"")</f>
        <v/>
      </c>
      <c r="AD520" s="15" t="str">
        <f aca="false">IF(AND(ISNUMBER(P520),ISNUMBER(Q520)),Q520-P520,"")</f>
        <v/>
      </c>
      <c r="AE520" s="15" t="str">
        <f aca="false">IF(AND(ISNUMBER(Q520),ISNUMBER(R520)),R520-Q520,IF(ISNUMBER(Y520),Y520,""))</f>
        <v/>
      </c>
      <c r="AF520" s="15" t="str">
        <f aca="false">IF(AND(ISNUMBER(R520),ISNUMBER(S520)),S520-R520,"")</f>
        <v/>
      </c>
      <c r="AG520" s="15" t="str">
        <f aca="false">IF(AND(ISNUMBER(S520),ISNUMBER(T520)),T520-S520,"")</f>
        <v/>
      </c>
      <c r="AH520" s="15" t="str">
        <f aca="false">IF(AND(ISNUMBER(L520),ISNUMBER(T520)),T520-L520,"")</f>
        <v/>
      </c>
      <c r="AI520" s="15" t="str">
        <f aca="false">IF(AND(ISNUMBER(O520),ISNUMBER(Q520)),Q520-O520,"")</f>
        <v/>
      </c>
      <c r="AJ520" s="15" t="str">
        <f aca="false">IF(B520="","",COUNT(L520:M520,P520:T520)&amp;"/7")</f>
        <v/>
      </c>
      <c r="AK520" s="15" t="str">
        <f aca="false">IF(B520="","",IF(OR(AND(ISNUMBER(L520),ISNUMBER(M520),M520&lt;L520),AND(ISNUMBER(M520),ISNUMBER(P520),P520&lt;M520),AND(ISNUMBER(P520),ISNUMBER(Q520),Q520&lt;P520),AND(ISNUMBER(Q520),ISNUMBER(R520),R520&lt;Q520),AND(ISNUMBER(R520),ISNUMBER(S520),S520&lt;R520),AND(ISNUMBER(S520),ISNUMBER(T520),T520&lt;S520),AND(ISNUMBER(N520),ISNUMBER(O520),O520&lt;N520)),"Urutan tanggal salah",IF(AND(ISNUMBER(Q520),ISNUMBER(R520),ISNUMBER(Y520),ABS(R520-Q520-Y520)&gt;2),"S tanggal ≠ Sailing tercatat",IF(AND(ISNUMBER(Q520),ISNUMBER(O520),ABS(Q520-O520)&gt;60),"Cek tahun laycan",IF(AND(ISNUMBER(Q520),ISNUMBER(N520),Q520&lt;N520),"Berangkat sebelum laycan",IF(NOT(ISNUMBER(AE520)),"S belum ada","OK"))))))</f>
        <v/>
      </c>
    </row>
    <row r="521" customFormat="false" ht="15" hidden="false" customHeight="false" outlineLevel="0" collapsed="false">
      <c r="A521" s="16" t="str">
        <f aca="false">IF(B521="","",ROW()-4)</f>
        <v/>
      </c>
      <c r="B521" s="12"/>
      <c r="C521" s="16"/>
      <c r="D521" s="16"/>
      <c r="E521" s="16"/>
      <c r="F521" s="16"/>
      <c r="G521" s="16"/>
      <c r="H521" s="16"/>
      <c r="I521" s="16"/>
      <c r="J521" s="16"/>
      <c r="K521" s="16"/>
      <c r="L521" s="13"/>
      <c r="M521" s="13"/>
      <c r="N521" s="13"/>
      <c r="O521" s="13"/>
      <c r="P521" s="13"/>
      <c r="Q521" s="13"/>
      <c r="R521" s="13"/>
      <c r="S521" s="13"/>
      <c r="T521" s="13"/>
      <c r="U521" s="12"/>
      <c r="V521" s="14"/>
      <c r="W521" s="16"/>
      <c r="X521" s="16"/>
      <c r="Y521" s="16"/>
      <c r="Z521" s="16"/>
      <c r="AA521" s="15" t="str">
        <f aca="false">IF(AND(ISNUMBER(L521),ISNUMBER(M521)),M521-L521,"")</f>
        <v/>
      </c>
      <c r="AB521" s="15" t="str">
        <f aca="false">IF(AND(ISNUMBER(M521),ISNUMBER(P521)),P521-M521,"")</f>
        <v/>
      </c>
      <c r="AC521" s="15" t="str">
        <f aca="false">IF(AND(ISNUMBER(L521),ISNUMBER(P521)),P521-L521,"")</f>
        <v/>
      </c>
      <c r="AD521" s="15" t="str">
        <f aca="false">IF(AND(ISNUMBER(P521),ISNUMBER(Q521)),Q521-P521,"")</f>
        <v/>
      </c>
      <c r="AE521" s="15" t="str">
        <f aca="false">IF(AND(ISNUMBER(Q521),ISNUMBER(R521)),R521-Q521,IF(ISNUMBER(Y521),Y521,""))</f>
        <v/>
      </c>
      <c r="AF521" s="15" t="str">
        <f aca="false">IF(AND(ISNUMBER(R521),ISNUMBER(S521)),S521-R521,"")</f>
        <v/>
      </c>
      <c r="AG521" s="15" t="str">
        <f aca="false">IF(AND(ISNUMBER(S521),ISNUMBER(T521)),T521-S521,"")</f>
        <v/>
      </c>
      <c r="AH521" s="15" t="str">
        <f aca="false">IF(AND(ISNUMBER(L521),ISNUMBER(T521)),T521-L521,"")</f>
        <v/>
      </c>
      <c r="AI521" s="15" t="str">
        <f aca="false">IF(AND(ISNUMBER(O521),ISNUMBER(Q521)),Q521-O521,"")</f>
        <v/>
      </c>
      <c r="AJ521" s="15" t="str">
        <f aca="false">IF(B521="","",COUNT(L521:M521,P521:T521)&amp;"/7")</f>
        <v/>
      </c>
      <c r="AK521" s="15" t="str">
        <f aca="false">IF(B521="","",IF(OR(AND(ISNUMBER(L521),ISNUMBER(M521),M521&lt;L521),AND(ISNUMBER(M521),ISNUMBER(P521),P521&lt;M521),AND(ISNUMBER(P521),ISNUMBER(Q521),Q521&lt;P521),AND(ISNUMBER(Q521),ISNUMBER(R521),R521&lt;Q521),AND(ISNUMBER(R521),ISNUMBER(S521),S521&lt;R521),AND(ISNUMBER(S521),ISNUMBER(T521),T521&lt;S521),AND(ISNUMBER(N521),ISNUMBER(O521),O521&lt;N521)),"Urutan tanggal salah",IF(AND(ISNUMBER(Q521),ISNUMBER(R521),ISNUMBER(Y521),ABS(R521-Q521-Y521)&gt;2),"S tanggal ≠ Sailing tercatat",IF(AND(ISNUMBER(Q521),ISNUMBER(O521),ABS(Q521-O521)&gt;60),"Cek tahun laycan",IF(AND(ISNUMBER(Q521),ISNUMBER(N521),Q521&lt;N521),"Berangkat sebelum laycan",IF(NOT(ISNUMBER(AE521)),"S belum ada","OK"))))))</f>
        <v/>
      </c>
    </row>
    <row r="522" customFormat="false" ht="15" hidden="false" customHeight="false" outlineLevel="0" collapsed="false">
      <c r="A522" s="16" t="str">
        <f aca="false">IF(B522="","",ROW()-4)</f>
        <v/>
      </c>
      <c r="B522" s="12"/>
      <c r="C522" s="16"/>
      <c r="D522" s="16"/>
      <c r="E522" s="16"/>
      <c r="F522" s="16"/>
      <c r="G522" s="16"/>
      <c r="H522" s="16"/>
      <c r="I522" s="16"/>
      <c r="J522" s="16"/>
      <c r="K522" s="16"/>
      <c r="L522" s="13"/>
      <c r="M522" s="13"/>
      <c r="N522" s="13"/>
      <c r="O522" s="13"/>
      <c r="P522" s="13"/>
      <c r="Q522" s="13"/>
      <c r="R522" s="13"/>
      <c r="S522" s="13"/>
      <c r="T522" s="13"/>
      <c r="U522" s="12"/>
      <c r="V522" s="14"/>
      <c r="W522" s="16"/>
      <c r="X522" s="16"/>
      <c r="Y522" s="16"/>
      <c r="Z522" s="16"/>
      <c r="AA522" s="15" t="str">
        <f aca="false">IF(AND(ISNUMBER(L522),ISNUMBER(M522)),M522-L522,"")</f>
        <v/>
      </c>
      <c r="AB522" s="15" t="str">
        <f aca="false">IF(AND(ISNUMBER(M522),ISNUMBER(P522)),P522-M522,"")</f>
        <v/>
      </c>
      <c r="AC522" s="15" t="str">
        <f aca="false">IF(AND(ISNUMBER(L522),ISNUMBER(P522)),P522-L522,"")</f>
        <v/>
      </c>
      <c r="AD522" s="15" t="str">
        <f aca="false">IF(AND(ISNUMBER(P522),ISNUMBER(Q522)),Q522-P522,"")</f>
        <v/>
      </c>
      <c r="AE522" s="15" t="str">
        <f aca="false">IF(AND(ISNUMBER(Q522),ISNUMBER(R522)),R522-Q522,IF(ISNUMBER(Y522),Y522,""))</f>
        <v/>
      </c>
      <c r="AF522" s="15" t="str">
        <f aca="false">IF(AND(ISNUMBER(R522),ISNUMBER(S522)),S522-R522,"")</f>
        <v/>
      </c>
      <c r="AG522" s="15" t="str">
        <f aca="false">IF(AND(ISNUMBER(S522),ISNUMBER(T522)),T522-S522,"")</f>
        <v/>
      </c>
      <c r="AH522" s="15" t="str">
        <f aca="false">IF(AND(ISNUMBER(L522),ISNUMBER(T522)),T522-L522,"")</f>
        <v/>
      </c>
      <c r="AI522" s="15" t="str">
        <f aca="false">IF(AND(ISNUMBER(O522),ISNUMBER(Q522)),Q522-O522,"")</f>
        <v/>
      </c>
      <c r="AJ522" s="15" t="str">
        <f aca="false">IF(B522="","",COUNT(L522:M522,P522:T522)&amp;"/7")</f>
        <v/>
      </c>
      <c r="AK522" s="15" t="str">
        <f aca="false">IF(B522="","",IF(OR(AND(ISNUMBER(L522),ISNUMBER(M522),M522&lt;L522),AND(ISNUMBER(M522),ISNUMBER(P522),P522&lt;M522),AND(ISNUMBER(P522),ISNUMBER(Q522),Q522&lt;P522),AND(ISNUMBER(Q522),ISNUMBER(R522),R522&lt;Q522),AND(ISNUMBER(R522),ISNUMBER(S522),S522&lt;R522),AND(ISNUMBER(S522),ISNUMBER(T522),T522&lt;S522),AND(ISNUMBER(N522),ISNUMBER(O522),O522&lt;N522)),"Urutan tanggal salah",IF(AND(ISNUMBER(Q522),ISNUMBER(R522),ISNUMBER(Y522),ABS(R522-Q522-Y522)&gt;2),"S tanggal ≠ Sailing tercatat",IF(AND(ISNUMBER(Q522),ISNUMBER(O522),ABS(Q522-O522)&gt;60),"Cek tahun laycan",IF(AND(ISNUMBER(Q522),ISNUMBER(N522),Q522&lt;N522),"Berangkat sebelum laycan",IF(NOT(ISNUMBER(AE522)),"S belum ada","OK"))))))</f>
        <v/>
      </c>
    </row>
    <row r="523" customFormat="false" ht="15" hidden="false" customHeight="false" outlineLevel="0" collapsed="false">
      <c r="A523" s="16" t="str">
        <f aca="false">IF(B523="","",ROW()-4)</f>
        <v/>
      </c>
      <c r="B523" s="12"/>
      <c r="C523" s="16"/>
      <c r="D523" s="16"/>
      <c r="E523" s="16"/>
      <c r="F523" s="16"/>
      <c r="G523" s="16"/>
      <c r="H523" s="16"/>
      <c r="I523" s="16"/>
      <c r="J523" s="16"/>
      <c r="K523" s="16"/>
      <c r="L523" s="13"/>
      <c r="M523" s="13"/>
      <c r="N523" s="13"/>
      <c r="O523" s="13"/>
      <c r="P523" s="13"/>
      <c r="Q523" s="13"/>
      <c r="R523" s="13"/>
      <c r="S523" s="13"/>
      <c r="T523" s="13"/>
      <c r="U523" s="12"/>
      <c r="V523" s="14"/>
      <c r="W523" s="16"/>
      <c r="X523" s="16"/>
      <c r="Y523" s="16"/>
      <c r="Z523" s="16"/>
      <c r="AA523" s="15" t="str">
        <f aca="false">IF(AND(ISNUMBER(L523),ISNUMBER(M523)),M523-L523,"")</f>
        <v/>
      </c>
      <c r="AB523" s="15" t="str">
        <f aca="false">IF(AND(ISNUMBER(M523),ISNUMBER(P523)),P523-M523,"")</f>
        <v/>
      </c>
      <c r="AC523" s="15" t="str">
        <f aca="false">IF(AND(ISNUMBER(L523),ISNUMBER(P523)),P523-L523,"")</f>
        <v/>
      </c>
      <c r="AD523" s="15" t="str">
        <f aca="false">IF(AND(ISNUMBER(P523),ISNUMBER(Q523)),Q523-P523,"")</f>
        <v/>
      </c>
      <c r="AE523" s="15" t="str">
        <f aca="false">IF(AND(ISNUMBER(Q523),ISNUMBER(R523)),R523-Q523,IF(ISNUMBER(Y523),Y523,""))</f>
        <v/>
      </c>
      <c r="AF523" s="15" t="str">
        <f aca="false">IF(AND(ISNUMBER(R523),ISNUMBER(S523)),S523-R523,"")</f>
        <v/>
      </c>
      <c r="AG523" s="15" t="str">
        <f aca="false">IF(AND(ISNUMBER(S523),ISNUMBER(T523)),T523-S523,"")</f>
        <v/>
      </c>
      <c r="AH523" s="15" t="str">
        <f aca="false">IF(AND(ISNUMBER(L523),ISNUMBER(T523)),T523-L523,"")</f>
        <v/>
      </c>
      <c r="AI523" s="15" t="str">
        <f aca="false">IF(AND(ISNUMBER(O523),ISNUMBER(Q523)),Q523-O523,"")</f>
        <v/>
      </c>
      <c r="AJ523" s="15" t="str">
        <f aca="false">IF(B523="","",COUNT(L523:M523,P523:T523)&amp;"/7")</f>
        <v/>
      </c>
      <c r="AK523" s="15" t="str">
        <f aca="false">IF(B523="","",IF(OR(AND(ISNUMBER(L523),ISNUMBER(M523),M523&lt;L523),AND(ISNUMBER(M523),ISNUMBER(P523),P523&lt;M523),AND(ISNUMBER(P523),ISNUMBER(Q523),Q523&lt;P523),AND(ISNUMBER(Q523),ISNUMBER(R523),R523&lt;Q523),AND(ISNUMBER(R523),ISNUMBER(S523),S523&lt;R523),AND(ISNUMBER(S523),ISNUMBER(T523),T523&lt;S523),AND(ISNUMBER(N523),ISNUMBER(O523),O523&lt;N523)),"Urutan tanggal salah",IF(AND(ISNUMBER(Q523),ISNUMBER(R523),ISNUMBER(Y523),ABS(R523-Q523-Y523)&gt;2),"S tanggal ≠ Sailing tercatat",IF(AND(ISNUMBER(Q523),ISNUMBER(O523),ABS(Q523-O523)&gt;60),"Cek tahun laycan",IF(AND(ISNUMBER(Q523),ISNUMBER(N523),Q523&lt;N523),"Berangkat sebelum laycan",IF(NOT(ISNUMBER(AE523)),"S belum ada","OK"))))))</f>
        <v/>
      </c>
    </row>
    <row r="524" customFormat="false" ht="15" hidden="false" customHeight="false" outlineLevel="0" collapsed="false">
      <c r="A524" s="16" t="str">
        <f aca="false">IF(B524="","",ROW()-4)</f>
        <v/>
      </c>
      <c r="B524" s="12"/>
      <c r="C524" s="16"/>
      <c r="D524" s="16"/>
      <c r="E524" s="16"/>
      <c r="F524" s="16"/>
      <c r="G524" s="16"/>
      <c r="H524" s="16"/>
      <c r="I524" s="16"/>
      <c r="J524" s="16"/>
      <c r="K524" s="16"/>
      <c r="L524" s="13"/>
      <c r="M524" s="13"/>
      <c r="N524" s="13"/>
      <c r="O524" s="13"/>
      <c r="P524" s="13"/>
      <c r="Q524" s="13"/>
      <c r="R524" s="13"/>
      <c r="S524" s="13"/>
      <c r="T524" s="13"/>
      <c r="U524" s="12"/>
      <c r="V524" s="14"/>
      <c r="W524" s="16"/>
      <c r="X524" s="16"/>
      <c r="Y524" s="16"/>
      <c r="Z524" s="16"/>
      <c r="AA524" s="15" t="str">
        <f aca="false">IF(AND(ISNUMBER(L524),ISNUMBER(M524)),M524-L524,"")</f>
        <v/>
      </c>
      <c r="AB524" s="15" t="str">
        <f aca="false">IF(AND(ISNUMBER(M524),ISNUMBER(P524)),P524-M524,"")</f>
        <v/>
      </c>
      <c r="AC524" s="15" t="str">
        <f aca="false">IF(AND(ISNUMBER(L524),ISNUMBER(P524)),P524-L524,"")</f>
        <v/>
      </c>
      <c r="AD524" s="15" t="str">
        <f aca="false">IF(AND(ISNUMBER(P524),ISNUMBER(Q524)),Q524-P524,"")</f>
        <v/>
      </c>
      <c r="AE524" s="15" t="str">
        <f aca="false">IF(AND(ISNUMBER(Q524),ISNUMBER(R524)),R524-Q524,IF(ISNUMBER(Y524),Y524,""))</f>
        <v/>
      </c>
      <c r="AF524" s="15" t="str">
        <f aca="false">IF(AND(ISNUMBER(R524),ISNUMBER(S524)),S524-R524,"")</f>
        <v/>
      </c>
      <c r="AG524" s="15" t="str">
        <f aca="false">IF(AND(ISNUMBER(S524),ISNUMBER(T524)),T524-S524,"")</f>
        <v/>
      </c>
      <c r="AH524" s="15" t="str">
        <f aca="false">IF(AND(ISNUMBER(L524),ISNUMBER(T524)),T524-L524,"")</f>
        <v/>
      </c>
      <c r="AI524" s="15" t="str">
        <f aca="false">IF(AND(ISNUMBER(O524),ISNUMBER(Q524)),Q524-O524,"")</f>
        <v/>
      </c>
      <c r="AJ524" s="15" t="str">
        <f aca="false">IF(B524="","",COUNT(L524:M524,P524:T524)&amp;"/7")</f>
        <v/>
      </c>
      <c r="AK524" s="15" t="str">
        <f aca="false">IF(B524="","",IF(OR(AND(ISNUMBER(L524),ISNUMBER(M524),M524&lt;L524),AND(ISNUMBER(M524),ISNUMBER(P524),P524&lt;M524),AND(ISNUMBER(P524),ISNUMBER(Q524),Q524&lt;P524),AND(ISNUMBER(Q524),ISNUMBER(R524),R524&lt;Q524),AND(ISNUMBER(R524),ISNUMBER(S524),S524&lt;R524),AND(ISNUMBER(S524),ISNUMBER(T524),T524&lt;S524),AND(ISNUMBER(N524),ISNUMBER(O524),O524&lt;N524)),"Urutan tanggal salah",IF(AND(ISNUMBER(Q524),ISNUMBER(R524),ISNUMBER(Y524),ABS(R524-Q524-Y524)&gt;2),"S tanggal ≠ Sailing tercatat",IF(AND(ISNUMBER(Q524),ISNUMBER(O524),ABS(Q524-O524)&gt;60),"Cek tahun laycan",IF(AND(ISNUMBER(Q524),ISNUMBER(N524),Q524&lt;N524),"Berangkat sebelum laycan",IF(NOT(ISNUMBER(AE524)),"S belum ada","OK"))))))</f>
        <v/>
      </c>
    </row>
    <row r="525" customFormat="false" ht="15" hidden="false" customHeight="false" outlineLevel="0" collapsed="false">
      <c r="A525" s="16" t="str">
        <f aca="false">IF(B525="","",ROW()-4)</f>
        <v/>
      </c>
      <c r="B525" s="12"/>
      <c r="C525" s="16"/>
      <c r="D525" s="16"/>
      <c r="E525" s="16"/>
      <c r="F525" s="16"/>
      <c r="G525" s="16"/>
      <c r="H525" s="16"/>
      <c r="I525" s="16"/>
      <c r="J525" s="16"/>
      <c r="K525" s="16"/>
      <c r="L525" s="13"/>
      <c r="M525" s="13"/>
      <c r="N525" s="13"/>
      <c r="O525" s="13"/>
      <c r="P525" s="13"/>
      <c r="Q525" s="13"/>
      <c r="R525" s="13"/>
      <c r="S525" s="13"/>
      <c r="T525" s="13"/>
      <c r="U525" s="12"/>
      <c r="V525" s="14"/>
      <c r="W525" s="16"/>
      <c r="X525" s="16"/>
      <c r="Y525" s="16"/>
      <c r="Z525" s="16"/>
      <c r="AA525" s="15" t="str">
        <f aca="false">IF(AND(ISNUMBER(L525),ISNUMBER(M525)),M525-L525,"")</f>
        <v/>
      </c>
      <c r="AB525" s="15" t="str">
        <f aca="false">IF(AND(ISNUMBER(M525),ISNUMBER(P525)),P525-M525,"")</f>
        <v/>
      </c>
      <c r="AC525" s="15" t="str">
        <f aca="false">IF(AND(ISNUMBER(L525),ISNUMBER(P525)),P525-L525,"")</f>
        <v/>
      </c>
      <c r="AD525" s="15" t="str">
        <f aca="false">IF(AND(ISNUMBER(P525),ISNUMBER(Q525)),Q525-P525,"")</f>
        <v/>
      </c>
      <c r="AE525" s="15" t="str">
        <f aca="false">IF(AND(ISNUMBER(Q525),ISNUMBER(R525)),R525-Q525,IF(ISNUMBER(Y525),Y525,""))</f>
        <v/>
      </c>
      <c r="AF525" s="15" t="str">
        <f aca="false">IF(AND(ISNUMBER(R525),ISNUMBER(S525)),S525-R525,"")</f>
        <v/>
      </c>
      <c r="AG525" s="15" t="str">
        <f aca="false">IF(AND(ISNUMBER(S525),ISNUMBER(T525)),T525-S525,"")</f>
        <v/>
      </c>
      <c r="AH525" s="15" t="str">
        <f aca="false">IF(AND(ISNUMBER(L525),ISNUMBER(T525)),T525-L525,"")</f>
        <v/>
      </c>
      <c r="AI525" s="15" t="str">
        <f aca="false">IF(AND(ISNUMBER(O525),ISNUMBER(Q525)),Q525-O525,"")</f>
        <v/>
      </c>
      <c r="AJ525" s="15" t="str">
        <f aca="false">IF(B525="","",COUNT(L525:M525,P525:T525)&amp;"/7")</f>
        <v/>
      </c>
      <c r="AK525" s="15" t="str">
        <f aca="false">IF(B525="","",IF(OR(AND(ISNUMBER(L525),ISNUMBER(M525),M525&lt;L525),AND(ISNUMBER(M525),ISNUMBER(P525),P525&lt;M525),AND(ISNUMBER(P525),ISNUMBER(Q525),Q525&lt;P525),AND(ISNUMBER(Q525),ISNUMBER(R525),R525&lt;Q525),AND(ISNUMBER(R525),ISNUMBER(S525),S525&lt;R525),AND(ISNUMBER(S525),ISNUMBER(T525),T525&lt;S525),AND(ISNUMBER(N525),ISNUMBER(O525),O525&lt;N525)),"Urutan tanggal salah",IF(AND(ISNUMBER(Q525),ISNUMBER(R525),ISNUMBER(Y525),ABS(R525-Q525-Y525)&gt;2),"S tanggal ≠ Sailing tercatat",IF(AND(ISNUMBER(Q525),ISNUMBER(O525),ABS(Q525-O525)&gt;60),"Cek tahun laycan",IF(AND(ISNUMBER(Q525),ISNUMBER(N525),Q525&lt;N525),"Berangkat sebelum laycan",IF(NOT(ISNUMBER(AE525)),"S belum ada","OK"))))))</f>
        <v/>
      </c>
    </row>
    <row r="526" customFormat="false" ht="15" hidden="false" customHeight="false" outlineLevel="0" collapsed="false">
      <c r="A526" s="16" t="str">
        <f aca="false">IF(B526="","",ROW()-4)</f>
        <v/>
      </c>
      <c r="B526" s="12"/>
      <c r="C526" s="16"/>
      <c r="D526" s="16"/>
      <c r="E526" s="16"/>
      <c r="F526" s="16"/>
      <c r="G526" s="16"/>
      <c r="H526" s="16"/>
      <c r="I526" s="16"/>
      <c r="J526" s="16"/>
      <c r="K526" s="16"/>
      <c r="L526" s="13"/>
      <c r="M526" s="13"/>
      <c r="N526" s="13"/>
      <c r="O526" s="13"/>
      <c r="P526" s="13"/>
      <c r="Q526" s="13"/>
      <c r="R526" s="13"/>
      <c r="S526" s="13"/>
      <c r="T526" s="13"/>
      <c r="U526" s="12"/>
      <c r="V526" s="14"/>
      <c r="W526" s="16"/>
      <c r="X526" s="16"/>
      <c r="Y526" s="16"/>
      <c r="Z526" s="16"/>
      <c r="AA526" s="15" t="str">
        <f aca="false">IF(AND(ISNUMBER(L526),ISNUMBER(M526)),M526-L526,"")</f>
        <v/>
      </c>
      <c r="AB526" s="15" t="str">
        <f aca="false">IF(AND(ISNUMBER(M526),ISNUMBER(P526)),P526-M526,"")</f>
        <v/>
      </c>
      <c r="AC526" s="15" t="str">
        <f aca="false">IF(AND(ISNUMBER(L526),ISNUMBER(P526)),P526-L526,"")</f>
        <v/>
      </c>
      <c r="AD526" s="15" t="str">
        <f aca="false">IF(AND(ISNUMBER(P526),ISNUMBER(Q526)),Q526-P526,"")</f>
        <v/>
      </c>
      <c r="AE526" s="15" t="str">
        <f aca="false">IF(AND(ISNUMBER(Q526),ISNUMBER(R526)),R526-Q526,IF(ISNUMBER(Y526),Y526,""))</f>
        <v/>
      </c>
      <c r="AF526" s="15" t="str">
        <f aca="false">IF(AND(ISNUMBER(R526),ISNUMBER(S526)),S526-R526,"")</f>
        <v/>
      </c>
      <c r="AG526" s="15" t="str">
        <f aca="false">IF(AND(ISNUMBER(S526),ISNUMBER(T526)),T526-S526,"")</f>
        <v/>
      </c>
      <c r="AH526" s="15" t="str">
        <f aca="false">IF(AND(ISNUMBER(L526),ISNUMBER(T526)),T526-L526,"")</f>
        <v/>
      </c>
      <c r="AI526" s="15" t="str">
        <f aca="false">IF(AND(ISNUMBER(O526),ISNUMBER(Q526)),Q526-O526,"")</f>
        <v/>
      </c>
      <c r="AJ526" s="15" t="str">
        <f aca="false">IF(B526="","",COUNT(L526:M526,P526:T526)&amp;"/7")</f>
        <v/>
      </c>
      <c r="AK526" s="15" t="str">
        <f aca="false">IF(B526="","",IF(OR(AND(ISNUMBER(L526),ISNUMBER(M526),M526&lt;L526),AND(ISNUMBER(M526),ISNUMBER(P526),P526&lt;M526),AND(ISNUMBER(P526),ISNUMBER(Q526),Q526&lt;P526),AND(ISNUMBER(Q526),ISNUMBER(R526),R526&lt;Q526),AND(ISNUMBER(R526),ISNUMBER(S526),S526&lt;R526),AND(ISNUMBER(S526),ISNUMBER(T526),T526&lt;S526),AND(ISNUMBER(N526),ISNUMBER(O526),O526&lt;N526)),"Urutan tanggal salah",IF(AND(ISNUMBER(Q526),ISNUMBER(R526),ISNUMBER(Y526),ABS(R526-Q526-Y526)&gt;2),"S tanggal ≠ Sailing tercatat",IF(AND(ISNUMBER(Q526),ISNUMBER(O526),ABS(Q526-O526)&gt;60),"Cek tahun laycan",IF(AND(ISNUMBER(Q526),ISNUMBER(N526),Q526&lt;N526),"Berangkat sebelum laycan",IF(NOT(ISNUMBER(AE526)),"S belum ada","OK"))))))</f>
        <v/>
      </c>
    </row>
    <row r="527" customFormat="false" ht="15" hidden="false" customHeight="false" outlineLevel="0" collapsed="false">
      <c r="A527" s="16" t="str">
        <f aca="false">IF(B527="","",ROW()-4)</f>
        <v/>
      </c>
      <c r="B527" s="12"/>
      <c r="C527" s="16"/>
      <c r="D527" s="16"/>
      <c r="E527" s="16"/>
      <c r="F527" s="16"/>
      <c r="G527" s="16"/>
      <c r="H527" s="16"/>
      <c r="I527" s="16"/>
      <c r="J527" s="16"/>
      <c r="K527" s="16"/>
      <c r="L527" s="13"/>
      <c r="M527" s="13"/>
      <c r="N527" s="13"/>
      <c r="O527" s="13"/>
      <c r="P527" s="13"/>
      <c r="Q527" s="13"/>
      <c r="R527" s="13"/>
      <c r="S527" s="13"/>
      <c r="T527" s="13"/>
      <c r="U527" s="12"/>
      <c r="V527" s="14"/>
      <c r="W527" s="16"/>
      <c r="X527" s="16"/>
      <c r="Y527" s="16"/>
      <c r="Z527" s="16"/>
      <c r="AA527" s="15" t="str">
        <f aca="false">IF(AND(ISNUMBER(L527),ISNUMBER(M527)),M527-L527,"")</f>
        <v/>
      </c>
      <c r="AB527" s="15" t="str">
        <f aca="false">IF(AND(ISNUMBER(M527),ISNUMBER(P527)),P527-M527,"")</f>
        <v/>
      </c>
      <c r="AC527" s="15" t="str">
        <f aca="false">IF(AND(ISNUMBER(L527),ISNUMBER(P527)),P527-L527,"")</f>
        <v/>
      </c>
      <c r="AD527" s="15" t="str">
        <f aca="false">IF(AND(ISNUMBER(P527),ISNUMBER(Q527)),Q527-P527,"")</f>
        <v/>
      </c>
      <c r="AE527" s="15" t="str">
        <f aca="false">IF(AND(ISNUMBER(Q527),ISNUMBER(R527)),R527-Q527,IF(ISNUMBER(Y527),Y527,""))</f>
        <v/>
      </c>
      <c r="AF527" s="15" t="str">
        <f aca="false">IF(AND(ISNUMBER(R527),ISNUMBER(S527)),S527-R527,"")</f>
        <v/>
      </c>
      <c r="AG527" s="15" t="str">
        <f aca="false">IF(AND(ISNUMBER(S527),ISNUMBER(T527)),T527-S527,"")</f>
        <v/>
      </c>
      <c r="AH527" s="15" t="str">
        <f aca="false">IF(AND(ISNUMBER(L527),ISNUMBER(T527)),T527-L527,"")</f>
        <v/>
      </c>
      <c r="AI527" s="15" t="str">
        <f aca="false">IF(AND(ISNUMBER(O527),ISNUMBER(Q527)),Q527-O527,"")</f>
        <v/>
      </c>
      <c r="AJ527" s="15" t="str">
        <f aca="false">IF(B527="","",COUNT(L527:M527,P527:T527)&amp;"/7")</f>
        <v/>
      </c>
      <c r="AK527" s="15" t="str">
        <f aca="false">IF(B527="","",IF(OR(AND(ISNUMBER(L527),ISNUMBER(M527),M527&lt;L527),AND(ISNUMBER(M527),ISNUMBER(P527),P527&lt;M527),AND(ISNUMBER(P527),ISNUMBER(Q527),Q527&lt;P527),AND(ISNUMBER(Q527),ISNUMBER(R527),R527&lt;Q527),AND(ISNUMBER(R527),ISNUMBER(S527),S527&lt;R527),AND(ISNUMBER(S527),ISNUMBER(T527),T527&lt;S527),AND(ISNUMBER(N527),ISNUMBER(O527),O527&lt;N527)),"Urutan tanggal salah",IF(AND(ISNUMBER(Q527),ISNUMBER(R527),ISNUMBER(Y527),ABS(R527-Q527-Y527)&gt;2),"S tanggal ≠ Sailing tercatat",IF(AND(ISNUMBER(Q527),ISNUMBER(O527),ABS(Q527-O527)&gt;60),"Cek tahun laycan",IF(AND(ISNUMBER(Q527),ISNUMBER(N527),Q527&lt;N527),"Berangkat sebelum laycan",IF(NOT(ISNUMBER(AE527)),"S belum ada","OK"))))))</f>
        <v/>
      </c>
    </row>
    <row r="528" customFormat="false" ht="15" hidden="false" customHeight="false" outlineLevel="0" collapsed="false">
      <c r="A528" s="16" t="str">
        <f aca="false">IF(B528="","",ROW()-4)</f>
        <v/>
      </c>
      <c r="B528" s="12"/>
      <c r="C528" s="16"/>
      <c r="D528" s="16"/>
      <c r="E528" s="16"/>
      <c r="F528" s="16"/>
      <c r="G528" s="16"/>
      <c r="H528" s="16"/>
      <c r="I528" s="16"/>
      <c r="J528" s="16"/>
      <c r="K528" s="16"/>
      <c r="L528" s="13"/>
      <c r="M528" s="13"/>
      <c r="N528" s="13"/>
      <c r="O528" s="13"/>
      <c r="P528" s="13"/>
      <c r="Q528" s="13"/>
      <c r="R528" s="13"/>
      <c r="S528" s="13"/>
      <c r="T528" s="13"/>
      <c r="U528" s="12"/>
      <c r="V528" s="14"/>
      <c r="W528" s="16"/>
      <c r="X528" s="16"/>
      <c r="Y528" s="16"/>
      <c r="Z528" s="16"/>
      <c r="AA528" s="15" t="str">
        <f aca="false">IF(AND(ISNUMBER(L528),ISNUMBER(M528)),M528-L528,"")</f>
        <v/>
      </c>
      <c r="AB528" s="15" t="str">
        <f aca="false">IF(AND(ISNUMBER(M528),ISNUMBER(P528)),P528-M528,"")</f>
        <v/>
      </c>
      <c r="AC528" s="15" t="str">
        <f aca="false">IF(AND(ISNUMBER(L528),ISNUMBER(P528)),P528-L528,"")</f>
        <v/>
      </c>
      <c r="AD528" s="15" t="str">
        <f aca="false">IF(AND(ISNUMBER(P528),ISNUMBER(Q528)),Q528-P528,"")</f>
        <v/>
      </c>
      <c r="AE528" s="15" t="str">
        <f aca="false">IF(AND(ISNUMBER(Q528),ISNUMBER(R528)),R528-Q528,IF(ISNUMBER(Y528),Y528,""))</f>
        <v/>
      </c>
      <c r="AF528" s="15" t="str">
        <f aca="false">IF(AND(ISNUMBER(R528),ISNUMBER(S528)),S528-R528,"")</f>
        <v/>
      </c>
      <c r="AG528" s="15" t="str">
        <f aca="false">IF(AND(ISNUMBER(S528),ISNUMBER(T528)),T528-S528,"")</f>
        <v/>
      </c>
      <c r="AH528" s="15" t="str">
        <f aca="false">IF(AND(ISNUMBER(L528),ISNUMBER(T528)),T528-L528,"")</f>
        <v/>
      </c>
      <c r="AI528" s="15" t="str">
        <f aca="false">IF(AND(ISNUMBER(O528),ISNUMBER(Q528)),Q528-O528,"")</f>
        <v/>
      </c>
      <c r="AJ528" s="15" t="str">
        <f aca="false">IF(B528="","",COUNT(L528:M528,P528:T528)&amp;"/7")</f>
        <v/>
      </c>
      <c r="AK528" s="15" t="str">
        <f aca="false">IF(B528="","",IF(OR(AND(ISNUMBER(L528),ISNUMBER(M528),M528&lt;L528),AND(ISNUMBER(M528),ISNUMBER(P528),P528&lt;M528),AND(ISNUMBER(P528),ISNUMBER(Q528),Q528&lt;P528),AND(ISNUMBER(Q528),ISNUMBER(R528),R528&lt;Q528),AND(ISNUMBER(R528),ISNUMBER(S528),S528&lt;R528),AND(ISNUMBER(S528),ISNUMBER(T528),T528&lt;S528),AND(ISNUMBER(N528),ISNUMBER(O528),O528&lt;N528)),"Urutan tanggal salah",IF(AND(ISNUMBER(Q528),ISNUMBER(R528),ISNUMBER(Y528),ABS(R528-Q528-Y528)&gt;2),"S tanggal ≠ Sailing tercatat",IF(AND(ISNUMBER(Q528),ISNUMBER(O528),ABS(Q528-O528)&gt;60),"Cek tahun laycan",IF(AND(ISNUMBER(Q528),ISNUMBER(N528),Q528&lt;N528),"Berangkat sebelum laycan",IF(NOT(ISNUMBER(AE528)),"S belum ada","OK"))))))</f>
        <v/>
      </c>
    </row>
    <row r="529" customFormat="false" ht="15" hidden="false" customHeight="false" outlineLevel="0" collapsed="false">
      <c r="A529" s="16" t="str">
        <f aca="false">IF(B529="","",ROW()-4)</f>
        <v/>
      </c>
      <c r="B529" s="12"/>
      <c r="C529" s="16"/>
      <c r="D529" s="16"/>
      <c r="E529" s="16"/>
      <c r="F529" s="16"/>
      <c r="G529" s="16"/>
      <c r="H529" s="16"/>
      <c r="I529" s="16"/>
      <c r="J529" s="16"/>
      <c r="K529" s="16"/>
      <c r="L529" s="13"/>
      <c r="M529" s="13"/>
      <c r="N529" s="13"/>
      <c r="O529" s="13"/>
      <c r="P529" s="13"/>
      <c r="Q529" s="13"/>
      <c r="R529" s="13"/>
      <c r="S529" s="13"/>
      <c r="T529" s="13"/>
      <c r="U529" s="12"/>
      <c r="V529" s="14"/>
      <c r="W529" s="16"/>
      <c r="X529" s="16"/>
      <c r="Y529" s="16"/>
      <c r="Z529" s="16"/>
      <c r="AA529" s="15" t="str">
        <f aca="false">IF(AND(ISNUMBER(L529),ISNUMBER(M529)),M529-L529,"")</f>
        <v/>
      </c>
      <c r="AB529" s="15" t="str">
        <f aca="false">IF(AND(ISNUMBER(M529),ISNUMBER(P529)),P529-M529,"")</f>
        <v/>
      </c>
      <c r="AC529" s="15" t="str">
        <f aca="false">IF(AND(ISNUMBER(L529),ISNUMBER(P529)),P529-L529,"")</f>
        <v/>
      </c>
      <c r="AD529" s="15" t="str">
        <f aca="false">IF(AND(ISNUMBER(P529),ISNUMBER(Q529)),Q529-P529,"")</f>
        <v/>
      </c>
      <c r="AE529" s="15" t="str">
        <f aca="false">IF(AND(ISNUMBER(Q529),ISNUMBER(R529)),R529-Q529,IF(ISNUMBER(Y529),Y529,""))</f>
        <v/>
      </c>
      <c r="AF529" s="15" t="str">
        <f aca="false">IF(AND(ISNUMBER(R529),ISNUMBER(S529)),S529-R529,"")</f>
        <v/>
      </c>
      <c r="AG529" s="15" t="str">
        <f aca="false">IF(AND(ISNUMBER(S529),ISNUMBER(T529)),T529-S529,"")</f>
        <v/>
      </c>
      <c r="AH529" s="15" t="str">
        <f aca="false">IF(AND(ISNUMBER(L529),ISNUMBER(T529)),T529-L529,"")</f>
        <v/>
      </c>
      <c r="AI529" s="15" t="str">
        <f aca="false">IF(AND(ISNUMBER(O529),ISNUMBER(Q529)),Q529-O529,"")</f>
        <v/>
      </c>
      <c r="AJ529" s="15" t="str">
        <f aca="false">IF(B529="","",COUNT(L529:M529,P529:T529)&amp;"/7")</f>
        <v/>
      </c>
      <c r="AK529" s="15" t="str">
        <f aca="false">IF(B529="","",IF(OR(AND(ISNUMBER(L529),ISNUMBER(M529),M529&lt;L529),AND(ISNUMBER(M529),ISNUMBER(P529),P529&lt;M529),AND(ISNUMBER(P529),ISNUMBER(Q529),Q529&lt;P529),AND(ISNUMBER(Q529),ISNUMBER(R529),R529&lt;Q529),AND(ISNUMBER(R529),ISNUMBER(S529),S529&lt;R529),AND(ISNUMBER(S529),ISNUMBER(T529),T529&lt;S529),AND(ISNUMBER(N529),ISNUMBER(O529),O529&lt;N529)),"Urutan tanggal salah",IF(AND(ISNUMBER(Q529),ISNUMBER(R529),ISNUMBER(Y529),ABS(R529-Q529-Y529)&gt;2),"S tanggal ≠ Sailing tercatat",IF(AND(ISNUMBER(Q529),ISNUMBER(O529),ABS(Q529-O529)&gt;60),"Cek tahun laycan",IF(AND(ISNUMBER(Q529),ISNUMBER(N529),Q529&lt;N529),"Berangkat sebelum laycan",IF(NOT(ISNUMBER(AE529)),"S belum ada","OK"))))))</f>
        <v/>
      </c>
    </row>
    <row r="530" customFormat="false" ht="15" hidden="false" customHeight="false" outlineLevel="0" collapsed="false">
      <c r="A530" s="16" t="str">
        <f aca="false">IF(B530="","",ROW()-4)</f>
        <v/>
      </c>
      <c r="B530" s="12"/>
      <c r="C530" s="16"/>
      <c r="D530" s="16"/>
      <c r="E530" s="16"/>
      <c r="F530" s="16"/>
      <c r="G530" s="16"/>
      <c r="H530" s="16"/>
      <c r="I530" s="16"/>
      <c r="J530" s="16"/>
      <c r="K530" s="16"/>
      <c r="L530" s="13"/>
      <c r="M530" s="13"/>
      <c r="N530" s="13"/>
      <c r="O530" s="13"/>
      <c r="P530" s="13"/>
      <c r="Q530" s="13"/>
      <c r="R530" s="13"/>
      <c r="S530" s="13"/>
      <c r="T530" s="13"/>
      <c r="U530" s="12"/>
      <c r="V530" s="14"/>
      <c r="W530" s="16"/>
      <c r="X530" s="16"/>
      <c r="Y530" s="16"/>
      <c r="Z530" s="16"/>
      <c r="AA530" s="15" t="str">
        <f aca="false">IF(AND(ISNUMBER(L530),ISNUMBER(M530)),M530-L530,"")</f>
        <v/>
      </c>
      <c r="AB530" s="15" t="str">
        <f aca="false">IF(AND(ISNUMBER(M530),ISNUMBER(P530)),P530-M530,"")</f>
        <v/>
      </c>
      <c r="AC530" s="15" t="str">
        <f aca="false">IF(AND(ISNUMBER(L530),ISNUMBER(P530)),P530-L530,"")</f>
        <v/>
      </c>
      <c r="AD530" s="15" t="str">
        <f aca="false">IF(AND(ISNUMBER(P530),ISNUMBER(Q530)),Q530-P530,"")</f>
        <v/>
      </c>
      <c r="AE530" s="15" t="str">
        <f aca="false">IF(AND(ISNUMBER(Q530),ISNUMBER(R530)),R530-Q530,IF(ISNUMBER(Y530),Y530,""))</f>
        <v/>
      </c>
      <c r="AF530" s="15" t="str">
        <f aca="false">IF(AND(ISNUMBER(R530),ISNUMBER(S530)),S530-R530,"")</f>
        <v/>
      </c>
      <c r="AG530" s="15" t="str">
        <f aca="false">IF(AND(ISNUMBER(S530),ISNUMBER(T530)),T530-S530,"")</f>
        <v/>
      </c>
      <c r="AH530" s="15" t="str">
        <f aca="false">IF(AND(ISNUMBER(L530),ISNUMBER(T530)),T530-L530,"")</f>
        <v/>
      </c>
      <c r="AI530" s="15" t="str">
        <f aca="false">IF(AND(ISNUMBER(O530),ISNUMBER(Q530)),Q530-O530,"")</f>
        <v/>
      </c>
      <c r="AJ530" s="15" t="str">
        <f aca="false">IF(B530="","",COUNT(L530:M530,P530:T530)&amp;"/7")</f>
        <v/>
      </c>
      <c r="AK530" s="15" t="str">
        <f aca="false">IF(B530="","",IF(OR(AND(ISNUMBER(L530),ISNUMBER(M530),M530&lt;L530),AND(ISNUMBER(M530),ISNUMBER(P530),P530&lt;M530),AND(ISNUMBER(P530),ISNUMBER(Q530),Q530&lt;P530),AND(ISNUMBER(Q530),ISNUMBER(R530),R530&lt;Q530),AND(ISNUMBER(R530),ISNUMBER(S530),S530&lt;R530),AND(ISNUMBER(S530),ISNUMBER(T530),T530&lt;S530),AND(ISNUMBER(N530),ISNUMBER(O530),O530&lt;N530)),"Urutan tanggal salah",IF(AND(ISNUMBER(Q530),ISNUMBER(R530),ISNUMBER(Y530),ABS(R530-Q530-Y530)&gt;2),"S tanggal ≠ Sailing tercatat",IF(AND(ISNUMBER(Q530),ISNUMBER(O530),ABS(Q530-O530)&gt;60),"Cek tahun laycan",IF(AND(ISNUMBER(Q530),ISNUMBER(N530),Q530&lt;N530),"Berangkat sebelum laycan",IF(NOT(ISNUMBER(AE530)),"S belum ada","OK"))))))</f>
        <v/>
      </c>
    </row>
    <row r="531" customFormat="false" ht="15" hidden="false" customHeight="false" outlineLevel="0" collapsed="false">
      <c r="A531" s="16" t="str">
        <f aca="false">IF(B531="","",ROW()-4)</f>
        <v/>
      </c>
      <c r="B531" s="12"/>
      <c r="C531" s="16"/>
      <c r="D531" s="16"/>
      <c r="E531" s="16"/>
      <c r="F531" s="16"/>
      <c r="G531" s="16"/>
      <c r="H531" s="16"/>
      <c r="I531" s="16"/>
      <c r="J531" s="16"/>
      <c r="K531" s="16"/>
      <c r="L531" s="13"/>
      <c r="M531" s="13"/>
      <c r="N531" s="13"/>
      <c r="O531" s="13"/>
      <c r="P531" s="13"/>
      <c r="Q531" s="13"/>
      <c r="R531" s="13"/>
      <c r="S531" s="13"/>
      <c r="T531" s="13"/>
      <c r="U531" s="12"/>
      <c r="V531" s="14"/>
      <c r="W531" s="16"/>
      <c r="X531" s="16"/>
      <c r="Y531" s="16"/>
      <c r="Z531" s="16"/>
      <c r="AA531" s="15" t="str">
        <f aca="false">IF(AND(ISNUMBER(L531),ISNUMBER(M531)),M531-L531,"")</f>
        <v/>
      </c>
      <c r="AB531" s="15" t="str">
        <f aca="false">IF(AND(ISNUMBER(M531),ISNUMBER(P531)),P531-M531,"")</f>
        <v/>
      </c>
      <c r="AC531" s="15" t="str">
        <f aca="false">IF(AND(ISNUMBER(L531),ISNUMBER(P531)),P531-L531,"")</f>
        <v/>
      </c>
      <c r="AD531" s="15" t="str">
        <f aca="false">IF(AND(ISNUMBER(P531),ISNUMBER(Q531)),Q531-P531,"")</f>
        <v/>
      </c>
      <c r="AE531" s="15" t="str">
        <f aca="false">IF(AND(ISNUMBER(Q531),ISNUMBER(R531)),R531-Q531,IF(ISNUMBER(Y531),Y531,""))</f>
        <v/>
      </c>
      <c r="AF531" s="15" t="str">
        <f aca="false">IF(AND(ISNUMBER(R531),ISNUMBER(S531)),S531-R531,"")</f>
        <v/>
      </c>
      <c r="AG531" s="15" t="str">
        <f aca="false">IF(AND(ISNUMBER(S531),ISNUMBER(T531)),T531-S531,"")</f>
        <v/>
      </c>
      <c r="AH531" s="15" t="str">
        <f aca="false">IF(AND(ISNUMBER(L531),ISNUMBER(T531)),T531-L531,"")</f>
        <v/>
      </c>
      <c r="AI531" s="15" t="str">
        <f aca="false">IF(AND(ISNUMBER(O531),ISNUMBER(Q531)),Q531-O531,"")</f>
        <v/>
      </c>
      <c r="AJ531" s="15" t="str">
        <f aca="false">IF(B531="","",COUNT(L531:M531,P531:T531)&amp;"/7")</f>
        <v/>
      </c>
      <c r="AK531" s="15" t="str">
        <f aca="false">IF(B531="","",IF(OR(AND(ISNUMBER(L531),ISNUMBER(M531),M531&lt;L531),AND(ISNUMBER(M531),ISNUMBER(P531),P531&lt;M531),AND(ISNUMBER(P531),ISNUMBER(Q531),Q531&lt;P531),AND(ISNUMBER(Q531),ISNUMBER(R531),R531&lt;Q531),AND(ISNUMBER(R531),ISNUMBER(S531),S531&lt;R531),AND(ISNUMBER(S531),ISNUMBER(T531),T531&lt;S531),AND(ISNUMBER(N531),ISNUMBER(O531),O531&lt;N531)),"Urutan tanggal salah",IF(AND(ISNUMBER(Q531),ISNUMBER(R531),ISNUMBER(Y531),ABS(R531-Q531-Y531)&gt;2),"S tanggal ≠ Sailing tercatat",IF(AND(ISNUMBER(Q531),ISNUMBER(O531),ABS(Q531-O531)&gt;60),"Cek tahun laycan",IF(AND(ISNUMBER(Q531),ISNUMBER(N531),Q531&lt;N531),"Berangkat sebelum laycan",IF(NOT(ISNUMBER(AE531)),"S belum ada","OK"))))))</f>
        <v/>
      </c>
    </row>
    <row r="532" customFormat="false" ht="15" hidden="false" customHeight="false" outlineLevel="0" collapsed="false">
      <c r="A532" s="16" t="str">
        <f aca="false">IF(B532="","",ROW()-4)</f>
        <v/>
      </c>
      <c r="B532" s="12"/>
      <c r="C532" s="16"/>
      <c r="D532" s="16"/>
      <c r="E532" s="16"/>
      <c r="F532" s="16"/>
      <c r="G532" s="16"/>
      <c r="H532" s="16"/>
      <c r="I532" s="16"/>
      <c r="J532" s="16"/>
      <c r="K532" s="16"/>
      <c r="L532" s="13"/>
      <c r="M532" s="13"/>
      <c r="N532" s="13"/>
      <c r="O532" s="13"/>
      <c r="P532" s="13"/>
      <c r="Q532" s="13"/>
      <c r="R532" s="13"/>
      <c r="S532" s="13"/>
      <c r="T532" s="13"/>
      <c r="U532" s="12"/>
      <c r="V532" s="14"/>
      <c r="W532" s="16"/>
      <c r="X532" s="16"/>
      <c r="Y532" s="16"/>
      <c r="Z532" s="16"/>
      <c r="AA532" s="15" t="str">
        <f aca="false">IF(AND(ISNUMBER(L532),ISNUMBER(M532)),M532-L532,"")</f>
        <v/>
      </c>
      <c r="AB532" s="15" t="str">
        <f aca="false">IF(AND(ISNUMBER(M532),ISNUMBER(P532)),P532-M532,"")</f>
        <v/>
      </c>
      <c r="AC532" s="15" t="str">
        <f aca="false">IF(AND(ISNUMBER(L532),ISNUMBER(P532)),P532-L532,"")</f>
        <v/>
      </c>
      <c r="AD532" s="15" t="str">
        <f aca="false">IF(AND(ISNUMBER(P532),ISNUMBER(Q532)),Q532-P532,"")</f>
        <v/>
      </c>
      <c r="AE532" s="15" t="str">
        <f aca="false">IF(AND(ISNUMBER(Q532),ISNUMBER(R532)),R532-Q532,IF(ISNUMBER(Y532),Y532,""))</f>
        <v/>
      </c>
      <c r="AF532" s="15" t="str">
        <f aca="false">IF(AND(ISNUMBER(R532),ISNUMBER(S532)),S532-R532,"")</f>
        <v/>
      </c>
      <c r="AG532" s="15" t="str">
        <f aca="false">IF(AND(ISNUMBER(S532),ISNUMBER(T532)),T532-S532,"")</f>
        <v/>
      </c>
      <c r="AH532" s="15" t="str">
        <f aca="false">IF(AND(ISNUMBER(L532),ISNUMBER(T532)),T532-L532,"")</f>
        <v/>
      </c>
      <c r="AI532" s="15" t="str">
        <f aca="false">IF(AND(ISNUMBER(O532),ISNUMBER(Q532)),Q532-O532,"")</f>
        <v/>
      </c>
      <c r="AJ532" s="15" t="str">
        <f aca="false">IF(B532="","",COUNT(L532:M532,P532:T532)&amp;"/7")</f>
        <v/>
      </c>
      <c r="AK532" s="15" t="str">
        <f aca="false">IF(B532="","",IF(OR(AND(ISNUMBER(L532),ISNUMBER(M532),M532&lt;L532),AND(ISNUMBER(M532),ISNUMBER(P532),P532&lt;M532),AND(ISNUMBER(P532),ISNUMBER(Q532),Q532&lt;P532),AND(ISNUMBER(Q532),ISNUMBER(R532),R532&lt;Q532),AND(ISNUMBER(R532),ISNUMBER(S532),S532&lt;R532),AND(ISNUMBER(S532),ISNUMBER(T532),T532&lt;S532),AND(ISNUMBER(N532),ISNUMBER(O532),O532&lt;N532)),"Urutan tanggal salah",IF(AND(ISNUMBER(Q532),ISNUMBER(R532),ISNUMBER(Y532),ABS(R532-Q532-Y532)&gt;2),"S tanggal ≠ Sailing tercatat",IF(AND(ISNUMBER(Q532),ISNUMBER(O532),ABS(Q532-O532)&gt;60),"Cek tahun laycan",IF(AND(ISNUMBER(Q532),ISNUMBER(N532),Q532&lt;N532),"Berangkat sebelum laycan",IF(NOT(ISNUMBER(AE532)),"S belum ada","OK"))))))</f>
        <v/>
      </c>
    </row>
    <row r="533" customFormat="false" ht="15" hidden="false" customHeight="false" outlineLevel="0" collapsed="false">
      <c r="A533" s="16" t="str">
        <f aca="false">IF(B533="","",ROW()-4)</f>
        <v/>
      </c>
      <c r="B533" s="12"/>
      <c r="C533" s="16"/>
      <c r="D533" s="16"/>
      <c r="E533" s="16"/>
      <c r="F533" s="16"/>
      <c r="G533" s="16"/>
      <c r="H533" s="16"/>
      <c r="I533" s="16"/>
      <c r="J533" s="16"/>
      <c r="K533" s="16"/>
      <c r="L533" s="13"/>
      <c r="M533" s="13"/>
      <c r="N533" s="13"/>
      <c r="O533" s="13"/>
      <c r="P533" s="13"/>
      <c r="Q533" s="13"/>
      <c r="R533" s="13"/>
      <c r="S533" s="13"/>
      <c r="T533" s="13"/>
      <c r="U533" s="12"/>
      <c r="V533" s="14"/>
      <c r="W533" s="16"/>
      <c r="X533" s="16"/>
      <c r="Y533" s="16"/>
      <c r="Z533" s="16"/>
      <c r="AA533" s="15" t="str">
        <f aca="false">IF(AND(ISNUMBER(L533),ISNUMBER(M533)),M533-L533,"")</f>
        <v/>
      </c>
      <c r="AB533" s="15" t="str">
        <f aca="false">IF(AND(ISNUMBER(M533),ISNUMBER(P533)),P533-M533,"")</f>
        <v/>
      </c>
      <c r="AC533" s="15" t="str">
        <f aca="false">IF(AND(ISNUMBER(L533),ISNUMBER(P533)),P533-L533,"")</f>
        <v/>
      </c>
      <c r="AD533" s="15" t="str">
        <f aca="false">IF(AND(ISNUMBER(P533),ISNUMBER(Q533)),Q533-P533,"")</f>
        <v/>
      </c>
      <c r="AE533" s="15" t="str">
        <f aca="false">IF(AND(ISNUMBER(Q533),ISNUMBER(R533)),R533-Q533,IF(ISNUMBER(Y533),Y533,""))</f>
        <v/>
      </c>
      <c r="AF533" s="15" t="str">
        <f aca="false">IF(AND(ISNUMBER(R533),ISNUMBER(S533)),S533-R533,"")</f>
        <v/>
      </c>
      <c r="AG533" s="15" t="str">
        <f aca="false">IF(AND(ISNUMBER(S533),ISNUMBER(T533)),T533-S533,"")</f>
        <v/>
      </c>
      <c r="AH533" s="15" t="str">
        <f aca="false">IF(AND(ISNUMBER(L533),ISNUMBER(T533)),T533-L533,"")</f>
        <v/>
      </c>
      <c r="AI533" s="15" t="str">
        <f aca="false">IF(AND(ISNUMBER(O533),ISNUMBER(Q533)),Q533-O533,"")</f>
        <v/>
      </c>
      <c r="AJ533" s="15" t="str">
        <f aca="false">IF(B533="","",COUNT(L533:M533,P533:T533)&amp;"/7")</f>
        <v/>
      </c>
      <c r="AK533" s="15" t="str">
        <f aca="false">IF(B533="","",IF(OR(AND(ISNUMBER(L533),ISNUMBER(M533),M533&lt;L533),AND(ISNUMBER(M533),ISNUMBER(P533),P533&lt;M533),AND(ISNUMBER(P533),ISNUMBER(Q533),Q533&lt;P533),AND(ISNUMBER(Q533),ISNUMBER(R533),R533&lt;Q533),AND(ISNUMBER(R533),ISNUMBER(S533),S533&lt;R533),AND(ISNUMBER(S533),ISNUMBER(T533),T533&lt;S533),AND(ISNUMBER(N533),ISNUMBER(O533),O533&lt;N533)),"Urutan tanggal salah",IF(AND(ISNUMBER(Q533),ISNUMBER(R533),ISNUMBER(Y533),ABS(R533-Q533-Y533)&gt;2),"S tanggal ≠ Sailing tercatat",IF(AND(ISNUMBER(Q533),ISNUMBER(O533),ABS(Q533-O533)&gt;60),"Cek tahun laycan",IF(AND(ISNUMBER(Q533),ISNUMBER(N533),Q533&lt;N533),"Berangkat sebelum laycan",IF(NOT(ISNUMBER(AE533)),"S belum ada","OK"))))))</f>
        <v/>
      </c>
    </row>
    <row r="534" customFormat="false" ht="15" hidden="false" customHeight="false" outlineLevel="0" collapsed="false">
      <c r="A534" s="16" t="str">
        <f aca="false">IF(B534="","",ROW()-4)</f>
        <v/>
      </c>
      <c r="B534" s="12"/>
      <c r="C534" s="16"/>
      <c r="D534" s="16"/>
      <c r="E534" s="16"/>
      <c r="F534" s="16"/>
      <c r="G534" s="16"/>
      <c r="H534" s="16"/>
      <c r="I534" s="16"/>
      <c r="J534" s="16"/>
      <c r="K534" s="16"/>
      <c r="L534" s="13"/>
      <c r="M534" s="13"/>
      <c r="N534" s="13"/>
      <c r="O534" s="13"/>
      <c r="P534" s="13"/>
      <c r="Q534" s="13"/>
      <c r="R534" s="13"/>
      <c r="S534" s="13"/>
      <c r="T534" s="13"/>
      <c r="U534" s="12"/>
      <c r="V534" s="14"/>
      <c r="W534" s="16"/>
      <c r="X534" s="16"/>
      <c r="Y534" s="16"/>
      <c r="Z534" s="16"/>
      <c r="AA534" s="15" t="str">
        <f aca="false">IF(AND(ISNUMBER(L534),ISNUMBER(M534)),M534-L534,"")</f>
        <v/>
      </c>
      <c r="AB534" s="15" t="str">
        <f aca="false">IF(AND(ISNUMBER(M534),ISNUMBER(P534)),P534-M534,"")</f>
        <v/>
      </c>
      <c r="AC534" s="15" t="str">
        <f aca="false">IF(AND(ISNUMBER(L534),ISNUMBER(P534)),P534-L534,"")</f>
        <v/>
      </c>
      <c r="AD534" s="15" t="str">
        <f aca="false">IF(AND(ISNUMBER(P534),ISNUMBER(Q534)),Q534-P534,"")</f>
        <v/>
      </c>
      <c r="AE534" s="15" t="str">
        <f aca="false">IF(AND(ISNUMBER(Q534),ISNUMBER(R534)),R534-Q534,IF(ISNUMBER(Y534),Y534,""))</f>
        <v/>
      </c>
      <c r="AF534" s="15" t="str">
        <f aca="false">IF(AND(ISNUMBER(R534),ISNUMBER(S534)),S534-R534,"")</f>
        <v/>
      </c>
      <c r="AG534" s="15" t="str">
        <f aca="false">IF(AND(ISNUMBER(S534),ISNUMBER(T534)),T534-S534,"")</f>
        <v/>
      </c>
      <c r="AH534" s="15" t="str">
        <f aca="false">IF(AND(ISNUMBER(L534),ISNUMBER(T534)),T534-L534,"")</f>
        <v/>
      </c>
      <c r="AI534" s="15" t="str">
        <f aca="false">IF(AND(ISNUMBER(O534),ISNUMBER(Q534)),Q534-O534,"")</f>
        <v/>
      </c>
      <c r="AJ534" s="15" t="str">
        <f aca="false">IF(B534="","",COUNT(L534:M534,P534:T534)&amp;"/7")</f>
        <v/>
      </c>
      <c r="AK534" s="15" t="str">
        <f aca="false">IF(B534="","",IF(OR(AND(ISNUMBER(L534),ISNUMBER(M534),M534&lt;L534),AND(ISNUMBER(M534),ISNUMBER(P534),P534&lt;M534),AND(ISNUMBER(P534),ISNUMBER(Q534),Q534&lt;P534),AND(ISNUMBER(Q534),ISNUMBER(R534),R534&lt;Q534),AND(ISNUMBER(R534),ISNUMBER(S534),S534&lt;R534),AND(ISNUMBER(S534),ISNUMBER(T534),T534&lt;S534),AND(ISNUMBER(N534),ISNUMBER(O534),O534&lt;N534)),"Urutan tanggal salah",IF(AND(ISNUMBER(Q534),ISNUMBER(R534),ISNUMBER(Y534),ABS(R534-Q534-Y534)&gt;2),"S tanggal ≠ Sailing tercatat",IF(AND(ISNUMBER(Q534),ISNUMBER(O534),ABS(Q534-O534)&gt;60),"Cek tahun laycan",IF(AND(ISNUMBER(Q534),ISNUMBER(N534),Q534&lt;N534),"Berangkat sebelum laycan",IF(NOT(ISNUMBER(AE534)),"S belum ada","OK"))))))</f>
        <v/>
      </c>
    </row>
    <row r="535" customFormat="false" ht="15" hidden="false" customHeight="false" outlineLevel="0" collapsed="false">
      <c r="A535" s="16" t="str">
        <f aca="false">IF(B535="","",ROW()-4)</f>
        <v/>
      </c>
      <c r="B535" s="12"/>
      <c r="C535" s="16"/>
      <c r="D535" s="16"/>
      <c r="E535" s="16"/>
      <c r="F535" s="16"/>
      <c r="G535" s="16"/>
      <c r="H535" s="16"/>
      <c r="I535" s="16"/>
      <c r="J535" s="16"/>
      <c r="K535" s="16"/>
      <c r="L535" s="13"/>
      <c r="M535" s="13"/>
      <c r="N535" s="13"/>
      <c r="O535" s="13"/>
      <c r="P535" s="13"/>
      <c r="Q535" s="13"/>
      <c r="R535" s="13"/>
      <c r="S535" s="13"/>
      <c r="T535" s="13"/>
      <c r="U535" s="12"/>
      <c r="V535" s="14"/>
      <c r="W535" s="16"/>
      <c r="X535" s="16"/>
      <c r="Y535" s="16"/>
      <c r="Z535" s="16"/>
      <c r="AA535" s="15" t="str">
        <f aca="false">IF(AND(ISNUMBER(L535),ISNUMBER(M535)),M535-L535,"")</f>
        <v/>
      </c>
      <c r="AB535" s="15" t="str">
        <f aca="false">IF(AND(ISNUMBER(M535),ISNUMBER(P535)),P535-M535,"")</f>
        <v/>
      </c>
      <c r="AC535" s="15" t="str">
        <f aca="false">IF(AND(ISNUMBER(L535),ISNUMBER(P535)),P535-L535,"")</f>
        <v/>
      </c>
      <c r="AD535" s="15" t="str">
        <f aca="false">IF(AND(ISNUMBER(P535),ISNUMBER(Q535)),Q535-P535,"")</f>
        <v/>
      </c>
      <c r="AE535" s="15" t="str">
        <f aca="false">IF(AND(ISNUMBER(Q535),ISNUMBER(R535)),R535-Q535,IF(ISNUMBER(Y535),Y535,""))</f>
        <v/>
      </c>
      <c r="AF535" s="15" t="str">
        <f aca="false">IF(AND(ISNUMBER(R535),ISNUMBER(S535)),S535-R535,"")</f>
        <v/>
      </c>
      <c r="AG535" s="15" t="str">
        <f aca="false">IF(AND(ISNUMBER(S535),ISNUMBER(T535)),T535-S535,"")</f>
        <v/>
      </c>
      <c r="AH535" s="15" t="str">
        <f aca="false">IF(AND(ISNUMBER(L535),ISNUMBER(T535)),T535-L535,"")</f>
        <v/>
      </c>
      <c r="AI535" s="15" t="str">
        <f aca="false">IF(AND(ISNUMBER(O535),ISNUMBER(Q535)),Q535-O535,"")</f>
        <v/>
      </c>
      <c r="AJ535" s="15" t="str">
        <f aca="false">IF(B535="","",COUNT(L535:M535,P535:T535)&amp;"/7")</f>
        <v/>
      </c>
      <c r="AK535" s="15" t="str">
        <f aca="false">IF(B535="","",IF(OR(AND(ISNUMBER(L535),ISNUMBER(M535),M535&lt;L535),AND(ISNUMBER(M535),ISNUMBER(P535),P535&lt;M535),AND(ISNUMBER(P535),ISNUMBER(Q535),Q535&lt;P535),AND(ISNUMBER(Q535),ISNUMBER(R535),R535&lt;Q535),AND(ISNUMBER(R535),ISNUMBER(S535),S535&lt;R535),AND(ISNUMBER(S535),ISNUMBER(T535),T535&lt;S535),AND(ISNUMBER(N535),ISNUMBER(O535),O535&lt;N535)),"Urutan tanggal salah",IF(AND(ISNUMBER(Q535),ISNUMBER(R535),ISNUMBER(Y535),ABS(R535-Q535-Y535)&gt;2),"S tanggal ≠ Sailing tercatat",IF(AND(ISNUMBER(Q535),ISNUMBER(O535),ABS(Q535-O535)&gt;60),"Cek tahun laycan",IF(AND(ISNUMBER(Q535),ISNUMBER(N535),Q535&lt;N535),"Berangkat sebelum laycan",IF(NOT(ISNUMBER(AE535)),"S belum ada","OK"))))))</f>
        <v/>
      </c>
    </row>
    <row r="536" customFormat="false" ht="15" hidden="false" customHeight="false" outlineLevel="0" collapsed="false">
      <c r="A536" s="16" t="str">
        <f aca="false">IF(B536="","",ROW()-4)</f>
        <v/>
      </c>
      <c r="B536" s="12"/>
      <c r="C536" s="16"/>
      <c r="D536" s="16"/>
      <c r="E536" s="16"/>
      <c r="F536" s="16"/>
      <c r="G536" s="16"/>
      <c r="H536" s="16"/>
      <c r="I536" s="16"/>
      <c r="J536" s="16"/>
      <c r="K536" s="16"/>
      <c r="L536" s="13"/>
      <c r="M536" s="13"/>
      <c r="N536" s="13"/>
      <c r="O536" s="13"/>
      <c r="P536" s="13"/>
      <c r="Q536" s="13"/>
      <c r="R536" s="13"/>
      <c r="S536" s="13"/>
      <c r="T536" s="13"/>
      <c r="U536" s="12"/>
      <c r="V536" s="14"/>
      <c r="W536" s="16"/>
      <c r="X536" s="16"/>
      <c r="Y536" s="16"/>
      <c r="Z536" s="16"/>
      <c r="AA536" s="15" t="str">
        <f aca="false">IF(AND(ISNUMBER(L536),ISNUMBER(M536)),M536-L536,"")</f>
        <v/>
      </c>
      <c r="AB536" s="15" t="str">
        <f aca="false">IF(AND(ISNUMBER(M536),ISNUMBER(P536)),P536-M536,"")</f>
        <v/>
      </c>
      <c r="AC536" s="15" t="str">
        <f aca="false">IF(AND(ISNUMBER(L536),ISNUMBER(P536)),P536-L536,"")</f>
        <v/>
      </c>
      <c r="AD536" s="15" t="str">
        <f aca="false">IF(AND(ISNUMBER(P536),ISNUMBER(Q536)),Q536-P536,"")</f>
        <v/>
      </c>
      <c r="AE536" s="15" t="str">
        <f aca="false">IF(AND(ISNUMBER(Q536),ISNUMBER(R536)),R536-Q536,IF(ISNUMBER(Y536),Y536,""))</f>
        <v/>
      </c>
      <c r="AF536" s="15" t="str">
        <f aca="false">IF(AND(ISNUMBER(R536),ISNUMBER(S536)),S536-R536,"")</f>
        <v/>
      </c>
      <c r="AG536" s="15" t="str">
        <f aca="false">IF(AND(ISNUMBER(S536),ISNUMBER(T536)),T536-S536,"")</f>
        <v/>
      </c>
      <c r="AH536" s="15" t="str">
        <f aca="false">IF(AND(ISNUMBER(L536),ISNUMBER(T536)),T536-L536,"")</f>
        <v/>
      </c>
      <c r="AI536" s="15" t="str">
        <f aca="false">IF(AND(ISNUMBER(O536),ISNUMBER(Q536)),Q536-O536,"")</f>
        <v/>
      </c>
      <c r="AJ536" s="15" t="str">
        <f aca="false">IF(B536="","",COUNT(L536:M536,P536:T536)&amp;"/7")</f>
        <v/>
      </c>
      <c r="AK536" s="15" t="str">
        <f aca="false">IF(B536="","",IF(OR(AND(ISNUMBER(L536),ISNUMBER(M536),M536&lt;L536),AND(ISNUMBER(M536),ISNUMBER(P536),P536&lt;M536),AND(ISNUMBER(P536),ISNUMBER(Q536),Q536&lt;P536),AND(ISNUMBER(Q536),ISNUMBER(R536),R536&lt;Q536),AND(ISNUMBER(R536),ISNUMBER(S536),S536&lt;R536),AND(ISNUMBER(S536),ISNUMBER(T536),T536&lt;S536),AND(ISNUMBER(N536),ISNUMBER(O536),O536&lt;N536)),"Urutan tanggal salah",IF(AND(ISNUMBER(Q536),ISNUMBER(R536),ISNUMBER(Y536),ABS(R536-Q536-Y536)&gt;2),"S tanggal ≠ Sailing tercatat",IF(AND(ISNUMBER(Q536),ISNUMBER(O536),ABS(Q536-O536)&gt;60),"Cek tahun laycan",IF(AND(ISNUMBER(Q536),ISNUMBER(N536),Q536&lt;N536),"Berangkat sebelum laycan",IF(NOT(ISNUMBER(AE536)),"S belum ada","OK"))))))</f>
        <v/>
      </c>
    </row>
    <row r="537" customFormat="false" ht="15" hidden="false" customHeight="false" outlineLevel="0" collapsed="false">
      <c r="A537" s="16" t="str">
        <f aca="false">IF(B537="","",ROW()-4)</f>
        <v/>
      </c>
      <c r="B537" s="12"/>
      <c r="C537" s="16"/>
      <c r="D537" s="16"/>
      <c r="E537" s="16"/>
      <c r="F537" s="16"/>
      <c r="G537" s="16"/>
      <c r="H537" s="16"/>
      <c r="I537" s="16"/>
      <c r="J537" s="16"/>
      <c r="K537" s="16"/>
      <c r="L537" s="13"/>
      <c r="M537" s="13"/>
      <c r="N537" s="13"/>
      <c r="O537" s="13"/>
      <c r="P537" s="13"/>
      <c r="Q537" s="13"/>
      <c r="R537" s="13"/>
      <c r="S537" s="13"/>
      <c r="T537" s="13"/>
      <c r="U537" s="12"/>
      <c r="V537" s="14"/>
      <c r="W537" s="16"/>
      <c r="X537" s="16"/>
      <c r="Y537" s="16"/>
      <c r="Z537" s="16"/>
      <c r="AA537" s="15" t="str">
        <f aca="false">IF(AND(ISNUMBER(L537),ISNUMBER(M537)),M537-L537,"")</f>
        <v/>
      </c>
      <c r="AB537" s="15" t="str">
        <f aca="false">IF(AND(ISNUMBER(M537),ISNUMBER(P537)),P537-M537,"")</f>
        <v/>
      </c>
      <c r="AC537" s="15" t="str">
        <f aca="false">IF(AND(ISNUMBER(L537),ISNUMBER(P537)),P537-L537,"")</f>
        <v/>
      </c>
      <c r="AD537" s="15" t="str">
        <f aca="false">IF(AND(ISNUMBER(P537),ISNUMBER(Q537)),Q537-P537,"")</f>
        <v/>
      </c>
      <c r="AE537" s="15" t="str">
        <f aca="false">IF(AND(ISNUMBER(Q537),ISNUMBER(R537)),R537-Q537,IF(ISNUMBER(Y537),Y537,""))</f>
        <v/>
      </c>
      <c r="AF537" s="15" t="str">
        <f aca="false">IF(AND(ISNUMBER(R537),ISNUMBER(S537)),S537-R537,"")</f>
        <v/>
      </c>
      <c r="AG537" s="15" t="str">
        <f aca="false">IF(AND(ISNUMBER(S537),ISNUMBER(T537)),T537-S537,"")</f>
        <v/>
      </c>
      <c r="AH537" s="15" t="str">
        <f aca="false">IF(AND(ISNUMBER(L537),ISNUMBER(T537)),T537-L537,"")</f>
        <v/>
      </c>
      <c r="AI537" s="15" t="str">
        <f aca="false">IF(AND(ISNUMBER(O537),ISNUMBER(Q537)),Q537-O537,"")</f>
        <v/>
      </c>
      <c r="AJ537" s="15" t="str">
        <f aca="false">IF(B537="","",COUNT(L537:M537,P537:T537)&amp;"/7")</f>
        <v/>
      </c>
      <c r="AK537" s="15" t="str">
        <f aca="false">IF(B537="","",IF(OR(AND(ISNUMBER(L537),ISNUMBER(M537),M537&lt;L537),AND(ISNUMBER(M537),ISNUMBER(P537),P537&lt;M537),AND(ISNUMBER(P537),ISNUMBER(Q537),Q537&lt;P537),AND(ISNUMBER(Q537),ISNUMBER(R537),R537&lt;Q537),AND(ISNUMBER(R537),ISNUMBER(S537),S537&lt;R537),AND(ISNUMBER(S537),ISNUMBER(T537),T537&lt;S537),AND(ISNUMBER(N537),ISNUMBER(O537),O537&lt;N537)),"Urutan tanggal salah",IF(AND(ISNUMBER(Q537),ISNUMBER(R537),ISNUMBER(Y537),ABS(R537-Q537-Y537)&gt;2),"S tanggal ≠ Sailing tercatat",IF(AND(ISNUMBER(Q537),ISNUMBER(O537),ABS(Q537-O537)&gt;60),"Cek tahun laycan",IF(AND(ISNUMBER(Q537),ISNUMBER(N537),Q537&lt;N537),"Berangkat sebelum laycan",IF(NOT(ISNUMBER(AE537)),"S belum ada","OK"))))))</f>
        <v/>
      </c>
    </row>
    <row r="538" customFormat="false" ht="15" hidden="false" customHeight="false" outlineLevel="0" collapsed="false">
      <c r="A538" s="16" t="str">
        <f aca="false">IF(B538="","",ROW()-4)</f>
        <v/>
      </c>
      <c r="B538" s="12"/>
      <c r="C538" s="16"/>
      <c r="D538" s="16"/>
      <c r="E538" s="16"/>
      <c r="F538" s="16"/>
      <c r="G538" s="16"/>
      <c r="H538" s="16"/>
      <c r="I538" s="16"/>
      <c r="J538" s="16"/>
      <c r="K538" s="16"/>
      <c r="L538" s="13"/>
      <c r="M538" s="13"/>
      <c r="N538" s="13"/>
      <c r="O538" s="13"/>
      <c r="P538" s="13"/>
      <c r="Q538" s="13"/>
      <c r="R538" s="13"/>
      <c r="S538" s="13"/>
      <c r="T538" s="13"/>
      <c r="U538" s="12"/>
      <c r="V538" s="14"/>
      <c r="W538" s="16"/>
      <c r="X538" s="16"/>
      <c r="Y538" s="16"/>
      <c r="Z538" s="16"/>
      <c r="AA538" s="15" t="str">
        <f aca="false">IF(AND(ISNUMBER(L538),ISNUMBER(M538)),M538-L538,"")</f>
        <v/>
      </c>
      <c r="AB538" s="15" t="str">
        <f aca="false">IF(AND(ISNUMBER(M538),ISNUMBER(P538)),P538-M538,"")</f>
        <v/>
      </c>
      <c r="AC538" s="15" t="str">
        <f aca="false">IF(AND(ISNUMBER(L538),ISNUMBER(P538)),P538-L538,"")</f>
        <v/>
      </c>
      <c r="AD538" s="15" t="str">
        <f aca="false">IF(AND(ISNUMBER(P538),ISNUMBER(Q538)),Q538-P538,"")</f>
        <v/>
      </c>
      <c r="AE538" s="15" t="str">
        <f aca="false">IF(AND(ISNUMBER(Q538),ISNUMBER(R538)),R538-Q538,IF(ISNUMBER(Y538),Y538,""))</f>
        <v/>
      </c>
      <c r="AF538" s="15" t="str">
        <f aca="false">IF(AND(ISNUMBER(R538),ISNUMBER(S538)),S538-R538,"")</f>
        <v/>
      </c>
      <c r="AG538" s="15" t="str">
        <f aca="false">IF(AND(ISNUMBER(S538),ISNUMBER(T538)),T538-S538,"")</f>
        <v/>
      </c>
      <c r="AH538" s="15" t="str">
        <f aca="false">IF(AND(ISNUMBER(L538),ISNUMBER(T538)),T538-L538,"")</f>
        <v/>
      </c>
      <c r="AI538" s="15" t="str">
        <f aca="false">IF(AND(ISNUMBER(O538),ISNUMBER(Q538)),Q538-O538,"")</f>
        <v/>
      </c>
      <c r="AJ538" s="15" t="str">
        <f aca="false">IF(B538="","",COUNT(L538:M538,P538:T538)&amp;"/7")</f>
        <v/>
      </c>
      <c r="AK538" s="15" t="str">
        <f aca="false">IF(B538="","",IF(OR(AND(ISNUMBER(L538),ISNUMBER(M538),M538&lt;L538),AND(ISNUMBER(M538),ISNUMBER(P538),P538&lt;M538),AND(ISNUMBER(P538),ISNUMBER(Q538),Q538&lt;P538),AND(ISNUMBER(Q538),ISNUMBER(R538),R538&lt;Q538),AND(ISNUMBER(R538),ISNUMBER(S538),S538&lt;R538),AND(ISNUMBER(S538),ISNUMBER(T538),T538&lt;S538),AND(ISNUMBER(N538),ISNUMBER(O538),O538&lt;N538)),"Urutan tanggal salah",IF(AND(ISNUMBER(Q538),ISNUMBER(R538),ISNUMBER(Y538),ABS(R538-Q538-Y538)&gt;2),"S tanggal ≠ Sailing tercatat",IF(AND(ISNUMBER(Q538),ISNUMBER(O538),ABS(Q538-O538)&gt;60),"Cek tahun laycan",IF(AND(ISNUMBER(Q538),ISNUMBER(N538),Q538&lt;N538),"Berangkat sebelum laycan",IF(NOT(ISNUMBER(AE538)),"S belum ada","OK"))))))</f>
        <v/>
      </c>
    </row>
    <row r="539" customFormat="false" ht="15" hidden="false" customHeight="false" outlineLevel="0" collapsed="false">
      <c r="A539" s="16" t="str">
        <f aca="false">IF(B539="","",ROW()-4)</f>
        <v/>
      </c>
      <c r="B539" s="12"/>
      <c r="C539" s="16"/>
      <c r="D539" s="16"/>
      <c r="E539" s="16"/>
      <c r="F539" s="16"/>
      <c r="G539" s="16"/>
      <c r="H539" s="16"/>
      <c r="I539" s="16"/>
      <c r="J539" s="16"/>
      <c r="K539" s="16"/>
      <c r="L539" s="13"/>
      <c r="M539" s="13"/>
      <c r="N539" s="13"/>
      <c r="O539" s="13"/>
      <c r="P539" s="13"/>
      <c r="Q539" s="13"/>
      <c r="R539" s="13"/>
      <c r="S539" s="13"/>
      <c r="T539" s="13"/>
      <c r="U539" s="12"/>
      <c r="V539" s="14"/>
      <c r="W539" s="16"/>
      <c r="X539" s="16"/>
      <c r="Y539" s="16"/>
      <c r="Z539" s="16"/>
      <c r="AA539" s="15" t="str">
        <f aca="false">IF(AND(ISNUMBER(L539),ISNUMBER(M539)),M539-L539,"")</f>
        <v/>
      </c>
      <c r="AB539" s="15" t="str">
        <f aca="false">IF(AND(ISNUMBER(M539),ISNUMBER(P539)),P539-M539,"")</f>
        <v/>
      </c>
      <c r="AC539" s="15" t="str">
        <f aca="false">IF(AND(ISNUMBER(L539),ISNUMBER(P539)),P539-L539,"")</f>
        <v/>
      </c>
      <c r="AD539" s="15" t="str">
        <f aca="false">IF(AND(ISNUMBER(P539),ISNUMBER(Q539)),Q539-P539,"")</f>
        <v/>
      </c>
      <c r="AE539" s="15" t="str">
        <f aca="false">IF(AND(ISNUMBER(Q539),ISNUMBER(R539)),R539-Q539,IF(ISNUMBER(Y539),Y539,""))</f>
        <v/>
      </c>
      <c r="AF539" s="15" t="str">
        <f aca="false">IF(AND(ISNUMBER(R539),ISNUMBER(S539)),S539-R539,"")</f>
        <v/>
      </c>
      <c r="AG539" s="15" t="str">
        <f aca="false">IF(AND(ISNUMBER(S539),ISNUMBER(T539)),T539-S539,"")</f>
        <v/>
      </c>
      <c r="AH539" s="15" t="str">
        <f aca="false">IF(AND(ISNUMBER(L539),ISNUMBER(T539)),T539-L539,"")</f>
        <v/>
      </c>
      <c r="AI539" s="15" t="str">
        <f aca="false">IF(AND(ISNUMBER(O539),ISNUMBER(Q539)),Q539-O539,"")</f>
        <v/>
      </c>
      <c r="AJ539" s="15" t="str">
        <f aca="false">IF(B539="","",COUNT(L539:M539,P539:T539)&amp;"/7")</f>
        <v/>
      </c>
      <c r="AK539" s="15" t="str">
        <f aca="false">IF(B539="","",IF(OR(AND(ISNUMBER(L539),ISNUMBER(M539),M539&lt;L539),AND(ISNUMBER(M539),ISNUMBER(P539),P539&lt;M539),AND(ISNUMBER(P539),ISNUMBER(Q539),Q539&lt;P539),AND(ISNUMBER(Q539),ISNUMBER(R539),R539&lt;Q539),AND(ISNUMBER(R539),ISNUMBER(S539),S539&lt;R539),AND(ISNUMBER(S539),ISNUMBER(T539),T539&lt;S539),AND(ISNUMBER(N539),ISNUMBER(O539),O539&lt;N539)),"Urutan tanggal salah",IF(AND(ISNUMBER(Q539),ISNUMBER(R539),ISNUMBER(Y539),ABS(R539-Q539-Y539)&gt;2),"S tanggal ≠ Sailing tercatat",IF(AND(ISNUMBER(Q539),ISNUMBER(O539),ABS(Q539-O539)&gt;60),"Cek tahun laycan",IF(AND(ISNUMBER(Q539),ISNUMBER(N539),Q539&lt;N539),"Berangkat sebelum laycan",IF(NOT(ISNUMBER(AE539)),"S belum ada","OK"))))))</f>
        <v/>
      </c>
    </row>
    <row r="540" customFormat="false" ht="15" hidden="false" customHeight="false" outlineLevel="0" collapsed="false">
      <c r="A540" s="16" t="str">
        <f aca="false">IF(B540="","",ROW()-4)</f>
        <v/>
      </c>
      <c r="B540" s="12"/>
      <c r="C540" s="16"/>
      <c r="D540" s="16"/>
      <c r="E540" s="16"/>
      <c r="F540" s="16"/>
      <c r="G540" s="16"/>
      <c r="H540" s="16"/>
      <c r="I540" s="16"/>
      <c r="J540" s="16"/>
      <c r="K540" s="16"/>
      <c r="L540" s="13"/>
      <c r="M540" s="13"/>
      <c r="N540" s="13"/>
      <c r="O540" s="13"/>
      <c r="P540" s="13"/>
      <c r="Q540" s="13"/>
      <c r="R540" s="13"/>
      <c r="S540" s="13"/>
      <c r="T540" s="13"/>
      <c r="U540" s="12"/>
      <c r="V540" s="14"/>
      <c r="W540" s="16"/>
      <c r="X540" s="16"/>
      <c r="Y540" s="16"/>
      <c r="Z540" s="16"/>
      <c r="AA540" s="15" t="str">
        <f aca="false">IF(AND(ISNUMBER(L540),ISNUMBER(M540)),M540-L540,"")</f>
        <v/>
      </c>
      <c r="AB540" s="15" t="str">
        <f aca="false">IF(AND(ISNUMBER(M540),ISNUMBER(P540)),P540-M540,"")</f>
        <v/>
      </c>
      <c r="AC540" s="15" t="str">
        <f aca="false">IF(AND(ISNUMBER(L540),ISNUMBER(P540)),P540-L540,"")</f>
        <v/>
      </c>
      <c r="AD540" s="15" t="str">
        <f aca="false">IF(AND(ISNUMBER(P540),ISNUMBER(Q540)),Q540-P540,"")</f>
        <v/>
      </c>
      <c r="AE540" s="15" t="str">
        <f aca="false">IF(AND(ISNUMBER(Q540),ISNUMBER(R540)),R540-Q540,IF(ISNUMBER(Y540),Y540,""))</f>
        <v/>
      </c>
      <c r="AF540" s="15" t="str">
        <f aca="false">IF(AND(ISNUMBER(R540),ISNUMBER(S540)),S540-R540,"")</f>
        <v/>
      </c>
      <c r="AG540" s="15" t="str">
        <f aca="false">IF(AND(ISNUMBER(S540),ISNUMBER(T540)),T540-S540,"")</f>
        <v/>
      </c>
      <c r="AH540" s="15" t="str">
        <f aca="false">IF(AND(ISNUMBER(L540),ISNUMBER(T540)),T540-L540,"")</f>
        <v/>
      </c>
      <c r="AI540" s="15" t="str">
        <f aca="false">IF(AND(ISNUMBER(O540),ISNUMBER(Q540)),Q540-O540,"")</f>
        <v/>
      </c>
      <c r="AJ540" s="15" t="str">
        <f aca="false">IF(B540="","",COUNT(L540:M540,P540:T540)&amp;"/7")</f>
        <v/>
      </c>
      <c r="AK540" s="15" t="str">
        <f aca="false">IF(B540="","",IF(OR(AND(ISNUMBER(L540),ISNUMBER(M540),M540&lt;L540),AND(ISNUMBER(M540),ISNUMBER(P540),P540&lt;M540),AND(ISNUMBER(P540),ISNUMBER(Q540),Q540&lt;P540),AND(ISNUMBER(Q540),ISNUMBER(R540),R540&lt;Q540),AND(ISNUMBER(R540),ISNUMBER(S540),S540&lt;R540),AND(ISNUMBER(S540),ISNUMBER(T540),T540&lt;S540),AND(ISNUMBER(N540),ISNUMBER(O540),O540&lt;N540)),"Urutan tanggal salah",IF(AND(ISNUMBER(Q540),ISNUMBER(R540),ISNUMBER(Y540),ABS(R540-Q540-Y540)&gt;2),"S tanggal ≠ Sailing tercatat",IF(AND(ISNUMBER(Q540),ISNUMBER(O540),ABS(Q540-O540)&gt;60),"Cek tahun laycan",IF(AND(ISNUMBER(Q540),ISNUMBER(N540),Q540&lt;N540),"Berangkat sebelum laycan",IF(NOT(ISNUMBER(AE540)),"S belum ada","OK"))))))</f>
        <v/>
      </c>
    </row>
    <row r="541" customFormat="false" ht="15" hidden="false" customHeight="false" outlineLevel="0" collapsed="false">
      <c r="A541" s="16" t="str">
        <f aca="false">IF(B541="","",ROW()-4)</f>
        <v/>
      </c>
      <c r="B541" s="12"/>
      <c r="C541" s="16"/>
      <c r="D541" s="16"/>
      <c r="E541" s="16"/>
      <c r="F541" s="16"/>
      <c r="G541" s="16"/>
      <c r="H541" s="16"/>
      <c r="I541" s="16"/>
      <c r="J541" s="16"/>
      <c r="K541" s="16"/>
      <c r="L541" s="13"/>
      <c r="M541" s="13"/>
      <c r="N541" s="13"/>
      <c r="O541" s="13"/>
      <c r="P541" s="13"/>
      <c r="Q541" s="13"/>
      <c r="R541" s="13"/>
      <c r="S541" s="13"/>
      <c r="T541" s="13"/>
      <c r="U541" s="12"/>
      <c r="V541" s="14"/>
      <c r="W541" s="16"/>
      <c r="X541" s="16"/>
      <c r="Y541" s="16"/>
      <c r="Z541" s="16"/>
      <c r="AA541" s="15" t="str">
        <f aca="false">IF(AND(ISNUMBER(L541),ISNUMBER(M541)),M541-L541,"")</f>
        <v/>
      </c>
      <c r="AB541" s="15" t="str">
        <f aca="false">IF(AND(ISNUMBER(M541),ISNUMBER(P541)),P541-M541,"")</f>
        <v/>
      </c>
      <c r="AC541" s="15" t="str">
        <f aca="false">IF(AND(ISNUMBER(L541),ISNUMBER(P541)),P541-L541,"")</f>
        <v/>
      </c>
      <c r="AD541" s="15" t="str">
        <f aca="false">IF(AND(ISNUMBER(P541),ISNUMBER(Q541)),Q541-P541,"")</f>
        <v/>
      </c>
      <c r="AE541" s="15" t="str">
        <f aca="false">IF(AND(ISNUMBER(Q541),ISNUMBER(R541)),R541-Q541,IF(ISNUMBER(Y541),Y541,""))</f>
        <v/>
      </c>
      <c r="AF541" s="15" t="str">
        <f aca="false">IF(AND(ISNUMBER(R541),ISNUMBER(S541)),S541-R541,"")</f>
        <v/>
      </c>
      <c r="AG541" s="15" t="str">
        <f aca="false">IF(AND(ISNUMBER(S541),ISNUMBER(T541)),T541-S541,"")</f>
        <v/>
      </c>
      <c r="AH541" s="15" t="str">
        <f aca="false">IF(AND(ISNUMBER(L541),ISNUMBER(T541)),T541-L541,"")</f>
        <v/>
      </c>
      <c r="AI541" s="15" t="str">
        <f aca="false">IF(AND(ISNUMBER(O541),ISNUMBER(Q541)),Q541-O541,"")</f>
        <v/>
      </c>
      <c r="AJ541" s="15" t="str">
        <f aca="false">IF(B541="","",COUNT(L541:M541,P541:T541)&amp;"/7")</f>
        <v/>
      </c>
      <c r="AK541" s="15" t="str">
        <f aca="false">IF(B541="","",IF(OR(AND(ISNUMBER(L541),ISNUMBER(M541),M541&lt;L541),AND(ISNUMBER(M541),ISNUMBER(P541),P541&lt;M541),AND(ISNUMBER(P541),ISNUMBER(Q541),Q541&lt;P541),AND(ISNUMBER(Q541),ISNUMBER(R541),R541&lt;Q541),AND(ISNUMBER(R541),ISNUMBER(S541),S541&lt;R541),AND(ISNUMBER(S541),ISNUMBER(T541),T541&lt;S541),AND(ISNUMBER(N541),ISNUMBER(O541),O541&lt;N541)),"Urutan tanggal salah",IF(AND(ISNUMBER(Q541),ISNUMBER(R541),ISNUMBER(Y541),ABS(R541-Q541-Y541)&gt;2),"S tanggal ≠ Sailing tercatat",IF(AND(ISNUMBER(Q541),ISNUMBER(O541),ABS(Q541-O541)&gt;60),"Cek tahun laycan",IF(AND(ISNUMBER(Q541),ISNUMBER(N541),Q541&lt;N541),"Berangkat sebelum laycan",IF(NOT(ISNUMBER(AE541)),"S belum ada","OK"))))))</f>
        <v/>
      </c>
    </row>
    <row r="542" customFormat="false" ht="15" hidden="false" customHeight="false" outlineLevel="0" collapsed="false">
      <c r="A542" s="16" t="str">
        <f aca="false">IF(B542="","",ROW()-4)</f>
        <v/>
      </c>
      <c r="B542" s="12"/>
      <c r="C542" s="16"/>
      <c r="D542" s="16"/>
      <c r="E542" s="16"/>
      <c r="F542" s="16"/>
      <c r="G542" s="16"/>
      <c r="H542" s="16"/>
      <c r="I542" s="16"/>
      <c r="J542" s="16"/>
      <c r="K542" s="16"/>
      <c r="L542" s="13"/>
      <c r="M542" s="13"/>
      <c r="N542" s="13"/>
      <c r="O542" s="13"/>
      <c r="P542" s="13"/>
      <c r="Q542" s="13"/>
      <c r="R542" s="13"/>
      <c r="S542" s="13"/>
      <c r="T542" s="13"/>
      <c r="U542" s="12"/>
      <c r="V542" s="14"/>
      <c r="W542" s="16"/>
      <c r="X542" s="16"/>
      <c r="Y542" s="16"/>
      <c r="Z542" s="16"/>
      <c r="AA542" s="15" t="str">
        <f aca="false">IF(AND(ISNUMBER(L542),ISNUMBER(M542)),M542-L542,"")</f>
        <v/>
      </c>
      <c r="AB542" s="15" t="str">
        <f aca="false">IF(AND(ISNUMBER(M542),ISNUMBER(P542)),P542-M542,"")</f>
        <v/>
      </c>
      <c r="AC542" s="15" t="str">
        <f aca="false">IF(AND(ISNUMBER(L542),ISNUMBER(P542)),P542-L542,"")</f>
        <v/>
      </c>
      <c r="AD542" s="15" t="str">
        <f aca="false">IF(AND(ISNUMBER(P542),ISNUMBER(Q542)),Q542-P542,"")</f>
        <v/>
      </c>
      <c r="AE542" s="15" t="str">
        <f aca="false">IF(AND(ISNUMBER(Q542),ISNUMBER(R542)),R542-Q542,IF(ISNUMBER(Y542),Y542,""))</f>
        <v/>
      </c>
      <c r="AF542" s="15" t="str">
        <f aca="false">IF(AND(ISNUMBER(R542),ISNUMBER(S542)),S542-R542,"")</f>
        <v/>
      </c>
      <c r="AG542" s="15" t="str">
        <f aca="false">IF(AND(ISNUMBER(S542),ISNUMBER(T542)),T542-S542,"")</f>
        <v/>
      </c>
      <c r="AH542" s="15" t="str">
        <f aca="false">IF(AND(ISNUMBER(L542),ISNUMBER(T542)),T542-L542,"")</f>
        <v/>
      </c>
      <c r="AI542" s="15" t="str">
        <f aca="false">IF(AND(ISNUMBER(O542),ISNUMBER(Q542)),Q542-O542,"")</f>
        <v/>
      </c>
      <c r="AJ542" s="15" t="str">
        <f aca="false">IF(B542="","",COUNT(L542:M542,P542:T542)&amp;"/7")</f>
        <v/>
      </c>
      <c r="AK542" s="15" t="str">
        <f aca="false">IF(B542="","",IF(OR(AND(ISNUMBER(L542),ISNUMBER(M542),M542&lt;L542),AND(ISNUMBER(M542),ISNUMBER(P542),P542&lt;M542),AND(ISNUMBER(P542),ISNUMBER(Q542),Q542&lt;P542),AND(ISNUMBER(Q542),ISNUMBER(R542),R542&lt;Q542),AND(ISNUMBER(R542),ISNUMBER(S542),S542&lt;R542),AND(ISNUMBER(S542),ISNUMBER(T542),T542&lt;S542),AND(ISNUMBER(N542),ISNUMBER(O542),O542&lt;N542)),"Urutan tanggal salah",IF(AND(ISNUMBER(Q542),ISNUMBER(R542),ISNUMBER(Y542),ABS(R542-Q542-Y542)&gt;2),"S tanggal ≠ Sailing tercatat",IF(AND(ISNUMBER(Q542),ISNUMBER(O542),ABS(Q542-O542)&gt;60),"Cek tahun laycan",IF(AND(ISNUMBER(Q542),ISNUMBER(N542),Q542&lt;N542),"Berangkat sebelum laycan",IF(NOT(ISNUMBER(AE542)),"S belum ada","OK"))))))</f>
        <v/>
      </c>
    </row>
    <row r="543" customFormat="false" ht="15" hidden="false" customHeight="false" outlineLevel="0" collapsed="false">
      <c r="A543" s="16" t="str">
        <f aca="false">IF(B543="","",ROW()-4)</f>
        <v/>
      </c>
      <c r="B543" s="12"/>
      <c r="C543" s="16"/>
      <c r="D543" s="16"/>
      <c r="E543" s="16"/>
      <c r="F543" s="16"/>
      <c r="G543" s="16"/>
      <c r="H543" s="16"/>
      <c r="I543" s="16"/>
      <c r="J543" s="16"/>
      <c r="K543" s="16"/>
      <c r="L543" s="13"/>
      <c r="M543" s="13"/>
      <c r="N543" s="13"/>
      <c r="O543" s="13"/>
      <c r="P543" s="13"/>
      <c r="Q543" s="13"/>
      <c r="R543" s="13"/>
      <c r="S543" s="13"/>
      <c r="T543" s="13"/>
      <c r="U543" s="12"/>
      <c r="V543" s="14"/>
      <c r="W543" s="16"/>
      <c r="X543" s="16"/>
      <c r="Y543" s="16"/>
      <c r="Z543" s="16"/>
      <c r="AA543" s="15" t="str">
        <f aca="false">IF(AND(ISNUMBER(L543),ISNUMBER(M543)),M543-L543,"")</f>
        <v/>
      </c>
      <c r="AB543" s="15" t="str">
        <f aca="false">IF(AND(ISNUMBER(M543),ISNUMBER(P543)),P543-M543,"")</f>
        <v/>
      </c>
      <c r="AC543" s="15" t="str">
        <f aca="false">IF(AND(ISNUMBER(L543),ISNUMBER(P543)),P543-L543,"")</f>
        <v/>
      </c>
      <c r="AD543" s="15" t="str">
        <f aca="false">IF(AND(ISNUMBER(P543),ISNUMBER(Q543)),Q543-P543,"")</f>
        <v/>
      </c>
      <c r="AE543" s="15" t="str">
        <f aca="false">IF(AND(ISNUMBER(Q543),ISNUMBER(R543)),R543-Q543,IF(ISNUMBER(Y543),Y543,""))</f>
        <v/>
      </c>
      <c r="AF543" s="15" t="str">
        <f aca="false">IF(AND(ISNUMBER(R543),ISNUMBER(S543)),S543-R543,"")</f>
        <v/>
      </c>
      <c r="AG543" s="15" t="str">
        <f aca="false">IF(AND(ISNUMBER(S543),ISNUMBER(T543)),T543-S543,"")</f>
        <v/>
      </c>
      <c r="AH543" s="15" t="str">
        <f aca="false">IF(AND(ISNUMBER(L543),ISNUMBER(T543)),T543-L543,"")</f>
        <v/>
      </c>
      <c r="AI543" s="15" t="str">
        <f aca="false">IF(AND(ISNUMBER(O543),ISNUMBER(Q543)),Q543-O543,"")</f>
        <v/>
      </c>
      <c r="AJ543" s="15" t="str">
        <f aca="false">IF(B543="","",COUNT(L543:M543,P543:T543)&amp;"/7")</f>
        <v/>
      </c>
      <c r="AK543" s="15" t="str">
        <f aca="false">IF(B543="","",IF(OR(AND(ISNUMBER(L543),ISNUMBER(M543),M543&lt;L543),AND(ISNUMBER(M543),ISNUMBER(P543),P543&lt;M543),AND(ISNUMBER(P543),ISNUMBER(Q543),Q543&lt;P543),AND(ISNUMBER(Q543),ISNUMBER(R543),R543&lt;Q543),AND(ISNUMBER(R543),ISNUMBER(S543),S543&lt;R543),AND(ISNUMBER(S543),ISNUMBER(T543),T543&lt;S543),AND(ISNUMBER(N543),ISNUMBER(O543),O543&lt;N543)),"Urutan tanggal salah",IF(AND(ISNUMBER(Q543),ISNUMBER(R543),ISNUMBER(Y543),ABS(R543-Q543-Y543)&gt;2),"S tanggal ≠ Sailing tercatat",IF(AND(ISNUMBER(Q543),ISNUMBER(O543),ABS(Q543-O543)&gt;60),"Cek tahun laycan",IF(AND(ISNUMBER(Q543),ISNUMBER(N543),Q543&lt;N543),"Berangkat sebelum laycan",IF(NOT(ISNUMBER(AE543)),"S belum ada","OK"))))))</f>
        <v/>
      </c>
    </row>
    <row r="544" customFormat="false" ht="15" hidden="false" customHeight="false" outlineLevel="0" collapsed="false">
      <c r="A544" s="16" t="str">
        <f aca="false">IF(B544="","",ROW()-4)</f>
        <v/>
      </c>
      <c r="B544" s="12"/>
      <c r="C544" s="16"/>
      <c r="D544" s="16"/>
      <c r="E544" s="16"/>
      <c r="F544" s="16"/>
      <c r="G544" s="16"/>
      <c r="H544" s="16"/>
      <c r="I544" s="16"/>
      <c r="J544" s="16"/>
      <c r="K544" s="16"/>
      <c r="L544" s="13"/>
      <c r="M544" s="13"/>
      <c r="N544" s="13"/>
      <c r="O544" s="13"/>
      <c r="P544" s="13"/>
      <c r="Q544" s="13"/>
      <c r="R544" s="13"/>
      <c r="S544" s="13"/>
      <c r="T544" s="13"/>
      <c r="U544" s="12"/>
      <c r="V544" s="14"/>
      <c r="W544" s="16"/>
      <c r="X544" s="16"/>
      <c r="Y544" s="16"/>
      <c r="Z544" s="16"/>
      <c r="AA544" s="15" t="str">
        <f aca="false">IF(AND(ISNUMBER(L544),ISNUMBER(M544)),M544-L544,"")</f>
        <v/>
      </c>
      <c r="AB544" s="15" t="str">
        <f aca="false">IF(AND(ISNUMBER(M544),ISNUMBER(P544)),P544-M544,"")</f>
        <v/>
      </c>
      <c r="AC544" s="15" t="str">
        <f aca="false">IF(AND(ISNUMBER(L544),ISNUMBER(P544)),P544-L544,"")</f>
        <v/>
      </c>
      <c r="AD544" s="15" t="str">
        <f aca="false">IF(AND(ISNUMBER(P544),ISNUMBER(Q544)),Q544-P544,"")</f>
        <v/>
      </c>
      <c r="AE544" s="15" t="str">
        <f aca="false">IF(AND(ISNUMBER(Q544),ISNUMBER(R544)),R544-Q544,IF(ISNUMBER(Y544),Y544,""))</f>
        <v/>
      </c>
      <c r="AF544" s="15" t="str">
        <f aca="false">IF(AND(ISNUMBER(R544),ISNUMBER(S544)),S544-R544,"")</f>
        <v/>
      </c>
      <c r="AG544" s="15" t="str">
        <f aca="false">IF(AND(ISNUMBER(S544),ISNUMBER(T544)),T544-S544,"")</f>
        <v/>
      </c>
      <c r="AH544" s="15" t="str">
        <f aca="false">IF(AND(ISNUMBER(L544),ISNUMBER(T544)),T544-L544,"")</f>
        <v/>
      </c>
      <c r="AI544" s="15" t="str">
        <f aca="false">IF(AND(ISNUMBER(O544),ISNUMBER(Q544)),Q544-O544,"")</f>
        <v/>
      </c>
      <c r="AJ544" s="15" t="str">
        <f aca="false">IF(B544="","",COUNT(L544:M544,P544:T544)&amp;"/7")</f>
        <v/>
      </c>
      <c r="AK544" s="15" t="str">
        <f aca="false">IF(B544="","",IF(OR(AND(ISNUMBER(L544),ISNUMBER(M544),M544&lt;L544),AND(ISNUMBER(M544),ISNUMBER(P544),P544&lt;M544),AND(ISNUMBER(P544),ISNUMBER(Q544),Q544&lt;P544),AND(ISNUMBER(Q544),ISNUMBER(R544),R544&lt;Q544),AND(ISNUMBER(R544),ISNUMBER(S544),S544&lt;R544),AND(ISNUMBER(S544),ISNUMBER(T544),T544&lt;S544),AND(ISNUMBER(N544),ISNUMBER(O544),O544&lt;N544)),"Urutan tanggal salah",IF(AND(ISNUMBER(Q544),ISNUMBER(R544),ISNUMBER(Y544),ABS(R544-Q544-Y544)&gt;2),"S tanggal ≠ Sailing tercatat",IF(AND(ISNUMBER(Q544),ISNUMBER(O544),ABS(Q544-O544)&gt;60),"Cek tahun laycan",IF(AND(ISNUMBER(Q544),ISNUMBER(N544),Q544&lt;N544),"Berangkat sebelum laycan",IF(NOT(ISNUMBER(AE544)),"S belum ada","OK"))))))</f>
        <v/>
      </c>
    </row>
    <row r="545" customFormat="false" ht="15" hidden="false" customHeight="false" outlineLevel="0" collapsed="false">
      <c r="A545" s="16" t="str">
        <f aca="false">IF(B545="","",ROW()-4)</f>
        <v/>
      </c>
      <c r="B545" s="12"/>
      <c r="C545" s="16"/>
      <c r="D545" s="16"/>
      <c r="E545" s="16"/>
      <c r="F545" s="16"/>
      <c r="G545" s="16"/>
      <c r="H545" s="16"/>
      <c r="I545" s="16"/>
      <c r="J545" s="16"/>
      <c r="K545" s="16"/>
      <c r="L545" s="13"/>
      <c r="M545" s="13"/>
      <c r="N545" s="13"/>
      <c r="O545" s="13"/>
      <c r="P545" s="13"/>
      <c r="Q545" s="13"/>
      <c r="R545" s="13"/>
      <c r="S545" s="13"/>
      <c r="T545" s="13"/>
      <c r="U545" s="12"/>
      <c r="V545" s="14"/>
      <c r="W545" s="16"/>
      <c r="X545" s="16"/>
      <c r="Y545" s="16"/>
      <c r="Z545" s="16"/>
      <c r="AA545" s="15" t="str">
        <f aca="false">IF(AND(ISNUMBER(L545),ISNUMBER(M545)),M545-L545,"")</f>
        <v/>
      </c>
      <c r="AB545" s="15" t="str">
        <f aca="false">IF(AND(ISNUMBER(M545),ISNUMBER(P545)),P545-M545,"")</f>
        <v/>
      </c>
      <c r="AC545" s="15" t="str">
        <f aca="false">IF(AND(ISNUMBER(L545),ISNUMBER(P545)),P545-L545,"")</f>
        <v/>
      </c>
      <c r="AD545" s="15" t="str">
        <f aca="false">IF(AND(ISNUMBER(P545),ISNUMBER(Q545)),Q545-P545,"")</f>
        <v/>
      </c>
      <c r="AE545" s="15" t="str">
        <f aca="false">IF(AND(ISNUMBER(Q545),ISNUMBER(R545)),R545-Q545,IF(ISNUMBER(Y545),Y545,""))</f>
        <v/>
      </c>
      <c r="AF545" s="15" t="str">
        <f aca="false">IF(AND(ISNUMBER(R545),ISNUMBER(S545)),S545-R545,"")</f>
        <v/>
      </c>
      <c r="AG545" s="15" t="str">
        <f aca="false">IF(AND(ISNUMBER(S545),ISNUMBER(T545)),T545-S545,"")</f>
        <v/>
      </c>
      <c r="AH545" s="15" t="str">
        <f aca="false">IF(AND(ISNUMBER(L545),ISNUMBER(T545)),T545-L545,"")</f>
        <v/>
      </c>
      <c r="AI545" s="15" t="str">
        <f aca="false">IF(AND(ISNUMBER(O545),ISNUMBER(Q545)),Q545-O545,"")</f>
        <v/>
      </c>
      <c r="AJ545" s="15" t="str">
        <f aca="false">IF(B545="","",COUNT(L545:M545,P545:T545)&amp;"/7")</f>
        <v/>
      </c>
      <c r="AK545" s="15" t="str">
        <f aca="false">IF(B545="","",IF(OR(AND(ISNUMBER(L545),ISNUMBER(M545),M545&lt;L545),AND(ISNUMBER(M545),ISNUMBER(P545),P545&lt;M545),AND(ISNUMBER(P545),ISNUMBER(Q545),Q545&lt;P545),AND(ISNUMBER(Q545),ISNUMBER(R545),R545&lt;Q545),AND(ISNUMBER(R545),ISNUMBER(S545),S545&lt;R545),AND(ISNUMBER(S545),ISNUMBER(T545),T545&lt;S545),AND(ISNUMBER(N545),ISNUMBER(O545),O545&lt;N545)),"Urutan tanggal salah",IF(AND(ISNUMBER(Q545),ISNUMBER(R545),ISNUMBER(Y545),ABS(R545-Q545-Y545)&gt;2),"S tanggal ≠ Sailing tercatat",IF(AND(ISNUMBER(Q545),ISNUMBER(O545),ABS(Q545-O545)&gt;60),"Cek tahun laycan",IF(AND(ISNUMBER(Q545),ISNUMBER(N545),Q545&lt;N545),"Berangkat sebelum laycan",IF(NOT(ISNUMBER(AE545)),"S belum ada","OK"))))))</f>
        <v/>
      </c>
    </row>
    <row r="546" customFormat="false" ht="15" hidden="false" customHeight="false" outlineLevel="0" collapsed="false">
      <c r="A546" s="16" t="str">
        <f aca="false">IF(B546="","",ROW()-4)</f>
        <v/>
      </c>
      <c r="B546" s="12"/>
      <c r="C546" s="16"/>
      <c r="D546" s="16"/>
      <c r="E546" s="16"/>
      <c r="F546" s="16"/>
      <c r="G546" s="16"/>
      <c r="H546" s="16"/>
      <c r="I546" s="16"/>
      <c r="J546" s="16"/>
      <c r="K546" s="16"/>
      <c r="L546" s="13"/>
      <c r="M546" s="13"/>
      <c r="N546" s="13"/>
      <c r="O546" s="13"/>
      <c r="P546" s="13"/>
      <c r="Q546" s="13"/>
      <c r="R546" s="13"/>
      <c r="S546" s="13"/>
      <c r="T546" s="13"/>
      <c r="U546" s="12"/>
      <c r="V546" s="14"/>
      <c r="W546" s="16"/>
      <c r="X546" s="16"/>
      <c r="Y546" s="16"/>
      <c r="Z546" s="16"/>
      <c r="AA546" s="15" t="str">
        <f aca="false">IF(AND(ISNUMBER(L546),ISNUMBER(M546)),M546-L546,"")</f>
        <v/>
      </c>
      <c r="AB546" s="15" t="str">
        <f aca="false">IF(AND(ISNUMBER(M546),ISNUMBER(P546)),P546-M546,"")</f>
        <v/>
      </c>
      <c r="AC546" s="15" t="str">
        <f aca="false">IF(AND(ISNUMBER(L546),ISNUMBER(P546)),P546-L546,"")</f>
        <v/>
      </c>
      <c r="AD546" s="15" t="str">
        <f aca="false">IF(AND(ISNUMBER(P546),ISNUMBER(Q546)),Q546-P546,"")</f>
        <v/>
      </c>
      <c r="AE546" s="15" t="str">
        <f aca="false">IF(AND(ISNUMBER(Q546),ISNUMBER(R546)),R546-Q546,IF(ISNUMBER(Y546),Y546,""))</f>
        <v/>
      </c>
      <c r="AF546" s="15" t="str">
        <f aca="false">IF(AND(ISNUMBER(R546),ISNUMBER(S546)),S546-R546,"")</f>
        <v/>
      </c>
      <c r="AG546" s="15" t="str">
        <f aca="false">IF(AND(ISNUMBER(S546),ISNUMBER(T546)),T546-S546,"")</f>
        <v/>
      </c>
      <c r="AH546" s="15" t="str">
        <f aca="false">IF(AND(ISNUMBER(L546),ISNUMBER(T546)),T546-L546,"")</f>
        <v/>
      </c>
      <c r="AI546" s="15" t="str">
        <f aca="false">IF(AND(ISNUMBER(O546),ISNUMBER(Q546)),Q546-O546,"")</f>
        <v/>
      </c>
      <c r="AJ546" s="15" t="str">
        <f aca="false">IF(B546="","",COUNT(L546:M546,P546:T546)&amp;"/7")</f>
        <v/>
      </c>
      <c r="AK546" s="15" t="str">
        <f aca="false">IF(B546="","",IF(OR(AND(ISNUMBER(L546),ISNUMBER(M546),M546&lt;L546),AND(ISNUMBER(M546),ISNUMBER(P546),P546&lt;M546),AND(ISNUMBER(P546),ISNUMBER(Q546),Q546&lt;P546),AND(ISNUMBER(Q546),ISNUMBER(R546),R546&lt;Q546),AND(ISNUMBER(R546),ISNUMBER(S546),S546&lt;R546),AND(ISNUMBER(S546),ISNUMBER(T546),T546&lt;S546),AND(ISNUMBER(N546),ISNUMBER(O546),O546&lt;N546)),"Urutan tanggal salah",IF(AND(ISNUMBER(Q546),ISNUMBER(R546),ISNUMBER(Y546),ABS(R546-Q546-Y546)&gt;2),"S tanggal ≠ Sailing tercatat",IF(AND(ISNUMBER(Q546),ISNUMBER(O546),ABS(Q546-O546)&gt;60),"Cek tahun laycan",IF(AND(ISNUMBER(Q546),ISNUMBER(N546),Q546&lt;N546),"Berangkat sebelum laycan",IF(NOT(ISNUMBER(AE546)),"S belum ada","OK"))))))</f>
        <v/>
      </c>
    </row>
    <row r="547" customFormat="false" ht="15" hidden="false" customHeight="false" outlineLevel="0" collapsed="false">
      <c r="A547" s="16" t="str">
        <f aca="false">IF(B547="","",ROW()-4)</f>
        <v/>
      </c>
      <c r="B547" s="12"/>
      <c r="C547" s="16"/>
      <c r="D547" s="16"/>
      <c r="E547" s="16"/>
      <c r="F547" s="16"/>
      <c r="G547" s="16"/>
      <c r="H547" s="16"/>
      <c r="I547" s="16"/>
      <c r="J547" s="16"/>
      <c r="K547" s="16"/>
      <c r="L547" s="13"/>
      <c r="M547" s="13"/>
      <c r="N547" s="13"/>
      <c r="O547" s="13"/>
      <c r="P547" s="13"/>
      <c r="Q547" s="13"/>
      <c r="R547" s="13"/>
      <c r="S547" s="13"/>
      <c r="T547" s="13"/>
      <c r="U547" s="12"/>
      <c r="V547" s="14"/>
      <c r="W547" s="16"/>
      <c r="X547" s="16"/>
      <c r="Y547" s="16"/>
      <c r="Z547" s="16"/>
      <c r="AA547" s="15" t="str">
        <f aca="false">IF(AND(ISNUMBER(L547),ISNUMBER(M547)),M547-L547,"")</f>
        <v/>
      </c>
      <c r="AB547" s="15" t="str">
        <f aca="false">IF(AND(ISNUMBER(M547),ISNUMBER(P547)),P547-M547,"")</f>
        <v/>
      </c>
      <c r="AC547" s="15" t="str">
        <f aca="false">IF(AND(ISNUMBER(L547),ISNUMBER(P547)),P547-L547,"")</f>
        <v/>
      </c>
      <c r="AD547" s="15" t="str">
        <f aca="false">IF(AND(ISNUMBER(P547),ISNUMBER(Q547)),Q547-P547,"")</f>
        <v/>
      </c>
      <c r="AE547" s="15" t="str">
        <f aca="false">IF(AND(ISNUMBER(Q547),ISNUMBER(R547)),R547-Q547,IF(ISNUMBER(Y547),Y547,""))</f>
        <v/>
      </c>
      <c r="AF547" s="15" t="str">
        <f aca="false">IF(AND(ISNUMBER(R547),ISNUMBER(S547)),S547-R547,"")</f>
        <v/>
      </c>
      <c r="AG547" s="15" t="str">
        <f aca="false">IF(AND(ISNUMBER(S547),ISNUMBER(T547)),T547-S547,"")</f>
        <v/>
      </c>
      <c r="AH547" s="15" t="str">
        <f aca="false">IF(AND(ISNUMBER(L547),ISNUMBER(T547)),T547-L547,"")</f>
        <v/>
      </c>
      <c r="AI547" s="15" t="str">
        <f aca="false">IF(AND(ISNUMBER(O547),ISNUMBER(Q547)),Q547-O547,"")</f>
        <v/>
      </c>
      <c r="AJ547" s="15" t="str">
        <f aca="false">IF(B547="","",COUNT(L547:M547,P547:T547)&amp;"/7")</f>
        <v/>
      </c>
      <c r="AK547" s="15" t="str">
        <f aca="false">IF(B547="","",IF(OR(AND(ISNUMBER(L547),ISNUMBER(M547),M547&lt;L547),AND(ISNUMBER(M547),ISNUMBER(P547),P547&lt;M547),AND(ISNUMBER(P547),ISNUMBER(Q547),Q547&lt;P547),AND(ISNUMBER(Q547),ISNUMBER(R547),R547&lt;Q547),AND(ISNUMBER(R547),ISNUMBER(S547),S547&lt;R547),AND(ISNUMBER(S547),ISNUMBER(T547),T547&lt;S547),AND(ISNUMBER(N547),ISNUMBER(O547),O547&lt;N547)),"Urutan tanggal salah",IF(AND(ISNUMBER(Q547),ISNUMBER(R547),ISNUMBER(Y547),ABS(R547-Q547-Y547)&gt;2),"S tanggal ≠ Sailing tercatat",IF(AND(ISNUMBER(Q547),ISNUMBER(O547),ABS(Q547-O547)&gt;60),"Cek tahun laycan",IF(AND(ISNUMBER(Q547),ISNUMBER(N547),Q547&lt;N547),"Berangkat sebelum laycan",IF(NOT(ISNUMBER(AE547)),"S belum ada","OK"))))))</f>
        <v/>
      </c>
    </row>
    <row r="548" customFormat="false" ht="15" hidden="false" customHeight="false" outlineLevel="0" collapsed="false">
      <c r="A548" s="16" t="str">
        <f aca="false">IF(B548="","",ROW()-4)</f>
        <v/>
      </c>
      <c r="B548" s="12"/>
      <c r="C548" s="16"/>
      <c r="D548" s="16"/>
      <c r="E548" s="16"/>
      <c r="F548" s="16"/>
      <c r="G548" s="16"/>
      <c r="H548" s="16"/>
      <c r="I548" s="16"/>
      <c r="J548" s="16"/>
      <c r="K548" s="16"/>
      <c r="L548" s="13"/>
      <c r="M548" s="13"/>
      <c r="N548" s="13"/>
      <c r="O548" s="13"/>
      <c r="P548" s="13"/>
      <c r="Q548" s="13"/>
      <c r="R548" s="13"/>
      <c r="S548" s="13"/>
      <c r="T548" s="13"/>
      <c r="U548" s="12"/>
      <c r="V548" s="14"/>
      <c r="W548" s="16"/>
      <c r="X548" s="16"/>
      <c r="Y548" s="16"/>
      <c r="Z548" s="16"/>
      <c r="AA548" s="15" t="str">
        <f aca="false">IF(AND(ISNUMBER(L548),ISNUMBER(M548)),M548-L548,"")</f>
        <v/>
      </c>
      <c r="AB548" s="15" t="str">
        <f aca="false">IF(AND(ISNUMBER(M548),ISNUMBER(P548)),P548-M548,"")</f>
        <v/>
      </c>
      <c r="AC548" s="15" t="str">
        <f aca="false">IF(AND(ISNUMBER(L548),ISNUMBER(P548)),P548-L548,"")</f>
        <v/>
      </c>
      <c r="AD548" s="15" t="str">
        <f aca="false">IF(AND(ISNUMBER(P548),ISNUMBER(Q548)),Q548-P548,"")</f>
        <v/>
      </c>
      <c r="AE548" s="15" t="str">
        <f aca="false">IF(AND(ISNUMBER(Q548),ISNUMBER(R548)),R548-Q548,IF(ISNUMBER(Y548),Y548,""))</f>
        <v/>
      </c>
      <c r="AF548" s="15" t="str">
        <f aca="false">IF(AND(ISNUMBER(R548),ISNUMBER(S548)),S548-R548,"")</f>
        <v/>
      </c>
      <c r="AG548" s="15" t="str">
        <f aca="false">IF(AND(ISNUMBER(S548),ISNUMBER(T548)),T548-S548,"")</f>
        <v/>
      </c>
      <c r="AH548" s="15" t="str">
        <f aca="false">IF(AND(ISNUMBER(L548),ISNUMBER(T548)),T548-L548,"")</f>
        <v/>
      </c>
      <c r="AI548" s="15" t="str">
        <f aca="false">IF(AND(ISNUMBER(O548),ISNUMBER(Q548)),Q548-O548,"")</f>
        <v/>
      </c>
      <c r="AJ548" s="15" t="str">
        <f aca="false">IF(B548="","",COUNT(L548:M548,P548:T548)&amp;"/7")</f>
        <v/>
      </c>
      <c r="AK548" s="15" t="str">
        <f aca="false">IF(B548="","",IF(OR(AND(ISNUMBER(L548),ISNUMBER(M548),M548&lt;L548),AND(ISNUMBER(M548),ISNUMBER(P548),P548&lt;M548),AND(ISNUMBER(P548),ISNUMBER(Q548),Q548&lt;P548),AND(ISNUMBER(Q548),ISNUMBER(R548),R548&lt;Q548),AND(ISNUMBER(R548),ISNUMBER(S548),S548&lt;R548),AND(ISNUMBER(S548),ISNUMBER(T548),T548&lt;S548),AND(ISNUMBER(N548),ISNUMBER(O548),O548&lt;N548)),"Urutan tanggal salah",IF(AND(ISNUMBER(Q548),ISNUMBER(R548),ISNUMBER(Y548),ABS(R548-Q548-Y548)&gt;2),"S tanggal ≠ Sailing tercatat",IF(AND(ISNUMBER(Q548),ISNUMBER(O548),ABS(Q548-O548)&gt;60),"Cek tahun laycan",IF(AND(ISNUMBER(Q548),ISNUMBER(N548),Q548&lt;N548),"Berangkat sebelum laycan",IF(NOT(ISNUMBER(AE548)),"S belum ada","OK"))))))</f>
        <v/>
      </c>
    </row>
    <row r="549" customFormat="false" ht="15" hidden="false" customHeight="false" outlineLevel="0" collapsed="false">
      <c r="A549" s="16" t="str">
        <f aca="false">IF(B549="","",ROW()-4)</f>
        <v/>
      </c>
      <c r="B549" s="12"/>
      <c r="C549" s="16"/>
      <c r="D549" s="16"/>
      <c r="E549" s="16"/>
      <c r="F549" s="16"/>
      <c r="G549" s="16"/>
      <c r="H549" s="16"/>
      <c r="I549" s="16"/>
      <c r="J549" s="16"/>
      <c r="K549" s="16"/>
      <c r="L549" s="13"/>
      <c r="M549" s="13"/>
      <c r="N549" s="13"/>
      <c r="O549" s="13"/>
      <c r="P549" s="13"/>
      <c r="Q549" s="13"/>
      <c r="R549" s="13"/>
      <c r="S549" s="13"/>
      <c r="T549" s="13"/>
      <c r="U549" s="12"/>
      <c r="V549" s="14"/>
      <c r="W549" s="16"/>
      <c r="X549" s="16"/>
      <c r="Y549" s="16"/>
      <c r="Z549" s="16"/>
      <c r="AA549" s="15" t="str">
        <f aca="false">IF(AND(ISNUMBER(L549),ISNUMBER(M549)),M549-L549,"")</f>
        <v/>
      </c>
      <c r="AB549" s="15" t="str">
        <f aca="false">IF(AND(ISNUMBER(M549),ISNUMBER(P549)),P549-M549,"")</f>
        <v/>
      </c>
      <c r="AC549" s="15" t="str">
        <f aca="false">IF(AND(ISNUMBER(L549),ISNUMBER(P549)),P549-L549,"")</f>
        <v/>
      </c>
      <c r="AD549" s="15" t="str">
        <f aca="false">IF(AND(ISNUMBER(P549),ISNUMBER(Q549)),Q549-P549,"")</f>
        <v/>
      </c>
      <c r="AE549" s="15" t="str">
        <f aca="false">IF(AND(ISNUMBER(Q549),ISNUMBER(R549)),R549-Q549,IF(ISNUMBER(Y549),Y549,""))</f>
        <v/>
      </c>
      <c r="AF549" s="15" t="str">
        <f aca="false">IF(AND(ISNUMBER(R549),ISNUMBER(S549)),S549-R549,"")</f>
        <v/>
      </c>
      <c r="AG549" s="15" t="str">
        <f aca="false">IF(AND(ISNUMBER(S549),ISNUMBER(T549)),T549-S549,"")</f>
        <v/>
      </c>
      <c r="AH549" s="15" t="str">
        <f aca="false">IF(AND(ISNUMBER(L549),ISNUMBER(T549)),T549-L549,"")</f>
        <v/>
      </c>
      <c r="AI549" s="15" t="str">
        <f aca="false">IF(AND(ISNUMBER(O549),ISNUMBER(Q549)),Q549-O549,"")</f>
        <v/>
      </c>
      <c r="AJ549" s="15" t="str">
        <f aca="false">IF(B549="","",COUNT(L549:M549,P549:T549)&amp;"/7")</f>
        <v/>
      </c>
      <c r="AK549" s="15" t="str">
        <f aca="false">IF(B549="","",IF(OR(AND(ISNUMBER(L549),ISNUMBER(M549),M549&lt;L549),AND(ISNUMBER(M549),ISNUMBER(P549),P549&lt;M549),AND(ISNUMBER(P549),ISNUMBER(Q549),Q549&lt;P549),AND(ISNUMBER(Q549),ISNUMBER(R549),R549&lt;Q549),AND(ISNUMBER(R549),ISNUMBER(S549),S549&lt;R549),AND(ISNUMBER(S549),ISNUMBER(T549),T549&lt;S549),AND(ISNUMBER(N549),ISNUMBER(O549),O549&lt;N549)),"Urutan tanggal salah",IF(AND(ISNUMBER(Q549),ISNUMBER(R549),ISNUMBER(Y549),ABS(R549-Q549-Y549)&gt;2),"S tanggal ≠ Sailing tercatat",IF(AND(ISNUMBER(Q549),ISNUMBER(O549),ABS(Q549-O549)&gt;60),"Cek tahun laycan",IF(AND(ISNUMBER(Q549),ISNUMBER(N549),Q549&lt;N549),"Berangkat sebelum laycan",IF(NOT(ISNUMBER(AE549)),"S belum ada","OK"))))))</f>
        <v/>
      </c>
    </row>
    <row r="550" customFormat="false" ht="15" hidden="false" customHeight="false" outlineLevel="0" collapsed="false">
      <c r="A550" s="16" t="str">
        <f aca="false">IF(B550="","",ROW()-4)</f>
        <v/>
      </c>
      <c r="B550" s="12"/>
      <c r="C550" s="16"/>
      <c r="D550" s="16"/>
      <c r="E550" s="16"/>
      <c r="F550" s="16"/>
      <c r="G550" s="16"/>
      <c r="H550" s="16"/>
      <c r="I550" s="16"/>
      <c r="J550" s="16"/>
      <c r="K550" s="16"/>
      <c r="L550" s="13"/>
      <c r="M550" s="13"/>
      <c r="N550" s="13"/>
      <c r="O550" s="13"/>
      <c r="P550" s="13"/>
      <c r="Q550" s="13"/>
      <c r="R550" s="13"/>
      <c r="S550" s="13"/>
      <c r="T550" s="13"/>
      <c r="U550" s="12"/>
      <c r="V550" s="14"/>
      <c r="W550" s="16"/>
      <c r="X550" s="16"/>
      <c r="Y550" s="16"/>
      <c r="Z550" s="16"/>
      <c r="AA550" s="15" t="str">
        <f aca="false">IF(AND(ISNUMBER(L550),ISNUMBER(M550)),M550-L550,"")</f>
        <v/>
      </c>
      <c r="AB550" s="15" t="str">
        <f aca="false">IF(AND(ISNUMBER(M550),ISNUMBER(P550)),P550-M550,"")</f>
        <v/>
      </c>
      <c r="AC550" s="15" t="str">
        <f aca="false">IF(AND(ISNUMBER(L550),ISNUMBER(P550)),P550-L550,"")</f>
        <v/>
      </c>
      <c r="AD550" s="15" t="str">
        <f aca="false">IF(AND(ISNUMBER(P550),ISNUMBER(Q550)),Q550-P550,"")</f>
        <v/>
      </c>
      <c r="AE550" s="15" t="str">
        <f aca="false">IF(AND(ISNUMBER(Q550),ISNUMBER(R550)),R550-Q550,IF(ISNUMBER(Y550),Y550,""))</f>
        <v/>
      </c>
      <c r="AF550" s="15" t="str">
        <f aca="false">IF(AND(ISNUMBER(R550),ISNUMBER(S550)),S550-R550,"")</f>
        <v/>
      </c>
      <c r="AG550" s="15" t="str">
        <f aca="false">IF(AND(ISNUMBER(S550),ISNUMBER(T550)),T550-S550,"")</f>
        <v/>
      </c>
      <c r="AH550" s="15" t="str">
        <f aca="false">IF(AND(ISNUMBER(L550),ISNUMBER(T550)),T550-L550,"")</f>
        <v/>
      </c>
      <c r="AI550" s="15" t="str">
        <f aca="false">IF(AND(ISNUMBER(O550),ISNUMBER(Q550)),Q550-O550,"")</f>
        <v/>
      </c>
      <c r="AJ550" s="15" t="str">
        <f aca="false">IF(B550="","",COUNT(L550:M550,P550:T550)&amp;"/7")</f>
        <v/>
      </c>
      <c r="AK550" s="15" t="str">
        <f aca="false">IF(B550="","",IF(OR(AND(ISNUMBER(L550),ISNUMBER(M550),M550&lt;L550),AND(ISNUMBER(M550),ISNUMBER(P550),P550&lt;M550),AND(ISNUMBER(P550),ISNUMBER(Q550),Q550&lt;P550),AND(ISNUMBER(Q550),ISNUMBER(R550),R550&lt;Q550),AND(ISNUMBER(R550),ISNUMBER(S550),S550&lt;R550),AND(ISNUMBER(S550),ISNUMBER(T550),T550&lt;S550),AND(ISNUMBER(N550),ISNUMBER(O550),O550&lt;N550)),"Urutan tanggal salah",IF(AND(ISNUMBER(Q550),ISNUMBER(R550),ISNUMBER(Y550),ABS(R550-Q550-Y550)&gt;2),"S tanggal ≠ Sailing tercatat",IF(AND(ISNUMBER(Q550),ISNUMBER(O550),ABS(Q550-O550)&gt;60),"Cek tahun laycan",IF(AND(ISNUMBER(Q550),ISNUMBER(N550),Q550&lt;N550),"Berangkat sebelum laycan",IF(NOT(ISNUMBER(AE550)),"S belum ada","OK"))))))</f>
        <v/>
      </c>
    </row>
    <row r="551" customFormat="false" ht="15" hidden="false" customHeight="false" outlineLevel="0" collapsed="false">
      <c r="A551" s="16" t="str">
        <f aca="false">IF(B551="","",ROW()-4)</f>
        <v/>
      </c>
      <c r="B551" s="12"/>
      <c r="C551" s="16"/>
      <c r="D551" s="16"/>
      <c r="E551" s="16"/>
      <c r="F551" s="16"/>
      <c r="G551" s="16"/>
      <c r="H551" s="16"/>
      <c r="I551" s="16"/>
      <c r="J551" s="16"/>
      <c r="K551" s="16"/>
      <c r="L551" s="13"/>
      <c r="M551" s="13"/>
      <c r="N551" s="13"/>
      <c r="O551" s="13"/>
      <c r="P551" s="13"/>
      <c r="Q551" s="13"/>
      <c r="R551" s="13"/>
      <c r="S551" s="13"/>
      <c r="T551" s="13"/>
      <c r="U551" s="12"/>
      <c r="V551" s="14"/>
      <c r="W551" s="16"/>
      <c r="X551" s="16"/>
      <c r="Y551" s="16"/>
      <c r="Z551" s="16"/>
      <c r="AA551" s="15" t="str">
        <f aca="false">IF(AND(ISNUMBER(L551),ISNUMBER(M551)),M551-L551,"")</f>
        <v/>
      </c>
      <c r="AB551" s="15" t="str">
        <f aca="false">IF(AND(ISNUMBER(M551),ISNUMBER(P551)),P551-M551,"")</f>
        <v/>
      </c>
      <c r="AC551" s="15" t="str">
        <f aca="false">IF(AND(ISNUMBER(L551),ISNUMBER(P551)),P551-L551,"")</f>
        <v/>
      </c>
      <c r="AD551" s="15" t="str">
        <f aca="false">IF(AND(ISNUMBER(P551),ISNUMBER(Q551)),Q551-P551,"")</f>
        <v/>
      </c>
      <c r="AE551" s="15" t="str">
        <f aca="false">IF(AND(ISNUMBER(Q551),ISNUMBER(R551)),R551-Q551,IF(ISNUMBER(Y551),Y551,""))</f>
        <v/>
      </c>
      <c r="AF551" s="15" t="str">
        <f aca="false">IF(AND(ISNUMBER(R551),ISNUMBER(S551)),S551-R551,"")</f>
        <v/>
      </c>
      <c r="AG551" s="15" t="str">
        <f aca="false">IF(AND(ISNUMBER(S551),ISNUMBER(T551)),T551-S551,"")</f>
        <v/>
      </c>
      <c r="AH551" s="15" t="str">
        <f aca="false">IF(AND(ISNUMBER(L551),ISNUMBER(T551)),T551-L551,"")</f>
        <v/>
      </c>
      <c r="AI551" s="15" t="str">
        <f aca="false">IF(AND(ISNUMBER(O551),ISNUMBER(Q551)),Q551-O551,"")</f>
        <v/>
      </c>
      <c r="AJ551" s="15" t="str">
        <f aca="false">IF(B551="","",COUNT(L551:M551,P551:T551)&amp;"/7")</f>
        <v/>
      </c>
      <c r="AK551" s="15" t="str">
        <f aca="false">IF(B551="","",IF(OR(AND(ISNUMBER(L551),ISNUMBER(M551),M551&lt;L551),AND(ISNUMBER(M551),ISNUMBER(P551),P551&lt;M551),AND(ISNUMBER(P551),ISNUMBER(Q551),Q551&lt;P551),AND(ISNUMBER(Q551),ISNUMBER(R551),R551&lt;Q551),AND(ISNUMBER(R551),ISNUMBER(S551),S551&lt;R551),AND(ISNUMBER(S551),ISNUMBER(T551),T551&lt;S551),AND(ISNUMBER(N551),ISNUMBER(O551),O551&lt;N551)),"Urutan tanggal salah",IF(AND(ISNUMBER(Q551),ISNUMBER(R551),ISNUMBER(Y551),ABS(R551-Q551-Y551)&gt;2),"S tanggal ≠ Sailing tercatat",IF(AND(ISNUMBER(Q551),ISNUMBER(O551),ABS(Q551-O551)&gt;60),"Cek tahun laycan",IF(AND(ISNUMBER(Q551),ISNUMBER(N551),Q551&lt;N551),"Berangkat sebelum laycan",IF(NOT(ISNUMBER(AE551)),"S belum ada","OK"))))))</f>
        <v/>
      </c>
    </row>
    <row r="552" customFormat="false" ht="15" hidden="false" customHeight="false" outlineLevel="0" collapsed="false">
      <c r="A552" s="16" t="str">
        <f aca="false">IF(B552="","",ROW()-4)</f>
        <v/>
      </c>
      <c r="B552" s="12"/>
      <c r="C552" s="16"/>
      <c r="D552" s="16"/>
      <c r="E552" s="16"/>
      <c r="F552" s="16"/>
      <c r="G552" s="16"/>
      <c r="H552" s="16"/>
      <c r="I552" s="16"/>
      <c r="J552" s="16"/>
      <c r="K552" s="16"/>
      <c r="L552" s="13"/>
      <c r="M552" s="13"/>
      <c r="N552" s="13"/>
      <c r="O552" s="13"/>
      <c r="P552" s="13"/>
      <c r="Q552" s="13"/>
      <c r="R552" s="13"/>
      <c r="S552" s="13"/>
      <c r="T552" s="13"/>
      <c r="U552" s="12"/>
      <c r="V552" s="14"/>
      <c r="W552" s="16"/>
      <c r="X552" s="16"/>
      <c r="Y552" s="16"/>
      <c r="Z552" s="16"/>
      <c r="AA552" s="15" t="str">
        <f aca="false">IF(AND(ISNUMBER(L552),ISNUMBER(M552)),M552-L552,"")</f>
        <v/>
      </c>
      <c r="AB552" s="15" t="str">
        <f aca="false">IF(AND(ISNUMBER(M552),ISNUMBER(P552)),P552-M552,"")</f>
        <v/>
      </c>
      <c r="AC552" s="15" t="str">
        <f aca="false">IF(AND(ISNUMBER(L552),ISNUMBER(P552)),P552-L552,"")</f>
        <v/>
      </c>
      <c r="AD552" s="15" t="str">
        <f aca="false">IF(AND(ISNUMBER(P552),ISNUMBER(Q552)),Q552-P552,"")</f>
        <v/>
      </c>
      <c r="AE552" s="15" t="str">
        <f aca="false">IF(AND(ISNUMBER(Q552),ISNUMBER(R552)),R552-Q552,IF(ISNUMBER(Y552),Y552,""))</f>
        <v/>
      </c>
      <c r="AF552" s="15" t="str">
        <f aca="false">IF(AND(ISNUMBER(R552),ISNUMBER(S552)),S552-R552,"")</f>
        <v/>
      </c>
      <c r="AG552" s="15" t="str">
        <f aca="false">IF(AND(ISNUMBER(S552),ISNUMBER(T552)),T552-S552,"")</f>
        <v/>
      </c>
      <c r="AH552" s="15" t="str">
        <f aca="false">IF(AND(ISNUMBER(L552),ISNUMBER(T552)),T552-L552,"")</f>
        <v/>
      </c>
      <c r="AI552" s="15" t="str">
        <f aca="false">IF(AND(ISNUMBER(O552),ISNUMBER(Q552)),Q552-O552,"")</f>
        <v/>
      </c>
      <c r="AJ552" s="15" t="str">
        <f aca="false">IF(B552="","",COUNT(L552:M552,P552:T552)&amp;"/7")</f>
        <v/>
      </c>
      <c r="AK552" s="15" t="str">
        <f aca="false">IF(B552="","",IF(OR(AND(ISNUMBER(L552),ISNUMBER(M552),M552&lt;L552),AND(ISNUMBER(M552),ISNUMBER(P552),P552&lt;M552),AND(ISNUMBER(P552),ISNUMBER(Q552),Q552&lt;P552),AND(ISNUMBER(Q552),ISNUMBER(R552),R552&lt;Q552),AND(ISNUMBER(R552),ISNUMBER(S552),S552&lt;R552),AND(ISNUMBER(S552),ISNUMBER(T552),T552&lt;S552),AND(ISNUMBER(N552),ISNUMBER(O552),O552&lt;N552)),"Urutan tanggal salah",IF(AND(ISNUMBER(Q552),ISNUMBER(R552),ISNUMBER(Y552),ABS(R552-Q552-Y552)&gt;2),"S tanggal ≠ Sailing tercatat",IF(AND(ISNUMBER(Q552),ISNUMBER(O552),ABS(Q552-O552)&gt;60),"Cek tahun laycan",IF(AND(ISNUMBER(Q552),ISNUMBER(N552),Q552&lt;N552),"Berangkat sebelum laycan",IF(NOT(ISNUMBER(AE552)),"S belum ada","OK"))))))</f>
        <v/>
      </c>
    </row>
    <row r="553" customFormat="false" ht="15" hidden="false" customHeight="false" outlineLevel="0" collapsed="false">
      <c r="A553" s="16" t="str">
        <f aca="false">IF(B553="","",ROW()-4)</f>
        <v/>
      </c>
      <c r="B553" s="12"/>
      <c r="C553" s="16"/>
      <c r="D553" s="16"/>
      <c r="E553" s="16"/>
      <c r="F553" s="16"/>
      <c r="G553" s="16"/>
      <c r="H553" s="16"/>
      <c r="I553" s="16"/>
      <c r="J553" s="16"/>
      <c r="K553" s="16"/>
      <c r="L553" s="13"/>
      <c r="M553" s="13"/>
      <c r="N553" s="13"/>
      <c r="O553" s="13"/>
      <c r="P553" s="13"/>
      <c r="Q553" s="13"/>
      <c r="R553" s="13"/>
      <c r="S553" s="13"/>
      <c r="T553" s="13"/>
      <c r="U553" s="12"/>
      <c r="V553" s="14"/>
      <c r="W553" s="16"/>
      <c r="X553" s="16"/>
      <c r="Y553" s="16"/>
      <c r="Z553" s="16"/>
      <c r="AA553" s="15" t="str">
        <f aca="false">IF(AND(ISNUMBER(L553),ISNUMBER(M553)),M553-L553,"")</f>
        <v/>
      </c>
      <c r="AB553" s="15" t="str">
        <f aca="false">IF(AND(ISNUMBER(M553),ISNUMBER(P553)),P553-M553,"")</f>
        <v/>
      </c>
      <c r="AC553" s="15" t="str">
        <f aca="false">IF(AND(ISNUMBER(L553),ISNUMBER(P553)),P553-L553,"")</f>
        <v/>
      </c>
      <c r="AD553" s="15" t="str">
        <f aca="false">IF(AND(ISNUMBER(P553),ISNUMBER(Q553)),Q553-P553,"")</f>
        <v/>
      </c>
      <c r="AE553" s="15" t="str">
        <f aca="false">IF(AND(ISNUMBER(Q553),ISNUMBER(R553)),R553-Q553,IF(ISNUMBER(Y553),Y553,""))</f>
        <v/>
      </c>
      <c r="AF553" s="15" t="str">
        <f aca="false">IF(AND(ISNUMBER(R553),ISNUMBER(S553)),S553-R553,"")</f>
        <v/>
      </c>
      <c r="AG553" s="15" t="str">
        <f aca="false">IF(AND(ISNUMBER(S553),ISNUMBER(T553)),T553-S553,"")</f>
        <v/>
      </c>
      <c r="AH553" s="15" t="str">
        <f aca="false">IF(AND(ISNUMBER(L553),ISNUMBER(T553)),T553-L553,"")</f>
        <v/>
      </c>
      <c r="AI553" s="15" t="str">
        <f aca="false">IF(AND(ISNUMBER(O553),ISNUMBER(Q553)),Q553-O553,"")</f>
        <v/>
      </c>
      <c r="AJ553" s="15" t="str">
        <f aca="false">IF(B553="","",COUNT(L553:M553,P553:T553)&amp;"/7")</f>
        <v/>
      </c>
      <c r="AK553" s="15" t="str">
        <f aca="false">IF(B553="","",IF(OR(AND(ISNUMBER(L553),ISNUMBER(M553),M553&lt;L553),AND(ISNUMBER(M553),ISNUMBER(P553),P553&lt;M553),AND(ISNUMBER(P553),ISNUMBER(Q553),Q553&lt;P553),AND(ISNUMBER(Q553),ISNUMBER(R553),R553&lt;Q553),AND(ISNUMBER(R553),ISNUMBER(S553),S553&lt;R553),AND(ISNUMBER(S553),ISNUMBER(T553),T553&lt;S553),AND(ISNUMBER(N553),ISNUMBER(O553),O553&lt;N553)),"Urutan tanggal salah",IF(AND(ISNUMBER(Q553),ISNUMBER(R553),ISNUMBER(Y553),ABS(R553-Q553-Y553)&gt;2),"S tanggal ≠ Sailing tercatat",IF(AND(ISNUMBER(Q553),ISNUMBER(O553),ABS(Q553-O553)&gt;60),"Cek tahun laycan",IF(AND(ISNUMBER(Q553),ISNUMBER(N553),Q553&lt;N553),"Berangkat sebelum laycan",IF(NOT(ISNUMBER(AE553)),"S belum ada","OK"))))))</f>
        <v/>
      </c>
    </row>
    <row r="554" customFormat="false" ht="15" hidden="false" customHeight="false" outlineLevel="0" collapsed="false">
      <c r="A554" s="16" t="str">
        <f aca="false">IF(B554="","",ROW()-4)</f>
        <v/>
      </c>
      <c r="B554" s="12"/>
      <c r="C554" s="16"/>
      <c r="D554" s="16"/>
      <c r="E554" s="16"/>
      <c r="F554" s="16"/>
      <c r="G554" s="16"/>
      <c r="H554" s="16"/>
      <c r="I554" s="16"/>
      <c r="J554" s="16"/>
      <c r="K554" s="16"/>
      <c r="L554" s="13"/>
      <c r="M554" s="13"/>
      <c r="N554" s="13"/>
      <c r="O554" s="13"/>
      <c r="P554" s="13"/>
      <c r="Q554" s="13"/>
      <c r="R554" s="13"/>
      <c r="S554" s="13"/>
      <c r="T554" s="13"/>
      <c r="U554" s="12"/>
      <c r="V554" s="14"/>
      <c r="W554" s="16"/>
      <c r="X554" s="16"/>
      <c r="Y554" s="16"/>
      <c r="Z554" s="16"/>
      <c r="AA554" s="15" t="str">
        <f aca="false">IF(AND(ISNUMBER(L554),ISNUMBER(M554)),M554-L554,"")</f>
        <v/>
      </c>
      <c r="AB554" s="15" t="str">
        <f aca="false">IF(AND(ISNUMBER(M554),ISNUMBER(P554)),P554-M554,"")</f>
        <v/>
      </c>
      <c r="AC554" s="15" t="str">
        <f aca="false">IF(AND(ISNUMBER(L554),ISNUMBER(P554)),P554-L554,"")</f>
        <v/>
      </c>
      <c r="AD554" s="15" t="str">
        <f aca="false">IF(AND(ISNUMBER(P554),ISNUMBER(Q554)),Q554-P554,"")</f>
        <v/>
      </c>
      <c r="AE554" s="15" t="str">
        <f aca="false">IF(AND(ISNUMBER(Q554),ISNUMBER(R554)),R554-Q554,IF(ISNUMBER(Y554),Y554,""))</f>
        <v/>
      </c>
      <c r="AF554" s="15" t="str">
        <f aca="false">IF(AND(ISNUMBER(R554),ISNUMBER(S554)),S554-R554,"")</f>
        <v/>
      </c>
      <c r="AG554" s="15" t="str">
        <f aca="false">IF(AND(ISNUMBER(S554),ISNUMBER(T554)),T554-S554,"")</f>
        <v/>
      </c>
      <c r="AH554" s="15" t="str">
        <f aca="false">IF(AND(ISNUMBER(L554),ISNUMBER(T554)),T554-L554,"")</f>
        <v/>
      </c>
      <c r="AI554" s="15" t="str">
        <f aca="false">IF(AND(ISNUMBER(O554),ISNUMBER(Q554)),Q554-O554,"")</f>
        <v/>
      </c>
      <c r="AJ554" s="15" t="str">
        <f aca="false">IF(B554="","",COUNT(L554:M554,P554:T554)&amp;"/7")</f>
        <v/>
      </c>
      <c r="AK554" s="15" t="str">
        <f aca="false">IF(B554="","",IF(OR(AND(ISNUMBER(L554),ISNUMBER(M554),M554&lt;L554),AND(ISNUMBER(M554),ISNUMBER(P554),P554&lt;M554),AND(ISNUMBER(P554),ISNUMBER(Q554),Q554&lt;P554),AND(ISNUMBER(Q554),ISNUMBER(R554),R554&lt;Q554),AND(ISNUMBER(R554),ISNUMBER(S554),S554&lt;R554),AND(ISNUMBER(S554),ISNUMBER(T554),T554&lt;S554),AND(ISNUMBER(N554),ISNUMBER(O554),O554&lt;N554)),"Urutan tanggal salah",IF(AND(ISNUMBER(Q554),ISNUMBER(R554),ISNUMBER(Y554),ABS(R554-Q554-Y554)&gt;2),"S tanggal ≠ Sailing tercatat",IF(AND(ISNUMBER(Q554),ISNUMBER(O554),ABS(Q554-O554)&gt;60),"Cek tahun laycan",IF(AND(ISNUMBER(Q554),ISNUMBER(N554),Q554&lt;N554),"Berangkat sebelum laycan",IF(NOT(ISNUMBER(AE554)),"S belum ada","OK"))))))</f>
        <v/>
      </c>
    </row>
    <row r="555" customFormat="false" ht="15" hidden="false" customHeight="false" outlineLevel="0" collapsed="false">
      <c r="A555" s="16" t="str">
        <f aca="false">IF(B555="","",ROW()-4)</f>
        <v/>
      </c>
      <c r="B555" s="12"/>
      <c r="C555" s="16"/>
      <c r="D555" s="16"/>
      <c r="E555" s="16"/>
      <c r="F555" s="16"/>
      <c r="G555" s="16"/>
      <c r="H555" s="16"/>
      <c r="I555" s="16"/>
      <c r="J555" s="16"/>
      <c r="K555" s="16"/>
      <c r="L555" s="13"/>
      <c r="M555" s="13"/>
      <c r="N555" s="13"/>
      <c r="O555" s="13"/>
      <c r="P555" s="13"/>
      <c r="Q555" s="13"/>
      <c r="R555" s="13"/>
      <c r="S555" s="13"/>
      <c r="T555" s="13"/>
      <c r="U555" s="12"/>
      <c r="V555" s="14"/>
      <c r="W555" s="16"/>
      <c r="X555" s="16"/>
      <c r="Y555" s="16"/>
      <c r="Z555" s="16"/>
      <c r="AA555" s="15" t="str">
        <f aca="false">IF(AND(ISNUMBER(L555),ISNUMBER(M555)),M555-L555,"")</f>
        <v/>
      </c>
      <c r="AB555" s="15" t="str">
        <f aca="false">IF(AND(ISNUMBER(M555),ISNUMBER(P555)),P555-M555,"")</f>
        <v/>
      </c>
      <c r="AC555" s="15" t="str">
        <f aca="false">IF(AND(ISNUMBER(L555),ISNUMBER(P555)),P555-L555,"")</f>
        <v/>
      </c>
      <c r="AD555" s="15" t="str">
        <f aca="false">IF(AND(ISNUMBER(P555),ISNUMBER(Q555)),Q555-P555,"")</f>
        <v/>
      </c>
      <c r="AE555" s="15" t="str">
        <f aca="false">IF(AND(ISNUMBER(Q555),ISNUMBER(R555)),R555-Q555,IF(ISNUMBER(Y555),Y555,""))</f>
        <v/>
      </c>
      <c r="AF555" s="15" t="str">
        <f aca="false">IF(AND(ISNUMBER(R555),ISNUMBER(S555)),S555-R555,"")</f>
        <v/>
      </c>
      <c r="AG555" s="15" t="str">
        <f aca="false">IF(AND(ISNUMBER(S555),ISNUMBER(T555)),T555-S555,"")</f>
        <v/>
      </c>
      <c r="AH555" s="15" t="str">
        <f aca="false">IF(AND(ISNUMBER(L555),ISNUMBER(T555)),T555-L555,"")</f>
        <v/>
      </c>
      <c r="AI555" s="15" t="str">
        <f aca="false">IF(AND(ISNUMBER(O555),ISNUMBER(Q555)),Q555-O555,"")</f>
        <v/>
      </c>
      <c r="AJ555" s="15" t="str">
        <f aca="false">IF(B555="","",COUNT(L555:M555,P555:T555)&amp;"/7")</f>
        <v/>
      </c>
      <c r="AK555" s="15" t="str">
        <f aca="false">IF(B555="","",IF(OR(AND(ISNUMBER(L555),ISNUMBER(M555),M555&lt;L555),AND(ISNUMBER(M555),ISNUMBER(P555),P555&lt;M555),AND(ISNUMBER(P555),ISNUMBER(Q555),Q555&lt;P555),AND(ISNUMBER(Q555),ISNUMBER(R555),R555&lt;Q555),AND(ISNUMBER(R555),ISNUMBER(S555),S555&lt;R555),AND(ISNUMBER(S555),ISNUMBER(T555),T555&lt;S555),AND(ISNUMBER(N555),ISNUMBER(O555),O555&lt;N555)),"Urutan tanggal salah",IF(AND(ISNUMBER(Q555),ISNUMBER(R555),ISNUMBER(Y555),ABS(R555-Q555-Y555)&gt;2),"S tanggal ≠ Sailing tercatat",IF(AND(ISNUMBER(Q555),ISNUMBER(O555),ABS(Q555-O555)&gt;60),"Cek tahun laycan",IF(AND(ISNUMBER(Q555),ISNUMBER(N555),Q555&lt;N555),"Berangkat sebelum laycan",IF(NOT(ISNUMBER(AE555)),"S belum ada","OK"))))))</f>
        <v/>
      </c>
    </row>
    <row r="556" customFormat="false" ht="15" hidden="false" customHeight="false" outlineLevel="0" collapsed="false">
      <c r="A556" s="16" t="str">
        <f aca="false">IF(B556="","",ROW()-4)</f>
        <v/>
      </c>
      <c r="B556" s="12"/>
      <c r="C556" s="16"/>
      <c r="D556" s="16"/>
      <c r="E556" s="16"/>
      <c r="F556" s="16"/>
      <c r="G556" s="16"/>
      <c r="H556" s="16"/>
      <c r="I556" s="16"/>
      <c r="J556" s="16"/>
      <c r="K556" s="16"/>
      <c r="L556" s="13"/>
      <c r="M556" s="13"/>
      <c r="N556" s="13"/>
      <c r="O556" s="13"/>
      <c r="P556" s="13"/>
      <c r="Q556" s="13"/>
      <c r="R556" s="13"/>
      <c r="S556" s="13"/>
      <c r="T556" s="13"/>
      <c r="U556" s="12"/>
      <c r="V556" s="14"/>
      <c r="W556" s="16"/>
      <c r="X556" s="16"/>
      <c r="Y556" s="16"/>
      <c r="Z556" s="16"/>
      <c r="AA556" s="15" t="str">
        <f aca="false">IF(AND(ISNUMBER(L556),ISNUMBER(M556)),M556-L556,"")</f>
        <v/>
      </c>
      <c r="AB556" s="15" t="str">
        <f aca="false">IF(AND(ISNUMBER(M556),ISNUMBER(P556)),P556-M556,"")</f>
        <v/>
      </c>
      <c r="AC556" s="15" t="str">
        <f aca="false">IF(AND(ISNUMBER(L556),ISNUMBER(P556)),P556-L556,"")</f>
        <v/>
      </c>
      <c r="AD556" s="15" t="str">
        <f aca="false">IF(AND(ISNUMBER(P556),ISNUMBER(Q556)),Q556-P556,"")</f>
        <v/>
      </c>
      <c r="AE556" s="15" t="str">
        <f aca="false">IF(AND(ISNUMBER(Q556),ISNUMBER(R556)),R556-Q556,IF(ISNUMBER(Y556),Y556,""))</f>
        <v/>
      </c>
      <c r="AF556" s="15" t="str">
        <f aca="false">IF(AND(ISNUMBER(R556),ISNUMBER(S556)),S556-R556,"")</f>
        <v/>
      </c>
      <c r="AG556" s="15" t="str">
        <f aca="false">IF(AND(ISNUMBER(S556),ISNUMBER(T556)),T556-S556,"")</f>
        <v/>
      </c>
      <c r="AH556" s="15" t="str">
        <f aca="false">IF(AND(ISNUMBER(L556),ISNUMBER(T556)),T556-L556,"")</f>
        <v/>
      </c>
      <c r="AI556" s="15" t="str">
        <f aca="false">IF(AND(ISNUMBER(O556),ISNUMBER(Q556)),Q556-O556,"")</f>
        <v/>
      </c>
      <c r="AJ556" s="15" t="str">
        <f aca="false">IF(B556="","",COUNT(L556:M556,P556:T556)&amp;"/7")</f>
        <v/>
      </c>
      <c r="AK556" s="15" t="str">
        <f aca="false">IF(B556="","",IF(OR(AND(ISNUMBER(L556),ISNUMBER(M556),M556&lt;L556),AND(ISNUMBER(M556),ISNUMBER(P556),P556&lt;M556),AND(ISNUMBER(P556),ISNUMBER(Q556),Q556&lt;P556),AND(ISNUMBER(Q556),ISNUMBER(R556),R556&lt;Q556),AND(ISNUMBER(R556),ISNUMBER(S556),S556&lt;R556),AND(ISNUMBER(S556),ISNUMBER(T556),T556&lt;S556),AND(ISNUMBER(N556),ISNUMBER(O556),O556&lt;N556)),"Urutan tanggal salah",IF(AND(ISNUMBER(Q556),ISNUMBER(R556),ISNUMBER(Y556),ABS(R556-Q556-Y556)&gt;2),"S tanggal ≠ Sailing tercatat",IF(AND(ISNUMBER(Q556),ISNUMBER(O556),ABS(Q556-O556)&gt;60),"Cek tahun laycan",IF(AND(ISNUMBER(Q556),ISNUMBER(N556),Q556&lt;N556),"Berangkat sebelum laycan",IF(NOT(ISNUMBER(AE556)),"S belum ada","OK"))))))</f>
        <v/>
      </c>
    </row>
    <row r="557" customFormat="false" ht="15" hidden="false" customHeight="false" outlineLevel="0" collapsed="false">
      <c r="A557" s="16" t="str">
        <f aca="false">IF(B557="","",ROW()-4)</f>
        <v/>
      </c>
      <c r="B557" s="12"/>
      <c r="C557" s="16"/>
      <c r="D557" s="16"/>
      <c r="E557" s="16"/>
      <c r="F557" s="16"/>
      <c r="G557" s="16"/>
      <c r="H557" s="16"/>
      <c r="I557" s="16"/>
      <c r="J557" s="16"/>
      <c r="K557" s="16"/>
      <c r="L557" s="13"/>
      <c r="M557" s="13"/>
      <c r="N557" s="13"/>
      <c r="O557" s="13"/>
      <c r="P557" s="13"/>
      <c r="Q557" s="13"/>
      <c r="R557" s="13"/>
      <c r="S557" s="13"/>
      <c r="T557" s="13"/>
      <c r="U557" s="12"/>
      <c r="V557" s="14"/>
      <c r="W557" s="16"/>
      <c r="X557" s="16"/>
      <c r="Y557" s="16"/>
      <c r="Z557" s="16"/>
      <c r="AA557" s="15" t="str">
        <f aca="false">IF(AND(ISNUMBER(L557),ISNUMBER(M557)),M557-L557,"")</f>
        <v/>
      </c>
      <c r="AB557" s="15" t="str">
        <f aca="false">IF(AND(ISNUMBER(M557),ISNUMBER(P557)),P557-M557,"")</f>
        <v/>
      </c>
      <c r="AC557" s="15" t="str">
        <f aca="false">IF(AND(ISNUMBER(L557),ISNUMBER(P557)),P557-L557,"")</f>
        <v/>
      </c>
      <c r="AD557" s="15" t="str">
        <f aca="false">IF(AND(ISNUMBER(P557),ISNUMBER(Q557)),Q557-P557,"")</f>
        <v/>
      </c>
      <c r="AE557" s="15" t="str">
        <f aca="false">IF(AND(ISNUMBER(Q557),ISNUMBER(R557)),R557-Q557,IF(ISNUMBER(Y557),Y557,""))</f>
        <v/>
      </c>
      <c r="AF557" s="15" t="str">
        <f aca="false">IF(AND(ISNUMBER(R557),ISNUMBER(S557)),S557-R557,"")</f>
        <v/>
      </c>
      <c r="AG557" s="15" t="str">
        <f aca="false">IF(AND(ISNUMBER(S557),ISNUMBER(T557)),T557-S557,"")</f>
        <v/>
      </c>
      <c r="AH557" s="15" t="str">
        <f aca="false">IF(AND(ISNUMBER(L557),ISNUMBER(T557)),T557-L557,"")</f>
        <v/>
      </c>
      <c r="AI557" s="15" t="str">
        <f aca="false">IF(AND(ISNUMBER(O557),ISNUMBER(Q557)),Q557-O557,"")</f>
        <v/>
      </c>
      <c r="AJ557" s="15" t="str">
        <f aca="false">IF(B557="","",COUNT(L557:M557,P557:T557)&amp;"/7")</f>
        <v/>
      </c>
      <c r="AK557" s="15" t="str">
        <f aca="false">IF(B557="","",IF(OR(AND(ISNUMBER(L557),ISNUMBER(M557),M557&lt;L557),AND(ISNUMBER(M557),ISNUMBER(P557),P557&lt;M557),AND(ISNUMBER(P557),ISNUMBER(Q557),Q557&lt;P557),AND(ISNUMBER(Q557),ISNUMBER(R557),R557&lt;Q557),AND(ISNUMBER(R557),ISNUMBER(S557),S557&lt;R557),AND(ISNUMBER(S557),ISNUMBER(T557),T557&lt;S557),AND(ISNUMBER(N557),ISNUMBER(O557),O557&lt;N557)),"Urutan tanggal salah",IF(AND(ISNUMBER(Q557),ISNUMBER(R557),ISNUMBER(Y557),ABS(R557-Q557-Y557)&gt;2),"S tanggal ≠ Sailing tercatat",IF(AND(ISNUMBER(Q557),ISNUMBER(O557),ABS(Q557-O557)&gt;60),"Cek tahun laycan",IF(AND(ISNUMBER(Q557),ISNUMBER(N557),Q557&lt;N557),"Berangkat sebelum laycan",IF(NOT(ISNUMBER(AE557)),"S belum ada","OK"))))))</f>
        <v/>
      </c>
    </row>
    <row r="558" customFormat="false" ht="15" hidden="false" customHeight="false" outlineLevel="0" collapsed="false">
      <c r="A558" s="16" t="str">
        <f aca="false">IF(B558="","",ROW()-4)</f>
        <v/>
      </c>
      <c r="B558" s="12"/>
      <c r="C558" s="16"/>
      <c r="D558" s="16"/>
      <c r="E558" s="16"/>
      <c r="F558" s="16"/>
      <c r="G558" s="16"/>
      <c r="H558" s="16"/>
      <c r="I558" s="16"/>
      <c r="J558" s="16"/>
      <c r="K558" s="16"/>
      <c r="L558" s="13"/>
      <c r="M558" s="13"/>
      <c r="N558" s="13"/>
      <c r="O558" s="13"/>
      <c r="P558" s="13"/>
      <c r="Q558" s="13"/>
      <c r="R558" s="13"/>
      <c r="S558" s="13"/>
      <c r="T558" s="13"/>
      <c r="U558" s="12"/>
      <c r="V558" s="14"/>
      <c r="W558" s="16"/>
      <c r="X558" s="16"/>
      <c r="Y558" s="16"/>
      <c r="Z558" s="16"/>
      <c r="AA558" s="15" t="str">
        <f aca="false">IF(AND(ISNUMBER(L558),ISNUMBER(M558)),M558-L558,"")</f>
        <v/>
      </c>
      <c r="AB558" s="15" t="str">
        <f aca="false">IF(AND(ISNUMBER(M558),ISNUMBER(P558)),P558-M558,"")</f>
        <v/>
      </c>
      <c r="AC558" s="15" t="str">
        <f aca="false">IF(AND(ISNUMBER(L558),ISNUMBER(P558)),P558-L558,"")</f>
        <v/>
      </c>
      <c r="AD558" s="15" t="str">
        <f aca="false">IF(AND(ISNUMBER(P558),ISNUMBER(Q558)),Q558-P558,"")</f>
        <v/>
      </c>
      <c r="AE558" s="15" t="str">
        <f aca="false">IF(AND(ISNUMBER(Q558),ISNUMBER(R558)),R558-Q558,IF(ISNUMBER(Y558),Y558,""))</f>
        <v/>
      </c>
      <c r="AF558" s="15" t="str">
        <f aca="false">IF(AND(ISNUMBER(R558),ISNUMBER(S558)),S558-R558,"")</f>
        <v/>
      </c>
      <c r="AG558" s="15" t="str">
        <f aca="false">IF(AND(ISNUMBER(S558),ISNUMBER(T558)),T558-S558,"")</f>
        <v/>
      </c>
      <c r="AH558" s="15" t="str">
        <f aca="false">IF(AND(ISNUMBER(L558),ISNUMBER(T558)),T558-L558,"")</f>
        <v/>
      </c>
      <c r="AI558" s="15" t="str">
        <f aca="false">IF(AND(ISNUMBER(O558),ISNUMBER(Q558)),Q558-O558,"")</f>
        <v/>
      </c>
      <c r="AJ558" s="15" t="str">
        <f aca="false">IF(B558="","",COUNT(L558:M558,P558:T558)&amp;"/7")</f>
        <v/>
      </c>
      <c r="AK558" s="15" t="str">
        <f aca="false">IF(B558="","",IF(OR(AND(ISNUMBER(L558),ISNUMBER(M558),M558&lt;L558),AND(ISNUMBER(M558),ISNUMBER(P558),P558&lt;M558),AND(ISNUMBER(P558),ISNUMBER(Q558),Q558&lt;P558),AND(ISNUMBER(Q558),ISNUMBER(R558),R558&lt;Q558),AND(ISNUMBER(R558),ISNUMBER(S558),S558&lt;R558),AND(ISNUMBER(S558),ISNUMBER(T558),T558&lt;S558),AND(ISNUMBER(N558),ISNUMBER(O558),O558&lt;N558)),"Urutan tanggal salah",IF(AND(ISNUMBER(Q558),ISNUMBER(R558),ISNUMBER(Y558),ABS(R558-Q558-Y558)&gt;2),"S tanggal ≠ Sailing tercatat",IF(AND(ISNUMBER(Q558),ISNUMBER(O558),ABS(Q558-O558)&gt;60),"Cek tahun laycan",IF(AND(ISNUMBER(Q558),ISNUMBER(N558),Q558&lt;N558),"Berangkat sebelum laycan",IF(NOT(ISNUMBER(AE558)),"S belum ada","OK"))))))</f>
        <v/>
      </c>
    </row>
    <row r="559" customFormat="false" ht="15" hidden="false" customHeight="false" outlineLevel="0" collapsed="false">
      <c r="A559" s="16" t="str">
        <f aca="false">IF(B559="","",ROW()-4)</f>
        <v/>
      </c>
      <c r="B559" s="12"/>
      <c r="C559" s="16"/>
      <c r="D559" s="16"/>
      <c r="E559" s="16"/>
      <c r="F559" s="16"/>
      <c r="G559" s="16"/>
      <c r="H559" s="16"/>
      <c r="I559" s="16"/>
      <c r="J559" s="16"/>
      <c r="K559" s="16"/>
      <c r="L559" s="13"/>
      <c r="M559" s="13"/>
      <c r="N559" s="13"/>
      <c r="O559" s="13"/>
      <c r="P559" s="13"/>
      <c r="Q559" s="13"/>
      <c r="R559" s="13"/>
      <c r="S559" s="13"/>
      <c r="T559" s="13"/>
      <c r="U559" s="12"/>
      <c r="V559" s="14"/>
      <c r="W559" s="16"/>
      <c r="X559" s="16"/>
      <c r="Y559" s="16"/>
      <c r="Z559" s="16"/>
      <c r="AA559" s="15" t="str">
        <f aca="false">IF(AND(ISNUMBER(L559),ISNUMBER(M559)),M559-L559,"")</f>
        <v/>
      </c>
      <c r="AB559" s="15" t="str">
        <f aca="false">IF(AND(ISNUMBER(M559),ISNUMBER(P559)),P559-M559,"")</f>
        <v/>
      </c>
      <c r="AC559" s="15" t="str">
        <f aca="false">IF(AND(ISNUMBER(L559),ISNUMBER(P559)),P559-L559,"")</f>
        <v/>
      </c>
      <c r="AD559" s="15" t="str">
        <f aca="false">IF(AND(ISNUMBER(P559),ISNUMBER(Q559)),Q559-P559,"")</f>
        <v/>
      </c>
      <c r="AE559" s="15" t="str">
        <f aca="false">IF(AND(ISNUMBER(Q559),ISNUMBER(R559)),R559-Q559,IF(ISNUMBER(Y559),Y559,""))</f>
        <v/>
      </c>
      <c r="AF559" s="15" t="str">
        <f aca="false">IF(AND(ISNUMBER(R559),ISNUMBER(S559)),S559-R559,"")</f>
        <v/>
      </c>
      <c r="AG559" s="15" t="str">
        <f aca="false">IF(AND(ISNUMBER(S559),ISNUMBER(T559)),T559-S559,"")</f>
        <v/>
      </c>
      <c r="AH559" s="15" t="str">
        <f aca="false">IF(AND(ISNUMBER(L559),ISNUMBER(T559)),T559-L559,"")</f>
        <v/>
      </c>
      <c r="AI559" s="15" t="str">
        <f aca="false">IF(AND(ISNUMBER(O559),ISNUMBER(Q559)),Q559-O559,"")</f>
        <v/>
      </c>
      <c r="AJ559" s="15" t="str">
        <f aca="false">IF(B559="","",COUNT(L559:M559,P559:T559)&amp;"/7")</f>
        <v/>
      </c>
      <c r="AK559" s="15" t="str">
        <f aca="false">IF(B559="","",IF(OR(AND(ISNUMBER(L559),ISNUMBER(M559),M559&lt;L559),AND(ISNUMBER(M559),ISNUMBER(P559),P559&lt;M559),AND(ISNUMBER(P559),ISNUMBER(Q559),Q559&lt;P559),AND(ISNUMBER(Q559),ISNUMBER(R559),R559&lt;Q559),AND(ISNUMBER(R559),ISNUMBER(S559),S559&lt;R559),AND(ISNUMBER(S559),ISNUMBER(T559),T559&lt;S559),AND(ISNUMBER(N559),ISNUMBER(O559),O559&lt;N559)),"Urutan tanggal salah",IF(AND(ISNUMBER(Q559),ISNUMBER(R559),ISNUMBER(Y559),ABS(R559-Q559-Y559)&gt;2),"S tanggal ≠ Sailing tercatat",IF(AND(ISNUMBER(Q559),ISNUMBER(O559),ABS(Q559-O559)&gt;60),"Cek tahun laycan",IF(AND(ISNUMBER(Q559),ISNUMBER(N559),Q559&lt;N559),"Berangkat sebelum laycan",IF(NOT(ISNUMBER(AE559)),"S belum ada","OK"))))))</f>
        <v/>
      </c>
    </row>
    <row r="560" customFormat="false" ht="15" hidden="false" customHeight="false" outlineLevel="0" collapsed="false">
      <c r="A560" s="16" t="str">
        <f aca="false">IF(B560="","",ROW()-4)</f>
        <v/>
      </c>
      <c r="B560" s="12"/>
      <c r="C560" s="16"/>
      <c r="D560" s="16"/>
      <c r="E560" s="16"/>
      <c r="F560" s="16"/>
      <c r="G560" s="16"/>
      <c r="H560" s="16"/>
      <c r="I560" s="16"/>
      <c r="J560" s="16"/>
      <c r="K560" s="16"/>
      <c r="L560" s="13"/>
      <c r="M560" s="13"/>
      <c r="N560" s="13"/>
      <c r="O560" s="13"/>
      <c r="P560" s="13"/>
      <c r="Q560" s="13"/>
      <c r="R560" s="13"/>
      <c r="S560" s="13"/>
      <c r="T560" s="13"/>
      <c r="U560" s="12"/>
      <c r="V560" s="14"/>
      <c r="W560" s="16"/>
      <c r="X560" s="16"/>
      <c r="Y560" s="16"/>
      <c r="Z560" s="16"/>
      <c r="AA560" s="15" t="str">
        <f aca="false">IF(AND(ISNUMBER(L560),ISNUMBER(M560)),M560-L560,"")</f>
        <v/>
      </c>
      <c r="AB560" s="15" t="str">
        <f aca="false">IF(AND(ISNUMBER(M560),ISNUMBER(P560)),P560-M560,"")</f>
        <v/>
      </c>
      <c r="AC560" s="15" t="str">
        <f aca="false">IF(AND(ISNUMBER(L560),ISNUMBER(P560)),P560-L560,"")</f>
        <v/>
      </c>
      <c r="AD560" s="15" t="str">
        <f aca="false">IF(AND(ISNUMBER(P560),ISNUMBER(Q560)),Q560-P560,"")</f>
        <v/>
      </c>
      <c r="AE560" s="15" t="str">
        <f aca="false">IF(AND(ISNUMBER(Q560),ISNUMBER(R560)),R560-Q560,IF(ISNUMBER(Y560),Y560,""))</f>
        <v/>
      </c>
      <c r="AF560" s="15" t="str">
        <f aca="false">IF(AND(ISNUMBER(R560),ISNUMBER(S560)),S560-R560,"")</f>
        <v/>
      </c>
      <c r="AG560" s="15" t="str">
        <f aca="false">IF(AND(ISNUMBER(S560),ISNUMBER(T560)),T560-S560,"")</f>
        <v/>
      </c>
      <c r="AH560" s="15" t="str">
        <f aca="false">IF(AND(ISNUMBER(L560),ISNUMBER(T560)),T560-L560,"")</f>
        <v/>
      </c>
      <c r="AI560" s="15" t="str">
        <f aca="false">IF(AND(ISNUMBER(O560),ISNUMBER(Q560)),Q560-O560,"")</f>
        <v/>
      </c>
      <c r="AJ560" s="15" t="str">
        <f aca="false">IF(B560="","",COUNT(L560:M560,P560:T560)&amp;"/7")</f>
        <v/>
      </c>
      <c r="AK560" s="15" t="str">
        <f aca="false">IF(B560="","",IF(OR(AND(ISNUMBER(L560),ISNUMBER(M560),M560&lt;L560),AND(ISNUMBER(M560),ISNUMBER(P560),P560&lt;M560),AND(ISNUMBER(P560),ISNUMBER(Q560),Q560&lt;P560),AND(ISNUMBER(Q560),ISNUMBER(R560),R560&lt;Q560),AND(ISNUMBER(R560),ISNUMBER(S560),S560&lt;R560),AND(ISNUMBER(S560),ISNUMBER(T560),T560&lt;S560),AND(ISNUMBER(N560),ISNUMBER(O560),O560&lt;N560)),"Urutan tanggal salah",IF(AND(ISNUMBER(Q560),ISNUMBER(R560),ISNUMBER(Y560),ABS(R560-Q560-Y560)&gt;2),"S tanggal ≠ Sailing tercatat",IF(AND(ISNUMBER(Q560),ISNUMBER(O560),ABS(Q560-O560)&gt;60),"Cek tahun laycan",IF(AND(ISNUMBER(Q560),ISNUMBER(N560),Q560&lt;N560),"Berangkat sebelum laycan",IF(NOT(ISNUMBER(AE560)),"S belum ada","OK"))))))</f>
        <v/>
      </c>
    </row>
    <row r="561" customFormat="false" ht="15" hidden="false" customHeight="false" outlineLevel="0" collapsed="false">
      <c r="A561" s="16" t="str">
        <f aca="false">IF(B561="","",ROW()-4)</f>
        <v/>
      </c>
      <c r="B561" s="12"/>
      <c r="C561" s="16"/>
      <c r="D561" s="16"/>
      <c r="E561" s="16"/>
      <c r="F561" s="16"/>
      <c r="G561" s="16"/>
      <c r="H561" s="16"/>
      <c r="I561" s="16"/>
      <c r="J561" s="16"/>
      <c r="K561" s="16"/>
      <c r="L561" s="13"/>
      <c r="M561" s="13"/>
      <c r="N561" s="13"/>
      <c r="O561" s="13"/>
      <c r="P561" s="13"/>
      <c r="Q561" s="13"/>
      <c r="R561" s="13"/>
      <c r="S561" s="13"/>
      <c r="T561" s="13"/>
      <c r="U561" s="12"/>
      <c r="V561" s="14"/>
      <c r="W561" s="16"/>
      <c r="X561" s="16"/>
      <c r="Y561" s="16"/>
      <c r="Z561" s="16"/>
      <c r="AA561" s="15" t="str">
        <f aca="false">IF(AND(ISNUMBER(L561),ISNUMBER(M561)),M561-L561,"")</f>
        <v/>
      </c>
      <c r="AB561" s="15" t="str">
        <f aca="false">IF(AND(ISNUMBER(M561),ISNUMBER(P561)),P561-M561,"")</f>
        <v/>
      </c>
      <c r="AC561" s="15" t="str">
        <f aca="false">IF(AND(ISNUMBER(L561),ISNUMBER(P561)),P561-L561,"")</f>
        <v/>
      </c>
      <c r="AD561" s="15" t="str">
        <f aca="false">IF(AND(ISNUMBER(P561),ISNUMBER(Q561)),Q561-P561,"")</f>
        <v/>
      </c>
      <c r="AE561" s="15" t="str">
        <f aca="false">IF(AND(ISNUMBER(Q561),ISNUMBER(R561)),R561-Q561,IF(ISNUMBER(Y561),Y561,""))</f>
        <v/>
      </c>
      <c r="AF561" s="15" t="str">
        <f aca="false">IF(AND(ISNUMBER(R561),ISNUMBER(S561)),S561-R561,"")</f>
        <v/>
      </c>
      <c r="AG561" s="15" t="str">
        <f aca="false">IF(AND(ISNUMBER(S561),ISNUMBER(T561)),T561-S561,"")</f>
        <v/>
      </c>
      <c r="AH561" s="15" t="str">
        <f aca="false">IF(AND(ISNUMBER(L561),ISNUMBER(T561)),T561-L561,"")</f>
        <v/>
      </c>
      <c r="AI561" s="15" t="str">
        <f aca="false">IF(AND(ISNUMBER(O561),ISNUMBER(Q561)),Q561-O561,"")</f>
        <v/>
      </c>
      <c r="AJ561" s="15" t="str">
        <f aca="false">IF(B561="","",COUNT(L561:M561,P561:T561)&amp;"/7")</f>
        <v/>
      </c>
      <c r="AK561" s="15" t="str">
        <f aca="false">IF(B561="","",IF(OR(AND(ISNUMBER(L561),ISNUMBER(M561),M561&lt;L561),AND(ISNUMBER(M561),ISNUMBER(P561),P561&lt;M561),AND(ISNUMBER(P561),ISNUMBER(Q561),Q561&lt;P561),AND(ISNUMBER(Q561),ISNUMBER(R561),R561&lt;Q561),AND(ISNUMBER(R561),ISNUMBER(S561),S561&lt;R561),AND(ISNUMBER(S561),ISNUMBER(T561),T561&lt;S561),AND(ISNUMBER(N561),ISNUMBER(O561),O561&lt;N561)),"Urutan tanggal salah",IF(AND(ISNUMBER(Q561),ISNUMBER(R561),ISNUMBER(Y561),ABS(R561-Q561-Y561)&gt;2),"S tanggal ≠ Sailing tercatat",IF(AND(ISNUMBER(Q561),ISNUMBER(O561),ABS(Q561-O561)&gt;60),"Cek tahun laycan",IF(AND(ISNUMBER(Q561),ISNUMBER(N561),Q561&lt;N561),"Berangkat sebelum laycan",IF(NOT(ISNUMBER(AE561)),"S belum ada","OK"))))))</f>
        <v/>
      </c>
    </row>
    <row r="562" customFormat="false" ht="15" hidden="false" customHeight="false" outlineLevel="0" collapsed="false">
      <c r="A562" s="16" t="str">
        <f aca="false">IF(B562="","",ROW()-4)</f>
        <v/>
      </c>
      <c r="B562" s="12"/>
      <c r="C562" s="16"/>
      <c r="D562" s="16"/>
      <c r="E562" s="16"/>
      <c r="F562" s="16"/>
      <c r="G562" s="16"/>
      <c r="H562" s="16"/>
      <c r="I562" s="16"/>
      <c r="J562" s="16"/>
      <c r="K562" s="16"/>
      <c r="L562" s="13"/>
      <c r="M562" s="13"/>
      <c r="N562" s="13"/>
      <c r="O562" s="13"/>
      <c r="P562" s="13"/>
      <c r="Q562" s="13"/>
      <c r="R562" s="13"/>
      <c r="S562" s="13"/>
      <c r="T562" s="13"/>
      <c r="U562" s="12"/>
      <c r="V562" s="14"/>
      <c r="W562" s="16"/>
      <c r="X562" s="16"/>
      <c r="Y562" s="16"/>
      <c r="Z562" s="16"/>
      <c r="AA562" s="15" t="str">
        <f aca="false">IF(AND(ISNUMBER(L562),ISNUMBER(M562)),M562-L562,"")</f>
        <v/>
      </c>
      <c r="AB562" s="15" t="str">
        <f aca="false">IF(AND(ISNUMBER(M562),ISNUMBER(P562)),P562-M562,"")</f>
        <v/>
      </c>
      <c r="AC562" s="15" t="str">
        <f aca="false">IF(AND(ISNUMBER(L562),ISNUMBER(P562)),P562-L562,"")</f>
        <v/>
      </c>
      <c r="AD562" s="15" t="str">
        <f aca="false">IF(AND(ISNUMBER(P562),ISNUMBER(Q562)),Q562-P562,"")</f>
        <v/>
      </c>
      <c r="AE562" s="15" t="str">
        <f aca="false">IF(AND(ISNUMBER(Q562),ISNUMBER(R562)),R562-Q562,IF(ISNUMBER(Y562),Y562,""))</f>
        <v/>
      </c>
      <c r="AF562" s="15" t="str">
        <f aca="false">IF(AND(ISNUMBER(R562),ISNUMBER(S562)),S562-R562,"")</f>
        <v/>
      </c>
      <c r="AG562" s="15" t="str">
        <f aca="false">IF(AND(ISNUMBER(S562),ISNUMBER(T562)),T562-S562,"")</f>
        <v/>
      </c>
      <c r="AH562" s="15" t="str">
        <f aca="false">IF(AND(ISNUMBER(L562),ISNUMBER(T562)),T562-L562,"")</f>
        <v/>
      </c>
      <c r="AI562" s="15" t="str">
        <f aca="false">IF(AND(ISNUMBER(O562),ISNUMBER(Q562)),Q562-O562,"")</f>
        <v/>
      </c>
      <c r="AJ562" s="15" t="str">
        <f aca="false">IF(B562="","",COUNT(L562:M562,P562:T562)&amp;"/7")</f>
        <v/>
      </c>
      <c r="AK562" s="15" t="str">
        <f aca="false">IF(B562="","",IF(OR(AND(ISNUMBER(L562),ISNUMBER(M562),M562&lt;L562),AND(ISNUMBER(M562),ISNUMBER(P562),P562&lt;M562),AND(ISNUMBER(P562),ISNUMBER(Q562),Q562&lt;P562),AND(ISNUMBER(Q562),ISNUMBER(R562),R562&lt;Q562),AND(ISNUMBER(R562),ISNUMBER(S562),S562&lt;R562),AND(ISNUMBER(S562),ISNUMBER(T562),T562&lt;S562),AND(ISNUMBER(N562),ISNUMBER(O562),O562&lt;N562)),"Urutan tanggal salah",IF(AND(ISNUMBER(Q562),ISNUMBER(R562),ISNUMBER(Y562),ABS(R562-Q562-Y562)&gt;2),"S tanggal ≠ Sailing tercatat",IF(AND(ISNUMBER(Q562),ISNUMBER(O562),ABS(Q562-O562)&gt;60),"Cek tahun laycan",IF(AND(ISNUMBER(Q562),ISNUMBER(N562),Q562&lt;N562),"Berangkat sebelum laycan",IF(NOT(ISNUMBER(AE562)),"S belum ada","OK"))))))</f>
        <v/>
      </c>
    </row>
    <row r="563" customFormat="false" ht="15" hidden="false" customHeight="false" outlineLevel="0" collapsed="false">
      <c r="A563" s="16" t="str">
        <f aca="false">IF(B563="","",ROW()-4)</f>
        <v/>
      </c>
      <c r="B563" s="12"/>
      <c r="C563" s="16"/>
      <c r="D563" s="16"/>
      <c r="E563" s="16"/>
      <c r="F563" s="16"/>
      <c r="G563" s="16"/>
      <c r="H563" s="16"/>
      <c r="I563" s="16"/>
      <c r="J563" s="16"/>
      <c r="K563" s="16"/>
      <c r="L563" s="13"/>
      <c r="M563" s="13"/>
      <c r="N563" s="13"/>
      <c r="O563" s="13"/>
      <c r="P563" s="13"/>
      <c r="Q563" s="13"/>
      <c r="R563" s="13"/>
      <c r="S563" s="13"/>
      <c r="T563" s="13"/>
      <c r="U563" s="12"/>
      <c r="V563" s="14"/>
      <c r="W563" s="16"/>
      <c r="X563" s="16"/>
      <c r="Y563" s="16"/>
      <c r="Z563" s="16"/>
      <c r="AA563" s="15" t="str">
        <f aca="false">IF(AND(ISNUMBER(L563),ISNUMBER(M563)),M563-L563,"")</f>
        <v/>
      </c>
      <c r="AB563" s="15" t="str">
        <f aca="false">IF(AND(ISNUMBER(M563),ISNUMBER(P563)),P563-M563,"")</f>
        <v/>
      </c>
      <c r="AC563" s="15" t="str">
        <f aca="false">IF(AND(ISNUMBER(L563),ISNUMBER(P563)),P563-L563,"")</f>
        <v/>
      </c>
      <c r="AD563" s="15" t="str">
        <f aca="false">IF(AND(ISNUMBER(P563),ISNUMBER(Q563)),Q563-P563,"")</f>
        <v/>
      </c>
      <c r="AE563" s="15" t="str">
        <f aca="false">IF(AND(ISNUMBER(Q563),ISNUMBER(R563)),R563-Q563,IF(ISNUMBER(Y563),Y563,""))</f>
        <v/>
      </c>
      <c r="AF563" s="15" t="str">
        <f aca="false">IF(AND(ISNUMBER(R563),ISNUMBER(S563)),S563-R563,"")</f>
        <v/>
      </c>
      <c r="AG563" s="15" t="str">
        <f aca="false">IF(AND(ISNUMBER(S563),ISNUMBER(T563)),T563-S563,"")</f>
        <v/>
      </c>
      <c r="AH563" s="15" t="str">
        <f aca="false">IF(AND(ISNUMBER(L563),ISNUMBER(T563)),T563-L563,"")</f>
        <v/>
      </c>
      <c r="AI563" s="15" t="str">
        <f aca="false">IF(AND(ISNUMBER(O563),ISNUMBER(Q563)),Q563-O563,"")</f>
        <v/>
      </c>
      <c r="AJ563" s="15" t="str">
        <f aca="false">IF(B563="","",COUNT(L563:M563,P563:T563)&amp;"/7")</f>
        <v/>
      </c>
      <c r="AK563" s="15" t="str">
        <f aca="false">IF(B563="","",IF(OR(AND(ISNUMBER(L563),ISNUMBER(M563),M563&lt;L563),AND(ISNUMBER(M563),ISNUMBER(P563),P563&lt;M563),AND(ISNUMBER(P563),ISNUMBER(Q563),Q563&lt;P563),AND(ISNUMBER(Q563),ISNUMBER(R563),R563&lt;Q563),AND(ISNUMBER(R563),ISNUMBER(S563),S563&lt;R563),AND(ISNUMBER(S563),ISNUMBER(T563),T563&lt;S563),AND(ISNUMBER(N563),ISNUMBER(O563),O563&lt;N563)),"Urutan tanggal salah",IF(AND(ISNUMBER(Q563),ISNUMBER(R563),ISNUMBER(Y563),ABS(R563-Q563-Y563)&gt;2),"S tanggal ≠ Sailing tercatat",IF(AND(ISNUMBER(Q563),ISNUMBER(O563),ABS(Q563-O563)&gt;60),"Cek tahun laycan",IF(AND(ISNUMBER(Q563),ISNUMBER(N563),Q563&lt;N563),"Berangkat sebelum laycan",IF(NOT(ISNUMBER(AE563)),"S belum ada","OK"))))))</f>
        <v/>
      </c>
    </row>
    <row r="564" customFormat="false" ht="15" hidden="false" customHeight="false" outlineLevel="0" collapsed="false">
      <c r="A564" s="16" t="str">
        <f aca="false">IF(B564="","",ROW()-4)</f>
        <v/>
      </c>
      <c r="B564" s="12"/>
      <c r="C564" s="16"/>
      <c r="D564" s="16"/>
      <c r="E564" s="16"/>
      <c r="F564" s="16"/>
      <c r="G564" s="16"/>
      <c r="H564" s="16"/>
      <c r="I564" s="16"/>
      <c r="J564" s="16"/>
      <c r="K564" s="16"/>
      <c r="L564" s="13"/>
      <c r="M564" s="13"/>
      <c r="N564" s="13"/>
      <c r="O564" s="13"/>
      <c r="P564" s="13"/>
      <c r="Q564" s="13"/>
      <c r="R564" s="13"/>
      <c r="S564" s="13"/>
      <c r="T564" s="13"/>
      <c r="U564" s="12"/>
      <c r="V564" s="14"/>
      <c r="W564" s="16"/>
      <c r="X564" s="16"/>
      <c r="Y564" s="16"/>
      <c r="Z564" s="16"/>
      <c r="AA564" s="15" t="str">
        <f aca="false">IF(AND(ISNUMBER(L564),ISNUMBER(M564)),M564-L564,"")</f>
        <v/>
      </c>
      <c r="AB564" s="15" t="str">
        <f aca="false">IF(AND(ISNUMBER(M564),ISNUMBER(P564)),P564-M564,"")</f>
        <v/>
      </c>
      <c r="AC564" s="15" t="str">
        <f aca="false">IF(AND(ISNUMBER(L564),ISNUMBER(P564)),P564-L564,"")</f>
        <v/>
      </c>
      <c r="AD564" s="15" t="str">
        <f aca="false">IF(AND(ISNUMBER(P564),ISNUMBER(Q564)),Q564-P564,"")</f>
        <v/>
      </c>
      <c r="AE564" s="15" t="str">
        <f aca="false">IF(AND(ISNUMBER(Q564),ISNUMBER(R564)),R564-Q564,IF(ISNUMBER(Y564),Y564,""))</f>
        <v/>
      </c>
      <c r="AF564" s="15" t="str">
        <f aca="false">IF(AND(ISNUMBER(R564),ISNUMBER(S564)),S564-R564,"")</f>
        <v/>
      </c>
      <c r="AG564" s="15" t="str">
        <f aca="false">IF(AND(ISNUMBER(S564),ISNUMBER(T564)),T564-S564,"")</f>
        <v/>
      </c>
      <c r="AH564" s="15" t="str">
        <f aca="false">IF(AND(ISNUMBER(L564),ISNUMBER(T564)),T564-L564,"")</f>
        <v/>
      </c>
      <c r="AI564" s="15" t="str">
        <f aca="false">IF(AND(ISNUMBER(O564),ISNUMBER(Q564)),Q564-O564,"")</f>
        <v/>
      </c>
      <c r="AJ564" s="15" t="str">
        <f aca="false">IF(B564="","",COUNT(L564:M564,P564:T564)&amp;"/7")</f>
        <v/>
      </c>
      <c r="AK564" s="15" t="str">
        <f aca="false">IF(B564="","",IF(OR(AND(ISNUMBER(L564),ISNUMBER(M564),M564&lt;L564),AND(ISNUMBER(M564),ISNUMBER(P564),P564&lt;M564),AND(ISNUMBER(P564),ISNUMBER(Q564),Q564&lt;P564),AND(ISNUMBER(Q564),ISNUMBER(R564),R564&lt;Q564),AND(ISNUMBER(R564),ISNUMBER(S564),S564&lt;R564),AND(ISNUMBER(S564),ISNUMBER(T564),T564&lt;S564),AND(ISNUMBER(N564),ISNUMBER(O564),O564&lt;N564)),"Urutan tanggal salah",IF(AND(ISNUMBER(Q564),ISNUMBER(R564),ISNUMBER(Y564),ABS(R564-Q564-Y564)&gt;2),"S tanggal ≠ Sailing tercatat",IF(AND(ISNUMBER(Q564),ISNUMBER(O564),ABS(Q564-O564)&gt;60),"Cek tahun laycan",IF(AND(ISNUMBER(Q564),ISNUMBER(N564),Q564&lt;N564),"Berangkat sebelum laycan",IF(NOT(ISNUMBER(AE564)),"S belum ada","OK"))))))</f>
        <v/>
      </c>
    </row>
    <row r="565" customFormat="false" ht="15" hidden="false" customHeight="false" outlineLevel="0" collapsed="false">
      <c r="A565" s="16" t="str">
        <f aca="false">IF(B565="","",ROW()-4)</f>
        <v/>
      </c>
      <c r="B565" s="12"/>
      <c r="C565" s="16"/>
      <c r="D565" s="16"/>
      <c r="E565" s="16"/>
      <c r="F565" s="16"/>
      <c r="G565" s="16"/>
      <c r="H565" s="16"/>
      <c r="I565" s="16"/>
      <c r="J565" s="16"/>
      <c r="K565" s="16"/>
      <c r="L565" s="13"/>
      <c r="M565" s="13"/>
      <c r="N565" s="13"/>
      <c r="O565" s="13"/>
      <c r="P565" s="13"/>
      <c r="Q565" s="13"/>
      <c r="R565" s="13"/>
      <c r="S565" s="13"/>
      <c r="T565" s="13"/>
      <c r="U565" s="12"/>
      <c r="V565" s="14"/>
      <c r="W565" s="16"/>
      <c r="X565" s="16"/>
      <c r="Y565" s="16"/>
      <c r="Z565" s="16"/>
      <c r="AA565" s="15" t="str">
        <f aca="false">IF(AND(ISNUMBER(L565),ISNUMBER(M565)),M565-L565,"")</f>
        <v/>
      </c>
      <c r="AB565" s="15" t="str">
        <f aca="false">IF(AND(ISNUMBER(M565),ISNUMBER(P565)),P565-M565,"")</f>
        <v/>
      </c>
      <c r="AC565" s="15" t="str">
        <f aca="false">IF(AND(ISNUMBER(L565),ISNUMBER(P565)),P565-L565,"")</f>
        <v/>
      </c>
      <c r="AD565" s="15" t="str">
        <f aca="false">IF(AND(ISNUMBER(P565),ISNUMBER(Q565)),Q565-P565,"")</f>
        <v/>
      </c>
      <c r="AE565" s="15" t="str">
        <f aca="false">IF(AND(ISNUMBER(Q565),ISNUMBER(R565)),R565-Q565,IF(ISNUMBER(Y565),Y565,""))</f>
        <v/>
      </c>
      <c r="AF565" s="15" t="str">
        <f aca="false">IF(AND(ISNUMBER(R565),ISNUMBER(S565)),S565-R565,"")</f>
        <v/>
      </c>
      <c r="AG565" s="15" t="str">
        <f aca="false">IF(AND(ISNUMBER(S565),ISNUMBER(T565)),T565-S565,"")</f>
        <v/>
      </c>
      <c r="AH565" s="15" t="str">
        <f aca="false">IF(AND(ISNUMBER(L565),ISNUMBER(T565)),T565-L565,"")</f>
        <v/>
      </c>
      <c r="AI565" s="15" t="str">
        <f aca="false">IF(AND(ISNUMBER(O565),ISNUMBER(Q565)),Q565-O565,"")</f>
        <v/>
      </c>
      <c r="AJ565" s="15" t="str">
        <f aca="false">IF(B565="","",COUNT(L565:M565,P565:T565)&amp;"/7")</f>
        <v/>
      </c>
      <c r="AK565" s="15" t="str">
        <f aca="false">IF(B565="","",IF(OR(AND(ISNUMBER(L565),ISNUMBER(M565),M565&lt;L565),AND(ISNUMBER(M565),ISNUMBER(P565),P565&lt;M565),AND(ISNUMBER(P565),ISNUMBER(Q565),Q565&lt;P565),AND(ISNUMBER(Q565),ISNUMBER(R565),R565&lt;Q565),AND(ISNUMBER(R565),ISNUMBER(S565),S565&lt;R565),AND(ISNUMBER(S565),ISNUMBER(T565),T565&lt;S565),AND(ISNUMBER(N565),ISNUMBER(O565),O565&lt;N565)),"Urutan tanggal salah",IF(AND(ISNUMBER(Q565),ISNUMBER(R565),ISNUMBER(Y565),ABS(R565-Q565-Y565)&gt;2),"S tanggal ≠ Sailing tercatat",IF(AND(ISNUMBER(Q565),ISNUMBER(O565),ABS(Q565-O565)&gt;60),"Cek tahun laycan",IF(AND(ISNUMBER(Q565),ISNUMBER(N565),Q565&lt;N565),"Berangkat sebelum laycan",IF(NOT(ISNUMBER(AE565)),"S belum ada","OK"))))))</f>
        <v/>
      </c>
    </row>
    <row r="566" customFormat="false" ht="15" hidden="false" customHeight="false" outlineLevel="0" collapsed="false">
      <c r="A566" s="16" t="str">
        <f aca="false">IF(B566="","",ROW()-4)</f>
        <v/>
      </c>
      <c r="B566" s="12"/>
      <c r="C566" s="16"/>
      <c r="D566" s="16"/>
      <c r="E566" s="16"/>
      <c r="F566" s="16"/>
      <c r="G566" s="16"/>
      <c r="H566" s="16"/>
      <c r="I566" s="16"/>
      <c r="J566" s="16"/>
      <c r="K566" s="16"/>
      <c r="L566" s="13"/>
      <c r="M566" s="13"/>
      <c r="N566" s="13"/>
      <c r="O566" s="13"/>
      <c r="P566" s="13"/>
      <c r="Q566" s="13"/>
      <c r="R566" s="13"/>
      <c r="S566" s="13"/>
      <c r="T566" s="13"/>
      <c r="U566" s="12"/>
      <c r="V566" s="14"/>
      <c r="W566" s="16"/>
      <c r="X566" s="16"/>
      <c r="Y566" s="16"/>
      <c r="Z566" s="16"/>
      <c r="AA566" s="15" t="str">
        <f aca="false">IF(AND(ISNUMBER(L566),ISNUMBER(M566)),M566-L566,"")</f>
        <v/>
      </c>
      <c r="AB566" s="15" t="str">
        <f aca="false">IF(AND(ISNUMBER(M566),ISNUMBER(P566)),P566-M566,"")</f>
        <v/>
      </c>
      <c r="AC566" s="15" t="str">
        <f aca="false">IF(AND(ISNUMBER(L566),ISNUMBER(P566)),P566-L566,"")</f>
        <v/>
      </c>
      <c r="AD566" s="15" t="str">
        <f aca="false">IF(AND(ISNUMBER(P566),ISNUMBER(Q566)),Q566-P566,"")</f>
        <v/>
      </c>
      <c r="AE566" s="15" t="str">
        <f aca="false">IF(AND(ISNUMBER(Q566),ISNUMBER(R566)),R566-Q566,IF(ISNUMBER(Y566),Y566,""))</f>
        <v/>
      </c>
      <c r="AF566" s="15" t="str">
        <f aca="false">IF(AND(ISNUMBER(R566),ISNUMBER(S566)),S566-R566,"")</f>
        <v/>
      </c>
      <c r="AG566" s="15" t="str">
        <f aca="false">IF(AND(ISNUMBER(S566),ISNUMBER(T566)),T566-S566,"")</f>
        <v/>
      </c>
      <c r="AH566" s="15" t="str">
        <f aca="false">IF(AND(ISNUMBER(L566),ISNUMBER(T566)),T566-L566,"")</f>
        <v/>
      </c>
      <c r="AI566" s="15" t="str">
        <f aca="false">IF(AND(ISNUMBER(O566),ISNUMBER(Q566)),Q566-O566,"")</f>
        <v/>
      </c>
      <c r="AJ566" s="15" t="str">
        <f aca="false">IF(B566="","",COUNT(L566:M566,P566:T566)&amp;"/7")</f>
        <v/>
      </c>
      <c r="AK566" s="15" t="str">
        <f aca="false">IF(B566="","",IF(OR(AND(ISNUMBER(L566),ISNUMBER(M566),M566&lt;L566),AND(ISNUMBER(M566),ISNUMBER(P566),P566&lt;M566),AND(ISNUMBER(P566),ISNUMBER(Q566),Q566&lt;P566),AND(ISNUMBER(Q566),ISNUMBER(R566),R566&lt;Q566),AND(ISNUMBER(R566),ISNUMBER(S566),S566&lt;R566),AND(ISNUMBER(S566),ISNUMBER(T566),T566&lt;S566),AND(ISNUMBER(N566),ISNUMBER(O566),O566&lt;N566)),"Urutan tanggal salah",IF(AND(ISNUMBER(Q566),ISNUMBER(R566),ISNUMBER(Y566),ABS(R566-Q566-Y566)&gt;2),"S tanggal ≠ Sailing tercatat",IF(AND(ISNUMBER(Q566),ISNUMBER(O566),ABS(Q566-O566)&gt;60),"Cek tahun laycan",IF(AND(ISNUMBER(Q566),ISNUMBER(N566),Q566&lt;N566),"Berangkat sebelum laycan",IF(NOT(ISNUMBER(AE566)),"S belum ada","OK"))))))</f>
        <v/>
      </c>
    </row>
    <row r="567" customFormat="false" ht="15" hidden="false" customHeight="false" outlineLevel="0" collapsed="false">
      <c r="A567" s="16" t="str">
        <f aca="false">IF(B567="","",ROW()-4)</f>
        <v/>
      </c>
      <c r="B567" s="12"/>
      <c r="C567" s="16"/>
      <c r="D567" s="16"/>
      <c r="E567" s="16"/>
      <c r="F567" s="16"/>
      <c r="G567" s="16"/>
      <c r="H567" s="16"/>
      <c r="I567" s="16"/>
      <c r="J567" s="16"/>
      <c r="K567" s="16"/>
      <c r="L567" s="13"/>
      <c r="M567" s="13"/>
      <c r="N567" s="13"/>
      <c r="O567" s="13"/>
      <c r="P567" s="13"/>
      <c r="Q567" s="13"/>
      <c r="R567" s="13"/>
      <c r="S567" s="13"/>
      <c r="T567" s="13"/>
      <c r="U567" s="12"/>
      <c r="V567" s="14"/>
      <c r="W567" s="16"/>
      <c r="X567" s="16"/>
      <c r="Y567" s="16"/>
      <c r="Z567" s="16"/>
      <c r="AA567" s="15" t="str">
        <f aca="false">IF(AND(ISNUMBER(L567),ISNUMBER(M567)),M567-L567,"")</f>
        <v/>
      </c>
      <c r="AB567" s="15" t="str">
        <f aca="false">IF(AND(ISNUMBER(M567),ISNUMBER(P567)),P567-M567,"")</f>
        <v/>
      </c>
      <c r="AC567" s="15" t="str">
        <f aca="false">IF(AND(ISNUMBER(L567),ISNUMBER(P567)),P567-L567,"")</f>
        <v/>
      </c>
      <c r="AD567" s="15" t="str">
        <f aca="false">IF(AND(ISNUMBER(P567),ISNUMBER(Q567)),Q567-P567,"")</f>
        <v/>
      </c>
      <c r="AE567" s="15" t="str">
        <f aca="false">IF(AND(ISNUMBER(Q567),ISNUMBER(R567)),R567-Q567,IF(ISNUMBER(Y567),Y567,""))</f>
        <v/>
      </c>
      <c r="AF567" s="15" t="str">
        <f aca="false">IF(AND(ISNUMBER(R567),ISNUMBER(S567)),S567-R567,"")</f>
        <v/>
      </c>
      <c r="AG567" s="15" t="str">
        <f aca="false">IF(AND(ISNUMBER(S567),ISNUMBER(T567)),T567-S567,"")</f>
        <v/>
      </c>
      <c r="AH567" s="15" t="str">
        <f aca="false">IF(AND(ISNUMBER(L567),ISNUMBER(T567)),T567-L567,"")</f>
        <v/>
      </c>
      <c r="AI567" s="15" t="str">
        <f aca="false">IF(AND(ISNUMBER(O567),ISNUMBER(Q567)),Q567-O567,"")</f>
        <v/>
      </c>
      <c r="AJ567" s="15" t="str">
        <f aca="false">IF(B567="","",COUNT(L567:M567,P567:T567)&amp;"/7")</f>
        <v/>
      </c>
      <c r="AK567" s="15" t="str">
        <f aca="false">IF(B567="","",IF(OR(AND(ISNUMBER(L567),ISNUMBER(M567),M567&lt;L567),AND(ISNUMBER(M567),ISNUMBER(P567),P567&lt;M567),AND(ISNUMBER(P567),ISNUMBER(Q567),Q567&lt;P567),AND(ISNUMBER(Q567),ISNUMBER(R567),R567&lt;Q567),AND(ISNUMBER(R567),ISNUMBER(S567),S567&lt;R567),AND(ISNUMBER(S567),ISNUMBER(T567),T567&lt;S567),AND(ISNUMBER(N567),ISNUMBER(O567),O567&lt;N567)),"Urutan tanggal salah",IF(AND(ISNUMBER(Q567),ISNUMBER(R567),ISNUMBER(Y567),ABS(R567-Q567-Y567)&gt;2),"S tanggal ≠ Sailing tercatat",IF(AND(ISNUMBER(Q567),ISNUMBER(O567),ABS(Q567-O567)&gt;60),"Cek tahun laycan",IF(AND(ISNUMBER(Q567),ISNUMBER(N567),Q567&lt;N567),"Berangkat sebelum laycan",IF(NOT(ISNUMBER(AE567)),"S belum ada","OK"))))))</f>
        <v/>
      </c>
    </row>
    <row r="568" customFormat="false" ht="15" hidden="false" customHeight="false" outlineLevel="0" collapsed="false">
      <c r="A568" s="16" t="str">
        <f aca="false">IF(B568="","",ROW()-4)</f>
        <v/>
      </c>
      <c r="B568" s="12"/>
      <c r="C568" s="16"/>
      <c r="D568" s="16"/>
      <c r="E568" s="16"/>
      <c r="F568" s="16"/>
      <c r="G568" s="16"/>
      <c r="H568" s="16"/>
      <c r="I568" s="16"/>
      <c r="J568" s="16"/>
      <c r="K568" s="16"/>
      <c r="L568" s="13"/>
      <c r="M568" s="13"/>
      <c r="N568" s="13"/>
      <c r="O568" s="13"/>
      <c r="P568" s="13"/>
      <c r="Q568" s="13"/>
      <c r="R568" s="13"/>
      <c r="S568" s="13"/>
      <c r="T568" s="13"/>
      <c r="U568" s="12"/>
      <c r="V568" s="14"/>
      <c r="W568" s="16"/>
      <c r="X568" s="16"/>
      <c r="Y568" s="16"/>
      <c r="Z568" s="16"/>
      <c r="AA568" s="15" t="str">
        <f aca="false">IF(AND(ISNUMBER(L568),ISNUMBER(M568)),M568-L568,"")</f>
        <v/>
      </c>
      <c r="AB568" s="15" t="str">
        <f aca="false">IF(AND(ISNUMBER(M568),ISNUMBER(P568)),P568-M568,"")</f>
        <v/>
      </c>
      <c r="AC568" s="15" t="str">
        <f aca="false">IF(AND(ISNUMBER(L568),ISNUMBER(P568)),P568-L568,"")</f>
        <v/>
      </c>
      <c r="AD568" s="15" t="str">
        <f aca="false">IF(AND(ISNUMBER(P568),ISNUMBER(Q568)),Q568-P568,"")</f>
        <v/>
      </c>
      <c r="AE568" s="15" t="str">
        <f aca="false">IF(AND(ISNUMBER(Q568),ISNUMBER(R568)),R568-Q568,IF(ISNUMBER(Y568),Y568,""))</f>
        <v/>
      </c>
      <c r="AF568" s="15" t="str">
        <f aca="false">IF(AND(ISNUMBER(R568),ISNUMBER(S568)),S568-R568,"")</f>
        <v/>
      </c>
      <c r="AG568" s="15" t="str">
        <f aca="false">IF(AND(ISNUMBER(S568),ISNUMBER(T568)),T568-S568,"")</f>
        <v/>
      </c>
      <c r="AH568" s="15" t="str">
        <f aca="false">IF(AND(ISNUMBER(L568),ISNUMBER(T568)),T568-L568,"")</f>
        <v/>
      </c>
      <c r="AI568" s="15" t="str">
        <f aca="false">IF(AND(ISNUMBER(O568),ISNUMBER(Q568)),Q568-O568,"")</f>
        <v/>
      </c>
      <c r="AJ568" s="15" t="str">
        <f aca="false">IF(B568="","",COUNT(L568:M568,P568:T568)&amp;"/7")</f>
        <v/>
      </c>
      <c r="AK568" s="15" t="str">
        <f aca="false">IF(B568="","",IF(OR(AND(ISNUMBER(L568),ISNUMBER(M568),M568&lt;L568),AND(ISNUMBER(M568),ISNUMBER(P568),P568&lt;M568),AND(ISNUMBER(P568),ISNUMBER(Q568),Q568&lt;P568),AND(ISNUMBER(Q568),ISNUMBER(R568),R568&lt;Q568),AND(ISNUMBER(R568),ISNUMBER(S568),S568&lt;R568),AND(ISNUMBER(S568),ISNUMBER(T568),T568&lt;S568),AND(ISNUMBER(N568),ISNUMBER(O568),O568&lt;N568)),"Urutan tanggal salah",IF(AND(ISNUMBER(Q568),ISNUMBER(R568),ISNUMBER(Y568),ABS(R568-Q568-Y568)&gt;2),"S tanggal ≠ Sailing tercatat",IF(AND(ISNUMBER(Q568),ISNUMBER(O568),ABS(Q568-O568)&gt;60),"Cek tahun laycan",IF(AND(ISNUMBER(Q568),ISNUMBER(N568),Q568&lt;N568),"Berangkat sebelum laycan",IF(NOT(ISNUMBER(AE568)),"S belum ada","OK"))))))</f>
        <v/>
      </c>
    </row>
    <row r="569" customFormat="false" ht="15" hidden="false" customHeight="false" outlineLevel="0" collapsed="false">
      <c r="A569" s="16" t="str">
        <f aca="false">IF(B569="","",ROW()-4)</f>
        <v/>
      </c>
      <c r="B569" s="12"/>
      <c r="C569" s="16"/>
      <c r="D569" s="16"/>
      <c r="E569" s="16"/>
      <c r="F569" s="16"/>
      <c r="G569" s="16"/>
      <c r="H569" s="16"/>
      <c r="I569" s="16"/>
      <c r="J569" s="16"/>
      <c r="K569" s="16"/>
      <c r="L569" s="13"/>
      <c r="M569" s="13"/>
      <c r="N569" s="13"/>
      <c r="O569" s="13"/>
      <c r="P569" s="13"/>
      <c r="Q569" s="13"/>
      <c r="R569" s="13"/>
      <c r="S569" s="13"/>
      <c r="T569" s="13"/>
      <c r="U569" s="12"/>
      <c r="V569" s="14"/>
      <c r="W569" s="16"/>
      <c r="X569" s="16"/>
      <c r="Y569" s="16"/>
      <c r="Z569" s="16"/>
      <c r="AA569" s="15" t="str">
        <f aca="false">IF(AND(ISNUMBER(L569),ISNUMBER(M569)),M569-L569,"")</f>
        <v/>
      </c>
      <c r="AB569" s="15" t="str">
        <f aca="false">IF(AND(ISNUMBER(M569),ISNUMBER(P569)),P569-M569,"")</f>
        <v/>
      </c>
      <c r="AC569" s="15" t="str">
        <f aca="false">IF(AND(ISNUMBER(L569),ISNUMBER(P569)),P569-L569,"")</f>
        <v/>
      </c>
      <c r="AD569" s="15" t="str">
        <f aca="false">IF(AND(ISNUMBER(P569),ISNUMBER(Q569)),Q569-P569,"")</f>
        <v/>
      </c>
      <c r="AE569" s="15" t="str">
        <f aca="false">IF(AND(ISNUMBER(Q569),ISNUMBER(R569)),R569-Q569,IF(ISNUMBER(Y569),Y569,""))</f>
        <v/>
      </c>
      <c r="AF569" s="15" t="str">
        <f aca="false">IF(AND(ISNUMBER(R569),ISNUMBER(S569)),S569-R569,"")</f>
        <v/>
      </c>
      <c r="AG569" s="15" t="str">
        <f aca="false">IF(AND(ISNUMBER(S569),ISNUMBER(T569)),T569-S569,"")</f>
        <v/>
      </c>
      <c r="AH569" s="15" t="str">
        <f aca="false">IF(AND(ISNUMBER(L569),ISNUMBER(T569)),T569-L569,"")</f>
        <v/>
      </c>
      <c r="AI569" s="15" t="str">
        <f aca="false">IF(AND(ISNUMBER(O569),ISNUMBER(Q569)),Q569-O569,"")</f>
        <v/>
      </c>
      <c r="AJ569" s="15" t="str">
        <f aca="false">IF(B569="","",COUNT(L569:M569,P569:T569)&amp;"/7")</f>
        <v/>
      </c>
      <c r="AK569" s="15" t="str">
        <f aca="false">IF(B569="","",IF(OR(AND(ISNUMBER(L569),ISNUMBER(M569),M569&lt;L569),AND(ISNUMBER(M569),ISNUMBER(P569),P569&lt;M569),AND(ISNUMBER(P569),ISNUMBER(Q569),Q569&lt;P569),AND(ISNUMBER(Q569),ISNUMBER(R569),R569&lt;Q569),AND(ISNUMBER(R569),ISNUMBER(S569),S569&lt;R569),AND(ISNUMBER(S569),ISNUMBER(T569),T569&lt;S569),AND(ISNUMBER(N569),ISNUMBER(O569),O569&lt;N569)),"Urutan tanggal salah",IF(AND(ISNUMBER(Q569),ISNUMBER(R569),ISNUMBER(Y569),ABS(R569-Q569-Y569)&gt;2),"S tanggal ≠ Sailing tercatat",IF(AND(ISNUMBER(Q569),ISNUMBER(O569),ABS(Q569-O569)&gt;60),"Cek tahun laycan",IF(AND(ISNUMBER(Q569),ISNUMBER(N569),Q569&lt;N569),"Berangkat sebelum laycan",IF(NOT(ISNUMBER(AE569)),"S belum ada","OK"))))))</f>
        <v/>
      </c>
    </row>
    <row r="570" customFormat="false" ht="15" hidden="false" customHeight="false" outlineLevel="0" collapsed="false">
      <c r="A570" s="16" t="str">
        <f aca="false">IF(B570="","",ROW()-4)</f>
        <v/>
      </c>
      <c r="B570" s="12"/>
      <c r="C570" s="16"/>
      <c r="D570" s="16"/>
      <c r="E570" s="16"/>
      <c r="F570" s="16"/>
      <c r="G570" s="16"/>
      <c r="H570" s="16"/>
      <c r="I570" s="16"/>
      <c r="J570" s="16"/>
      <c r="K570" s="16"/>
      <c r="L570" s="13"/>
      <c r="M570" s="13"/>
      <c r="N570" s="13"/>
      <c r="O570" s="13"/>
      <c r="P570" s="13"/>
      <c r="Q570" s="13"/>
      <c r="R570" s="13"/>
      <c r="S570" s="13"/>
      <c r="T570" s="13"/>
      <c r="U570" s="12"/>
      <c r="V570" s="14"/>
      <c r="W570" s="16"/>
      <c r="X570" s="16"/>
      <c r="Y570" s="16"/>
      <c r="Z570" s="16"/>
      <c r="AA570" s="15" t="str">
        <f aca="false">IF(AND(ISNUMBER(L570),ISNUMBER(M570)),M570-L570,"")</f>
        <v/>
      </c>
      <c r="AB570" s="15" t="str">
        <f aca="false">IF(AND(ISNUMBER(M570),ISNUMBER(P570)),P570-M570,"")</f>
        <v/>
      </c>
      <c r="AC570" s="15" t="str">
        <f aca="false">IF(AND(ISNUMBER(L570),ISNUMBER(P570)),P570-L570,"")</f>
        <v/>
      </c>
      <c r="AD570" s="15" t="str">
        <f aca="false">IF(AND(ISNUMBER(P570),ISNUMBER(Q570)),Q570-P570,"")</f>
        <v/>
      </c>
      <c r="AE570" s="15" t="str">
        <f aca="false">IF(AND(ISNUMBER(Q570),ISNUMBER(R570)),R570-Q570,IF(ISNUMBER(Y570),Y570,""))</f>
        <v/>
      </c>
      <c r="AF570" s="15" t="str">
        <f aca="false">IF(AND(ISNUMBER(R570),ISNUMBER(S570)),S570-R570,"")</f>
        <v/>
      </c>
      <c r="AG570" s="15" t="str">
        <f aca="false">IF(AND(ISNUMBER(S570),ISNUMBER(T570)),T570-S570,"")</f>
        <v/>
      </c>
      <c r="AH570" s="15" t="str">
        <f aca="false">IF(AND(ISNUMBER(L570),ISNUMBER(T570)),T570-L570,"")</f>
        <v/>
      </c>
      <c r="AI570" s="15" t="str">
        <f aca="false">IF(AND(ISNUMBER(O570),ISNUMBER(Q570)),Q570-O570,"")</f>
        <v/>
      </c>
      <c r="AJ570" s="15" t="str">
        <f aca="false">IF(B570="","",COUNT(L570:M570,P570:T570)&amp;"/7")</f>
        <v/>
      </c>
      <c r="AK570" s="15" t="str">
        <f aca="false">IF(B570="","",IF(OR(AND(ISNUMBER(L570),ISNUMBER(M570),M570&lt;L570),AND(ISNUMBER(M570),ISNUMBER(P570),P570&lt;M570),AND(ISNUMBER(P570),ISNUMBER(Q570),Q570&lt;P570),AND(ISNUMBER(Q570),ISNUMBER(R570),R570&lt;Q570),AND(ISNUMBER(R570),ISNUMBER(S570),S570&lt;R570),AND(ISNUMBER(S570),ISNUMBER(T570),T570&lt;S570),AND(ISNUMBER(N570),ISNUMBER(O570),O570&lt;N570)),"Urutan tanggal salah",IF(AND(ISNUMBER(Q570),ISNUMBER(R570),ISNUMBER(Y570),ABS(R570-Q570-Y570)&gt;2),"S tanggal ≠ Sailing tercatat",IF(AND(ISNUMBER(Q570),ISNUMBER(O570),ABS(Q570-O570)&gt;60),"Cek tahun laycan",IF(AND(ISNUMBER(Q570),ISNUMBER(N570),Q570&lt;N570),"Berangkat sebelum laycan",IF(NOT(ISNUMBER(AE570)),"S belum ada","OK"))))))</f>
        <v/>
      </c>
    </row>
    <row r="571" customFormat="false" ht="15" hidden="false" customHeight="false" outlineLevel="0" collapsed="false">
      <c r="A571" s="16" t="str">
        <f aca="false">IF(B571="","",ROW()-4)</f>
        <v/>
      </c>
      <c r="B571" s="12"/>
      <c r="C571" s="16"/>
      <c r="D571" s="16"/>
      <c r="E571" s="16"/>
      <c r="F571" s="16"/>
      <c r="G571" s="16"/>
      <c r="H571" s="16"/>
      <c r="I571" s="16"/>
      <c r="J571" s="16"/>
      <c r="K571" s="16"/>
      <c r="L571" s="13"/>
      <c r="M571" s="13"/>
      <c r="N571" s="13"/>
      <c r="O571" s="13"/>
      <c r="P571" s="13"/>
      <c r="Q571" s="13"/>
      <c r="R571" s="13"/>
      <c r="S571" s="13"/>
      <c r="T571" s="13"/>
      <c r="U571" s="12"/>
      <c r="V571" s="14"/>
      <c r="W571" s="16"/>
      <c r="X571" s="16"/>
      <c r="Y571" s="16"/>
      <c r="Z571" s="16"/>
      <c r="AA571" s="15" t="str">
        <f aca="false">IF(AND(ISNUMBER(L571),ISNUMBER(M571)),M571-L571,"")</f>
        <v/>
      </c>
      <c r="AB571" s="15" t="str">
        <f aca="false">IF(AND(ISNUMBER(M571),ISNUMBER(P571)),P571-M571,"")</f>
        <v/>
      </c>
      <c r="AC571" s="15" t="str">
        <f aca="false">IF(AND(ISNUMBER(L571),ISNUMBER(P571)),P571-L571,"")</f>
        <v/>
      </c>
      <c r="AD571" s="15" t="str">
        <f aca="false">IF(AND(ISNUMBER(P571),ISNUMBER(Q571)),Q571-P571,"")</f>
        <v/>
      </c>
      <c r="AE571" s="15" t="str">
        <f aca="false">IF(AND(ISNUMBER(Q571),ISNUMBER(R571)),R571-Q571,IF(ISNUMBER(Y571),Y571,""))</f>
        <v/>
      </c>
      <c r="AF571" s="15" t="str">
        <f aca="false">IF(AND(ISNUMBER(R571),ISNUMBER(S571)),S571-R571,"")</f>
        <v/>
      </c>
      <c r="AG571" s="15" t="str">
        <f aca="false">IF(AND(ISNUMBER(S571),ISNUMBER(T571)),T571-S571,"")</f>
        <v/>
      </c>
      <c r="AH571" s="15" t="str">
        <f aca="false">IF(AND(ISNUMBER(L571),ISNUMBER(T571)),T571-L571,"")</f>
        <v/>
      </c>
      <c r="AI571" s="15" t="str">
        <f aca="false">IF(AND(ISNUMBER(O571),ISNUMBER(Q571)),Q571-O571,"")</f>
        <v/>
      </c>
      <c r="AJ571" s="15" t="str">
        <f aca="false">IF(B571="","",COUNT(L571:M571,P571:T571)&amp;"/7")</f>
        <v/>
      </c>
      <c r="AK571" s="15" t="str">
        <f aca="false">IF(B571="","",IF(OR(AND(ISNUMBER(L571),ISNUMBER(M571),M571&lt;L571),AND(ISNUMBER(M571),ISNUMBER(P571),P571&lt;M571),AND(ISNUMBER(P571),ISNUMBER(Q571),Q571&lt;P571),AND(ISNUMBER(Q571),ISNUMBER(R571),R571&lt;Q571),AND(ISNUMBER(R571),ISNUMBER(S571),S571&lt;R571),AND(ISNUMBER(S571),ISNUMBER(T571),T571&lt;S571),AND(ISNUMBER(N571),ISNUMBER(O571),O571&lt;N571)),"Urutan tanggal salah",IF(AND(ISNUMBER(Q571),ISNUMBER(R571),ISNUMBER(Y571),ABS(R571-Q571-Y571)&gt;2),"S tanggal ≠ Sailing tercatat",IF(AND(ISNUMBER(Q571),ISNUMBER(O571),ABS(Q571-O571)&gt;60),"Cek tahun laycan",IF(AND(ISNUMBER(Q571),ISNUMBER(N571),Q571&lt;N571),"Berangkat sebelum laycan",IF(NOT(ISNUMBER(AE571)),"S belum ada","OK"))))))</f>
        <v/>
      </c>
    </row>
    <row r="572" customFormat="false" ht="15" hidden="false" customHeight="false" outlineLevel="0" collapsed="false">
      <c r="A572" s="16" t="str">
        <f aca="false">IF(B572="","",ROW()-4)</f>
        <v/>
      </c>
      <c r="B572" s="12"/>
      <c r="C572" s="16"/>
      <c r="D572" s="16"/>
      <c r="E572" s="16"/>
      <c r="F572" s="16"/>
      <c r="G572" s="16"/>
      <c r="H572" s="16"/>
      <c r="I572" s="16"/>
      <c r="J572" s="16"/>
      <c r="K572" s="16"/>
      <c r="L572" s="13"/>
      <c r="M572" s="13"/>
      <c r="N572" s="13"/>
      <c r="O572" s="13"/>
      <c r="P572" s="13"/>
      <c r="Q572" s="13"/>
      <c r="R572" s="13"/>
      <c r="S572" s="13"/>
      <c r="T572" s="13"/>
      <c r="U572" s="12"/>
      <c r="V572" s="14"/>
      <c r="W572" s="16"/>
      <c r="X572" s="16"/>
      <c r="Y572" s="16"/>
      <c r="Z572" s="16"/>
      <c r="AA572" s="15" t="str">
        <f aca="false">IF(AND(ISNUMBER(L572),ISNUMBER(M572)),M572-L572,"")</f>
        <v/>
      </c>
      <c r="AB572" s="15" t="str">
        <f aca="false">IF(AND(ISNUMBER(M572),ISNUMBER(P572)),P572-M572,"")</f>
        <v/>
      </c>
      <c r="AC572" s="15" t="str">
        <f aca="false">IF(AND(ISNUMBER(L572),ISNUMBER(P572)),P572-L572,"")</f>
        <v/>
      </c>
      <c r="AD572" s="15" t="str">
        <f aca="false">IF(AND(ISNUMBER(P572),ISNUMBER(Q572)),Q572-P572,"")</f>
        <v/>
      </c>
      <c r="AE572" s="15" t="str">
        <f aca="false">IF(AND(ISNUMBER(Q572),ISNUMBER(R572)),R572-Q572,IF(ISNUMBER(Y572),Y572,""))</f>
        <v/>
      </c>
      <c r="AF572" s="15" t="str">
        <f aca="false">IF(AND(ISNUMBER(R572),ISNUMBER(S572)),S572-R572,"")</f>
        <v/>
      </c>
      <c r="AG572" s="15" t="str">
        <f aca="false">IF(AND(ISNUMBER(S572),ISNUMBER(T572)),T572-S572,"")</f>
        <v/>
      </c>
      <c r="AH572" s="15" t="str">
        <f aca="false">IF(AND(ISNUMBER(L572),ISNUMBER(T572)),T572-L572,"")</f>
        <v/>
      </c>
      <c r="AI572" s="15" t="str">
        <f aca="false">IF(AND(ISNUMBER(O572),ISNUMBER(Q572)),Q572-O572,"")</f>
        <v/>
      </c>
      <c r="AJ572" s="15" t="str">
        <f aca="false">IF(B572="","",COUNT(L572:M572,P572:T572)&amp;"/7")</f>
        <v/>
      </c>
      <c r="AK572" s="15" t="str">
        <f aca="false">IF(B572="","",IF(OR(AND(ISNUMBER(L572),ISNUMBER(M572),M572&lt;L572),AND(ISNUMBER(M572),ISNUMBER(P572),P572&lt;M572),AND(ISNUMBER(P572),ISNUMBER(Q572),Q572&lt;P572),AND(ISNUMBER(Q572),ISNUMBER(R572),R572&lt;Q572),AND(ISNUMBER(R572),ISNUMBER(S572),S572&lt;R572),AND(ISNUMBER(S572),ISNUMBER(T572),T572&lt;S572),AND(ISNUMBER(N572),ISNUMBER(O572),O572&lt;N572)),"Urutan tanggal salah",IF(AND(ISNUMBER(Q572),ISNUMBER(R572),ISNUMBER(Y572),ABS(R572-Q572-Y572)&gt;2),"S tanggal ≠ Sailing tercatat",IF(AND(ISNUMBER(Q572),ISNUMBER(O572),ABS(Q572-O572)&gt;60),"Cek tahun laycan",IF(AND(ISNUMBER(Q572),ISNUMBER(N572),Q572&lt;N572),"Berangkat sebelum laycan",IF(NOT(ISNUMBER(AE572)),"S belum ada","OK"))))))</f>
        <v/>
      </c>
    </row>
    <row r="573" customFormat="false" ht="15" hidden="false" customHeight="false" outlineLevel="0" collapsed="false">
      <c r="A573" s="16" t="str">
        <f aca="false">IF(B573="","",ROW()-4)</f>
        <v/>
      </c>
      <c r="B573" s="12"/>
      <c r="C573" s="16"/>
      <c r="D573" s="16"/>
      <c r="E573" s="16"/>
      <c r="F573" s="16"/>
      <c r="G573" s="16"/>
      <c r="H573" s="16"/>
      <c r="I573" s="16"/>
      <c r="J573" s="16"/>
      <c r="K573" s="16"/>
      <c r="L573" s="13"/>
      <c r="M573" s="13"/>
      <c r="N573" s="13"/>
      <c r="O573" s="13"/>
      <c r="P573" s="13"/>
      <c r="Q573" s="13"/>
      <c r="R573" s="13"/>
      <c r="S573" s="13"/>
      <c r="T573" s="13"/>
      <c r="U573" s="12"/>
      <c r="V573" s="14"/>
      <c r="W573" s="16"/>
      <c r="X573" s="16"/>
      <c r="Y573" s="16"/>
      <c r="Z573" s="16"/>
      <c r="AA573" s="15" t="str">
        <f aca="false">IF(AND(ISNUMBER(L573),ISNUMBER(M573)),M573-L573,"")</f>
        <v/>
      </c>
      <c r="AB573" s="15" t="str">
        <f aca="false">IF(AND(ISNUMBER(M573),ISNUMBER(P573)),P573-M573,"")</f>
        <v/>
      </c>
      <c r="AC573" s="15" t="str">
        <f aca="false">IF(AND(ISNUMBER(L573),ISNUMBER(P573)),P573-L573,"")</f>
        <v/>
      </c>
      <c r="AD573" s="15" t="str">
        <f aca="false">IF(AND(ISNUMBER(P573),ISNUMBER(Q573)),Q573-P573,"")</f>
        <v/>
      </c>
      <c r="AE573" s="15" t="str">
        <f aca="false">IF(AND(ISNUMBER(Q573),ISNUMBER(R573)),R573-Q573,IF(ISNUMBER(Y573),Y573,""))</f>
        <v/>
      </c>
      <c r="AF573" s="15" t="str">
        <f aca="false">IF(AND(ISNUMBER(R573),ISNUMBER(S573)),S573-R573,"")</f>
        <v/>
      </c>
      <c r="AG573" s="15" t="str">
        <f aca="false">IF(AND(ISNUMBER(S573),ISNUMBER(T573)),T573-S573,"")</f>
        <v/>
      </c>
      <c r="AH573" s="15" t="str">
        <f aca="false">IF(AND(ISNUMBER(L573),ISNUMBER(T573)),T573-L573,"")</f>
        <v/>
      </c>
      <c r="AI573" s="15" t="str">
        <f aca="false">IF(AND(ISNUMBER(O573),ISNUMBER(Q573)),Q573-O573,"")</f>
        <v/>
      </c>
      <c r="AJ573" s="15" t="str">
        <f aca="false">IF(B573="","",COUNT(L573:M573,P573:T573)&amp;"/7")</f>
        <v/>
      </c>
      <c r="AK573" s="15" t="str">
        <f aca="false">IF(B573="","",IF(OR(AND(ISNUMBER(L573),ISNUMBER(M573),M573&lt;L573),AND(ISNUMBER(M573),ISNUMBER(P573),P573&lt;M573),AND(ISNUMBER(P573),ISNUMBER(Q573),Q573&lt;P573),AND(ISNUMBER(Q573),ISNUMBER(R573),R573&lt;Q573),AND(ISNUMBER(R573),ISNUMBER(S573),S573&lt;R573),AND(ISNUMBER(S573),ISNUMBER(T573),T573&lt;S573),AND(ISNUMBER(N573),ISNUMBER(O573),O573&lt;N573)),"Urutan tanggal salah",IF(AND(ISNUMBER(Q573),ISNUMBER(R573),ISNUMBER(Y573),ABS(R573-Q573-Y573)&gt;2),"S tanggal ≠ Sailing tercatat",IF(AND(ISNUMBER(Q573),ISNUMBER(O573),ABS(Q573-O573)&gt;60),"Cek tahun laycan",IF(AND(ISNUMBER(Q573),ISNUMBER(N573),Q573&lt;N573),"Berangkat sebelum laycan",IF(NOT(ISNUMBER(AE573)),"S belum ada","OK"))))))</f>
        <v/>
      </c>
    </row>
    <row r="574" customFormat="false" ht="15" hidden="false" customHeight="false" outlineLevel="0" collapsed="false">
      <c r="A574" s="16" t="str">
        <f aca="false">IF(B574="","",ROW()-4)</f>
        <v/>
      </c>
      <c r="B574" s="12"/>
      <c r="C574" s="16"/>
      <c r="D574" s="16"/>
      <c r="E574" s="16"/>
      <c r="F574" s="16"/>
      <c r="G574" s="16"/>
      <c r="H574" s="16"/>
      <c r="I574" s="16"/>
      <c r="J574" s="16"/>
      <c r="K574" s="16"/>
      <c r="L574" s="13"/>
      <c r="M574" s="13"/>
      <c r="N574" s="13"/>
      <c r="O574" s="13"/>
      <c r="P574" s="13"/>
      <c r="Q574" s="13"/>
      <c r="R574" s="13"/>
      <c r="S574" s="13"/>
      <c r="T574" s="13"/>
      <c r="U574" s="12"/>
      <c r="V574" s="14"/>
      <c r="W574" s="16"/>
      <c r="X574" s="16"/>
      <c r="Y574" s="16"/>
      <c r="Z574" s="16"/>
      <c r="AA574" s="15" t="str">
        <f aca="false">IF(AND(ISNUMBER(L574),ISNUMBER(M574)),M574-L574,"")</f>
        <v/>
      </c>
      <c r="AB574" s="15" t="str">
        <f aca="false">IF(AND(ISNUMBER(M574),ISNUMBER(P574)),P574-M574,"")</f>
        <v/>
      </c>
      <c r="AC574" s="15" t="str">
        <f aca="false">IF(AND(ISNUMBER(L574),ISNUMBER(P574)),P574-L574,"")</f>
        <v/>
      </c>
      <c r="AD574" s="15" t="str">
        <f aca="false">IF(AND(ISNUMBER(P574),ISNUMBER(Q574)),Q574-P574,"")</f>
        <v/>
      </c>
      <c r="AE574" s="15" t="str">
        <f aca="false">IF(AND(ISNUMBER(Q574),ISNUMBER(R574)),R574-Q574,IF(ISNUMBER(Y574),Y574,""))</f>
        <v/>
      </c>
      <c r="AF574" s="15" t="str">
        <f aca="false">IF(AND(ISNUMBER(R574),ISNUMBER(S574)),S574-R574,"")</f>
        <v/>
      </c>
      <c r="AG574" s="15" t="str">
        <f aca="false">IF(AND(ISNUMBER(S574),ISNUMBER(T574)),T574-S574,"")</f>
        <v/>
      </c>
      <c r="AH574" s="15" t="str">
        <f aca="false">IF(AND(ISNUMBER(L574),ISNUMBER(T574)),T574-L574,"")</f>
        <v/>
      </c>
      <c r="AI574" s="15" t="str">
        <f aca="false">IF(AND(ISNUMBER(O574),ISNUMBER(Q574)),Q574-O574,"")</f>
        <v/>
      </c>
      <c r="AJ574" s="15" t="str">
        <f aca="false">IF(B574="","",COUNT(L574:M574,P574:T574)&amp;"/7")</f>
        <v/>
      </c>
      <c r="AK574" s="15" t="str">
        <f aca="false">IF(B574="","",IF(OR(AND(ISNUMBER(L574),ISNUMBER(M574),M574&lt;L574),AND(ISNUMBER(M574),ISNUMBER(P574),P574&lt;M574),AND(ISNUMBER(P574),ISNUMBER(Q574),Q574&lt;P574),AND(ISNUMBER(Q574),ISNUMBER(R574),R574&lt;Q574),AND(ISNUMBER(R574),ISNUMBER(S574),S574&lt;R574),AND(ISNUMBER(S574),ISNUMBER(T574),T574&lt;S574),AND(ISNUMBER(N574),ISNUMBER(O574),O574&lt;N574)),"Urutan tanggal salah",IF(AND(ISNUMBER(Q574),ISNUMBER(R574),ISNUMBER(Y574),ABS(R574-Q574-Y574)&gt;2),"S tanggal ≠ Sailing tercatat",IF(AND(ISNUMBER(Q574),ISNUMBER(O574),ABS(Q574-O574)&gt;60),"Cek tahun laycan",IF(AND(ISNUMBER(Q574),ISNUMBER(N574),Q574&lt;N574),"Berangkat sebelum laycan",IF(NOT(ISNUMBER(AE574)),"S belum ada","OK"))))))</f>
        <v/>
      </c>
    </row>
    <row r="575" customFormat="false" ht="15" hidden="false" customHeight="false" outlineLevel="0" collapsed="false">
      <c r="A575" s="16" t="str">
        <f aca="false">IF(B575="","",ROW()-4)</f>
        <v/>
      </c>
      <c r="B575" s="12"/>
      <c r="C575" s="16"/>
      <c r="D575" s="16"/>
      <c r="E575" s="16"/>
      <c r="F575" s="16"/>
      <c r="G575" s="16"/>
      <c r="H575" s="16"/>
      <c r="I575" s="16"/>
      <c r="J575" s="16"/>
      <c r="K575" s="16"/>
      <c r="L575" s="13"/>
      <c r="M575" s="13"/>
      <c r="N575" s="13"/>
      <c r="O575" s="13"/>
      <c r="P575" s="13"/>
      <c r="Q575" s="13"/>
      <c r="R575" s="13"/>
      <c r="S575" s="13"/>
      <c r="T575" s="13"/>
      <c r="U575" s="12"/>
      <c r="V575" s="14"/>
      <c r="W575" s="16"/>
      <c r="X575" s="16"/>
      <c r="Y575" s="16"/>
      <c r="Z575" s="16"/>
      <c r="AA575" s="15" t="str">
        <f aca="false">IF(AND(ISNUMBER(L575),ISNUMBER(M575)),M575-L575,"")</f>
        <v/>
      </c>
      <c r="AB575" s="15" t="str">
        <f aca="false">IF(AND(ISNUMBER(M575),ISNUMBER(P575)),P575-M575,"")</f>
        <v/>
      </c>
      <c r="AC575" s="15" t="str">
        <f aca="false">IF(AND(ISNUMBER(L575),ISNUMBER(P575)),P575-L575,"")</f>
        <v/>
      </c>
      <c r="AD575" s="15" t="str">
        <f aca="false">IF(AND(ISNUMBER(P575),ISNUMBER(Q575)),Q575-P575,"")</f>
        <v/>
      </c>
      <c r="AE575" s="15" t="str">
        <f aca="false">IF(AND(ISNUMBER(Q575),ISNUMBER(R575)),R575-Q575,IF(ISNUMBER(Y575),Y575,""))</f>
        <v/>
      </c>
      <c r="AF575" s="15" t="str">
        <f aca="false">IF(AND(ISNUMBER(R575),ISNUMBER(S575)),S575-R575,"")</f>
        <v/>
      </c>
      <c r="AG575" s="15" t="str">
        <f aca="false">IF(AND(ISNUMBER(S575),ISNUMBER(T575)),T575-S575,"")</f>
        <v/>
      </c>
      <c r="AH575" s="15" t="str">
        <f aca="false">IF(AND(ISNUMBER(L575),ISNUMBER(T575)),T575-L575,"")</f>
        <v/>
      </c>
      <c r="AI575" s="15" t="str">
        <f aca="false">IF(AND(ISNUMBER(O575),ISNUMBER(Q575)),Q575-O575,"")</f>
        <v/>
      </c>
      <c r="AJ575" s="15" t="str">
        <f aca="false">IF(B575="","",COUNT(L575:M575,P575:T575)&amp;"/7")</f>
        <v/>
      </c>
      <c r="AK575" s="15" t="str">
        <f aca="false">IF(B575="","",IF(OR(AND(ISNUMBER(L575),ISNUMBER(M575),M575&lt;L575),AND(ISNUMBER(M575),ISNUMBER(P575),P575&lt;M575),AND(ISNUMBER(P575),ISNUMBER(Q575),Q575&lt;P575),AND(ISNUMBER(Q575),ISNUMBER(R575),R575&lt;Q575),AND(ISNUMBER(R575),ISNUMBER(S575),S575&lt;R575),AND(ISNUMBER(S575),ISNUMBER(T575),T575&lt;S575),AND(ISNUMBER(N575),ISNUMBER(O575),O575&lt;N575)),"Urutan tanggal salah",IF(AND(ISNUMBER(Q575),ISNUMBER(R575),ISNUMBER(Y575),ABS(R575-Q575-Y575)&gt;2),"S tanggal ≠ Sailing tercatat",IF(AND(ISNUMBER(Q575),ISNUMBER(O575),ABS(Q575-O575)&gt;60),"Cek tahun laycan",IF(AND(ISNUMBER(Q575),ISNUMBER(N575),Q575&lt;N575),"Berangkat sebelum laycan",IF(NOT(ISNUMBER(AE575)),"S belum ada","OK"))))))</f>
        <v/>
      </c>
    </row>
    <row r="576" customFormat="false" ht="15" hidden="false" customHeight="false" outlineLevel="0" collapsed="false">
      <c r="A576" s="16" t="str">
        <f aca="false">IF(B576="","",ROW()-4)</f>
        <v/>
      </c>
      <c r="B576" s="12"/>
      <c r="C576" s="16"/>
      <c r="D576" s="16"/>
      <c r="E576" s="16"/>
      <c r="F576" s="16"/>
      <c r="G576" s="16"/>
      <c r="H576" s="16"/>
      <c r="I576" s="16"/>
      <c r="J576" s="16"/>
      <c r="K576" s="16"/>
      <c r="L576" s="13"/>
      <c r="M576" s="13"/>
      <c r="N576" s="13"/>
      <c r="O576" s="13"/>
      <c r="P576" s="13"/>
      <c r="Q576" s="13"/>
      <c r="R576" s="13"/>
      <c r="S576" s="13"/>
      <c r="T576" s="13"/>
      <c r="U576" s="12"/>
      <c r="V576" s="14"/>
      <c r="W576" s="16"/>
      <c r="X576" s="16"/>
      <c r="Y576" s="16"/>
      <c r="Z576" s="16"/>
      <c r="AA576" s="15" t="str">
        <f aca="false">IF(AND(ISNUMBER(L576),ISNUMBER(M576)),M576-L576,"")</f>
        <v/>
      </c>
      <c r="AB576" s="15" t="str">
        <f aca="false">IF(AND(ISNUMBER(M576),ISNUMBER(P576)),P576-M576,"")</f>
        <v/>
      </c>
      <c r="AC576" s="15" t="str">
        <f aca="false">IF(AND(ISNUMBER(L576),ISNUMBER(P576)),P576-L576,"")</f>
        <v/>
      </c>
      <c r="AD576" s="15" t="str">
        <f aca="false">IF(AND(ISNUMBER(P576),ISNUMBER(Q576)),Q576-P576,"")</f>
        <v/>
      </c>
      <c r="AE576" s="15" t="str">
        <f aca="false">IF(AND(ISNUMBER(Q576),ISNUMBER(R576)),R576-Q576,IF(ISNUMBER(Y576),Y576,""))</f>
        <v/>
      </c>
      <c r="AF576" s="15" t="str">
        <f aca="false">IF(AND(ISNUMBER(R576),ISNUMBER(S576)),S576-R576,"")</f>
        <v/>
      </c>
      <c r="AG576" s="15" t="str">
        <f aca="false">IF(AND(ISNUMBER(S576),ISNUMBER(T576)),T576-S576,"")</f>
        <v/>
      </c>
      <c r="AH576" s="15" t="str">
        <f aca="false">IF(AND(ISNUMBER(L576),ISNUMBER(T576)),T576-L576,"")</f>
        <v/>
      </c>
      <c r="AI576" s="15" t="str">
        <f aca="false">IF(AND(ISNUMBER(O576),ISNUMBER(Q576)),Q576-O576,"")</f>
        <v/>
      </c>
      <c r="AJ576" s="15" t="str">
        <f aca="false">IF(B576="","",COUNT(L576:M576,P576:T576)&amp;"/7")</f>
        <v/>
      </c>
      <c r="AK576" s="15" t="str">
        <f aca="false">IF(B576="","",IF(OR(AND(ISNUMBER(L576),ISNUMBER(M576),M576&lt;L576),AND(ISNUMBER(M576),ISNUMBER(P576),P576&lt;M576),AND(ISNUMBER(P576),ISNUMBER(Q576),Q576&lt;P576),AND(ISNUMBER(Q576),ISNUMBER(R576),R576&lt;Q576),AND(ISNUMBER(R576),ISNUMBER(S576),S576&lt;R576),AND(ISNUMBER(S576),ISNUMBER(T576),T576&lt;S576),AND(ISNUMBER(N576),ISNUMBER(O576),O576&lt;N576)),"Urutan tanggal salah",IF(AND(ISNUMBER(Q576),ISNUMBER(R576),ISNUMBER(Y576),ABS(R576-Q576-Y576)&gt;2),"S tanggal ≠ Sailing tercatat",IF(AND(ISNUMBER(Q576),ISNUMBER(O576),ABS(Q576-O576)&gt;60),"Cek tahun laycan",IF(AND(ISNUMBER(Q576),ISNUMBER(N576),Q576&lt;N576),"Berangkat sebelum laycan",IF(NOT(ISNUMBER(AE576)),"S belum ada","OK"))))))</f>
        <v/>
      </c>
    </row>
    <row r="577" customFormat="false" ht="15" hidden="false" customHeight="false" outlineLevel="0" collapsed="false">
      <c r="A577" s="16" t="str">
        <f aca="false">IF(B577="","",ROW()-4)</f>
        <v/>
      </c>
      <c r="B577" s="12"/>
      <c r="C577" s="16"/>
      <c r="D577" s="16"/>
      <c r="E577" s="16"/>
      <c r="F577" s="16"/>
      <c r="G577" s="16"/>
      <c r="H577" s="16"/>
      <c r="I577" s="16"/>
      <c r="J577" s="16"/>
      <c r="K577" s="16"/>
      <c r="L577" s="13"/>
      <c r="M577" s="13"/>
      <c r="N577" s="13"/>
      <c r="O577" s="13"/>
      <c r="P577" s="13"/>
      <c r="Q577" s="13"/>
      <c r="R577" s="13"/>
      <c r="S577" s="13"/>
      <c r="T577" s="13"/>
      <c r="U577" s="12"/>
      <c r="V577" s="14"/>
      <c r="W577" s="16"/>
      <c r="X577" s="16"/>
      <c r="Y577" s="16"/>
      <c r="Z577" s="16"/>
      <c r="AA577" s="15" t="str">
        <f aca="false">IF(AND(ISNUMBER(L577),ISNUMBER(M577)),M577-L577,"")</f>
        <v/>
      </c>
      <c r="AB577" s="15" t="str">
        <f aca="false">IF(AND(ISNUMBER(M577),ISNUMBER(P577)),P577-M577,"")</f>
        <v/>
      </c>
      <c r="AC577" s="15" t="str">
        <f aca="false">IF(AND(ISNUMBER(L577),ISNUMBER(P577)),P577-L577,"")</f>
        <v/>
      </c>
      <c r="AD577" s="15" t="str">
        <f aca="false">IF(AND(ISNUMBER(P577),ISNUMBER(Q577)),Q577-P577,"")</f>
        <v/>
      </c>
      <c r="AE577" s="15" t="str">
        <f aca="false">IF(AND(ISNUMBER(Q577),ISNUMBER(R577)),R577-Q577,IF(ISNUMBER(Y577),Y577,""))</f>
        <v/>
      </c>
      <c r="AF577" s="15" t="str">
        <f aca="false">IF(AND(ISNUMBER(R577),ISNUMBER(S577)),S577-R577,"")</f>
        <v/>
      </c>
      <c r="AG577" s="15" t="str">
        <f aca="false">IF(AND(ISNUMBER(S577),ISNUMBER(T577)),T577-S577,"")</f>
        <v/>
      </c>
      <c r="AH577" s="15" t="str">
        <f aca="false">IF(AND(ISNUMBER(L577),ISNUMBER(T577)),T577-L577,"")</f>
        <v/>
      </c>
      <c r="AI577" s="15" t="str">
        <f aca="false">IF(AND(ISNUMBER(O577),ISNUMBER(Q577)),Q577-O577,"")</f>
        <v/>
      </c>
      <c r="AJ577" s="15" t="str">
        <f aca="false">IF(B577="","",COUNT(L577:M577,P577:T577)&amp;"/7")</f>
        <v/>
      </c>
      <c r="AK577" s="15" t="str">
        <f aca="false">IF(B577="","",IF(OR(AND(ISNUMBER(L577),ISNUMBER(M577),M577&lt;L577),AND(ISNUMBER(M577),ISNUMBER(P577),P577&lt;M577),AND(ISNUMBER(P577),ISNUMBER(Q577),Q577&lt;P577),AND(ISNUMBER(Q577),ISNUMBER(R577),R577&lt;Q577),AND(ISNUMBER(R577),ISNUMBER(S577),S577&lt;R577),AND(ISNUMBER(S577),ISNUMBER(T577),T577&lt;S577),AND(ISNUMBER(N577),ISNUMBER(O577),O577&lt;N577)),"Urutan tanggal salah",IF(AND(ISNUMBER(Q577),ISNUMBER(R577),ISNUMBER(Y577),ABS(R577-Q577-Y577)&gt;2),"S tanggal ≠ Sailing tercatat",IF(AND(ISNUMBER(Q577),ISNUMBER(O577),ABS(Q577-O577)&gt;60),"Cek tahun laycan",IF(AND(ISNUMBER(Q577),ISNUMBER(N577),Q577&lt;N577),"Berangkat sebelum laycan",IF(NOT(ISNUMBER(AE577)),"S belum ada","OK"))))))</f>
        <v/>
      </c>
    </row>
    <row r="578" customFormat="false" ht="15" hidden="false" customHeight="false" outlineLevel="0" collapsed="false">
      <c r="A578" s="16" t="str">
        <f aca="false">IF(B578="","",ROW()-4)</f>
        <v/>
      </c>
      <c r="B578" s="12"/>
      <c r="C578" s="16"/>
      <c r="D578" s="16"/>
      <c r="E578" s="16"/>
      <c r="F578" s="16"/>
      <c r="G578" s="16"/>
      <c r="H578" s="16"/>
      <c r="I578" s="16"/>
      <c r="J578" s="16"/>
      <c r="K578" s="16"/>
      <c r="L578" s="13"/>
      <c r="M578" s="13"/>
      <c r="N578" s="13"/>
      <c r="O578" s="13"/>
      <c r="P578" s="13"/>
      <c r="Q578" s="13"/>
      <c r="R578" s="13"/>
      <c r="S578" s="13"/>
      <c r="T578" s="13"/>
      <c r="U578" s="12"/>
      <c r="V578" s="14"/>
      <c r="W578" s="16"/>
      <c r="X578" s="16"/>
      <c r="Y578" s="16"/>
      <c r="Z578" s="16"/>
      <c r="AA578" s="15" t="str">
        <f aca="false">IF(AND(ISNUMBER(L578),ISNUMBER(M578)),M578-L578,"")</f>
        <v/>
      </c>
      <c r="AB578" s="15" t="str">
        <f aca="false">IF(AND(ISNUMBER(M578),ISNUMBER(P578)),P578-M578,"")</f>
        <v/>
      </c>
      <c r="AC578" s="15" t="str">
        <f aca="false">IF(AND(ISNUMBER(L578),ISNUMBER(P578)),P578-L578,"")</f>
        <v/>
      </c>
      <c r="AD578" s="15" t="str">
        <f aca="false">IF(AND(ISNUMBER(P578),ISNUMBER(Q578)),Q578-P578,"")</f>
        <v/>
      </c>
      <c r="AE578" s="15" t="str">
        <f aca="false">IF(AND(ISNUMBER(Q578),ISNUMBER(R578)),R578-Q578,IF(ISNUMBER(Y578),Y578,""))</f>
        <v/>
      </c>
      <c r="AF578" s="15" t="str">
        <f aca="false">IF(AND(ISNUMBER(R578),ISNUMBER(S578)),S578-R578,"")</f>
        <v/>
      </c>
      <c r="AG578" s="15" t="str">
        <f aca="false">IF(AND(ISNUMBER(S578),ISNUMBER(T578)),T578-S578,"")</f>
        <v/>
      </c>
      <c r="AH578" s="15" t="str">
        <f aca="false">IF(AND(ISNUMBER(L578),ISNUMBER(T578)),T578-L578,"")</f>
        <v/>
      </c>
      <c r="AI578" s="15" t="str">
        <f aca="false">IF(AND(ISNUMBER(O578),ISNUMBER(Q578)),Q578-O578,"")</f>
        <v/>
      </c>
      <c r="AJ578" s="15" t="str">
        <f aca="false">IF(B578="","",COUNT(L578:M578,P578:T578)&amp;"/7")</f>
        <v/>
      </c>
      <c r="AK578" s="15" t="str">
        <f aca="false">IF(B578="","",IF(OR(AND(ISNUMBER(L578),ISNUMBER(M578),M578&lt;L578),AND(ISNUMBER(M578),ISNUMBER(P578),P578&lt;M578),AND(ISNUMBER(P578),ISNUMBER(Q578),Q578&lt;P578),AND(ISNUMBER(Q578),ISNUMBER(R578),R578&lt;Q578),AND(ISNUMBER(R578),ISNUMBER(S578),S578&lt;R578),AND(ISNUMBER(S578),ISNUMBER(T578),T578&lt;S578),AND(ISNUMBER(N578),ISNUMBER(O578),O578&lt;N578)),"Urutan tanggal salah",IF(AND(ISNUMBER(Q578),ISNUMBER(R578),ISNUMBER(Y578),ABS(R578-Q578-Y578)&gt;2),"S tanggal ≠ Sailing tercatat",IF(AND(ISNUMBER(Q578),ISNUMBER(O578),ABS(Q578-O578)&gt;60),"Cek tahun laycan",IF(AND(ISNUMBER(Q578),ISNUMBER(N578),Q578&lt;N578),"Berangkat sebelum laycan",IF(NOT(ISNUMBER(AE578)),"S belum ada","OK"))))))</f>
        <v/>
      </c>
    </row>
    <row r="579" customFormat="false" ht="15" hidden="false" customHeight="false" outlineLevel="0" collapsed="false">
      <c r="A579" s="16" t="str">
        <f aca="false">IF(B579="","",ROW()-4)</f>
        <v/>
      </c>
      <c r="B579" s="12"/>
      <c r="C579" s="16"/>
      <c r="D579" s="16"/>
      <c r="E579" s="16"/>
      <c r="F579" s="16"/>
      <c r="G579" s="16"/>
      <c r="H579" s="16"/>
      <c r="I579" s="16"/>
      <c r="J579" s="16"/>
      <c r="K579" s="16"/>
      <c r="L579" s="13"/>
      <c r="M579" s="13"/>
      <c r="N579" s="13"/>
      <c r="O579" s="13"/>
      <c r="P579" s="13"/>
      <c r="Q579" s="13"/>
      <c r="R579" s="13"/>
      <c r="S579" s="13"/>
      <c r="T579" s="13"/>
      <c r="U579" s="12"/>
      <c r="V579" s="14"/>
      <c r="W579" s="16"/>
      <c r="X579" s="16"/>
      <c r="Y579" s="16"/>
      <c r="Z579" s="16"/>
      <c r="AA579" s="15" t="str">
        <f aca="false">IF(AND(ISNUMBER(L579),ISNUMBER(M579)),M579-L579,"")</f>
        <v/>
      </c>
      <c r="AB579" s="15" t="str">
        <f aca="false">IF(AND(ISNUMBER(M579),ISNUMBER(P579)),P579-M579,"")</f>
        <v/>
      </c>
      <c r="AC579" s="15" t="str">
        <f aca="false">IF(AND(ISNUMBER(L579),ISNUMBER(P579)),P579-L579,"")</f>
        <v/>
      </c>
      <c r="AD579" s="15" t="str">
        <f aca="false">IF(AND(ISNUMBER(P579),ISNUMBER(Q579)),Q579-P579,"")</f>
        <v/>
      </c>
      <c r="AE579" s="15" t="str">
        <f aca="false">IF(AND(ISNUMBER(Q579),ISNUMBER(R579)),R579-Q579,IF(ISNUMBER(Y579),Y579,""))</f>
        <v/>
      </c>
      <c r="AF579" s="15" t="str">
        <f aca="false">IF(AND(ISNUMBER(R579),ISNUMBER(S579)),S579-R579,"")</f>
        <v/>
      </c>
      <c r="AG579" s="15" t="str">
        <f aca="false">IF(AND(ISNUMBER(S579),ISNUMBER(T579)),T579-S579,"")</f>
        <v/>
      </c>
      <c r="AH579" s="15" t="str">
        <f aca="false">IF(AND(ISNUMBER(L579),ISNUMBER(T579)),T579-L579,"")</f>
        <v/>
      </c>
      <c r="AI579" s="15" t="str">
        <f aca="false">IF(AND(ISNUMBER(O579),ISNUMBER(Q579)),Q579-O579,"")</f>
        <v/>
      </c>
      <c r="AJ579" s="15" t="str">
        <f aca="false">IF(B579="","",COUNT(L579:M579,P579:T579)&amp;"/7")</f>
        <v/>
      </c>
      <c r="AK579" s="15" t="str">
        <f aca="false">IF(B579="","",IF(OR(AND(ISNUMBER(L579),ISNUMBER(M579),M579&lt;L579),AND(ISNUMBER(M579),ISNUMBER(P579),P579&lt;M579),AND(ISNUMBER(P579),ISNUMBER(Q579),Q579&lt;P579),AND(ISNUMBER(Q579),ISNUMBER(R579),R579&lt;Q579),AND(ISNUMBER(R579),ISNUMBER(S579),S579&lt;R579),AND(ISNUMBER(S579),ISNUMBER(T579),T579&lt;S579),AND(ISNUMBER(N579),ISNUMBER(O579),O579&lt;N579)),"Urutan tanggal salah",IF(AND(ISNUMBER(Q579),ISNUMBER(R579),ISNUMBER(Y579),ABS(R579-Q579-Y579)&gt;2),"S tanggal ≠ Sailing tercatat",IF(AND(ISNUMBER(Q579),ISNUMBER(O579),ABS(Q579-O579)&gt;60),"Cek tahun laycan",IF(AND(ISNUMBER(Q579),ISNUMBER(N579),Q579&lt;N579),"Berangkat sebelum laycan",IF(NOT(ISNUMBER(AE579)),"S belum ada","OK"))))))</f>
        <v/>
      </c>
    </row>
    <row r="580" customFormat="false" ht="15" hidden="false" customHeight="false" outlineLevel="0" collapsed="false">
      <c r="A580" s="16" t="str">
        <f aca="false">IF(B580="","",ROW()-4)</f>
        <v/>
      </c>
      <c r="B580" s="12"/>
      <c r="C580" s="16"/>
      <c r="D580" s="16"/>
      <c r="E580" s="16"/>
      <c r="F580" s="16"/>
      <c r="G580" s="16"/>
      <c r="H580" s="16"/>
      <c r="I580" s="16"/>
      <c r="J580" s="16"/>
      <c r="K580" s="16"/>
      <c r="L580" s="13"/>
      <c r="M580" s="13"/>
      <c r="N580" s="13"/>
      <c r="O580" s="13"/>
      <c r="P580" s="13"/>
      <c r="Q580" s="13"/>
      <c r="R580" s="13"/>
      <c r="S580" s="13"/>
      <c r="T580" s="13"/>
      <c r="U580" s="12"/>
      <c r="V580" s="14"/>
      <c r="W580" s="16"/>
      <c r="X580" s="16"/>
      <c r="Y580" s="16"/>
      <c r="Z580" s="16"/>
      <c r="AA580" s="15" t="str">
        <f aca="false">IF(AND(ISNUMBER(L580),ISNUMBER(M580)),M580-L580,"")</f>
        <v/>
      </c>
      <c r="AB580" s="15" t="str">
        <f aca="false">IF(AND(ISNUMBER(M580),ISNUMBER(P580)),P580-M580,"")</f>
        <v/>
      </c>
      <c r="AC580" s="15" t="str">
        <f aca="false">IF(AND(ISNUMBER(L580),ISNUMBER(P580)),P580-L580,"")</f>
        <v/>
      </c>
      <c r="AD580" s="15" t="str">
        <f aca="false">IF(AND(ISNUMBER(P580),ISNUMBER(Q580)),Q580-P580,"")</f>
        <v/>
      </c>
      <c r="AE580" s="15" t="str">
        <f aca="false">IF(AND(ISNUMBER(Q580),ISNUMBER(R580)),R580-Q580,IF(ISNUMBER(Y580),Y580,""))</f>
        <v/>
      </c>
      <c r="AF580" s="15" t="str">
        <f aca="false">IF(AND(ISNUMBER(R580),ISNUMBER(S580)),S580-R580,"")</f>
        <v/>
      </c>
      <c r="AG580" s="15" t="str">
        <f aca="false">IF(AND(ISNUMBER(S580),ISNUMBER(T580)),T580-S580,"")</f>
        <v/>
      </c>
      <c r="AH580" s="15" t="str">
        <f aca="false">IF(AND(ISNUMBER(L580),ISNUMBER(T580)),T580-L580,"")</f>
        <v/>
      </c>
      <c r="AI580" s="15" t="str">
        <f aca="false">IF(AND(ISNUMBER(O580),ISNUMBER(Q580)),Q580-O580,"")</f>
        <v/>
      </c>
      <c r="AJ580" s="15" t="str">
        <f aca="false">IF(B580="","",COUNT(L580:M580,P580:T580)&amp;"/7")</f>
        <v/>
      </c>
      <c r="AK580" s="15" t="str">
        <f aca="false">IF(B580="","",IF(OR(AND(ISNUMBER(L580),ISNUMBER(M580),M580&lt;L580),AND(ISNUMBER(M580),ISNUMBER(P580),P580&lt;M580),AND(ISNUMBER(P580),ISNUMBER(Q580),Q580&lt;P580),AND(ISNUMBER(Q580),ISNUMBER(R580),R580&lt;Q580),AND(ISNUMBER(R580),ISNUMBER(S580),S580&lt;R580),AND(ISNUMBER(S580),ISNUMBER(T580),T580&lt;S580),AND(ISNUMBER(N580),ISNUMBER(O580),O580&lt;N580)),"Urutan tanggal salah",IF(AND(ISNUMBER(Q580),ISNUMBER(R580),ISNUMBER(Y580),ABS(R580-Q580-Y580)&gt;2),"S tanggal ≠ Sailing tercatat",IF(AND(ISNUMBER(Q580),ISNUMBER(O580),ABS(Q580-O580)&gt;60),"Cek tahun laycan",IF(AND(ISNUMBER(Q580),ISNUMBER(N580),Q580&lt;N580),"Berangkat sebelum laycan",IF(NOT(ISNUMBER(AE580)),"S belum ada","OK"))))))</f>
        <v/>
      </c>
    </row>
    <row r="581" customFormat="false" ht="15" hidden="false" customHeight="false" outlineLevel="0" collapsed="false">
      <c r="A581" s="16" t="str">
        <f aca="false">IF(B581="","",ROW()-4)</f>
        <v/>
      </c>
      <c r="B581" s="12"/>
      <c r="C581" s="16"/>
      <c r="D581" s="16"/>
      <c r="E581" s="16"/>
      <c r="F581" s="16"/>
      <c r="G581" s="16"/>
      <c r="H581" s="16"/>
      <c r="I581" s="16"/>
      <c r="J581" s="16"/>
      <c r="K581" s="16"/>
      <c r="L581" s="13"/>
      <c r="M581" s="13"/>
      <c r="N581" s="13"/>
      <c r="O581" s="13"/>
      <c r="P581" s="13"/>
      <c r="Q581" s="13"/>
      <c r="R581" s="13"/>
      <c r="S581" s="13"/>
      <c r="T581" s="13"/>
      <c r="U581" s="12"/>
      <c r="V581" s="14"/>
      <c r="W581" s="16"/>
      <c r="X581" s="16"/>
      <c r="Y581" s="16"/>
      <c r="Z581" s="16"/>
      <c r="AA581" s="15" t="str">
        <f aca="false">IF(AND(ISNUMBER(L581),ISNUMBER(M581)),M581-L581,"")</f>
        <v/>
      </c>
      <c r="AB581" s="15" t="str">
        <f aca="false">IF(AND(ISNUMBER(M581),ISNUMBER(P581)),P581-M581,"")</f>
        <v/>
      </c>
      <c r="AC581" s="15" t="str">
        <f aca="false">IF(AND(ISNUMBER(L581),ISNUMBER(P581)),P581-L581,"")</f>
        <v/>
      </c>
      <c r="AD581" s="15" t="str">
        <f aca="false">IF(AND(ISNUMBER(P581),ISNUMBER(Q581)),Q581-P581,"")</f>
        <v/>
      </c>
      <c r="AE581" s="15" t="str">
        <f aca="false">IF(AND(ISNUMBER(Q581),ISNUMBER(R581)),R581-Q581,IF(ISNUMBER(Y581),Y581,""))</f>
        <v/>
      </c>
      <c r="AF581" s="15" t="str">
        <f aca="false">IF(AND(ISNUMBER(R581),ISNUMBER(S581)),S581-R581,"")</f>
        <v/>
      </c>
      <c r="AG581" s="15" t="str">
        <f aca="false">IF(AND(ISNUMBER(S581),ISNUMBER(T581)),T581-S581,"")</f>
        <v/>
      </c>
      <c r="AH581" s="15" t="str">
        <f aca="false">IF(AND(ISNUMBER(L581),ISNUMBER(T581)),T581-L581,"")</f>
        <v/>
      </c>
      <c r="AI581" s="15" t="str">
        <f aca="false">IF(AND(ISNUMBER(O581),ISNUMBER(Q581)),Q581-O581,"")</f>
        <v/>
      </c>
      <c r="AJ581" s="15" t="str">
        <f aca="false">IF(B581="","",COUNT(L581:M581,P581:T581)&amp;"/7")</f>
        <v/>
      </c>
      <c r="AK581" s="15" t="str">
        <f aca="false">IF(B581="","",IF(OR(AND(ISNUMBER(L581),ISNUMBER(M581),M581&lt;L581),AND(ISNUMBER(M581),ISNUMBER(P581),P581&lt;M581),AND(ISNUMBER(P581),ISNUMBER(Q581),Q581&lt;P581),AND(ISNUMBER(Q581),ISNUMBER(R581),R581&lt;Q581),AND(ISNUMBER(R581),ISNUMBER(S581),S581&lt;R581),AND(ISNUMBER(S581),ISNUMBER(T581),T581&lt;S581),AND(ISNUMBER(N581),ISNUMBER(O581),O581&lt;N581)),"Urutan tanggal salah",IF(AND(ISNUMBER(Q581),ISNUMBER(R581),ISNUMBER(Y581),ABS(R581-Q581-Y581)&gt;2),"S tanggal ≠ Sailing tercatat",IF(AND(ISNUMBER(Q581),ISNUMBER(O581),ABS(Q581-O581)&gt;60),"Cek tahun laycan",IF(AND(ISNUMBER(Q581),ISNUMBER(N581),Q581&lt;N581),"Berangkat sebelum laycan",IF(NOT(ISNUMBER(AE581)),"S belum ada","OK"))))))</f>
        <v/>
      </c>
    </row>
    <row r="582" customFormat="false" ht="15" hidden="false" customHeight="false" outlineLevel="0" collapsed="false">
      <c r="A582" s="16" t="str">
        <f aca="false">IF(B582="","",ROW()-4)</f>
        <v/>
      </c>
      <c r="B582" s="12"/>
      <c r="C582" s="16"/>
      <c r="D582" s="16"/>
      <c r="E582" s="16"/>
      <c r="F582" s="16"/>
      <c r="G582" s="16"/>
      <c r="H582" s="16"/>
      <c r="I582" s="16"/>
      <c r="J582" s="16"/>
      <c r="K582" s="16"/>
      <c r="L582" s="13"/>
      <c r="M582" s="13"/>
      <c r="N582" s="13"/>
      <c r="O582" s="13"/>
      <c r="P582" s="13"/>
      <c r="Q582" s="13"/>
      <c r="R582" s="13"/>
      <c r="S582" s="13"/>
      <c r="T582" s="13"/>
      <c r="U582" s="12"/>
      <c r="V582" s="14"/>
      <c r="W582" s="16"/>
      <c r="X582" s="16"/>
      <c r="Y582" s="16"/>
      <c r="Z582" s="16"/>
      <c r="AA582" s="15" t="str">
        <f aca="false">IF(AND(ISNUMBER(L582),ISNUMBER(M582)),M582-L582,"")</f>
        <v/>
      </c>
      <c r="AB582" s="15" t="str">
        <f aca="false">IF(AND(ISNUMBER(M582),ISNUMBER(P582)),P582-M582,"")</f>
        <v/>
      </c>
      <c r="AC582" s="15" t="str">
        <f aca="false">IF(AND(ISNUMBER(L582),ISNUMBER(P582)),P582-L582,"")</f>
        <v/>
      </c>
      <c r="AD582" s="15" t="str">
        <f aca="false">IF(AND(ISNUMBER(P582),ISNUMBER(Q582)),Q582-P582,"")</f>
        <v/>
      </c>
      <c r="AE582" s="15" t="str">
        <f aca="false">IF(AND(ISNUMBER(Q582),ISNUMBER(R582)),R582-Q582,IF(ISNUMBER(Y582),Y582,""))</f>
        <v/>
      </c>
      <c r="AF582" s="15" t="str">
        <f aca="false">IF(AND(ISNUMBER(R582),ISNUMBER(S582)),S582-R582,"")</f>
        <v/>
      </c>
      <c r="AG582" s="15" t="str">
        <f aca="false">IF(AND(ISNUMBER(S582),ISNUMBER(T582)),T582-S582,"")</f>
        <v/>
      </c>
      <c r="AH582" s="15" t="str">
        <f aca="false">IF(AND(ISNUMBER(L582),ISNUMBER(T582)),T582-L582,"")</f>
        <v/>
      </c>
      <c r="AI582" s="15" t="str">
        <f aca="false">IF(AND(ISNUMBER(O582),ISNUMBER(Q582)),Q582-O582,"")</f>
        <v/>
      </c>
      <c r="AJ582" s="15" t="str">
        <f aca="false">IF(B582="","",COUNT(L582:M582,P582:T582)&amp;"/7")</f>
        <v/>
      </c>
      <c r="AK582" s="15" t="str">
        <f aca="false">IF(B582="","",IF(OR(AND(ISNUMBER(L582),ISNUMBER(M582),M582&lt;L582),AND(ISNUMBER(M582),ISNUMBER(P582),P582&lt;M582),AND(ISNUMBER(P582),ISNUMBER(Q582),Q582&lt;P582),AND(ISNUMBER(Q582),ISNUMBER(R582),R582&lt;Q582),AND(ISNUMBER(R582),ISNUMBER(S582),S582&lt;R582),AND(ISNUMBER(S582),ISNUMBER(T582),T582&lt;S582),AND(ISNUMBER(N582),ISNUMBER(O582),O582&lt;N582)),"Urutan tanggal salah",IF(AND(ISNUMBER(Q582),ISNUMBER(R582),ISNUMBER(Y582),ABS(R582-Q582-Y582)&gt;2),"S tanggal ≠ Sailing tercatat",IF(AND(ISNUMBER(Q582),ISNUMBER(O582),ABS(Q582-O582)&gt;60),"Cek tahun laycan",IF(AND(ISNUMBER(Q582),ISNUMBER(N582),Q582&lt;N582),"Berangkat sebelum laycan",IF(NOT(ISNUMBER(AE582)),"S belum ada","OK"))))))</f>
        <v/>
      </c>
    </row>
    <row r="583" customFormat="false" ht="15" hidden="false" customHeight="false" outlineLevel="0" collapsed="false">
      <c r="A583" s="16" t="str">
        <f aca="false">IF(B583="","",ROW()-4)</f>
        <v/>
      </c>
      <c r="B583" s="12"/>
      <c r="C583" s="16"/>
      <c r="D583" s="16"/>
      <c r="E583" s="16"/>
      <c r="F583" s="16"/>
      <c r="G583" s="16"/>
      <c r="H583" s="16"/>
      <c r="I583" s="16"/>
      <c r="J583" s="16"/>
      <c r="K583" s="16"/>
      <c r="L583" s="13"/>
      <c r="M583" s="13"/>
      <c r="N583" s="13"/>
      <c r="O583" s="13"/>
      <c r="P583" s="13"/>
      <c r="Q583" s="13"/>
      <c r="R583" s="13"/>
      <c r="S583" s="13"/>
      <c r="T583" s="13"/>
      <c r="U583" s="12"/>
      <c r="V583" s="14"/>
      <c r="W583" s="16"/>
      <c r="X583" s="16"/>
      <c r="Y583" s="16"/>
      <c r="Z583" s="16"/>
      <c r="AA583" s="15" t="str">
        <f aca="false">IF(AND(ISNUMBER(L583),ISNUMBER(M583)),M583-L583,"")</f>
        <v/>
      </c>
      <c r="AB583" s="15" t="str">
        <f aca="false">IF(AND(ISNUMBER(M583),ISNUMBER(P583)),P583-M583,"")</f>
        <v/>
      </c>
      <c r="AC583" s="15" t="str">
        <f aca="false">IF(AND(ISNUMBER(L583),ISNUMBER(P583)),P583-L583,"")</f>
        <v/>
      </c>
      <c r="AD583" s="15" t="str">
        <f aca="false">IF(AND(ISNUMBER(P583),ISNUMBER(Q583)),Q583-P583,"")</f>
        <v/>
      </c>
      <c r="AE583" s="15" t="str">
        <f aca="false">IF(AND(ISNUMBER(Q583),ISNUMBER(R583)),R583-Q583,IF(ISNUMBER(Y583),Y583,""))</f>
        <v/>
      </c>
      <c r="AF583" s="15" t="str">
        <f aca="false">IF(AND(ISNUMBER(R583),ISNUMBER(S583)),S583-R583,"")</f>
        <v/>
      </c>
      <c r="AG583" s="15" t="str">
        <f aca="false">IF(AND(ISNUMBER(S583),ISNUMBER(T583)),T583-S583,"")</f>
        <v/>
      </c>
      <c r="AH583" s="15" t="str">
        <f aca="false">IF(AND(ISNUMBER(L583),ISNUMBER(T583)),T583-L583,"")</f>
        <v/>
      </c>
      <c r="AI583" s="15" t="str">
        <f aca="false">IF(AND(ISNUMBER(O583),ISNUMBER(Q583)),Q583-O583,"")</f>
        <v/>
      </c>
      <c r="AJ583" s="15" t="str">
        <f aca="false">IF(B583="","",COUNT(L583:M583,P583:T583)&amp;"/7")</f>
        <v/>
      </c>
      <c r="AK583" s="15" t="str">
        <f aca="false">IF(B583="","",IF(OR(AND(ISNUMBER(L583),ISNUMBER(M583),M583&lt;L583),AND(ISNUMBER(M583),ISNUMBER(P583),P583&lt;M583),AND(ISNUMBER(P583),ISNUMBER(Q583),Q583&lt;P583),AND(ISNUMBER(Q583),ISNUMBER(R583),R583&lt;Q583),AND(ISNUMBER(R583),ISNUMBER(S583),S583&lt;R583),AND(ISNUMBER(S583),ISNUMBER(T583),T583&lt;S583),AND(ISNUMBER(N583),ISNUMBER(O583),O583&lt;N583)),"Urutan tanggal salah",IF(AND(ISNUMBER(Q583),ISNUMBER(R583),ISNUMBER(Y583),ABS(R583-Q583-Y583)&gt;2),"S tanggal ≠ Sailing tercatat",IF(AND(ISNUMBER(Q583),ISNUMBER(O583),ABS(Q583-O583)&gt;60),"Cek tahun laycan",IF(AND(ISNUMBER(Q583),ISNUMBER(N583),Q583&lt;N583),"Berangkat sebelum laycan",IF(NOT(ISNUMBER(AE583)),"S belum ada","OK"))))))</f>
        <v/>
      </c>
    </row>
    <row r="584" customFormat="false" ht="15" hidden="false" customHeight="false" outlineLevel="0" collapsed="false">
      <c r="A584" s="16" t="str">
        <f aca="false">IF(B584="","",ROW()-4)</f>
        <v/>
      </c>
      <c r="B584" s="12"/>
      <c r="C584" s="16"/>
      <c r="D584" s="16"/>
      <c r="E584" s="16"/>
      <c r="F584" s="16"/>
      <c r="G584" s="16"/>
      <c r="H584" s="16"/>
      <c r="I584" s="16"/>
      <c r="J584" s="16"/>
      <c r="K584" s="16"/>
      <c r="L584" s="13"/>
      <c r="M584" s="13"/>
      <c r="N584" s="13"/>
      <c r="O584" s="13"/>
      <c r="P584" s="13"/>
      <c r="Q584" s="13"/>
      <c r="R584" s="13"/>
      <c r="S584" s="13"/>
      <c r="T584" s="13"/>
      <c r="U584" s="12"/>
      <c r="V584" s="14"/>
      <c r="W584" s="16"/>
      <c r="X584" s="16"/>
      <c r="Y584" s="16"/>
      <c r="Z584" s="16"/>
      <c r="AA584" s="15" t="str">
        <f aca="false">IF(AND(ISNUMBER(L584),ISNUMBER(M584)),M584-L584,"")</f>
        <v/>
      </c>
      <c r="AB584" s="15" t="str">
        <f aca="false">IF(AND(ISNUMBER(M584),ISNUMBER(P584)),P584-M584,"")</f>
        <v/>
      </c>
      <c r="AC584" s="15" t="str">
        <f aca="false">IF(AND(ISNUMBER(L584),ISNUMBER(P584)),P584-L584,"")</f>
        <v/>
      </c>
      <c r="AD584" s="15" t="str">
        <f aca="false">IF(AND(ISNUMBER(P584),ISNUMBER(Q584)),Q584-P584,"")</f>
        <v/>
      </c>
      <c r="AE584" s="15" t="str">
        <f aca="false">IF(AND(ISNUMBER(Q584),ISNUMBER(R584)),R584-Q584,IF(ISNUMBER(Y584),Y584,""))</f>
        <v/>
      </c>
      <c r="AF584" s="15" t="str">
        <f aca="false">IF(AND(ISNUMBER(R584),ISNUMBER(S584)),S584-R584,"")</f>
        <v/>
      </c>
      <c r="AG584" s="15" t="str">
        <f aca="false">IF(AND(ISNUMBER(S584),ISNUMBER(T584)),T584-S584,"")</f>
        <v/>
      </c>
      <c r="AH584" s="15" t="str">
        <f aca="false">IF(AND(ISNUMBER(L584),ISNUMBER(T584)),T584-L584,"")</f>
        <v/>
      </c>
      <c r="AI584" s="15" t="str">
        <f aca="false">IF(AND(ISNUMBER(O584),ISNUMBER(Q584)),Q584-O584,"")</f>
        <v/>
      </c>
      <c r="AJ584" s="15" t="str">
        <f aca="false">IF(B584="","",COUNT(L584:M584,P584:T584)&amp;"/7")</f>
        <v/>
      </c>
      <c r="AK584" s="15" t="str">
        <f aca="false">IF(B584="","",IF(OR(AND(ISNUMBER(L584),ISNUMBER(M584),M584&lt;L584),AND(ISNUMBER(M584),ISNUMBER(P584),P584&lt;M584),AND(ISNUMBER(P584),ISNUMBER(Q584),Q584&lt;P584),AND(ISNUMBER(Q584),ISNUMBER(R584),R584&lt;Q584),AND(ISNUMBER(R584),ISNUMBER(S584),S584&lt;R584),AND(ISNUMBER(S584),ISNUMBER(T584),T584&lt;S584),AND(ISNUMBER(N584),ISNUMBER(O584),O584&lt;N584)),"Urutan tanggal salah",IF(AND(ISNUMBER(Q584),ISNUMBER(R584),ISNUMBER(Y584),ABS(R584-Q584-Y584)&gt;2),"S tanggal ≠ Sailing tercatat",IF(AND(ISNUMBER(Q584),ISNUMBER(O584),ABS(Q584-O584)&gt;60),"Cek tahun laycan",IF(AND(ISNUMBER(Q584),ISNUMBER(N584),Q584&lt;N584),"Berangkat sebelum laycan",IF(NOT(ISNUMBER(AE584)),"S belum ada","OK"))))))</f>
        <v/>
      </c>
    </row>
    <row r="585" customFormat="false" ht="15" hidden="false" customHeight="false" outlineLevel="0" collapsed="false">
      <c r="A585" s="16" t="str">
        <f aca="false">IF(B585="","",ROW()-4)</f>
        <v/>
      </c>
      <c r="B585" s="12"/>
      <c r="C585" s="16"/>
      <c r="D585" s="16"/>
      <c r="E585" s="16"/>
      <c r="F585" s="16"/>
      <c r="G585" s="16"/>
      <c r="H585" s="16"/>
      <c r="I585" s="16"/>
      <c r="J585" s="16"/>
      <c r="K585" s="16"/>
      <c r="L585" s="13"/>
      <c r="M585" s="13"/>
      <c r="N585" s="13"/>
      <c r="O585" s="13"/>
      <c r="P585" s="13"/>
      <c r="Q585" s="13"/>
      <c r="R585" s="13"/>
      <c r="S585" s="13"/>
      <c r="T585" s="13"/>
      <c r="U585" s="12"/>
      <c r="V585" s="14"/>
      <c r="W585" s="16"/>
      <c r="X585" s="16"/>
      <c r="Y585" s="16"/>
      <c r="Z585" s="16"/>
      <c r="AA585" s="15" t="str">
        <f aca="false">IF(AND(ISNUMBER(L585),ISNUMBER(M585)),M585-L585,"")</f>
        <v/>
      </c>
      <c r="AB585" s="15" t="str">
        <f aca="false">IF(AND(ISNUMBER(M585),ISNUMBER(P585)),P585-M585,"")</f>
        <v/>
      </c>
      <c r="AC585" s="15" t="str">
        <f aca="false">IF(AND(ISNUMBER(L585),ISNUMBER(P585)),P585-L585,"")</f>
        <v/>
      </c>
      <c r="AD585" s="15" t="str">
        <f aca="false">IF(AND(ISNUMBER(P585),ISNUMBER(Q585)),Q585-P585,"")</f>
        <v/>
      </c>
      <c r="AE585" s="15" t="str">
        <f aca="false">IF(AND(ISNUMBER(Q585),ISNUMBER(R585)),R585-Q585,IF(ISNUMBER(Y585),Y585,""))</f>
        <v/>
      </c>
      <c r="AF585" s="15" t="str">
        <f aca="false">IF(AND(ISNUMBER(R585),ISNUMBER(S585)),S585-R585,"")</f>
        <v/>
      </c>
      <c r="AG585" s="15" t="str">
        <f aca="false">IF(AND(ISNUMBER(S585),ISNUMBER(T585)),T585-S585,"")</f>
        <v/>
      </c>
      <c r="AH585" s="15" t="str">
        <f aca="false">IF(AND(ISNUMBER(L585),ISNUMBER(T585)),T585-L585,"")</f>
        <v/>
      </c>
      <c r="AI585" s="15" t="str">
        <f aca="false">IF(AND(ISNUMBER(O585),ISNUMBER(Q585)),Q585-O585,"")</f>
        <v/>
      </c>
      <c r="AJ585" s="15" t="str">
        <f aca="false">IF(B585="","",COUNT(L585:M585,P585:T585)&amp;"/7")</f>
        <v/>
      </c>
      <c r="AK585" s="15" t="str">
        <f aca="false">IF(B585="","",IF(OR(AND(ISNUMBER(L585),ISNUMBER(M585),M585&lt;L585),AND(ISNUMBER(M585),ISNUMBER(P585),P585&lt;M585),AND(ISNUMBER(P585),ISNUMBER(Q585),Q585&lt;P585),AND(ISNUMBER(Q585),ISNUMBER(R585),R585&lt;Q585),AND(ISNUMBER(R585),ISNUMBER(S585),S585&lt;R585),AND(ISNUMBER(S585),ISNUMBER(T585),T585&lt;S585),AND(ISNUMBER(N585),ISNUMBER(O585),O585&lt;N585)),"Urutan tanggal salah",IF(AND(ISNUMBER(Q585),ISNUMBER(R585),ISNUMBER(Y585),ABS(R585-Q585-Y585)&gt;2),"S tanggal ≠ Sailing tercatat",IF(AND(ISNUMBER(Q585),ISNUMBER(O585),ABS(Q585-O585)&gt;60),"Cek tahun laycan",IF(AND(ISNUMBER(Q585),ISNUMBER(N585),Q585&lt;N585),"Berangkat sebelum laycan",IF(NOT(ISNUMBER(AE585)),"S belum ada","OK"))))))</f>
        <v/>
      </c>
    </row>
    <row r="586" customFormat="false" ht="15" hidden="false" customHeight="false" outlineLevel="0" collapsed="false">
      <c r="A586" s="16" t="str">
        <f aca="false">IF(B586="","",ROW()-4)</f>
        <v/>
      </c>
      <c r="B586" s="12"/>
      <c r="C586" s="16"/>
      <c r="D586" s="16"/>
      <c r="E586" s="16"/>
      <c r="F586" s="16"/>
      <c r="G586" s="16"/>
      <c r="H586" s="16"/>
      <c r="I586" s="16"/>
      <c r="J586" s="16"/>
      <c r="K586" s="16"/>
      <c r="L586" s="13"/>
      <c r="M586" s="13"/>
      <c r="N586" s="13"/>
      <c r="O586" s="13"/>
      <c r="P586" s="13"/>
      <c r="Q586" s="13"/>
      <c r="R586" s="13"/>
      <c r="S586" s="13"/>
      <c r="T586" s="13"/>
      <c r="U586" s="12"/>
      <c r="V586" s="14"/>
      <c r="W586" s="16"/>
      <c r="X586" s="16"/>
      <c r="Y586" s="16"/>
      <c r="Z586" s="16"/>
      <c r="AA586" s="15" t="str">
        <f aca="false">IF(AND(ISNUMBER(L586),ISNUMBER(M586)),M586-L586,"")</f>
        <v/>
      </c>
      <c r="AB586" s="15" t="str">
        <f aca="false">IF(AND(ISNUMBER(M586),ISNUMBER(P586)),P586-M586,"")</f>
        <v/>
      </c>
      <c r="AC586" s="15" t="str">
        <f aca="false">IF(AND(ISNUMBER(L586),ISNUMBER(P586)),P586-L586,"")</f>
        <v/>
      </c>
      <c r="AD586" s="15" t="str">
        <f aca="false">IF(AND(ISNUMBER(P586),ISNUMBER(Q586)),Q586-P586,"")</f>
        <v/>
      </c>
      <c r="AE586" s="15" t="str">
        <f aca="false">IF(AND(ISNUMBER(Q586),ISNUMBER(R586)),R586-Q586,IF(ISNUMBER(Y586),Y586,""))</f>
        <v/>
      </c>
      <c r="AF586" s="15" t="str">
        <f aca="false">IF(AND(ISNUMBER(R586),ISNUMBER(S586)),S586-R586,"")</f>
        <v/>
      </c>
      <c r="AG586" s="15" t="str">
        <f aca="false">IF(AND(ISNUMBER(S586),ISNUMBER(T586)),T586-S586,"")</f>
        <v/>
      </c>
      <c r="AH586" s="15" t="str">
        <f aca="false">IF(AND(ISNUMBER(L586),ISNUMBER(T586)),T586-L586,"")</f>
        <v/>
      </c>
      <c r="AI586" s="15" t="str">
        <f aca="false">IF(AND(ISNUMBER(O586),ISNUMBER(Q586)),Q586-O586,"")</f>
        <v/>
      </c>
      <c r="AJ586" s="15" t="str">
        <f aca="false">IF(B586="","",COUNT(L586:M586,P586:T586)&amp;"/7")</f>
        <v/>
      </c>
      <c r="AK586" s="15" t="str">
        <f aca="false">IF(B586="","",IF(OR(AND(ISNUMBER(L586),ISNUMBER(M586),M586&lt;L586),AND(ISNUMBER(M586),ISNUMBER(P586),P586&lt;M586),AND(ISNUMBER(P586),ISNUMBER(Q586),Q586&lt;P586),AND(ISNUMBER(Q586),ISNUMBER(R586),R586&lt;Q586),AND(ISNUMBER(R586),ISNUMBER(S586),S586&lt;R586),AND(ISNUMBER(S586),ISNUMBER(T586),T586&lt;S586),AND(ISNUMBER(N586),ISNUMBER(O586),O586&lt;N586)),"Urutan tanggal salah",IF(AND(ISNUMBER(Q586),ISNUMBER(R586),ISNUMBER(Y586),ABS(R586-Q586-Y586)&gt;2),"S tanggal ≠ Sailing tercatat",IF(AND(ISNUMBER(Q586),ISNUMBER(O586),ABS(Q586-O586)&gt;60),"Cek tahun laycan",IF(AND(ISNUMBER(Q586),ISNUMBER(N586),Q586&lt;N586),"Berangkat sebelum laycan",IF(NOT(ISNUMBER(AE586)),"S belum ada","OK"))))))</f>
        <v/>
      </c>
    </row>
    <row r="587" customFormat="false" ht="15" hidden="false" customHeight="false" outlineLevel="0" collapsed="false">
      <c r="A587" s="16" t="str">
        <f aca="false">IF(B587="","",ROW()-4)</f>
        <v/>
      </c>
      <c r="B587" s="12"/>
      <c r="C587" s="16"/>
      <c r="D587" s="16"/>
      <c r="E587" s="16"/>
      <c r="F587" s="16"/>
      <c r="G587" s="16"/>
      <c r="H587" s="16"/>
      <c r="I587" s="16"/>
      <c r="J587" s="16"/>
      <c r="K587" s="16"/>
      <c r="L587" s="13"/>
      <c r="M587" s="13"/>
      <c r="N587" s="13"/>
      <c r="O587" s="13"/>
      <c r="P587" s="13"/>
      <c r="Q587" s="13"/>
      <c r="R587" s="13"/>
      <c r="S587" s="13"/>
      <c r="T587" s="13"/>
      <c r="U587" s="12"/>
      <c r="V587" s="14"/>
      <c r="W587" s="16"/>
      <c r="X587" s="16"/>
      <c r="Y587" s="16"/>
      <c r="Z587" s="16"/>
      <c r="AA587" s="15" t="str">
        <f aca="false">IF(AND(ISNUMBER(L587),ISNUMBER(M587)),M587-L587,"")</f>
        <v/>
      </c>
      <c r="AB587" s="15" t="str">
        <f aca="false">IF(AND(ISNUMBER(M587),ISNUMBER(P587)),P587-M587,"")</f>
        <v/>
      </c>
      <c r="AC587" s="15" t="str">
        <f aca="false">IF(AND(ISNUMBER(L587),ISNUMBER(P587)),P587-L587,"")</f>
        <v/>
      </c>
      <c r="AD587" s="15" t="str">
        <f aca="false">IF(AND(ISNUMBER(P587),ISNUMBER(Q587)),Q587-P587,"")</f>
        <v/>
      </c>
      <c r="AE587" s="15" t="str">
        <f aca="false">IF(AND(ISNUMBER(Q587),ISNUMBER(R587)),R587-Q587,IF(ISNUMBER(Y587),Y587,""))</f>
        <v/>
      </c>
      <c r="AF587" s="15" t="str">
        <f aca="false">IF(AND(ISNUMBER(R587),ISNUMBER(S587)),S587-R587,"")</f>
        <v/>
      </c>
      <c r="AG587" s="15" t="str">
        <f aca="false">IF(AND(ISNUMBER(S587),ISNUMBER(T587)),T587-S587,"")</f>
        <v/>
      </c>
      <c r="AH587" s="15" t="str">
        <f aca="false">IF(AND(ISNUMBER(L587),ISNUMBER(T587)),T587-L587,"")</f>
        <v/>
      </c>
      <c r="AI587" s="15" t="str">
        <f aca="false">IF(AND(ISNUMBER(O587),ISNUMBER(Q587)),Q587-O587,"")</f>
        <v/>
      </c>
      <c r="AJ587" s="15" t="str">
        <f aca="false">IF(B587="","",COUNT(L587:M587,P587:T587)&amp;"/7")</f>
        <v/>
      </c>
      <c r="AK587" s="15" t="str">
        <f aca="false">IF(B587="","",IF(OR(AND(ISNUMBER(L587),ISNUMBER(M587),M587&lt;L587),AND(ISNUMBER(M587),ISNUMBER(P587),P587&lt;M587),AND(ISNUMBER(P587),ISNUMBER(Q587),Q587&lt;P587),AND(ISNUMBER(Q587),ISNUMBER(R587),R587&lt;Q587),AND(ISNUMBER(R587),ISNUMBER(S587),S587&lt;R587),AND(ISNUMBER(S587),ISNUMBER(T587),T587&lt;S587),AND(ISNUMBER(N587),ISNUMBER(O587),O587&lt;N587)),"Urutan tanggal salah",IF(AND(ISNUMBER(Q587),ISNUMBER(R587),ISNUMBER(Y587),ABS(R587-Q587-Y587)&gt;2),"S tanggal ≠ Sailing tercatat",IF(AND(ISNUMBER(Q587),ISNUMBER(O587),ABS(Q587-O587)&gt;60),"Cek tahun laycan",IF(AND(ISNUMBER(Q587),ISNUMBER(N587),Q587&lt;N587),"Berangkat sebelum laycan",IF(NOT(ISNUMBER(AE587)),"S belum ada","OK"))))))</f>
        <v/>
      </c>
    </row>
    <row r="588" customFormat="false" ht="15" hidden="false" customHeight="false" outlineLevel="0" collapsed="false">
      <c r="A588" s="16" t="str">
        <f aca="false">IF(B588="","",ROW()-4)</f>
        <v/>
      </c>
      <c r="B588" s="12"/>
      <c r="C588" s="16"/>
      <c r="D588" s="16"/>
      <c r="E588" s="16"/>
      <c r="F588" s="16"/>
      <c r="G588" s="16"/>
      <c r="H588" s="16"/>
      <c r="I588" s="16"/>
      <c r="J588" s="16"/>
      <c r="K588" s="16"/>
      <c r="L588" s="13"/>
      <c r="M588" s="13"/>
      <c r="N588" s="13"/>
      <c r="O588" s="13"/>
      <c r="P588" s="13"/>
      <c r="Q588" s="13"/>
      <c r="R588" s="13"/>
      <c r="S588" s="13"/>
      <c r="T588" s="13"/>
      <c r="U588" s="12"/>
      <c r="V588" s="14"/>
      <c r="W588" s="16"/>
      <c r="X588" s="16"/>
      <c r="Y588" s="16"/>
      <c r="Z588" s="16"/>
      <c r="AA588" s="15" t="str">
        <f aca="false">IF(AND(ISNUMBER(L588),ISNUMBER(M588)),M588-L588,"")</f>
        <v/>
      </c>
      <c r="AB588" s="15" t="str">
        <f aca="false">IF(AND(ISNUMBER(M588),ISNUMBER(P588)),P588-M588,"")</f>
        <v/>
      </c>
      <c r="AC588" s="15" t="str">
        <f aca="false">IF(AND(ISNUMBER(L588),ISNUMBER(P588)),P588-L588,"")</f>
        <v/>
      </c>
      <c r="AD588" s="15" t="str">
        <f aca="false">IF(AND(ISNUMBER(P588),ISNUMBER(Q588)),Q588-P588,"")</f>
        <v/>
      </c>
      <c r="AE588" s="15" t="str">
        <f aca="false">IF(AND(ISNUMBER(Q588),ISNUMBER(R588)),R588-Q588,IF(ISNUMBER(Y588),Y588,""))</f>
        <v/>
      </c>
      <c r="AF588" s="15" t="str">
        <f aca="false">IF(AND(ISNUMBER(R588),ISNUMBER(S588)),S588-R588,"")</f>
        <v/>
      </c>
      <c r="AG588" s="15" t="str">
        <f aca="false">IF(AND(ISNUMBER(S588),ISNUMBER(T588)),T588-S588,"")</f>
        <v/>
      </c>
      <c r="AH588" s="15" t="str">
        <f aca="false">IF(AND(ISNUMBER(L588),ISNUMBER(T588)),T588-L588,"")</f>
        <v/>
      </c>
      <c r="AI588" s="15" t="str">
        <f aca="false">IF(AND(ISNUMBER(O588),ISNUMBER(Q588)),Q588-O588,"")</f>
        <v/>
      </c>
      <c r="AJ588" s="15" t="str">
        <f aca="false">IF(B588="","",COUNT(L588:M588,P588:T588)&amp;"/7")</f>
        <v/>
      </c>
      <c r="AK588" s="15" t="str">
        <f aca="false">IF(B588="","",IF(OR(AND(ISNUMBER(L588),ISNUMBER(M588),M588&lt;L588),AND(ISNUMBER(M588),ISNUMBER(P588),P588&lt;M588),AND(ISNUMBER(P588),ISNUMBER(Q588),Q588&lt;P588),AND(ISNUMBER(Q588),ISNUMBER(R588),R588&lt;Q588),AND(ISNUMBER(R588),ISNUMBER(S588),S588&lt;R588),AND(ISNUMBER(S588),ISNUMBER(T588),T588&lt;S588),AND(ISNUMBER(N588),ISNUMBER(O588),O588&lt;N588)),"Urutan tanggal salah",IF(AND(ISNUMBER(Q588),ISNUMBER(R588),ISNUMBER(Y588),ABS(R588-Q588-Y588)&gt;2),"S tanggal ≠ Sailing tercatat",IF(AND(ISNUMBER(Q588),ISNUMBER(O588),ABS(Q588-O588)&gt;60),"Cek tahun laycan",IF(AND(ISNUMBER(Q588),ISNUMBER(N588),Q588&lt;N588),"Berangkat sebelum laycan",IF(NOT(ISNUMBER(AE588)),"S belum ada","OK"))))))</f>
        <v/>
      </c>
    </row>
    <row r="589" customFormat="false" ht="15" hidden="false" customHeight="false" outlineLevel="0" collapsed="false">
      <c r="A589" s="16" t="str">
        <f aca="false">IF(B589="","",ROW()-4)</f>
        <v/>
      </c>
      <c r="B589" s="12"/>
      <c r="C589" s="16"/>
      <c r="D589" s="16"/>
      <c r="E589" s="16"/>
      <c r="F589" s="16"/>
      <c r="G589" s="16"/>
      <c r="H589" s="16"/>
      <c r="I589" s="16"/>
      <c r="J589" s="16"/>
      <c r="K589" s="16"/>
      <c r="L589" s="13"/>
      <c r="M589" s="13"/>
      <c r="N589" s="13"/>
      <c r="O589" s="13"/>
      <c r="P589" s="13"/>
      <c r="Q589" s="13"/>
      <c r="R589" s="13"/>
      <c r="S589" s="13"/>
      <c r="T589" s="13"/>
      <c r="U589" s="12"/>
      <c r="V589" s="14"/>
      <c r="W589" s="16"/>
      <c r="X589" s="16"/>
      <c r="Y589" s="16"/>
      <c r="Z589" s="16"/>
      <c r="AA589" s="15" t="str">
        <f aca="false">IF(AND(ISNUMBER(L589),ISNUMBER(M589)),M589-L589,"")</f>
        <v/>
      </c>
      <c r="AB589" s="15" t="str">
        <f aca="false">IF(AND(ISNUMBER(M589),ISNUMBER(P589)),P589-M589,"")</f>
        <v/>
      </c>
      <c r="AC589" s="15" t="str">
        <f aca="false">IF(AND(ISNUMBER(L589),ISNUMBER(P589)),P589-L589,"")</f>
        <v/>
      </c>
      <c r="AD589" s="15" t="str">
        <f aca="false">IF(AND(ISNUMBER(P589),ISNUMBER(Q589)),Q589-P589,"")</f>
        <v/>
      </c>
      <c r="AE589" s="15" t="str">
        <f aca="false">IF(AND(ISNUMBER(Q589),ISNUMBER(R589)),R589-Q589,IF(ISNUMBER(Y589),Y589,""))</f>
        <v/>
      </c>
      <c r="AF589" s="15" t="str">
        <f aca="false">IF(AND(ISNUMBER(R589),ISNUMBER(S589)),S589-R589,"")</f>
        <v/>
      </c>
      <c r="AG589" s="15" t="str">
        <f aca="false">IF(AND(ISNUMBER(S589),ISNUMBER(T589)),T589-S589,"")</f>
        <v/>
      </c>
      <c r="AH589" s="15" t="str">
        <f aca="false">IF(AND(ISNUMBER(L589),ISNUMBER(T589)),T589-L589,"")</f>
        <v/>
      </c>
      <c r="AI589" s="15" t="str">
        <f aca="false">IF(AND(ISNUMBER(O589),ISNUMBER(Q589)),Q589-O589,"")</f>
        <v/>
      </c>
      <c r="AJ589" s="15" t="str">
        <f aca="false">IF(B589="","",COUNT(L589:M589,P589:T589)&amp;"/7")</f>
        <v/>
      </c>
      <c r="AK589" s="15" t="str">
        <f aca="false">IF(B589="","",IF(OR(AND(ISNUMBER(L589),ISNUMBER(M589),M589&lt;L589),AND(ISNUMBER(M589),ISNUMBER(P589),P589&lt;M589),AND(ISNUMBER(P589),ISNUMBER(Q589),Q589&lt;P589),AND(ISNUMBER(Q589),ISNUMBER(R589),R589&lt;Q589),AND(ISNUMBER(R589),ISNUMBER(S589),S589&lt;R589),AND(ISNUMBER(S589),ISNUMBER(T589),T589&lt;S589),AND(ISNUMBER(N589),ISNUMBER(O589),O589&lt;N589)),"Urutan tanggal salah",IF(AND(ISNUMBER(Q589),ISNUMBER(R589),ISNUMBER(Y589),ABS(R589-Q589-Y589)&gt;2),"S tanggal ≠ Sailing tercatat",IF(AND(ISNUMBER(Q589),ISNUMBER(O589),ABS(Q589-O589)&gt;60),"Cek tahun laycan",IF(AND(ISNUMBER(Q589),ISNUMBER(N589),Q589&lt;N589),"Berangkat sebelum laycan",IF(NOT(ISNUMBER(AE589)),"S belum ada","OK"))))))</f>
        <v/>
      </c>
    </row>
    <row r="590" customFormat="false" ht="15" hidden="false" customHeight="false" outlineLevel="0" collapsed="false">
      <c r="A590" s="16" t="str">
        <f aca="false">IF(B590="","",ROW()-4)</f>
        <v/>
      </c>
      <c r="B590" s="12"/>
      <c r="C590" s="16"/>
      <c r="D590" s="16"/>
      <c r="E590" s="16"/>
      <c r="F590" s="16"/>
      <c r="G590" s="16"/>
      <c r="H590" s="16"/>
      <c r="I590" s="16"/>
      <c r="J590" s="16"/>
      <c r="K590" s="16"/>
      <c r="L590" s="13"/>
      <c r="M590" s="13"/>
      <c r="N590" s="13"/>
      <c r="O590" s="13"/>
      <c r="P590" s="13"/>
      <c r="Q590" s="13"/>
      <c r="R590" s="13"/>
      <c r="S590" s="13"/>
      <c r="T590" s="13"/>
      <c r="U590" s="12"/>
      <c r="V590" s="14"/>
      <c r="W590" s="16"/>
      <c r="X590" s="16"/>
      <c r="Y590" s="16"/>
      <c r="Z590" s="16"/>
      <c r="AA590" s="15" t="str">
        <f aca="false">IF(AND(ISNUMBER(L590),ISNUMBER(M590)),M590-L590,"")</f>
        <v/>
      </c>
      <c r="AB590" s="15" t="str">
        <f aca="false">IF(AND(ISNUMBER(M590),ISNUMBER(P590)),P590-M590,"")</f>
        <v/>
      </c>
      <c r="AC590" s="15" t="str">
        <f aca="false">IF(AND(ISNUMBER(L590),ISNUMBER(P590)),P590-L590,"")</f>
        <v/>
      </c>
      <c r="AD590" s="15" t="str">
        <f aca="false">IF(AND(ISNUMBER(P590),ISNUMBER(Q590)),Q590-P590,"")</f>
        <v/>
      </c>
      <c r="AE590" s="15" t="str">
        <f aca="false">IF(AND(ISNUMBER(Q590),ISNUMBER(R590)),R590-Q590,IF(ISNUMBER(Y590),Y590,""))</f>
        <v/>
      </c>
      <c r="AF590" s="15" t="str">
        <f aca="false">IF(AND(ISNUMBER(R590),ISNUMBER(S590)),S590-R590,"")</f>
        <v/>
      </c>
      <c r="AG590" s="15" t="str">
        <f aca="false">IF(AND(ISNUMBER(S590),ISNUMBER(T590)),T590-S590,"")</f>
        <v/>
      </c>
      <c r="AH590" s="15" t="str">
        <f aca="false">IF(AND(ISNUMBER(L590),ISNUMBER(T590)),T590-L590,"")</f>
        <v/>
      </c>
      <c r="AI590" s="15" t="str">
        <f aca="false">IF(AND(ISNUMBER(O590),ISNUMBER(Q590)),Q590-O590,"")</f>
        <v/>
      </c>
      <c r="AJ590" s="15" t="str">
        <f aca="false">IF(B590="","",COUNT(L590:M590,P590:T590)&amp;"/7")</f>
        <v/>
      </c>
      <c r="AK590" s="15" t="str">
        <f aca="false">IF(B590="","",IF(OR(AND(ISNUMBER(L590),ISNUMBER(M590),M590&lt;L590),AND(ISNUMBER(M590),ISNUMBER(P590),P590&lt;M590),AND(ISNUMBER(P590),ISNUMBER(Q590),Q590&lt;P590),AND(ISNUMBER(Q590),ISNUMBER(R590),R590&lt;Q590),AND(ISNUMBER(R590),ISNUMBER(S590),S590&lt;R590),AND(ISNUMBER(S590),ISNUMBER(T590),T590&lt;S590),AND(ISNUMBER(N590),ISNUMBER(O590),O590&lt;N590)),"Urutan tanggal salah",IF(AND(ISNUMBER(Q590),ISNUMBER(R590),ISNUMBER(Y590),ABS(R590-Q590-Y590)&gt;2),"S tanggal ≠ Sailing tercatat",IF(AND(ISNUMBER(Q590),ISNUMBER(O590),ABS(Q590-O590)&gt;60),"Cek tahun laycan",IF(AND(ISNUMBER(Q590),ISNUMBER(N590),Q590&lt;N590),"Berangkat sebelum laycan",IF(NOT(ISNUMBER(AE590)),"S belum ada","OK"))))))</f>
        <v/>
      </c>
    </row>
    <row r="591" customFormat="false" ht="15" hidden="false" customHeight="false" outlineLevel="0" collapsed="false">
      <c r="A591" s="16" t="str">
        <f aca="false">IF(B591="","",ROW()-4)</f>
        <v/>
      </c>
      <c r="B591" s="12"/>
      <c r="C591" s="16"/>
      <c r="D591" s="16"/>
      <c r="E591" s="16"/>
      <c r="F591" s="16"/>
      <c r="G591" s="16"/>
      <c r="H591" s="16"/>
      <c r="I591" s="16"/>
      <c r="J591" s="16"/>
      <c r="K591" s="16"/>
      <c r="L591" s="13"/>
      <c r="M591" s="13"/>
      <c r="N591" s="13"/>
      <c r="O591" s="13"/>
      <c r="P591" s="13"/>
      <c r="Q591" s="13"/>
      <c r="R591" s="13"/>
      <c r="S591" s="13"/>
      <c r="T591" s="13"/>
      <c r="U591" s="12"/>
      <c r="V591" s="14"/>
      <c r="W591" s="16"/>
      <c r="X591" s="16"/>
      <c r="Y591" s="16"/>
      <c r="Z591" s="16"/>
      <c r="AA591" s="15" t="str">
        <f aca="false">IF(AND(ISNUMBER(L591),ISNUMBER(M591)),M591-L591,"")</f>
        <v/>
      </c>
      <c r="AB591" s="15" t="str">
        <f aca="false">IF(AND(ISNUMBER(M591),ISNUMBER(P591)),P591-M591,"")</f>
        <v/>
      </c>
      <c r="AC591" s="15" t="str">
        <f aca="false">IF(AND(ISNUMBER(L591),ISNUMBER(P591)),P591-L591,"")</f>
        <v/>
      </c>
      <c r="AD591" s="15" t="str">
        <f aca="false">IF(AND(ISNUMBER(P591),ISNUMBER(Q591)),Q591-P591,"")</f>
        <v/>
      </c>
      <c r="AE591" s="15" t="str">
        <f aca="false">IF(AND(ISNUMBER(Q591),ISNUMBER(R591)),R591-Q591,IF(ISNUMBER(Y591),Y591,""))</f>
        <v/>
      </c>
      <c r="AF591" s="15" t="str">
        <f aca="false">IF(AND(ISNUMBER(R591),ISNUMBER(S591)),S591-R591,"")</f>
        <v/>
      </c>
      <c r="AG591" s="15" t="str">
        <f aca="false">IF(AND(ISNUMBER(S591),ISNUMBER(T591)),T591-S591,"")</f>
        <v/>
      </c>
      <c r="AH591" s="15" t="str">
        <f aca="false">IF(AND(ISNUMBER(L591),ISNUMBER(T591)),T591-L591,"")</f>
        <v/>
      </c>
      <c r="AI591" s="15" t="str">
        <f aca="false">IF(AND(ISNUMBER(O591),ISNUMBER(Q591)),Q591-O591,"")</f>
        <v/>
      </c>
      <c r="AJ591" s="15" t="str">
        <f aca="false">IF(B591="","",COUNT(L591:M591,P591:T591)&amp;"/7")</f>
        <v/>
      </c>
      <c r="AK591" s="15" t="str">
        <f aca="false">IF(B591="","",IF(OR(AND(ISNUMBER(L591),ISNUMBER(M591),M591&lt;L591),AND(ISNUMBER(M591),ISNUMBER(P591),P591&lt;M591),AND(ISNUMBER(P591),ISNUMBER(Q591),Q591&lt;P591),AND(ISNUMBER(Q591),ISNUMBER(R591),R591&lt;Q591),AND(ISNUMBER(R591),ISNUMBER(S591),S591&lt;R591),AND(ISNUMBER(S591),ISNUMBER(T591),T591&lt;S591),AND(ISNUMBER(N591),ISNUMBER(O591),O591&lt;N591)),"Urutan tanggal salah",IF(AND(ISNUMBER(Q591),ISNUMBER(R591),ISNUMBER(Y591),ABS(R591-Q591-Y591)&gt;2),"S tanggal ≠ Sailing tercatat",IF(AND(ISNUMBER(Q591),ISNUMBER(O591),ABS(Q591-O591)&gt;60),"Cek tahun laycan",IF(AND(ISNUMBER(Q591),ISNUMBER(N591),Q591&lt;N591),"Berangkat sebelum laycan",IF(NOT(ISNUMBER(AE591)),"S belum ada","OK"))))))</f>
        <v/>
      </c>
    </row>
    <row r="592" customFormat="false" ht="15" hidden="false" customHeight="false" outlineLevel="0" collapsed="false">
      <c r="A592" s="16" t="str">
        <f aca="false">IF(B592="","",ROW()-4)</f>
        <v/>
      </c>
      <c r="B592" s="12"/>
      <c r="C592" s="16"/>
      <c r="D592" s="16"/>
      <c r="E592" s="16"/>
      <c r="F592" s="16"/>
      <c r="G592" s="16"/>
      <c r="H592" s="16"/>
      <c r="I592" s="16"/>
      <c r="J592" s="16"/>
      <c r="K592" s="16"/>
      <c r="L592" s="13"/>
      <c r="M592" s="13"/>
      <c r="N592" s="13"/>
      <c r="O592" s="13"/>
      <c r="P592" s="13"/>
      <c r="Q592" s="13"/>
      <c r="R592" s="13"/>
      <c r="S592" s="13"/>
      <c r="T592" s="13"/>
      <c r="U592" s="12"/>
      <c r="V592" s="14"/>
      <c r="W592" s="16"/>
      <c r="X592" s="16"/>
      <c r="Y592" s="16"/>
      <c r="Z592" s="16"/>
      <c r="AA592" s="15" t="str">
        <f aca="false">IF(AND(ISNUMBER(L592),ISNUMBER(M592)),M592-L592,"")</f>
        <v/>
      </c>
      <c r="AB592" s="15" t="str">
        <f aca="false">IF(AND(ISNUMBER(M592),ISNUMBER(P592)),P592-M592,"")</f>
        <v/>
      </c>
      <c r="AC592" s="15" t="str">
        <f aca="false">IF(AND(ISNUMBER(L592),ISNUMBER(P592)),P592-L592,"")</f>
        <v/>
      </c>
      <c r="AD592" s="15" t="str">
        <f aca="false">IF(AND(ISNUMBER(P592),ISNUMBER(Q592)),Q592-P592,"")</f>
        <v/>
      </c>
      <c r="AE592" s="15" t="str">
        <f aca="false">IF(AND(ISNUMBER(Q592),ISNUMBER(R592)),R592-Q592,IF(ISNUMBER(Y592),Y592,""))</f>
        <v/>
      </c>
      <c r="AF592" s="15" t="str">
        <f aca="false">IF(AND(ISNUMBER(R592),ISNUMBER(S592)),S592-R592,"")</f>
        <v/>
      </c>
      <c r="AG592" s="15" t="str">
        <f aca="false">IF(AND(ISNUMBER(S592),ISNUMBER(T592)),T592-S592,"")</f>
        <v/>
      </c>
      <c r="AH592" s="15" t="str">
        <f aca="false">IF(AND(ISNUMBER(L592),ISNUMBER(T592)),T592-L592,"")</f>
        <v/>
      </c>
      <c r="AI592" s="15" t="str">
        <f aca="false">IF(AND(ISNUMBER(O592),ISNUMBER(Q592)),Q592-O592,"")</f>
        <v/>
      </c>
      <c r="AJ592" s="15" t="str">
        <f aca="false">IF(B592="","",COUNT(L592:M592,P592:T592)&amp;"/7")</f>
        <v/>
      </c>
      <c r="AK592" s="15" t="str">
        <f aca="false">IF(B592="","",IF(OR(AND(ISNUMBER(L592),ISNUMBER(M592),M592&lt;L592),AND(ISNUMBER(M592),ISNUMBER(P592),P592&lt;M592),AND(ISNUMBER(P592),ISNUMBER(Q592),Q592&lt;P592),AND(ISNUMBER(Q592),ISNUMBER(R592),R592&lt;Q592),AND(ISNUMBER(R592),ISNUMBER(S592),S592&lt;R592),AND(ISNUMBER(S592),ISNUMBER(T592),T592&lt;S592),AND(ISNUMBER(N592),ISNUMBER(O592),O592&lt;N592)),"Urutan tanggal salah",IF(AND(ISNUMBER(Q592),ISNUMBER(R592),ISNUMBER(Y592),ABS(R592-Q592-Y592)&gt;2),"S tanggal ≠ Sailing tercatat",IF(AND(ISNUMBER(Q592),ISNUMBER(O592),ABS(Q592-O592)&gt;60),"Cek tahun laycan",IF(AND(ISNUMBER(Q592),ISNUMBER(N592),Q592&lt;N592),"Berangkat sebelum laycan",IF(NOT(ISNUMBER(AE592)),"S belum ada","OK"))))))</f>
        <v/>
      </c>
    </row>
    <row r="593" customFormat="false" ht="15" hidden="false" customHeight="false" outlineLevel="0" collapsed="false">
      <c r="A593" s="16" t="str">
        <f aca="false">IF(B593="","",ROW()-4)</f>
        <v/>
      </c>
      <c r="B593" s="12"/>
      <c r="C593" s="16"/>
      <c r="D593" s="16"/>
      <c r="E593" s="16"/>
      <c r="F593" s="16"/>
      <c r="G593" s="16"/>
      <c r="H593" s="16"/>
      <c r="I593" s="16"/>
      <c r="J593" s="16"/>
      <c r="K593" s="16"/>
      <c r="L593" s="13"/>
      <c r="M593" s="13"/>
      <c r="N593" s="13"/>
      <c r="O593" s="13"/>
      <c r="P593" s="13"/>
      <c r="Q593" s="13"/>
      <c r="R593" s="13"/>
      <c r="S593" s="13"/>
      <c r="T593" s="13"/>
      <c r="U593" s="12"/>
      <c r="V593" s="14"/>
      <c r="W593" s="16"/>
      <c r="X593" s="16"/>
      <c r="Y593" s="16"/>
      <c r="Z593" s="16"/>
      <c r="AA593" s="15" t="str">
        <f aca="false">IF(AND(ISNUMBER(L593),ISNUMBER(M593)),M593-L593,"")</f>
        <v/>
      </c>
      <c r="AB593" s="15" t="str">
        <f aca="false">IF(AND(ISNUMBER(M593),ISNUMBER(P593)),P593-M593,"")</f>
        <v/>
      </c>
      <c r="AC593" s="15" t="str">
        <f aca="false">IF(AND(ISNUMBER(L593),ISNUMBER(P593)),P593-L593,"")</f>
        <v/>
      </c>
      <c r="AD593" s="15" t="str">
        <f aca="false">IF(AND(ISNUMBER(P593),ISNUMBER(Q593)),Q593-P593,"")</f>
        <v/>
      </c>
      <c r="AE593" s="15" t="str">
        <f aca="false">IF(AND(ISNUMBER(Q593),ISNUMBER(R593)),R593-Q593,IF(ISNUMBER(Y593),Y593,""))</f>
        <v/>
      </c>
      <c r="AF593" s="15" t="str">
        <f aca="false">IF(AND(ISNUMBER(R593),ISNUMBER(S593)),S593-R593,"")</f>
        <v/>
      </c>
      <c r="AG593" s="15" t="str">
        <f aca="false">IF(AND(ISNUMBER(S593),ISNUMBER(T593)),T593-S593,"")</f>
        <v/>
      </c>
      <c r="AH593" s="15" t="str">
        <f aca="false">IF(AND(ISNUMBER(L593),ISNUMBER(T593)),T593-L593,"")</f>
        <v/>
      </c>
      <c r="AI593" s="15" t="str">
        <f aca="false">IF(AND(ISNUMBER(O593),ISNUMBER(Q593)),Q593-O593,"")</f>
        <v/>
      </c>
      <c r="AJ593" s="15" t="str">
        <f aca="false">IF(B593="","",COUNT(L593:M593,P593:T593)&amp;"/7")</f>
        <v/>
      </c>
      <c r="AK593" s="15" t="str">
        <f aca="false">IF(B593="","",IF(OR(AND(ISNUMBER(L593),ISNUMBER(M593),M593&lt;L593),AND(ISNUMBER(M593),ISNUMBER(P593),P593&lt;M593),AND(ISNUMBER(P593),ISNUMBER(Q593),Q593&lt;P593),AND(ISNUMBER(Q593),ISNUMBER(R593),R593&lt;Q593),AND(ISNUMBER(R593),ISNUMBER(S593),S593&lt;R593),AND(ISNUMBER(S593),ISNUMBER(T593),T593&lt;S593),AND(ISNUMBER(N593),ISNUMBER(O593),O593&lt;N593)),"Urutan tanggal salah",IF(AND(ISNUMBER(Q593),ISNUMBER(R593),ISNUMBER(Y593),ABS(R593-Q593-Y593)&gt;2),"S tanggal ≠ Sailing tercatat",IF(AND(ISNUMBER(Q593),ISNUMBER(O593),ABS(Q593-O593)&gt;60),"Cek tahun laycan",IF(AND(ISNUMBER(Q593),ISNUMBER(N593),Q593&lt;N593),"Berangkat sebelum laycan",IF(NOT(ISNUMBER(AE593)),"S belum ada","OK"))))))</f>
        <v/>
      </c>
    </row>
    <row r="594" customFormat="false" ht="15" hidden="false" customHeight="false" outlineLevel="0" collapsed="false">
      <c r="A594" s="16" t="str">
        <f aca="false">IF(B594="","",ROW()-4)</f>
        <v/>
      </c>
      <c r="B594" s="12"/>
      <c r="C594" s="16"/>
      <c r="D594" s="16"/>
      <c r="E594" s="16"/>
      <c r="F594" s="16"/>
      <c r="G594" s="16"/>
      <c r="H594" s="16"/>
      <c r="I594" s="16"/>
      <c r="J594" s="16"/>
      <c r="K594" s="16"/>
      <c r="L594" s="13"/>
      <c r="M594" s="13"/>
      <c r="N594" s="13"/>
      <c r="O594" s="13"/>
      <c r="P594" s="13"/>
      <c r="Q594" s="13"/>
      <c r="R594" s="13"/>
      <c r="S594" s="13"/>
      <c r="T594" s="13"/>
      <c r="U594" s="12"/>
      <c r="V594" s="14"/>
      <c r="W594" s="16"/>
      <c r="X594" s="16"/>
      <c r="Y594" s="16"/>
      <c r="Z594" s="16"/>
      <c r="AA594" s="15" t="str">
        <f aca="false">IF(AND(ISNUMBER(L594),ISNUMBER(M594)),M594-L594,"")</f>
        <v/>
      </c>
      <c r="AB594" s="15" t="str">
        <f aca="false">IF(AND(ISNUMBER(M594),ISNUMBER(P594)),P594-M594,"")</f>
        <v/>
      </c>
      <c r="AC594" s="15" t="str">
        <f aca="false">IF(AND(ISNUMBER(L594),ISNUMBER(P594)),P594-L594,"")</f>
        <v/>
      </c>
      <c r="AD594" s="15" t="str">
        <f aca="false">IF(AND(ISNUMBER(P594),ISNUMBER(Q594)),Q594-P594,"")</f>
        <v/>
      </c>
      <c r="AE594" s="15" t="str">
        <f aca="false">IF(AND(ISNUMBER(Q594),ISNUMBER(R594)),R594-Q594,IF(ISNUMBER(Y594),Y594,""))</f>
        <v/>
      </c>
      <c r="AF594" s="15" t="str">
        <f aca="false">IF(AND(ISNUMBER(R594),ISNUMBER(S594)),S594-R594,"")</f>
        <v/>
      </c>
      <c r="AG594" s="15" t="str">
        <f aca="false">IF(AND(ISNUMBER(S594),ISNUMBER(T594)),T594-S594,"")</f>
        <v/>
      </c>
      <c r="AH594" s="15" t="str">
        <f aca="false">IF(AND(ISNUMBER(L594),ISNUMBER(T594)),T594-L594,"")</f>
        <v/>
      </c>
      <c r="AI594" s="15" t="str">
        <f aca="false">IF(AND(ISNUMBER(O594),ISNUMBER(Q594)),Q594-O594,"")</f>
        <v/>
      </c>
      <c r="AJ594" s="15" t="str">
        <f aca="false">IF(B594="","",COUNT(L594:M594,P594:T594)&amp;"/7")</f>
        <v/>
      </c>
      <c r="AK594" s="15" t="str">
        <f aca="false">IF(B594="","",IF(OR(AND(ISNUMBER(L594),ISNUMBER(M594),M594&lt;L594),AND(ISNUMBER(M594),ISNUMBER(P594),P594&lt;M594),AND(ISNUMBER(P594),ISNUMBER(Q594),Q594&lt;P594),AND(ISNUMBER(Q594),ISNUMBER(R594),R594&lt;Q594),AND(ISNUMBER(R594),ISNUMBER(S594),S594&lt;R594),AND(ISNUMBER(S594),ISNUMBER(T594),T594&lt;S594),AND(ISNUMBER(N594),ISNUMBER(O594),O594&lt;N594)),"Urutan tanggal salah",IF(AND(ISNUMBER(Q594),ISNUMBER(R594),ISNUMBER(Y594),ABS(R594-Q594-Y594)&gt;2),"S tanggal ≠ Sailing tercatat",IF(AND(ISNUMBER(Q594),ISNUMBER(O594),ABS(Q594-O594)&gt;60),"Cek tahun laycan",IF(AND(ISNUMBER(Q594),ISNUMBER(N594),Q594&lt;N594),"Berangkat sebelum laycan",IF(NOT(ISNUMBER(AE594)),"S belum ada","OK"))))))</f>
        <v/>
      </c>
    </row>
    <row r="595" customFormat="false" ht="15" hidden="false" customHeight="false" outlineLevel="0" collapsed="false">
      <c r="A595" s="16" t="str">
        <f aca="false">IF(B595="","",ROW()-4)</f>
        <v/>
      </c>
      <c r="B595" s="12"/>
      <c r="C595" s="16"/>
      <c r="D595" s="16"/>
      <c r="E595" s="16"/>
      <c r="F595" s="16"/>
      <c r="G595" s="16"/>
      <c r="H595" s="16"/>
      <c r="I595" s="16"/>
      <c r="J595" s="16"/>
      <c r="K595" s="16"/>
      <c r="L595" s="13"/>
      <c r="M595" s="13"/>
      <c r="N595" s="13"/>
      <c r="O595" s="13"/>
      <c r="P595" s="13"/>
      <c r="Q595" s="13"/>
      <c r="R595" s="13"/>
      <c r="S595" s="13"/>
      <c r="T595" s="13"/>
      <c r="U595" s="12"/>
      <c r="V595" s="14"/>
      <c r="W595" s="16"/>
      <c r="X595" s="16"/>
      <c r="Y595" s="16"/>
      <c r="Z595" s="16"/>
      <c r="AA595" s="15" t="str">
        <f aca="false">IF(AND(ISNUMBER(L595),ISNUMBER(M595)),M595-L595,"")</f>
        <v/>
      </c>
      <c r="AB595" s="15" t="str">
        <f aca="false">IF(AND(ISNUMBER(M595),ISNUMBER(P595)),P595-M595,"")</f>
        <v/>
      </c>
      <c r="AC595" s="15" t="str">
        <f aca="false">IF(AND(ISNUMBER(L595),ISNUMBER(P595)),P595-L595,"")</f>
        <v/>
      </c>
      <c r="AD595" s="15" t="str">
        <f aca="false">IF(AND(ISNUMBER(P595),ISNUMBER(Q595)),Q595-P595,"")</f>
        <v/>
      </c>
      <c r="AE595" s="15" t="str">
        <f aca="false">IF(AND(ISNUMBER(Q595),ISNUMBER(R595)),R595-Q595,IF(ISNUMBER(Y595),Y595,""))</f>
        <v/>
      </c>
      <c r="AF595" s="15" t="str">
        <f aca="false">IF(AND(ISNUMBER(R595),ISNUMBER(S595)),S595-R595,"")</f>
        <v/>
      </c>
      <c r="AG595" s="15" t="str">
        <f aca="false">IF(AND(ISNUMBER(S595),ISNUMBER(T595)),T595-S595,"")</f>
        <v/>
      </c>
      <c r="AH595" s="15" t="str">
        <f aca="false">IF(AND(ISNUMBER(L595),ISNUMBER(T595)),T595-L595,"")</f>
        <v/>
      </c>
      <c r="AI595" s="15" t="str">
        <f aca="false">IF(AND(ISNUMBER(O595),ISNUMBER(Q595)),Q595-O595,"")</f>
        <v/>
      </c>
      <c r="AJ595" s="15" t="str">
        <f aca="false">IF(B595="","",COUNT(L595:M595,P595:T595)&amp;"/7")</f>
        <v/>
      </c>
      <c r="AK595" s="15" t="str">
        <f aca="false">IF(B595="","",IF(OR(AND(ISNUMBER(L595),ISNUMBER(M595),M595&lt;L595),AND(ISNUMBER(M595),ISNUMBER(P595),P595&lt;M595),AND(ISNUMBER(P595),ISNUMBER(Q595),Q595&lt;P595),AND(ISNUMBER(Q595),ISNUMBER(R595),R595&lt;Q595),AND(ISNUMBER(R595),ISNUMBER(S595),S595&lt;R595),AND(ISNUMBER(S595),ISNUMBER(T595),T595&lt;S595),AND(ISNUMBER(N595),ISNUMBER(O595),O595&lt;N595)),"Urutan tanggal salah",IF(AND(ISNUMBER(Q595),ISNUMBER(R595),ISNUMBER(Y595),ABS(R595-Q595-Y595)&gt;2),"S tanggal ≠ Sailing tercatat",IF(AND(ISNUMBER(Q595),ISNUMBER(O595),ABS(Q595-O595)&gt;60),"Cek tahun laycan",IF(AND(ISNUMBER(Q595),ISNUMBER(N595),Q595&lt;N595),"Berangkat sebelum laycan",IF(NOT(ISNUMBER(AE595)),"S belum ada","OK"))))))</f>
        <v/>
      </c>
    </row>
    <row r="596" customFormat="false" ht="15" hidden="false" customHeight="false" outlineLevel="0" collapsed="false">
      <c r="A596" s="16" t="str">
        <f aca="false">IF(B596="","",ROW()-4)</f>
        <v/>
      </c>
      <c r="B596" s="12"/>
      <c r="C596" s="16"/>
      <c r="D596" s="16"/>
      <c r="E596" s="16"/>
      <c r="F596" s="16"/>
      <c r="G596" s="16"/>
      <c r="H596" s="16"/>
      <c r="I596" s="16"/>
      <c r="J596" s="16"/>
      <c r="K596" s="16"/>
      <c r="L596" s="13"/>
      <c r="M596" s="13"/>
      <c r="N596" s="13"/>
      <c r="O596" s="13"/>
      <c r="P596" s="13"/>
      <c r="Q596" s="13"/>
      <c r="R596" s="13"/>
      <c r="S596" s="13"/>
      <c r="T596" s="13"/>
      <c r="U596" s="12"/>
      <c r="V596" s="14"/>
      <c r="W596" s="16"/>
      <c r="X596" s="16"/>
      <c r="Y596" s="16"/>
      <c r="Z596" s="16"/>
      <c r="AA596" s="15" t="str">
        <f aca="false">IF(AND(ISNUMBER(L596),ISNUMBER(M596)),M596-L596,"")</f>
        <v/>
      </c>
      <c r="AB596" s="15" t="str">
        <f aca="false">IF(AND(ISNUMBER(M596),ISNUMBER(P596)),P596-M596,"")</f>
        <v/>
      </c>
      <c r="AC596" s="15" t="str">
        <f aca="false">IF(AND(ISNUMBER(L596),ISNUMBER(P596)),P596-L596,"")</f>
        <v/>
      </c>
      <c r="AD596" s="15" t="str">
        <f aca="false">IF(AND(ISNUMBER(P596),ISNUMBER(Q596)),Q596-P596,"")</f>
        <v/>
      </c>
      <c r="AE596" s="15" t="str">
        <f aca="false">IF(AND(ISNUMBER(Q596),ISNUMBER(R596)),R596-Q596,IF(ISNUMBER(Y596),Y596,""))</f>
        <v/>
      </c>
      <c r="AF596" s="15" t="str">
        <f aca="false">IF(AND(ISNUMBER(R596),ISNUMBER(S596)),S596-R596,"")</f>
        <v/>
      </c>
      <c r="AG596" s="15" t="str">
        <f aca="false">IF(AND(ISNUMBER(S596),ISNUMBER(T596)),T596-S596,"")</f>
        <v/>
      </c>
      <c r="AH596" s="15" t="str">
        <f aca="false">IF(AND(ISNUMBER(L596),ISNUMBER(T596)),T596-L596,"")</f>
        <v/>
      </c>
      <c r="AI596" s="15" t="str">
        <f aca="false">IF(AND(ISNUMBER(O596),ISNUMBER(Q596)),Q596-O596,"")</f>
        <v/>
      </c>
      <c r="AJ596" s="15" t="str">
        <f aca="false">IF(B596="","",COUNT(L596:M596,P596:T596)&amp;"/7")</f>
        <v/>
      </c>
      <c r="AK596" s="15" t="str">
        <f aca="false">IF(B596="","",IF(OR(AND(ISNUMBER(L596),ISNUMBER(M596),M596&lt;L596),AND(ISNUMBER(M596),ISNUMBER(P596),P596&lt;M596),AND(ISNUMBER(P596),ISNUMBER(Q596),Q596&lt;P596),AND(ISNUMBER(Q596),ISNUMBER(R596),R596&lt;Q596),AND(ISNUMBER(R596),ISNUMBER(S596),S596&lt;R596),AND(ISNUMBER(S596),ISNUMBER(T596),T596&lt;S596),AND(ISNUMBER(N596),ISNUMBER(O596),O596&lt;N596)),"Urutan tanggal salah",IF(AND(ISNUMBER(Q596),ISNUMBER(R596),ISNUMBER(Y596),ABS(R596-Q596-Y596)&gt;2),"S tanggal ≠ Sailing tercatat",IF(AND(ISNUMBER(Q596),ISNUMBER(O596),ABS(Q596-O596)&gt;60),"Cek tahun laycan",IF(AND(ISNUMBER(Q596),ISNUMBER(N596),Q596&lt;N596),"Berangkat sebelum laycan",IF(NOT(ISNUMBER(AE596)),"S belum ada","OK"))))))</f>
        <v/>
      </c>
    </row>
    <row r="597" customFormat="false" ht="15" hidden="false" customHeight="false" outlineLevel="0" collapsed="false">
      <c r="A597" s="16" t="str">
        <f aca="false">IF(B597="","",ROW()-4)</f>
        <v/>
      </c>
      <c r="B597" s="12"/>
      <c r="C597" s="16"/>
      <c r="D597" s="16"/>
      <c r="E597" s="16"/>
      <c r="F597" s="16"/>
      <c r="G597" s="16"/>
      <c r="H597" s="16"/>
      <c r="I597" s="16"/>
      <c r="J597" s="16"/>
      <c r="K597" s="16"/>
      <c r="L597" s="13"/>
      <c r="M597" s="13"/>
      <c r="N597" s="13"/>
      <c r="O597" s="13"/>
      <c r="P597" s="13"/>
      <c r="Q597" s="13"/>
      <c r="R597" s="13"/>
      <c r="S597" s="13"/>
      <c r="T597" s="13"/>
      <c r="U597" s="12"/>
      <c r="V597" s="14"/>
      <c r="W597" s="16"/>
      <c r="X597" s="16"/>
      <c r="Y597" s="16"/>
      <c r="Z597" s="16"/>
      <c r="AA597" s="15" t="str">
        <f aca="false">IF(AND(ISNUMBER(L597),ISNUMBER(M597)),M597-L597,"")</f>
        <v/>
      </c>
      <c r="AB597" s="15" t="str">
        <f aca="false">IF(AND(ISNUMBER(M597),ISNUMBER(P597)),P597-M597,"")</f>
        <v/>
      </c>
      <c r="AC597" s="15" t="str">
        <f aca="false">IF(AND(ISNUMBER(L597),ISNUMBER(P597)),P597-L597,"")</f>
        <v/>
      </c>
      <c r="AD597" s="15" t="str">
        <f aca="false">IF(AND(ISNUMBER(P597),ISNUMBER(Q597)),Q597-P597,"")</f>
        <v/>
      </c>
      <c r="AE597" s="15" t="str">
        <f aca="false">IF(AND(ISNUMBER(Q597),ISNUMBER(R597)),R597-Q597,IF(ISNUMBER(Y597),Y597,""))</f>
        <v/>
      </c>
      <c r="AF597" s="15" t="str">
        <f aca="false">IF(AND(ISNUMBER(R597),ISNUMBER(S597)),S597-R597,"")</f>
        <v/>
      </c>
      <c r="AG597" s="15" t="str">
        <f aca="false">IF(AND(ISNUMBER(S597),ISNUMBER(T597)),T597-S597,"")</f>
        <v/>
      </c>
      <c r="AH597" s="15" t="str">
        <f aca="false">IF(AND(ISNUMBER(L597),ISNUMBER(T597)),T597-L597,"")</f>
        <v/>
      </c>
      <c r="AI597" s="15" t="str">
        <f aca="false">IF(AND(ISNUMBER(O597),ISNUMBER(Q597)),Q597-O597,"")</f>
        <v/>
      </c>
      <c r="AJ597" s="15" t="str">
        <f aca="false">IF(B597="","",COUNT(L597:M597,P597:T597)&amp;"/7")</f>
        <v/>
      </c>
      <c r="AK597" s="15" t="str">
        <f aca="false">IF(B597="","",IF(OR(AND(ISNUMBER(L597),ISNUMBER(M597),M597&lt;L597),AND(ISNUMBER(M597),ISNUMBER(P597),P597&lt;M597),AND(ISNUMBER(P597),ISNUMBER(Q597),Q597&lt;P597),AND(ISNUMBER(Q597),ISNUMBER(R597),R597&lt;Q597),AND(ISNUMBER(R597),ISNUMBER(S597),S597&lt;R597),AND(ISNUMBER(S597),ISNUMBER(T597),T597&lt;S597),AND(ISNUMBER(N597),ISNUMBER(O597),O597&lt;N597)),"Urutan tanggal salah",IF(AND(ISNUMBER(Q597),ISNUMBER(R597),ISNUMBER(Y597),ABS(R597-Q597-Y597)&gt;2),"S tanggal ≠ Sailing tercatat",IF(AND(ISNUMBER(Q597),ISNUMBER(O597),ABS(Q597-O597)&gt;60),"Cek tahun laycan",IF(AND(ISNUMBER(Q597),ISNUMBER(N597),Q597&lt;N597),"Berangkat sebelum laycan",IF(NOT(ISNUMBER(AE597)),"S belum ada","OK"))))))</f>
        <v/>
      </c>
    </row>
    <row r="598" customFormat="false" ht="15" hidden="false" customHeight="false" outlineLevel="0" collapsed="false">
      <c r="A598" s="16" t="str">
        <f aca="false">IF(B598="","",ROW()-4)</f>
        <v/>
      </c>
      <c r="B598" s="12"/>
      <c r="C598" s="16"/>
      <c r="D598" s="16"/>
      <c r="E598" s="16"/>
      <c r="F598" s="16"/>
      <c r="G598" s="16"/>
      <c r="H598" s="16"/>
      <c r="I598" s="16"/>
      <c r="J598" s="16"/>
      <c r="K598" s="16"/>
      <c r="L598" s="13"/>
      <c r="M598" s="13"/>
      <c r="N598" s="13"/>
      <c r="O598" s="13"/>
      <c r="P598" s="13"/>
      <c r="Q598" s="13"/>
      <c r="R598" s="13"/>
      <c r="S598" s="13"/>
      <c r="T598" s="13"/>
      <c r="U598" s="12"/>
      <c r="V598" s="14"/>
      <c r="W598" s="16"/>
      <c r="X598" s="16"/>
      <c r="Y598" s="16"/>
      <c r="Z598" s="16"/>
      <c r="AA598" s="15" t="str">
        <f aca="false">IF(AND(ISNUMBER(L598),ISNUMBER(M598)),M598-L598,"")</f>
        <v/>
      </c>
      <c r="AB598" s="15" t="str">
        <f aca="false">IF(AND(ISNUMBER(M598),ISNUMBER(P598)),P598-M598,"")</f>
        <v/>
      </c>
      <c r="AC598" s="15" t="str">
        <f aca="false">IF(AND(ISNUMBER(L598),ISNUMBER(P598)),P598-L598,"")</f>
        <v/>
      </c>
      <c r="AD598" s="15" t="str">
        <f aca="false">IF(AND(ISNUMBER(P598),ISNUMBER(Q598)),Q598-P598,"")</f>
        <v/>
      </c>
      <c r="AE598" s="15" t="str">
        <f aca="false">IF(AND(ISNUMBER(Q598),ISNUMBER(R598)),R598-Q598,IF(ISNUMBER(Y598),Y598,""))</f>
        <v/>
      </c>
      <c r="AF598" s="15" t="str">
        <f aca="false">IF(AND(ISNUMBER(R598),ISNUMBER(S598)),S598-R598,"")</f>
        <v/>
      </c>
      <c r="AG598" s="15" t="str">
        <f aca="false">IF(AND(ISNUMBER(S598),ISNUMBER(T598)),T598-S598,"")</f>
        <v/>
      </c>
      <c r="AH598" s="15" t="str">
        <f aca="false">IF(AND(ISNUMBER(L598),ISNUMBER(T598)),T598-L598,"")</f>
        <v/>
      </c>
      <c r="AI598" s="15" t="str">
        <f aca="false">IF(AND(ISNUMBER(O598),ISNUMBER(Q598)),Q598-O598,"")</f>
        <v/>
      </c>
      <c r="AJ598" s="15" t="str">
        <f aca="false">IF(B598="","",COUNT(L598:M598,P598:T598)&amp;"/7")</f>
        <v/>
      </c>
      <c r="AK598" s="15" t="str">
        <f aca="false">IF(B598="","",IF(OR(AND(ISNUMBER(L598),ISNUMBER(M598),M598&lt;L598),AND(ISNUMBER(M598),ISNUMBER(P598),P598&lt;M598),AND(ISNUMBER(P598),ISNUMBER(Q598),Q598&lt;P598),AND(ISNUMBER(Q598),ISNUMBER(R598),R598&lt;Q598),AND(ISNUMBER(R598),ISNUMBER(S598),S598&lt;R598),AND(ISNUMBER(S598),ISNUMBER(T598),T598&lt;S598),AND(ISNUMBER(N598),ISNUMBER(O598),O598&lt;N598)),"Urutan tanggal salah",IF(AND(ISNUMBER(Q598),ISNUMBER(R598),ISNUMBER(Y598),ABS(R598-Q598-Y598)&gt;2),"S tanggal ≠ Sailing tercatat",IF(AND(ISNUMBER(Q598),ISNUMBER(O598),ABS(Q598-O598)&gt;60),"Cek tahun laycan",IF(AND(ISNUMBER(Q598),ISNUMBER(N598),Q598&lt;N598),"Berangkat sebelum laycan",IF(NOT(ISNUMBER(AE598)),"S belum ada","OK"))))))</f>
        <v/>
      </c>
    </row>
    <row r="599" customFormat="false" ht="15" hidden="false" customHeight="false" outlineLevel="0" collapsed="false">
      <c r="A599" s="16" t="str">
        <f aca="false">IF(B599="","",ROW()-4)</f>
        <v/>
      </c>
      <c r="B599" s="12"/>
      <c r="C599" s="16"/>
      <c r="D599" s="16"/>
      <c r="E599" s="16"/>
      <c r="F599" s="16"/>
      <c r="G599" s="16"/>
      <c r="H599" s="16"/>
      <c r="I599" s="16"/>
      <c r="J599" s="16"/>
      <c r="K599" s="16"/>
      <c r="L599" s="13"/>
      <c r="M599" s="13"/>
      <c r="N599" s="13"/>
      <c r="O599" s="13"/>
      <c r="P599" s="13"/>
      <c r="Q599" s="13"/>
      <c r="R599" s="13"/>
      <c r="S599" s="13"/>
      <c r="T599" s="13"/>
      <c r="U599" s="12"/>
      <c r="V599" s="14"/>
      <c r="W599" s="16"/>
      <c r="X599" s="16"/>
      <c r="Y599" s="16"/>
      <c r="Z599" s="16"/>
      <c r="AA599" s="15" t="str">
        <f aca="false">IF(AND(ISNUMBER(L599),ISNUMBER(M599)),M599-L599,"")</f>
        <v/>
      </c>
      <c r="AB599" s="15" t="str">
        <f aca="false">IF(AND(ISNUMBER(M599),ISNUMBER(P599)),P599-M599,"")</f>
        <v/>
      </c>
      <c r="AC599" s="15" t="str">
        <f aca="false">IF(AND(ISNUMBER(L599),ISNUMBER(P599)),P599-L599,"")</f>
        <v/>
      </c>
      <c r="AD599" s="15" t="str">
        <f aca="false">IF(AND(ISNUMBER(P599),ISNUMBER(Q599)),Q599-P599,"")</f>
        <v/>
      </c>
      <c r="AE599" s="15" t="str">
        <f aca="false">IF(AND(ISNUMBER(Q599),ISNUMBER(R599)),R599-Q599,IF(ISNUMBER(Y599),Y599,""))</f>
        <v/>
      </c>
      <c r="AF599" s="15" t="str">
        <f aca="false">IF(AND(ISNUMBER(R599),ISNUMBER(S599)),S599-R599,"")</f>
        <v/>
      </c>
      <c r="AG599" s="15" t="str">
        <f aca="false">IF(AND(ISNUMBER(S599),ISNUMBER(T599)),T599-S599,"")</f>
        <v/>
      </c>
      <c r="AH599" s="15" t="str">
        <f aca="false">IF(AND(ISNUMBER(L599),ISNUMBER(T599)),T599-L599,"")</f>
        <v/>
      </c>
      <c r="AI599" s="15" t="str">
        <f aca="false">IF(AND(ISNUMBER(O599),ISNUMBER(Q599)),Q599-O599,"")</f>
        <v/>
      </c>
      <c r="AJ599" s="15" t="str">
        <f aca="false">IF(B599="","",COUNT(L599:M599,P599:T599)&amp;"/7")</f>
        <v/>
      </c>
      <c r="AK599" s="15" t="str">
        <f aca="false">IF(B599="","",IF(OR(AND(ISNUMBER(L599),ISNUMBER(M599),M599&lt;L599),AND(ISNUMBER(M599),ISNUMBER(P599),P599&lt;M599),AND(ISNUMBER(P599),ISNUMBER(Q599),Q599&lt;P599),AND(ISNUMBER(Q599),ISNUMBER(R599),R599&lt;Q599),AND(ISNUMBER(R599),ISNUMBER(S599),S599&lt;R599),AND(ISNUMBER(S599),ISNUMBER(T599),T599&lt;S599),AND(ISNUMBER(N599),ISNUMBER(O599),O599&lt;N599)),"Urutan tanggal salah",IF(AND(ISNUMBER(Q599),ISNUMBER(R599),ISNUMBER(Y599),ABS(R599-Q599-Y599)&gt;2),"S tanggal ≠ Sailing tercatat",IF(AND(ISNUMBER(Q599),ISNUMBER(O599),ABS(Q599-O599)&gt;60),"Cek tahun laycan",IF(AND(ISNUMBER(Q599),ISNUMBER(N599),Q599&lt;N599),"Berangkat sebelum laycan",IF(NOT(ISNUMBER(AE599)),"S belum ada","OK"))))))</f>
        <v/>
      </c>
    </row>
    <row r="600" customFormat="false" ht="15" hidden="false" customHeight="false" outlineLevel="0" collapsed="false">
      <c r="A600" s="16" t="str">
        <f aca="false">IF(B600="","",ROW()-4)</f>
        <v/>
      </c>
      <c r="B600" s="12"/>
      <c r="C600" s="16"/>
      <c r="D600" s="16"/>
      <c r="E600" s="16"/>
      <c r="F600" s="16"/>
      <c r="G600" s="16"/>
      <c r="H600" s="16"/>
      <c r="I600" s="16"/>
      <c r="J600" s="16"/>
      <c r="K600" s="16"/>
      <c r="L600" s="13"/>
      <c r="M600" s="13"/>
      <c r="N600" s="13"/>
      <c r="O600" s="13"/>
      <c r="P600" s="13"/>
      <c r="Q600" s="13"/>
      <c r="R600" s="13"/>
      <c r="S600" s="13"/>
      <c r="T600" s="13"/>
      <c r="U600" s="12"/>
      <c r="V600" s="14"/>
      <c r="W600" s="16"/>
      <c r="X600" s="16"/>
      <c r="Y600" s="16"/>
      <c r="Z600" s="16"/>
      <c r="AA600" s="15" t="str">
        <f aca="false">IF(AND(ISNUMBER(L600),ISNUMBER(M600)),M600-L600,"")</f>
        <v/>
      </c>
      <c r="AB600" s="15" t="str">
        <f aca="false">IF(AND(ISNUMBER(M600),ISNUMBER(P600)),P600-M600,"")</f>
        <v/>
      </c>
      <c r="AC600" s="15" t="str">
        <f aca="false">IF(AND(ISNUMBER(L600),ISNUMBER(P600)),P600-L600,"")</f>
        <v/>
      </c>
      <c r="AD600" s="15" t="str">
        <f aca="false">IF(AND(ISNUMBER(P600),ISNUMBER(Q600)),Q600-P600,"")</f>
        <v/>
      </c>
      <c r="AE600" s="15" t="str">
        <f aca="false">IF(AND(ISNUMBER(Q600),ISNUMBER(R600)),R600-Q600,IF(ISNUMBER(Y600),Y600,""))</f>
        <v/>
      </c>
      <c r="AF600" s="15" t="str">
        <f aca="false">IF(AND(ISNUMBER(R600),ISNUMBER(S600)),S600-R600,"")</f>
        <v/>
      </c>
      <c r="AG600" s="15" t="str">
        <f aca="false">IF(AND(ISNUMBER(S600),ISNUMBER(T600)),T600-S600,"")</f>
        <v/>
      </c>
      <c r="AH600" s="15" t="str">
        <f aca="false">IF(AND(ISNUMBER(L600),ISNUMBER(T600)),T600-L600,"")</f>
        <v/>
      </c>
      <c r="AI600" s="15" t="str">
        <f aca="false">IF(AND(ISNUMBER(O600),ISNUMBER(Q600)),Q600-O600,"")</f>
        <v/>
      </c>
      <c r="AJ600" s="15" t="str">
        <f aca="false">IF(B600="","",COUNT(L600:M600,P600:T600)&amp;"/7")</f>
        <v/>
      </c>
      <c r="AK600" s="15" t="str">
        <f aca="false">IF(B600="","",IF(OR(AND(ISNUMBER(L600),ISNUMBER(M600),M600&lt;L600),AND(ISNUMBER(M600),ISNUMBER(P600),P600&lt;M600),AND(ISNUMBER(P600),ISNUMBER(Q600),Q600&lt;P600),AND(ISNUMBER(Q600),ISNUMBER(R600),R600&lt;Q600),AND(ISNUMBER(R600),ISNUMBER(S600),S600&lt;R600),AND(ISNUMBER(S600),ISNUMBER(T600),T600&lt;S600),AND(ISNUMBER(N600),ISNUMBER(O600),O600&lt;N600)),"Urutan tanggal salah",IF(AND(ISNUMBER(Q600),ISNUMBER(R600),ISNUMBER(Y600),ABS(R600-Q600-Y600)&gt;2),"S tanggal ≠ Sailing tercatat",IF(AND(ISNUMBER(Q600),ISNUMBER(O600),ABS(Q600-O600)&gt;60),"Cek tahun laycan",IF(AND(ISNUMBER(Q600),ISNUMBER(N600),Q600&lt;N600),"Berangkat sebelum laycan",IF(NOT(ISNUMBER(AE600)),"S belum ada","OK"))))))</f>
        <v/>
      </c>
    </row>
    <row r="601" customFormat="false" ht="15" hidden="false" customHeight="false" outlineLevel="0" collapsed="false">
      <c r="A601" s="16" t="str">
        <f aca="false">IF(B601="","",ROW()-4)</f>
        <v/>
      </c>
      <c r="B601" s="12"/>
      <c r="C601" s="16"/>
      <c r="D601" s="16"/>
      <c r="E601" s="16"/>
      <c r="F601" s="16"/>
      <c r="G601" s="16"/>
      <c r="H601" s="16"/>
      <c r="I601" s="16"/>
      <c r="J601" s="16"/>
      <c r="K601" s="16"/>
      <c r="L601" s="13"/>
      <c r="M601" s="13"/>
      <c r="N601" s="13"/>
      <c r="O601" s="13"/>
      <c r="P601" s="13"/>
      <c r="Q601" s="13"/>
      <c r="R601" s="13"/>
      <c r="S601" s="13"/>
      <c r="T601" s="13"/>
      <c r="U601" s="12"/>
      <c r="V601" s="14"/>
      <c r="W601" s="16"/>
      <c r="X601" s="16"/>
      <c r="Y601" s="16"/>
      <c r="Z601" s="16"/>
      <c r="AA601" s="15" t="str">
        <f aca="false">IF(AND(ISNUMBER(L601),ISNUMBER(M601)),M601-L601,"")</f>
        <v/>
      </c>
      <c r="AB601" s="15" t="str">
        <f aca="false">IF(AND(ISNUMBER(M601),ISNUMBER(P601)),P601-M601,"")</f>
        <v/>
      </c>
      <c r="AC601" s="15" t="str">
        <f aca="false">IF(AND(ISNUMBER(L601),ISNUMBER(P601)),P601-L601,"")</f>
        <v/>
      </c>
      <c r="AD601" s="15" t="str">
        <f aca="false">IF(AND(ISNUMBER(P601),ISNUMBER(Q601)),Q601-P601,"")</f>
        <v/>
      </c>
      <c r="AE601" s="15" t="str">
        <f aca="false">IF(AND(ISNUMBER(Q601),ISNUMBER(R601)),R601-Q601,IF(ISNUMBER(Y601),Y601,""))</f>
        <v/>
      </c>
      <c r="AF601" s="15" t="str">
        <f aca="false">IF(AND(ISNUMBER(R601),ISNUMBER(S601)),S601-R601,"")</f>
        <v/>
      </c>
      <c r="AG601" s="15" t="str">
        <f aca="false">IF(AND(ISNUMBER(S601),ISNUMBER(T601)),T601-S601,"")</f>
        <v/>
      </c>
      <c r="AH601" s="15" t="str">
        <f aca="false">IF(AND(ISNUMBER(L601),ISNUMBER(T601)),T601-L601,"")</f>
        <v/>
      </c>
      <c r="AI601" s="15" t="str">
        <f aca="false">IF(AND(ISNUMBER(O601),ISNUMBER(Q601)),Q601-O601,"")</f>
        <v/>
      </c>
      <c r="AJ601" s="15" t="str">
        <f aca="false">IF(B601="","",COUNT(L601:M601,P601:T601)&amp;"/7")</f>
        <v/>
      </c>
      <c r="AK601" s="15" t="str">
        <f aca="false">IF(B601="","",IF(OR(AND(ISNUMBER(L601),ISNUMBER(M601),M601&lt;L601),AND(ISNUMBER(M601),ISNUMBER(P601),P601&lt;M601),AND(ISNUMBER(P601),ISNUMBER(Q601),Q601&lt;P601),AND(ISNUMBER(Q601),ISNUMBER(R601),R601&lt;Q601),AND(ISNUMBER(R601),ISNUMBER(S601),S601&lt;R601),AND(ISNUMBER(S601),ISNUMBER(T601),T601&lt;S601),AND(ISNUMBER(N601),ISNUMBER(O601),O601&lt;N601)),"Urutan tanggal salah",IF(AND(ISNUMBER(Q601),ISNUMBER(R601),ISNUMBER(Y601),ABS(R601-Q601-Y601)&gt;2),"S tanggal ≠ Sailing tercatat",IF(AND(ISNUMBER(Q601),ISNUMBER(O601),ABS(Q601-O601)&gt;60),"Cek tahun laycan",IF(AND(ISNUMBER(Q601),ISNUMBER(N601),Q601&lt;N601),"Berangkat sebelum laycan",IF(NOT(ISNUMBER(AE601)),"S belum ada","OK"))))))</f>
        <v/>
      </c>
    </row>
    <row r="602" customFormat="false" ht="15" hidden="false" customHeight="false" outlineLevel="0" collapsed="false">
      <c r="A602" s="16" t="str">
        <f aca="false">IF(B602="","",ROW()-4)</f>
        <v/>
      </c>
      <c r="B602" s="12"/>
      <c r="C602" s="16"/>
      <c r="D602" s="16"/>
      <c r="E602" s="16"/>
      <c r="F602" s="16"/>
      <c r="G602" s="16"/>
      <c r="H602" s="16"/>
      <c r="I602" s="16"/>
      <c r="J602" s="16"/>
      <c r="K602" s="16"/>
      <c r="L602" s="13"/>
      <c r="M602" s="13"/>
      <c r="N602" s="13"/>
      <c r="O602" s="13"/>
      <c r="P602" s="13"/>
      <c r="Q602" s="13"/>
      <c r="R602" s="13"/>
      <c r="S602" s="13"/>
      <c r="T602" s="13"/>
      <c r="U602" s="12"/>
      <c r="V602" s="14"/>
      <c r="W602" s="16"/>
      <c r="X602" s="16"/>
      <c r="Y602" s="16"/>
      <c r="Z602" s="16"/>
      <c r="AA602" s="15" t="str">
        <f aca="false">IF(AND(ISNUMBER(L602),ISNUMBER(M602)),M602-L602,"")</f>
        <v/>
      </c>
      <c r="AB602" s="15" t="str">
        <f aca="false">IF(AND(ISNUMBER(M602),ISNUMBER(P602)),P602-M602,"")</f>
        <v/>
      </c>
      <c r="AC602" s="15" t="str">
        <f aca="false">IF(AND(ISNUMBER(L602),ISNUMBER(P602)),P602-L602,"")</f>
        <v/>
      </c>
      <c r="AD602" s="15" t="str">
        <f aca="false">IF(AND(ISNUMBER(P602),ISNUMBER(Q602)),Q602-P602,"")</f>
        <v/>
      </c>
      <c r="AE602" s="15" t="str">
        <f aca="false">IF(AND(ISNUMBER(Q602),ISNUMBER(R602)),R602-Q602,IF(ISNUMBER(Y602),Y602,""))</f>
        <v/>
      </c>
      <c r="AF602" s="15" t="str">
        <f aca="false">IF(AND(ISNUMBER(R602),ISNUMBER(S602)),S602-R602,"")</f>
        <v/>
      </c>
      <c r="AG602" s="15" t="str">
        <f aca="false">IF(AND(ISNUMBER(S602),ISNUMBER(T602)),T602-S602,"")</f>
        <v/>
      </c>
      <c r="AH602" s="15" t="str">
        <f aca="false">IF(AND(ISNUMBER(L602),ISNUMBER(T602)),T602-L602,"")</f>
        <v/>
      </c>
      <c r="AI602" s="15" t="str">
        <f aca="false">IF(AND(ISNUMBER(O602),ISNUMBER(Q602)),Q602-O602,"")</f>
        <v/>
      </c>
      <c r="AJ602" s="15" t="str">
        <f aca="false">IF(B602="","",COUNT(L602:M602,P602:T602)&amp;"/7")</f>
        <v/>
      </c>
      <c r="AK602" s="15" t="str">
        <f aca="false">IF(B602="","",IF(OR(AND(ISNUMBER(L602),ISNUMBER(M602),M602&lt;L602),AND(ISNUMBER(M602),ISNUMBER(P602),P602&lt;M602),AND(ISNUMBER(P602),ISNUMBER(Q602),Q602&lt;P602),AND(ISNUMBER(Q602),ISNUMBER(R602),R602&lt;Q602),AND(ISNUMBER(R602),ISNUMBER(S602),S602&lt;R602),AND(ISNUMBER(S602),ISNUMBER(T602),T602&lt;S602),AND(ISNUMBER(N602),ISNUMBER(O602),O602&lt;N602)),"Urutan tanggal salah",IF(AND(ISNUMBER(Q602),ISNUMBER(R602),ISNUMBER(Y602),ABS(R602-Q602-Y602)&gt;2),"S tanggal ≠ Sailing tercatat",IF(AND(ISNUMBER(Q602),ISNUMBER(O602),ABS(Q602-O602)&gt;60),"Cek tahun laycan",IF(AND(ISNUMBER(Q602),ISNUMBER(N602),Q602&lt;N602),"Berangkat sebelum laycan",IF(NOT(ISNUMBER(AE602)),"S belum ada","OK"))))))</f>
        <v/>
      </c>
    </row>
    <row r="603" customFormat="false" ht="15" hidden="false" customHeight="false" outlineLevel="0" collapsed="false">
      <c r="A603" s="16" t="str">
        <f aca="false">IF(B603="","",ROW()-4)</f>
        <v/>
      </c>
      <c r="B603" s="12"/>
      <c r="C603" s="16"/>
      <c r="D603" s="16"/>
      <c r="E603" s="16"/>
      <c r="F603" s="16"/>
      <c r="G603" s="16"/>
      <c r="H603" s="16"/>
      <c r="I603" s="16"/>
      <c r="J603" s="16"/>
      <c r="K603" s="16"/>
      <c r="L603" s="13"/>
      <c r="M603" s="13"/>
      <c r="N603" s="13"/>
      <c r="O603" s="13"/>
      <c r="P603" s="13"/>
      <c r="Q603" s="13"/>
      <c r="R603" s="13"/>
      <c r="S603" s="13"/>
      <c r="T603" s="13"/>
      <c r="U603" s="12"/>
      <c r="V603" s="14"/>
      <c r="W603" s="16"/>
      <c r="X603" s="16"/>
      <c r="Y603" s="16"/>
      <c r="Z603" s="16"/>
      <c r="AA603" s="15" t="str">
        <f aca="false">IF(AND(ISNUMBER(L603),ISNUMBER(M603)),M603-L603,"")</f>
        <v/>
      </c>
      <c r="AB603" s="15" t="str">
        <f aca="false">IF(AND(ISNUMBER(M603),ISNUMBER(P603)),P603-M603,"")</f>
        <v/>
      </c>
      <c r="AC603" s="15" t="str">
        <f aca="false">IF(AND(ISNUMBER(L603),ISNUMBER(P603)),P603-L603,"")</f>
        <v/>
      </c>
      <c r="AD603" s="15" t="str">
        <f aca="false">IF(AND(ISNUMBER(P603),ISNUMBER(Q603)),Q603-P603,"")</f>
        <v/>
      </c>
      <c r="AE603" s="15" t="str">
        <f aca="false">IF(AND(ISNUMBER(Q603),ISNUMBER(R603)),R603-Q603,IF(ISNUMBER(Y603),Y603,""))</f>
        <v/>
      </c>
      <c r="AF603" s="15" t="str">
        <f aca="false">IF(AND(ISNUMBER(R603),ISNUMBER(S603)),S603-R603,"")</f>
        <v/>
      </c>
      <c r="AG603" s="15" t="str">
        <f aca="false">IF(AND(ISNUMBER(S603),ISNUMBER(T603)),T603-S603,"")</f>
        <v/>
      </c>
      <c r="AH603" s="15" t="str">
        <f aca="false">IF(AND(ISNUMBER(L603),ISNUMBER(T603)),T603-L603,"")</f>
        <v/>
      </c>
      <c r="AI603" s="15" t="str">
        <f aca="false">IF(AND(ISNUMBER(O603),ISNUMBER(Q603)),Q603-O603,"")</f>
        <v/>
      </c>
      <c r="AJ603" s="15" t="str">
        <f aca="false">IF(B603="","",COUNT(L603:M603,P603:T603)&amp;"/7")</f>
        <v/>
      </c>
      <c r="AK603" s="15" t="str">
        <f aca="false">IF(B603="","",IF(OR(AND(ISNUMBER(L603),ISNUMBER(M603),M603&lt;L603),AND(ISNUMBER(M603),ISNUMBER(P603),P603&lt;M603),AND(ISNUMBER(P603),ISNUMBER(Q603),Q603&lt;P603),AND(ISNUMBER(Q603),ISNUMBER(R603),R603&lt;Q603),AND(ISNUMBER(R603),ISNUMBER(S603),S603&lt;R603),AND(ISNUMBER(S603),ISNUMBER(T603),T603&lt;S603),AND(ISNUMBER(N603),ISNUMBER(O603),O603&lt;N603)),"Urutan tanggal salah",IF(AND(ISNUMBER(Q603),ISNUMBER(R603),ISNUMBER(Y603),ABS(R603-Q603-Y603)&gt;2),"S tanggal ≠ Sailing tercatat",IF(AND(ISNUMBER(Q603),ISNUMBER(O603),ABS(Q603-O603)&gt;60),"Cek tahun laycan",IF(AND(ISNUMBER(Q603),ISNUMBER(N603),Q603&lt;N603),"Berangkat sebelum laycan",IF(NOT(ISNUMBER(AE603)),"S belum ada","OK"))))))</f>
        <v/>
      </c>
    </row>
    <row r="604" customFormat="false" ht="15" hidden="false" customHeight="false" outlineLevel="0" collapsed="false">
      <c r="A604" s="16" t="str">
        <f aca="false">IF(B604="","",ROW()-4)</f>
        <v/>
      </c>
      <c r="B604" s="12"/>
      <c r="C604" s="16"/>
      <c r="D604" s="16"/>
      <c r="E604" s="16"/>
      <c r="F604" s="16"/>
      <c r="G604" s="16"/>
      <c r="H604" s="16"/>
      <c r="I604" s="16"/>
      <c r="J604" s="16"/>
      <c r="K604" s="16"/>
      <c r="L604" s="13"/>
      <c r="M604" s="13"/>
      <c r="N604" s="13"/>
      <c r="O604" s="13"/>
      <c r="P604" s="13"/>
      <c r="Q604" s="13"/>
      <c r="R604" s="13"/>
      <c r="S604" s="13"/>
      <c r="T604" s="13"/>
      <c r="U604" s="12"/>
      <c r="V604" s="14"/>
      <c r="W604" s="16"/>
      <c r="X604" s="16"/>
      <c r="Y604" s="16"/>
      <c r="Z604" s="16"/>
      <c r="AA604" s="15" t="str">
        <f aca="false">IF(AND(ISNUMBER(L604),ISNUMBER(M604)),M604-L604,"")</f>
        <v/>
      </c>
      <c r="AB604" s="15" t="str">
        <f aca="false">IF(AND(ISNUMBER(M604),ISNUMBER(P604)),P604-M604,"")</f>
        <v/>
      </c>
      <c r="AC604" s="15" t="str">
        <f aca="false">IF(AND(ISNUMBER(L604),ISNUMBER(P604)),P604-L604,"")</f>
        <v/>
      </c>
      <c r="AD604" s="15" t="str">
        <f aca="false">IF(AND(ISNUMBER(P604),ISNUMBER(Q604)),Q604-P604,"")</f>
        <v/>
      </c>
      <c r="AE604" s="15" t="str">
        <f aca="false">IF(AND(ISNUMBER(Q604),ISNUMBER(R604)),R604-Q604,IF(ISNUMBER(Y604),Y604,""))</f>
        <v/>
      </c>
      <c r="AF604" s="15" t="str">
        <f aca="false">IF(AND(ISNUMBER(R604),ISNUMBER(S604)),S604-R604,"")</f>
        <v/>
      </c>
      <c r="AG604" s="15" t="str">
        <f aca="false">IF(AND(ISNUMBER(S604),ISNUMBER(T604)),T604-S604,"")</f>
        <v/>
      </c>
      <c r="AH604" s="15" t="str">
        <f aca="false">IF(AND(ISNUMBER(L604),ISNUMBER(T604)),T604-L604,"")</f>
        <v/>
      </c>
      <c r="AI604" s="15" t="str">
        <f aca="false">IF(AND(ISNUMBER(O604),ISNUMBER(Q604)),Q604-O604,"")</f>
        <v/>
      </c>
      <c r="AJ604" s="15" t="str">
        <f aca="false">IF(B604="","",COUNT(L604:M604,P604:T604)&amp;"/7")</f>
        <v/>
      </c>
      <c r="AK604" s="15" t="str">
        <f aca="false">IF(B604="","",IF(OR(AND(ISNUMBER(L604),ISNUMBER(M604),M604&lt;L604),AND(ISNUMBER(M604),ISNUMBER(P604),P604&lt;M604),AND(ISNUMBER(P604),ISNUMBER(Q604),Q604&lt;P604),AND(ISNUMBER(Q604),ISNUMBER(R604),R604&lt;Q604),AND(ISNUMBER(R604),ISNUMBER(S604),S604&lt;R604),AND(ISNUMBER(S604),ISNUMBER(T604),T604&lt;S604),AND(ISNUMBER(N604),ISNUMBER(O604),O604&lt;N604)),"Urutan tanggal salah",IF(AND(ISNUMBER(Q604),ISNUMBER(R604),ISNUMBER(Y604),ABS(R604-Q604-Y604)&gt;2),"S tanggal ≠ Sailing tercatat",IF(AND(ISNUMBER(Q604),ISNUMBER(O604),ABS(Q604-O604)&gt;60),"Cek tahun laycan",IF(AND(ISNUMBER(Q604),ISNUMBER(N604),Q604&lt;N604),"Berangkat sebelum laycan",IF(NOT(ISNUMBER(AE604)),"S belum ada","OK"))))))</f>
        <v/>
      </c>
    </row>
    <row r="605" customFormat="false" ht="15" hidden="false" customHeight="false" outlineLevel="0" collapsed="false">
      <c r="A605" s="16" t="str">
        <f aca="false">IF(B605="","",ROW()-4)</f>
        <v/>
      </c>
      <c r="B605" s="12"/>
      <c r="C605" s="16"/>
      <c r="D605" s="16"/>
      <c r="E605" s="16"/>
      <c r="F605" s="16"/>
      <c r="G605" s="16"/>
      <c r="H605" s="16"/>
      <c r="I605" s="16"/>
      <c r="J605" s="16"/>
      <c r="K605" s="16"/>
      <c r="L605" s="13"/>
      <c r="M605" s="13"/>
      <c r="N605" s="13"/>
      <c r="O605" s="13"/>
      <c r="P605" s="13"/>
      <c r="Q605" s="13"/>
      <c r="R605" s="13"/>
      <c r="S605" s="13"/>
      <c r="T605" s="13"/>
      <c r="U605" s="12"/>
      <c r="V605" s="14"/>
      <c r="W605" s="16"/>
      <c r="X605" s="16"/>
      <c r="Y605" s="16"/>
      <c r="Z605" s="16"/>
      <c r="AA605" s="15" t="str">
        <f aca="false">IF(AND(ISNUMBER(L605),ISNUMBER(M605)),M605-L605,"")</f>
        <v/>
      </c>
      <c r="AB605" s="15" t="str">
        <f aca="false">IF(AND(ISNUMBER(M605),ISNUMBER(P605)),P605-M605,"")</f>
        <v/>
      </c>
      <c r="AC605" s="15" t="str">
        <f aca="false">IF(AND(ISNUMBER(L605),ISNUMBER(P605)),P605-L605,"")</f>
        <v/>
      </c>
      <c r="AD605" s="15" t="str">
        <f aca="false">IF(AND(ISNUMBER(P605),ISNUMBER(Q605)),Q605-P605,"")</f>
        <v/>
      </c>
      <c r="AE605" s="15" t="str">
        <f aca="false">IF(AND(ISNUMBER(Q605),ISNUMBER(R605)),R605-Q605,IF(ISNUMBER(Y605),Y605,""))</f>
        <v/>
      </c>
      <c r="AF605" s="15" t="str">
        <f aca="false">IF(AND(ISNUMBER(R605),ISNUMBER(S605)),S605-R605,"")</f>
        <v/>
      </c>
      <c r="AG605" s="15" t="str">
        <f aca="false">IF(AND(ISNUMBER(S605),ISNUMBER(T605)),T605-S605,"")</f>
        <v/>
      </c>
      <c r="AH605" s="15" t="str">
        <f aca="false">IF(AND(ISNUMBER(L605),ISNUMBER(T605)),T605-L605,"")</f>
        <v/>
      </c>
      <c r="AI605" s="15" t="str">
        <f aca="false">IF(AND(ISNUMBER(O605),ISNUMBER(Q605)),Q605-O605,"")</f>
        <v/>
      </c>
      <c r="AJ605" s="15" t="str">
        <f aca="false">IF(B605="","",COUNT(L605:M605,P605:T605)&amp;"/7")</f>
        <v/>
      </c>
      <c r="AK605" s="15" t="str">
        <f aca="false">IF(B605="","",IF(OR(AND(ISNUMBER(L605),ISNUMBER(M605),M605&lt;L605),AND(ISNUMBER(M605),ISNUMBER(P605),P605&lt;M605),AND(ISNUMBER(P605),ISNUMBER(Q605),Q605&lt;P605),AND(ISNUMBER(Q605),ISNUMBER(R605),R605&lt;Q605),AND(ISNUMBER(R605),ISNUMBER(S605),S605&lt;R605),AND(ISNUMBER(S605),ISNUMBER(T605),T605&lt;S605),AND(ISNUMBER(N605),ISNUMBER(O605),O605&lt;N605)),"Urutan tanggal salah",IF(AND(ISNUMBER(Q605),ISNUMBER(R605),ISNUMBER(Y605),ABS(R605-Q605-Y605)&gt;2),"S tanggal ≠ Sailing tercatat",IF(AND(ISNUMBER(Q605),ISNUMBER(O605),ABS(Q605-O605)&gt;60),"Cek tahun laycan",IF(AND(ISNUMBER(Q605),ISNUMBER(N605),Q605&lt;N605),"Berangkat sebelum laycan",IF(NOT(ISNUMBER(AE605)),"S belum ada","OK"))))))</f>
        <v/>
      </c>
    </row>
    <row r="606" customFormat="false" ht="15" hidden="false" customHeight="false" outlineLevel="0" collapsed="false">
      <c r="A606" s="16" t="str">
        <f aca="false">IF(B606="","",ROW()-4)</f>
        <v/>
      </c>
      <c r="B606" s="12"/>
      <c r="C606" s="16"/>
      <c r="D606" s="16"/>
      <c r="E606" s="16"/>
      <c r="F606" s="16"/>
      <c r="G606" s="16"/>
      <c r="H606" s="16"/>
      <c r="I606" s="16"/>
      <c r="J606" s="16"/>
      <c r="K606" s="16"/>
      <c r="L606" s="13"/>
      <c r="M606" s="13"/>
      <c r="N606" s="13"/>
      <c r="O606" s="13"/>
      <c r="P606" s="13"/>
      <c r="Q606" s="13"/>
      <c r="R606" s="13"/>
      <c r="S606" s="13"/>
      <c r="T606" s="13"/>
      <c r="U606" s="12"/>
      <c r="V606" s="14"/>
      <c r="W606" s="16"/>
      <c r="X606" s="16"/>
      <c r="Y606" s="16"/>
      <c r="Z606" s="16"/>
      <c r="AA606" s="15" t="str">
        <f aca="false">IF(AND(ISNUMBER(L606),ISNUMBER(M606)),M606-L606,"")</f>
        <v/>
      </c>
      <c r="AB606" s="15" t="str">
        <f aca="false">IF(AND(ISNUMBER(M606),ISNUMBER(P606)),P606-M606,"")</f>
        <v/>
      </c>
      <c r="AC606" s="15" t="str">
        <f aca="false">IF(AND(ISNUMBER(L606),ISNUMBER(P606)),P606-L606,"")</f>
        <v/>
      </c>
      <c r="AD606" s="15" t="str">
        <f aca="false">IF(AND(ISNUMBER(P606),ISNUMBER(Q606)),Q606-P606,"")</f>
        <v/>
      </c>
      <c r="AE606" s="15" t="str">
        <f aca="false">IF(AND(ISNUMBER(Q606),ISNUMBER(R606)),R606-Q606,IF(ISNUMBER(Y606),Y606,""))</f>
        <v/>
      </c>
      <c r="AF606" s="15" t="str">
        <f aca="false">IF(AND(ISNUMBER(R606),ISNUMBER(S606)),S606-R606,"")</f>
        <v/>
      </c>
      <c r="AG606" s="15" t="str">
        <f aca="false">IF(AND(ISNUMBER(S606),ISNUMBER(T606)),T606-S606,"")</f>
        <v/>
      </c>
      <c r="AH606" s="15" t="str">
        <f aca="false">IF(AND(ISNUMBER(L606),ISNUMBER(T606)),T606-L606,"")</f>
        <v/>
      </c>
      <c r="AI606" s="15" t="str">
        <f aca="false">IF(AND(ISNUMBER(O606),ISNUMBER(Q606)),Q606-O606,"")</f>
        <v/>
      </c>
      <c r="AJ606" s="15" t="str">
        <f aca="false">IF(B606="","",COUNT(L606:M606,P606:T606)&amp;"/7")</f>
        <v/>
      </c>
      <c r="AK606" s="15" t="str">
        <f aca="false">IF(B606="","",IF(OR(AND(ISNUMBER(L606),ISNUMBER(M606),M606&lt;L606),AND(ISNUMBER(M606),ISNUMBER(P606),P606&lt;M606),AND(ISNUMBER(P606),ISNUMBER(Q606),Q606&lt;P606),AND(ISNUMBER(Q606),ISNUMBER(R606),R606&lt;Q606),AND(ISNUMBER(R606),ISNUMBER(S606),S606&lt;R606),AND(ISNUMBER(S606),ISNUMBER(T606),T606&lt;S606),AND(ISNUMBER(N606),ISNUMBER(O606),O606&lt;N606)),"Urutan tanggal salah",IF(AND(ISNUMBER(Q606),ISNUMBER(R606),ISNUMBER(Y606),ABS(R606-Q606-Y606)&gt;2),"S tanggal ≠ Sailing tercatat",IF(AND(ISNUMBER(Q606),ISNUMBER(O606),ABS(Q606-O606)&gt;60),"Cek tahun laycan",IF(AND(ISNUMBER(Q606),ISNUMBER(N606),Q606&lt;N606),"Berangkat sebelum laycan",IF(NOT(ISNUMBER(AE606)),"S belum ada","OK"))))))</f>
        <v/>
      </c>
    </row>
    <row r="607" customFormat="false" ht="15" hidden="false" customHeight="false" outlineLevel="0" collapsed="false">
      <c r="A607" s="16" t="str">
        <f aca="false">IF(B607="","",ROW()-4)</f>
        <v/>
      </c>
      <c r="B607" s="12"/>
      <c r="C607" s="16"/>
      <c r="D607" s="16"/>
      <c r="E607" s="16"/>
      <c r="F607" s="16"/>
      <c r="G607" s="16"/>
      <c r="H607" s="16"/>
      <c r="I607" s="16"/>
      <c r="J607" s="16"/>
      <c r="K607" s="16"/>
      <c r="L607" s="13"/>
      <c r="M607" s="13"/>
      <c r="N607" s="13"/>
      <c r="O607" s="13"/>
      <c r="P607" s="13"/>
      <c r="Q607" s="13"/>
      <c r="R607" s="13"/>
      <c r="S607" s="13"/>
      <c r="T607" s="13"/>
      <c r="U607" s="12"/>
      <c r="V607" s="14"/>
      <c r="W607" s="16"/>
      <c r="X607" s="16"/>
      <c r="Y607" s="16"/>
      <c r="Z607" s="16"/>
      <c r="AA607" s="15" t="str">
        <f aca="false">IF(AND(ISNUMBER(L607),ISNUMBER(M607)),M607-L607,"")</f>
        <v/>
      </c>
      <c r="AB607" s="15" t="str">
        <f aca="false">IF(AND(ISNUMBER(M607),ISNUMBER(P607)),P607-M607,"")</f>
        <v/>
      </c>
      <c r="AC607" s="15" t="str">
        <f aca="false">IF(AND(ISNUMBER(L607),ISNUMBER(P607)),P607-L607,"")</f>
        <v/>
      </c>
      <c r="AD607" s="15" t="str">
        <f aca="false">IF(AND(ISNUMBER(P607),ISNUMBER(Q607)),Q607-P607,"")</f>
        <v/>
      </c>
      <c r="AE607" s="15" t="str">
        <f aca="false">IF(AND(ISNUMBER(Q607),ISNUMBER(R607)),R607-Q607,IF(ISNUMBER(Y607),Y607,""))</f>
        <v/>
      </c>
      <c r="AF607" s="15" t="str">
        <f aca="false">IF(AND(ISNUMBER(R607),ISNUMBER(S607)),S607-R607,"")</f>
        <v/>
      </c>
      <c r="AG607" s="15" t="str">
        <f aca="false">IF(AND(ISNUMBER(S607),ISNUMBER(T607)),T607-S607,"")</f>
        <v/>
      </c>
      <c r="AH607" s="15" t="str">
        <f aca="false">IF(AND(ISNUMBER(L607),ISNUMBER(T607)),T607-L607,"")</f>
        <v/>
      </c>
      <c r="AI607" s="15" t="str">
        <f aca="false">IF(AND(ISNUMBER(O607),ISNUMBER(Q607)),Q607-O607,"")</f>
        <v/>
      </c>
      <c r="AJ607" s="15" t="str">
        <f aca="false">IF(B607="","",COUNT(L607:M607,P607:T607)&amp;"/7")</f>
        <v/>
      </c>
      <c r="AK607" s="15" t="str">
        <f aca="false">IF(B607="","",IF(OR(AND(ISNUMBER(L607),ISNUMBER(M607),M607&lt;L607),AND(ISNUMBER(M607),ISNUMBER(P607),P607&lt;M607),AND(ISNUMBER(P607),ISNUMBER(Q607),Q607&lt;P607),AND(ISNUMBER(Q607),ISNUMBER(R607),R607&lt;Q607),AND(ISNUMBER(R607),ISNUMBER(S607),S607&lt;R607),AND(ISNUMBER(S607),ISNUMBER(T607),T607&lt;S607),AND(ISNUMBER(N607),ISNUMBER(O607),O607&lt;N607)),"Urutan tanggal salah",IF(AND(ISNUMBER(Q607),ISNUMBER(R607),ISNUMBER(Y607),ABS(R607-Q607-Y607)&gt;2),"S tanggal ≠ Sailing tercatat",IF(AND(ISNUMBER(Q607),ISNUMBER(O607),ABS(Q607-O607)&gt;60),"Cek tahun laycan",IF(AND(ISNUMBER(Q607),ISNUMBER(N607),Q607&lt;N607),"Berangkat sebelum laycan",IF(NOT(ISNUMBER(AE607)),"S belum ada","OK"))))))</f>
        <v/>
      </c>
    </row>
    <row r="608" customFormat="false" ht="15" hidden="false" customHeight="false" outlineLevel="0" collapsed="false">
      <c r="A608" s="16" t="str">
        <f aca="false">IF(B608="","",ROW()-4)</f>
        <v/>
      </c>
      <c r="B608" s="12"/>
      <c r="C608" s="16"/>
      <c r="D608" s="16"/>
      <c r="E608" s="16"/>
      <c r="F608" s="16"/>
      <c r="G608" s="16"/>
      <c r="H608" s="16"/>
      <c r="I608" s="16"/>
      <c r="J608" s="16"/>
      <c r="K608" s="16"/>
      <c r="L608" s="13"/>
      <c r="M608" s="13"/>
      <c r="N608" s="13"/>
      <c r="O608" s="13"/>
      <c r="P608" s="13"/>
      <c r="Q608" s="13"/>
      <c r="R608" s="13"/>
      <c r="S608" s="13"/>
      <c r="T608" s="13"/>
      <c r="U608" s="12"/>
      <c r="V608" s="14"/>
      <c r="W608" s="16"/>
      <c r="X608" s="16"/>
      <c r="Y608" s="16"/>
      <c r="Z608" s="16"/>
      <c r="AA608" s="15" t="str">
        <f aca="false">IF(AND(ISNUMBER(L608),ISNUMBER(M608)),M608-L608,"")</f>
        <v/>
      </c>
      <c r="AB608" s="15" t="str">
        <f aca="false">IF(AND(ISNUMBER(M608),ISNUMBER(P608)),P608-M608,"")</f>
        <v/>
      </c>
      <c r="AC608" s="15" t="str">
        <f aca="false">IF(AND(ISNUMBER(L608),ISNUMBER(P608)),P608-L608,"")</f>
        <v/>
      </c>
      <c r="AD608" s="15" t="str">
        <f aca="false">IF(AND(ISNUMBER(P608),ISNUMBER(Q608)),Q608-P608,"")</f>
        <v/>
      </c>
      <c r="AE608" s="15" t="str">
        <f aca="false">IF(AND(ISNUMBER(Q608),ISNUMBER(R608)),R608-Q608,IF(ISNUMBER(Y608),Y608,""))</f>
        <v/>
      </c>
      <c r="AF608" s="15" t="str">
        <f aca="false">IF(AND(ISNUMBER(R608),ISNUMBER(S608)),S608-R608,"")</f>
        <v/>
      </c>
      <c r="AG608" s="15" t="str">
        <f aca="false">IF(AND(ISNUMBER(S608),ISNUMBER(T608)),T608-S608,"")</f>
        <v/>
      </c>
      <c r="AH608" s="15" t="str">
        <f aca="false">IF(AND(ISNUMBER(L608),ISNUMBER(T608)),T608-L608,"")</f>
        <v/>
      </c>
      <c r="AI608" s="15" t="str">
        <f aca="false">IF(AND(ISNUMBER(O608),ISNUMBER(Q608)),Q608-O608,"")</f>
        <v/>
      </c>
      <c r="AJ608" s="15" t="str">
        <f aca="false">IF(B608="","",COUNT(L608:M608,P608:T608)&amp;"/7")</f>
        <v/>
      </c>
      <c r="AK608" s="15" t="str">
        <f aca="false">IF(B608="","",IF(OR(AND(ISNUMBER(L608),ISNUMBER(M608),M608&lt;L608),AND(ISNUMBER(M608),ISNUMBER(P608),P608&lt;M608),AND(ISNUMBER(P608),ISNUMBER(Q608),Q608&lt;P608),AND(ISNUMBER(Q608),ISNUMBER(R608),R608&lt;Q608),AND(ISNUMBER(R608),ISNUMBER(S608),S608&lt;R608),AND(ISNUMBER(S608),ISNUMBER(T608),T608&lt;S608),AND(ISNUMBER(N608),ISNUMBER(O608),O608&lt;N608)),"Urutan tanggal salah",IF(AND(ISNUMBER(Q608),ISNUMBER(R608),ISNUMBER(Y608),ABS(R608-Q608-Y608)&gt;2),"S tanggal ≠ Sailing tercatat",IF(AND(ISNUMBER(Q608),ISNUMBER(O608),ABS(Q608-O608)&gt;60),"Cek tahun laycan",IF(AND(ISNUMBER(Q608),ISNUMBER(N608),Q608&lt;N608),"Berangkat sebelum laycan",IF(NOT(ISNUMBER(AE608)),"S belum ada","OK"))))))</f>
        <v/>
      </c>
    </row>
    <row r="609" customFormat="false" ht="15" hidden="false" customHeight="false" outlineLevel="0" collapsed="false">
      <c r="A609" s="16" t="str">
        <f aca="false">IF(B609="","",ROW()-4)</f>
        <v/>
      </c>
      <c r="B609" s="12"/>
      <c r="C609" s="16"/>
      <c r="D609" s="16"/>
      <c r="E609" s="16"/>
      <c r="F609" s="16"/>
      <c r="G609" s="16"/>
      <c r="H609" s="16"/>
      <c r="I609" s="16"/>
      <c r="J609" s="16"/>
      <c r="K609" s="16"/>
      <c r="L609" s="13"/>
      <c r="M609" s="13"/>
      <c r="N609" s="13"/>
      <c r="O609" s="13"/>
      <c r="P609" s="13"/>
      <c r="Q609" s="13"/>
      <c r="R609" s="13"/>
      <c r="S609" s="13"/>
      <c r="T609" s="13"/>
      <c r="U609" s="12"/>
      <c r="V609" s="14"/>
      <c r="W609" s="16"/>
      <c r="X609" s="16"/>
      <c r="Y609" s="16"/>
      <c r="Z609" s="16"/>
      <c r="AA609" s="15" t="str">
        <f aca="false">IF(AND(ISNUMBER(L609),ISNUMBER(M609)),M609-L609,"")</f>
        <v/>
      </c>
      <c r="AB609" s="15" t="str">
        <f aca="false">IF(AND(ISNUMBER(M609),ISNUMBER(P609)),P609-M609,"")</f>
        <v/>
      </c>
      <c r="AC609" s="15" t="str">
        <f aca="false">IF(AND(ISNUMBER(L609),ISNUMBER(P609)),P609-L609,"")</f>
        <v/>
      </c>
      <c r="AD609" s="15" t="str">
        <f aca="false">IF(AND(ISNUMBER(P609),ISNUMBER(Q609)),Q609-P609,"")</f>
        <v/>
      </c>
      <c r="AE609" s="15" t="str">
        <f aca="false">IF(AND(ISNUMBER(Q609),ISNUMBER(R609)),R609-Q609,IF(ISNUMBER(Y609),Y609,""))</f>
        <v/>
      </c>
      <c r="AF609" s="15" t="str">
        <f aca="false">IF(AND(ISNUMBER(R609),ISNUMBER(S609)),S609-R609,"")</f>
        <v/>
      </c>
      <c r="AG609" s="15" t="str">
        <f aca="false">IF(AND(ISNUMBER(S609),ISNUMBER(T609)),T609-S609,"")</f>
        <v/>
      </c>
      <c r="AH609" s="15" t="str">
        <f aca="false">IF(AND(ISNUMBER(L609),ISNUMBER(T609)),T609-L609,"")</f>
        <v/>
      </c>
      <c r="AI609" s="15" t="str">
        <f aca="false">IF(AND(ISNUMBER(O609),ISNUMBER(Q609)),Q609-O609,"")</f>
        <v/>
      </c>
      <c r="AJ609" s="15" t="str">
        <f aca="false">IF(B609="","",COUNT(L609:M609,P609:T609)&amp;"/7")</f>
        <v/>
      </c>
      <c r="AK609" s="15" t="str">
        <f aca="false">IF(B609="","",IF(OR(AND(ISNUMBER(L609),ISNUMBER(M609),M609&lt;L609),AND(ISNUMBER(M609),ISNUMBER(P609),P609&lt;M609),AND(ISNUMBER(P609),ISNUMBER(Q609),Q609&lt;P609),AND(ISNUMBER(Q609),ISNUMBER(R609),R609&lt;Q609),AND(ISNUMBER(R609),ISNUMBER(S609),S609&lt;R609),AND(ISNUMBER(S609),ISNUMBER(T609),T609&lt;S609),AND(ISNUMBER(N609),ISNUMBER(O609),O609&lt;N609)),"Urutan tanggal salah",IF(AND(ISNUMBER(Q609),ISNUMBER(R609),ISNUMBER(Y609),ABS(R609-Q609-Y609)&gt;2),"S tanggal ≠ Sailing tercatat",IF(AND(ISNUMBER(Q609),ISNUMBER(O609),ABS(Q609-O609)&gt;60),"Cek tahun laycan",IF(AND(ISNUMBER(Q609),ISNUMBER(N609),Q609&lt;N609),"Berangkat sebelum laycan",IF(NOT(ISNUMBER(AE609)),"S belum ada","OK"))))))</f>
        <v/>
      </c>
    </row>
    <row r="610" customFormat="false" ht="15" hidden="false" customHeight="false" outlineLevel="0" collapsed="false">
      <c r="A610" s="16" t="str">
        <f aca="false">IF(B610="","",ROW()-4)</f>
        <v/>
      </c>
      <c r="B610" s="12"/>
      <c r="C610" s="16"/>
      <c r="D610" s="16"/>
      <c r="E610" s="16"/>
      <c r="F610" s="16"/>
      <c r="G610" s="16"/>
      <c r="H610" s="16"/>
      <c r="I610" s="16"/>
      <c r="J610" s="16"/>
      <c r="K610" s="16"/>
      <c r="L610" s="13"/>
      <c r="M610" s="13"/>
      <c r="N610" s="13"/>
      <c r="O610" s="13"/>
      <c r="P610" s="13"/>
      <c r="Q610" s="13"/>
      <c r="R610" s="13"/>
      <c r="S610" s="13"/>
      <c r="T610" s="13"/>
      <c r="U610" s="12"/>
      <c r="V610" s="14"/>
      <c r="W610" s="16"/>
      <c r="X610" s="16"/>
      <c r="Y610" s="16"/>
      <c r="Z610" s="16"/>
      <c r="AA610" s="15" t="str">
        <f aca="false">IF(AND(ISNUMBER(L610),ISNUMBER(M610)),M610-L610,"")</f>
        <v/>
      </c>
      <c r="AB610" s="15" t="str">
        <f aca="false">IF(AND(ISNUMBER(M610),ISNUMBER(P610)),P610-M610,"")</f>
        <v/>
      </c>
      <c r="AC610" s="15" t="str">
        <f aca="false">IF(AND(ISNUMBER(L610),ISNUMBER(P610)),P610-L610,"")</f>
        <v/>
      </c>
      <c r="AD610" s="15" t="str">
        <f aca="false">IF(AND(ISNUMBER(P610),ISNUMBER(Q610)),Q610-P610,"")</f>
        <v/>
      </c>
      <c r="AE610" s="15" t="str">
        <f aca="false">IF(AND(ISNUMBER(Q610),ISNUMBER(R610)),R610-Q610,IF(ISNUMBER(Y610),Y610,""))</f>
        <v/>
      </c>
      <c r="AF610" s="15" t="str">
        <f aca="false">IF(AND(ISNUMBER(R610),ISNUMBER(S610)),S610-R610,"")</f>
        <v/>
      </c>
      <c r="AG610" s="15" t="str">
        <f aca="false">IF(AND(ISNUMBER(S610),ISNUMBER(T610)),T610-S610,"")</f>
        <v/>
      </c>
      <c r="AH610" s="15" t="str">
        <f aca="false">IF(AND(ISNUMBER(L610),ISNUMBER(T610)),T610-L610,"")</f>
        <v/>
      </c>
      <c r="AI610" s="15" t="str">
        <f aca="false">IF(AND(ISNUMBER(O610),ISNUMBER(Q610)),Q610-O610,"")</f>
        <v/>
      </c>
      <c r="AJ610" s="15" t="str">
        <f aca="false">IF(B610="","",COUNT(L610:M610,P610:T610)&amp;"/7")</f>
        <v/>
      </c>
      <c r="AK610" s="15" t="str">
        <f aca="false">IF(B610="","",IF(OR(AND(ISNUMBER(L610),ISNUMBER(M610),M610&lt;L610),AND(ISNUMBER(M610),ISNUMBER(P610),P610&lt;M610),AND(ISNUMBER(P610),ISNUMBER(Q610),Q610&lt;P610),AND(ISNUMBER(Q610),ISNUMBER(R610),R610&lt;Q610),AND(ISNUMBER(R610),ISNUMBER(S610),S610&lt;R610),AND(ISNUMBER(S610),ISNUMBER(T610),T610&lt;S610),AND(ISNUMBER(N610),ISNUMBER(O610),O610&lt;N610)),"Urutan tanggal salah",IF(AND(ISNUMBER(Q610),ISNUMBER(R610),ISNUMBER(Y610),ABS(R610-Q610-Y610)&gt;2),"S tanggal ≠ Sailing tercatat",IF(AND(ISNUMBER(Q610),ISNUMBER(O610),ABS(Q610-O610)&gt;60),"Cek tahun laycan",IF(AND(ISNUMBER(Q610),ISNUMBER(N610),Q610&lt;N610),"Berangkat sebelum laycan",IF(NOT(ISNUMBER(AE610)),"S belum ada","OK"))))))</f>
        <v/>
      </c>
    </row>
    <row r="611" customFormat="false" ht="15" hidden="false" customHeight="false" outlineLevel="0" collapsed="false">
      <c r="A611" s="16" t="str">
        <f aca="false">IF(B611="","",ROW()-4)</f>
        <v/>
      </c>
      <c r="B611" s="12"/>
      <c r="C611" s="16"/>
      <c r="D611" s="16"/>
      <c r="E611" s="16"/>
      <c r="F611" s="16"/>
      <c r="G611" s="16"/>
      <c r="H611" s="16"/>
      <c r="I611" s="16"/>
      <c r="J611" s="16"/>
      <c r="K611" s="16"/>
      <c r="L611" s="13"/>
      <c r="M611" s="13"/>
      <c r="N611" s="13"/>
      <c r="O611" s="13"/>
      <c r="P611" s="13"/>
      <c r="Q611" s="13"/>
      <c r="R611" s="13"/>
      <c r="S611" s="13"/>
      <c r="T611" s="13"/>
      <c r="U611" s="12"/>
      <c r="V611" s="14"/>
      <c r="W611" s="16"/>
      <c r="X611" s="16"/>
      <c r="Y611" s="16"/>
      <c r="Z611" s="16"/>
      <c r="AA611" s="15" t="str">
        <f aca="false">IF(AND(ISNUMBER(L611),ISNUMBER(M611)),M611-L611,"")</f>
        <v/>
      </c>
      <c r="AB611" s="15" t="str">
        <f aca="false">IF(AND(ISNUMBER(M611),ISNUMBER(P611)),P611-M611,"")</f>
        <v/>
      </c>
      <c r="AC611" s="15" t="str">
        <f aca="false">IF(AND(ISNUMBER(L611),ISNUMBER(P611)),P611-L611,"")</f>
        <v/>
      </c>
      <c r="AD611" s="15" t="str">
        <f aca="false">IF(AND(ISNUMBER(P611),ISNUMBER(Q611)),Q611-P611,"")</f>
        <v/>
      </c>
      <c r="AE611" s="15" t="str">
        <f aca="false">IF(AND(ISNUMBER(Q611),ISNUMBER(R611)),R611-Q611,IF(ISNUMBER(Y611),Y611,""))</f>
        <v/>
      </c>
      <c r="AF611" s="15" t="str">
        <f aca="false">IF(AND(ISNUMBER(R611),ISNUMBER(S611)),S611-R611,"")</f>
        <v/>
      </c>
      <c r="AG611" s="15" t="str">
        <f aca="false">IF(AND(ISNUMBER(S611),ISNUMBER(T611)),T611-S611,"")</f>
        <v/>
      </c>
      <c r="AH611" s="15" t="str">
        <f aca="false">IF(AND(ISNUMBER(L611),ISNUMBER(T611)),T611-L611,"")</f>
        <v/>
      </c>
      <c r="AI611" s="15" t="str">
        <f aca="false">IF(AND(ISNUMBER(O611),ISNUMBER(Q611)),Q611-O611,"")</f>
        <v/>
      </c>
      <c r="AJ611" s="15" t="str">
        <f aca="false">IF(B611="","",COUNT(L611:M611,P611:T611)&amp;"/7")</f>
        <v/>
      </c>
      <c r="AK611" s="15" t="str">
        <f aca="false">IF(B611="","",IF(OR(AND(ISNUMBER(L611),ISNUMBER(M611),M611&lt;L611),AND(ISNUMBER(M611),ISNUMBER(P611),P611&lt;M611),AND(ISNUMBER(P611),ISNUMBER(Q611),Q611&lt;P611),AND(ISNUMBER(Q611),ISNUMBER(R611),R611&lt;Q611),AND(ISNUMBER(R611),ISNUMBER(S611),S611&lt;R611),AND(ISNUMBER(S611),ISNUMBER(T611),T611&lt;S611),AND(ISNUMBER(N611),ISNUMBER(O611),O611&lt;N611)),"Urutan tanggal salah",IF(AND(ISNUMBER(Q611),ISNUMBER(R611),ISNUMBER(Y611),ABS(R611-Q611-Y611)&gt;2),"S tanggal ≠ Sailing tercatat",IF(AND(ISNUMBER(Q611),ISNUMBER(O611),ABS(Q611-O611)&gt;60),"Cek tahun laycan",IF(AND(ISNUMBER(Q611),ISNUMBER(N611),Q611&lt;N611),"Berangkat sebelum laycan",IF(NOT(ISNUMBER(AE611)),"S belum ada","OK"))))))</f>
        <v/>
      </c>
    </row>
    <row r="612" customFormat="false" ht="15" hidden="false" customHeight="false" outlineLevel="0" collapsed="false">
      <c r="A612" s="16" t="str">
        <f aca="false">IF(B612="","",ROW()-4)</f>
        <v/>
      </c>
      <c r="B612" s="12"/>
      <c r="C612" s="16"/>
      <c r="D612" s="16"/>
      <c r="E612" s="16"/>
      <c r="F612" s="16"/>
      <c r="G612" s="16"/>
      <c r="H612" s="16"/>
      <c r="I612" s="16"/>
      <c r="J612" s="16"/>
      <c r="K612" s="16"/>
      <c r="L612" s="13"/>
      <c r="M612" s="13"/>
      <c r="N612" s="13"/>
      <c r="O612" s="13"/>
      <c r="P612" s="13"/>
      <c r="Q612" s="13"/>
      <c r="R612" s="13"/>
      <c r="S612" s="13"/>
      <c r="T612" s="13"/>
      <c r="U612" s="12"/>
      <c r="V612" s="14"/>
      <c r="W612" s="16"/>
      <c r="X612" s="16"/>
      <c r="Y612" s="16"/>
      <c r="Z612" s="16"/>
      <c r="AA612" s="15" t="str">
        <f aca="false">IF(AND(ISNUMBER(L612),ISNUMBER(M612)),M612-L612,"")</f>
        <v/>
      </c>
      <c r="AB612" s="15" t="str">
        <f aca="false">IF(AND(ISNUMBER(M612),ISNUMBER(P612)),P612-M612,"")</f>
        <v/>
      </c>
      <c r="AC612" s="15" t="str">
        <f aca="false">IF(AND(ISNUMBER(L612),ISNUMBER(P612)),P612-L612,"")</f>
        <v/>
      </c>
      <c r="AD612" s="15" t="str">
        <f aca="false">IF(AND(ISNUMBER(P612),ISNUMBER(Q612)),Q612-P612,"")</f>
        <v/>
      </c>
      <c r="AE612" s="15" t="str">
        <f aca="false">IF(AND(ISNUMBER(Q612),ISNUMBER(R612)),R612-Q612,IF(ISNUMBER(Y612),Y612,""))</f>
        <v/>
      </c>
      <c r="AF612" s="15" t="str">
        <f aca="false">IF(AND(ISNUMBER(R612),ISNUMBER(S612)),S612-R612,"")</f>
        <v/>
      </c>
      <c r="AG612" s="15" t="str">
        <f aca="false">IF(AND(ISNUMBER(S612),ISNUMBER(T612)),T612-S612,"")</f>
        <v/>
      </c>
      <c r="AH612" s="15" t="str">
        <f aca="false">IF(AND(ISNUMBER(L612),ISNUMBER(T612)),T612-L612,"")</f>
        <v/>
      </c>
      <c r="AI612" s="15" t="str">
        <f aca="false">IF(AND(ISNUMBER(O612),ISNUMBER(Q612)),Q612-O612,"")</f>
        <v/>
      </c>
      <c r="AJ612" s="15" t="str">
        <f aca="false">IF(B612="","",COUNT(L612:M612,P612:T612)&amp;"/7")</f>
        <v/>
      </c>
      <c r="AK612" s="15" t="str">
        <f aca="false">IF(B612="","",IF(OR(AND(ISNUMBER(L612),ISNUMBER(M612),M612&lt;L612),AND(ISNUMBER(M612),ISNUMBER(P612),P612&lt;M612),AND(ISNUMBER(P612),ISNUMBER(Q612),Q612&lt;P612),AND(ISNUMBER(Q612),ISNUMBER(R612),R612&lt;Q612),AND(ISNUMBER(R612),ISNUMBER(S612),S612&lt;R612),AND(ISNUMBER(S612),ISNUMBER(T612),T612&lt;S612),AND(ISNUMBER(N612),ISNUMBER(O612),O612&lt;N612)),"Urutan tanggal salah",IF(AND(ISNUMBER(Q612),ISNUMBER(R612),ISNUMBER(Y612),ABS(R612-Q612-Y612)&gt;2),"S tanggal ≠ Sailing tercatat",IF(AND(ISNUMBER(Q612),ISNUMBER(O612),ABS(Q612-O612)&gt;60),"Cek tahun laycan",IF(AND(ISNUMBER(Q612),ISNUMBER(N612),Q612&lt;N612),"Berangkat sebelum laycan",IF(NOT(ISNUMBER(AE612)),"S belum ada","OK"))))))</f>
        <v/>
      </c>
    </row>
    <row r="613" customFormat="false" ht="15" hidden="false" customHeight="false" outlineLevel="0" collapsed="false">
      <c r="A613" s="16" t="str">
        <f aca="false">IF(B613="","",ROW()-4)</f>
        <v/>
      </c>
      <c r="B613" s="12"/>
      <c r="C613" s="16"/>
      <c r="D613" s="16"/>
      <c r="E613" s="16"/>
      <c r="F613" s="16"/>
      <c r="G613" s="16"/>
      <c r="H613" s="16"/>
      <c r="I613" s="16"/>
      <c r="J613" s="16"/>
      <c r="K613" s="16"/>
      <c r="L613" s="13"/>
      <c r="M613" s="13"/>
      <c r="N613" s="13"/>
      <c r="O613" s="13"/>
      <c r="P613" s="13"/>
      <c r="Q613" s="13"/>
      <c r="R613" s="13"/>
      <c r="S613" s="13"/>
      <c r="T613" s="13"/>
      <c r="U613" s="12"/>
      <c r="V613" s="14"/>
      <c r="W613" s="16"/>
      <c r="X613" s="16"/>
      <c r="Y613" s="16"/>
      <c r="Z613" s="16"/>
      <c r="AA613" s="15" t="str">
        <f aca="false">IF(AND(ISNUMBER(L613),ISNUMBER(M613)),M613-L613,"")</f>
        <v/>
      </c>
      <c r="AB613" s="15" t="str">
        <f aca="false">IF(AND(ISNUMBER(M613),ISNUMBER(P613)),P613-M613,"")</f>
        <v/>
      </c>
      <c r="AC613" s="15" t="str">
        <f aca="false">IF(AND(ISNUMBER(L613),ISNUMBER(P613)),P613-L613,"")</f>
        <v/>
      </c>
      <c r="AD613" s="15" t="str">
        <f aca="false">IF(AND(ISNUMBER(P613),ISNUMBER(Q613)),Q613-P613,"")</f>
        <v/>
      </c>
      <c r="AE613" s="15" t="str">
        <f aca="false">IF(AND(ISNUMBER(Q613),ISNUMBER(R613)),R613-Q613,IF(ISNUMBER(Y613),Y613,""))</f>
        <v/>
      </c>
      <c r="AF613" s="15" t="str">
        <f aca="false">IF(AND(ISNUMBER(R613),ISNUMBER(S613)),S613-R613,"")</f>
        <v/>
      </c>
      <c r="AG613" s="15" t="str">
        <f aca="false">IF(AND(ISNUMBER(S613),ISNUMBER(T613)),T613-S613,"")</f>
        <v/>
      </c>
      <c r="AH613" s="15" t="str">
        <f aca="false">IF(AND(ISNUMBER(L613),ISNUMBER(T613)),T613-L613,"")</f>
        <v/>
      </c>
      <c r="AI613" s="15" t="str">
        <f aca="false">IF(AND(ISNUMBER(O613),ISNUMBER(Q613)),Q613-O613,"")</f>
        <v/>
      </c>
      <c r="AJ613" s="15" t="str">
        <f aca="false">IF(B613="","",COUNT(L613:M613,P613:T613)&amp;"/7")</f>
        <v/>
      </c>
      <c r="AK613" s="15" t="str">
        <f aca="false">IF(B613="","",IF(OR(AND(ISNUMBER(L613),ISNUMBER(M613),M613&lt;L613),AND(ISNUMBER(M613),ISNUMBER(P613),P613&lt;M613),AND(ISNUMBER(P613),ISNUMBER(Q613),Q613&lt;P613),AND(ISNUMBER(Q613),ISNUMBER(R613),R613&lt;Q613),AND(ISNUMBER(R613),ISNUMBER(S613),S613&lt;R613),AND(ISNUMBER(S613),ISNUMBER(T613),T613&lt;S613),AND(ISNUMBER(N613),ISNUMBER(O613),O613&lt;N613)),"Urutan tanggal salah",IF(AND(ISNUMBER(Q613),ISNUMBER(R613),ISNUMBER(Y613),ABS(R613-Q613-Y613)&gt;2),"S tanggal ≠ Sailing tercatat",IF(AND(ISNUMBER(Q613),ISNUMBER(O613),ABS(Q613-O613)&gt;60),"Cek tahun laycan",IF(AND(ISNUMBER(Q613),ISNUMBER(N613),Q613&lt;N613),"Berangkat sebelum laycan",IF(NOT(ISNUMBER(AE613)),"S belum ada","OK"))))))</f>
        <v/>
      </c>
    </row>
    <row r="614" customFormat="false" ht="15" hidden="false" customHeight="false" outlineLevel="0" collapsed="false">
      <c r="A614" s="16" t="str">
        <f aca="false">IF(B614="","",ROW()-4)</f>
        <v/>
      </c>
      <c r="B614" s="12"/>
      <c r="C614" s="16"/>
      <c r="D614" s="16"/>
      <c r="E614" s="16"/>
      <c r="F614" s="16"/>
      <c r="G614" s="16"/>
      <c r="H614" s="16"/>
      <c r="I614" s="16"/>
      <c r="J614" s="16"/>
      <c r="K614" s="16"/>
      <c r="L614" s="13"/>
      <c r="M614" s="13"/>
      <c r="N614" s="13"/>
      <c r="O614" s="13"/>
      <c r="P614" s="13"/>
      <c r="Q614" s="13"/>
      <c r="R614" s="13"/>
      <c r="S614" s="13"/>
      <c r="T614" s="13"/>
      <c r="U614" s="12"/>
      <c r="V614" s="14"/>
      <c r="W614" s="16"/>
      <c r="X614" s="16"/>
      <c r="Y614" s="16"/>
      <c r="Z614" s="16"/>
      <c r="AA614" s="15" t="str">
        <f aca="false">IF(AND(ISNUMBER(L614),ISNUMBER(M614)),M614-L614,"")</f>
        <v/>
      </c>
      <c r="AB614" s="15" t="str">
        <f aca="false">IF(AND(ISNUMBER(M614),ISNUMBER(P614)),P614-M614,"")</f>
        <v/>
      </c>
      <c r="AC614" s="15" t="str">
        <f aca="false">IF(AND(ISNUMBER(L614),ISNUMBER(P614)),P614-L614,"")</f>
        <v/>
      </c>
      <c r="AD614" s="15" t="str">
        <f aca="false">IF(AND(ISNUMBER(P614),ISNUMBER(Q614)),Q614-P614,"")</f>
        <v/>
      </c>
      <c r="AE614" s="15" t="str">
        <f aca="false">IF(AND(ISNUMBER(Q614),ISNUMBER(R614)),R614-Q614,IF(ISNUMBER(Y614),Y614,""))</f>
        <v/>
      </c>
      <c r="AF614" s="15" t="str">
        <f aca="false">IF(AND(ISNUMBER(R614),ISNUMBER(S614)),S614-R614,"")</f>
        <v/>
      </c>
      <c r="AG614" s="15" t="str">
        <f aca="false">IF(AND(ISNUMBER(S614),ISNUMBER(T614)),T614-S614,"")</f>
        <v/>
      </c>
      <c r="AH614" s="15" t="str">
        <f aca="false">IF(AND(ISNUMBER(L614),ISNUMBER(T614)),T614-L614,"")</f>
        <v/>
      </c>
      <c r="AI614" s="15" t="str">
        <f aca="false">IF(AND(ISNUMBER(O614),ISNUMBER(Q614)),Q614-O614,"")</f>
        <v/>
      </c>
      <c r="AJ614" s="15" t="str">
        <f aca="false">IF(B614="","",COUNT(L614:M614,P614:T614)&amp;"/7")</f>
        <v/>
      </c>
      <c r="AK614" s="15" t="str">
        <f aca="false">IF(B614="","",IF(OR(AND(ISNUMBER(L614),ISNUMBER(M614),M614&lt;L614),AND(ISNUMBER(M614),ISNUMBER(P614),P614&lt;M614),AND(ISNUMBER(P614),ISNUMBER(Q614),Q614&lt;P614),AND(ISNUMBER(Q614),ISNUMBER(R614),R614&lt;Q614),AND(ISNUMBER(R614),ISNUMBER(S614),S614&lt;R614),AND(ISNUMBER(S614),ISNUMBER(T614),T614&lt;S614),AND(ISNUMBER(N614),ISNUMBER(O614),O614&lt;N614)),"Urutan tanggal salah",IF(AND(ISNUMBER(Q614),ISNUMBER(R614),ISNUMBER(Y614),ABS(R614-Q614-Y614)&gt;2),"S tanggal ≠ Sailing tercatat",IF(AND(ISNUMBER(Q614),ISNUMBER(O614),ABS(Q614-O614)&gt;60),"Cek tahun laycan",IF(AND(ISNUMBER(Q614),ISNUMBER(N614),Q614&lt;N614),"Berangkat sebelum laycan",IF(NOT(ISNUMBER(AE614)),"S belum ada","OK"))))))</f>
        <v/>
      </c>
    </row>
    <row r="615" customFormat="false" ht="15" hidden="false" customHeight="false" outlineLevel="0" collapsed="false">
      <c r="A615" s="16" t="str">
        <f aca="false">IF(B615="","",ROW()-4)</f>
        <v/>
      </c>
      <c r="B615" s="12"/>
      <c r="C615" s="16"/>
      <c r="D615" s="16"/>
      <c r="E615" s="16"/>
      <c r="F615" s="16"/>
      <c r="G615" s="16"/>
      <c r="H615" s="16"/>
      <c r="I615" s="16"/>
      <c r="J615" s="16"/>
      <c r="K615" s="16"/>
      <c r="L615" s="13"/>
      <c r="M615" s="13"/>
      <c r="N615" s="13"/>
      <c r="O615" s="13"/>
      <c r="P615" s="13"/>
      <c r="Q615" s="13"/>
      <c r="R615" s="13"/>
      <c r="S615" s="13"/>
      <c r="T615" s="13"/>
      <c r="U615" s="12"/>
      <c r="V615" s="14"/>
      <c r="W615" s="16"/>
      <c r="X615" s="16"/>
      <c r="Y615" s="16"/>
      <c r="Z615" s="16"/>
      <c r="AA615" s="15" t="str">
        <f aca="false">IF(AND(ISNUMBER(L615),ISNUMBER(M615)),M615-L615,"")</f>
        <v/>
      </c>
      <c r="AB615" s="15" t="str">
        <f aca="false">IF(AND(ISNUMBER(M615),ISNUMBER(P615)),P615-M615,"")</f>
        <v/>
      </c>
      <c r="AC615" s="15" t="str">
        <f aca="false">IF(AND(ISNUMBER(L615),ISNUMBER(P615)),P615-L615,"")</f>
        <v/>
      </c>
      <c r="AD615" s="15" t="str">
        <f aca="false">IF(AND(ISNUMBER(P615),ISNUMBER(Q615)),Q615-P615,"")</f>
        <v/>
      </c>
      <c r="AE615" s="15" t="str">
        <f aca="false">IF(AND(ISNUMBER(Q615),ISNUMBER(R615)),R615-Q615,IF(ISNUMBER(Y615),Y615,""))</f>
        <v/>
      </c>
      <c r="AF615" s="15" t="str">
        <f aca="false">IF(AND(ISNUMBER(R615),ISNUMBER(S615)),S615-R615,"")</f>
        <v/>
      </c>
      <c r="AG615" s="15" t="str">
        <f aca="false">IF(AND(ISNUMBER(S615),ISNUMBER(T615)),T615-S615,"")</f>
        <v/>
      </c>
      <c r="AH615" s="15" t="str">
        <f aca="false">IF(AND(ISNUMBER(L615),ISNUMBER(T615)),T615-L615,"")</f>
        <v/>
      </c>
      <c r="AI615" s="15" t="str">
        <f aca="false">IF(AND(ISNUMBER(O615),ISNUMBER(Q615)),Q615-O615,"")</f>
        <v/>
      </c>
      <c r="AJ615" s="15" t="str">
        <f aca="false">IF(B615="","",COUNT(L615:M615,P615:T615)&amp;"/7")</f>
        <v/>
      </c>
      <c r="AK615" s="15" t="str">
        <f aca="false">IF(B615="","",IF(OR(AND(ISNUMBER(L615),ISNUMBER(M615),M615&lt;L615),AND(ISNUMBER(M615),ISNUMBER(P615),P615&lt;M615),AND(ISNUMBER(P615),ISNUMBER(Q615),Q615&lt;P615),AND(ISNUMBER(Q615),ISNUMBER(R615),R615&lt;Q615),AND(ISNUMBER(R615),ISNUMBER(S615),S615&lt;R615),AND(ISNUMBER(S615),ISNUMBER(T615),T615&lt;S615),AND(ISNUMBER(N615),ISNUMBER(O615),O615&lt;N615)),"Urutan tanggal salah",IF(AND(ISNUMBER(Q615),ISNUMBER(R615),ISNUMBER(Y615),ABS(R615-Q615-Y615)&gt;2),"S tanggal ≠ Sailing tercatat",IF(AND(ISNUMBER(Q615),ISNUMBER(O615),ABS(Q615-O615)&gt;60),"Cek tahun laycan",IF(AND(ISNUMBER(Q615),ISNUMBER(N615),Q615&lt;N615),"Berangkat sebelum laycan",IF(NOT(ISNUMBER(AE615)),"S belum ada","OK"))))))</f>
        <v/>
      </c>
    </row>
    <row r="616" customFormat="false" ht="15" hidden="false" customHeight="false" outlineLevel="0" collapsed="false">
      <c r="A616" s="16" t="str">
        <f aca="false">IF(B616="","",ROW()-4)</f>
        <v/>
      </c>
      <c r="B616" s="12"/>
      <c r="C616" s="16"/>
      <c r="D616" s="16"/>
      <c r="E616" s="16"/>
      <c r="F616" s="16"/>
      <c r="G616" s="16"/>
      <c r="H616" s="16"/>
      <c r="I616" s="16"/>
      <c r="J616" s="16"/>
      <c r="K616" s="16"/>
      <c r="L616" s="13"/>
      <c r="M616" s="13"/>
      <c r="N616" s="13"/>
      <c r="O616" s="13"/>
      <c r="P616" s="13"/>
      <c r="Q616" s="13"/>
      <c r="R616" s="13"/>
      <c r="S616" s="13"/>
      <c r="T616" s="13"/>
      <c r="U616" s="12"/>
      <c r="V616" s="14"/>
      <c r="W616" s="16"/>
      <c r="X616" s="16"/>
      <c r="Y616" s="16"/>
      <c r="Z616" s="16"/>
      <c r="AA616" s="15" t="str">
        <f aca="false">IF(AND(ISNUMBER(L616),ISNUMBER(M616)),M616-L616,"")</f>
        <v/>
      </c>
      <c r="AB616" s="15" t="str">
        <f aca="false">IF(AND(ISNUMBER(M616),ISNUMBER(P616)),P616-M616,"")</f>
        <v/>
      </c>
      <c r="AC616" s="15" t="str">
        <f aca="false">IF(AND(ISNUMBER(L616),ISNUMBER(P616)),P616-L616,"")</f>
        <v/>
      </c>
      <c r="AD616" s="15" t="str">
        <f aca="false">IF(AND(ISNUMBER(P616),ISNUMBER(Q616)),Q616-P616,"")</f>
        <v/>
      </c>
      <c r="AE616" s="15" t="str">
        <f aca="false">IF(AND(ISNUMBER(Q616),ISNUMBER(R616)),R616-Q616,IF(ISNUMBER(Y616),Y616,""))</f>
        <v/>
      </c>
      <c r="AF616" s="15" t="str">
        <f aca="false">IF(AND(ISNUMBER(R616),ISNUMBER(S616)),S616-R616,"")</f>
        <v/>
      </c>
      <c r="AG616" s="15" t="str">
        <f aca="false">IF(AND(ISNUMBER(S616),ISNUMBER(T616)),T616-S616,"")</f>
        <v/>
      </c>
      <c r="AH616" s="15" t="str">
        <f aca="false">IF(AND(ISNUMBER(L616),ISNUMBER(T616)),T616-L616,"")</f>
        <v/>
      </c>
      <c r="AI616" s="15" t="str">
        <f aca="false">IF(AND(ISNUMBER(O616),ISNUMBER(Q616)),Q616-O616,"")</f>
        <v/>
      </c>
      <c r="AJ616" s="15" t="str">
        <f aca="false">IF(B616="","",COUNT(L616:M616,P616:T616)&amp;"/7")</f>
        <v/>
      </c>
      <c r="AK616" s="15" t="str">
        <f aca="false">IF(B616="","",IF(OR(AND(ISNUMBER(L616),ISNUMBER(M616),M616&lt;L616),AND(ISNUMBER(M616),ISNUMBER(P616),P616&lt;M616),AND(ISNUMBER(P616),ISNUMBER(Q616),Q616&lt;P616),AND(ISNUMBER(Q616),ISNUMBER(R616),R616&lt;Q616),AND(ISNUMBER(R616),ISNUMBER(S616),S616&lt;R616),AND(ISNUMBER(S616),ISNUMBER(T616),T616&lt;S616),AND(ISNUMBER(N616),ISNUMBER(O616),O616&lt;N616)),"Urutan tanggal salah",IF(AND(ISNUMBER(Q616),ISNUMBER(R616),ISNUMBER(Y616),ABS(R616-Q616-Y616)&gt;2),"S tanggal ≠ Sailing tercatat",IF(AND(ISNUMBER(Q616),ISNUMBER(O616),ABS(Q616-O616)&gt;60),"Cek tahun laycan",IF(AND(ISNUMBER(Q616),ISNUMBER(N616),Q616&lt;N616),"Berangkat sebelum laycan",IF(NOT(ISNUMBER(AE616)),"S belum ada","OK"))))))</f>
        <v/>
      </c>
    </row>
    <row r="617" customFormat="false" ht="15" hidden="false" customHeight="false" outlineLevel="0" collapsed="false">
      <c r="A617" s="16" t="str">
        <f aca="false">IF(B617="","",ROW()-4)</f>
        <v/>
      </c>
      <c r="B617" s="12"/>
      <c r="C617" s="16"/>
      <c r="D617" s="16"/>
      <c r="E617" s="16"/>
      <c r="F617" s="16"/>
      <c r="G617" s="16"/>
      <c r="H617" s="16"/>
      <c r="I617" s="16"/>
      <c r="J617" s="16"/>
      <c r="K617" s="16"/>
      <c r="L617" s="13"/>
      <c r="M617" s="13"/>
      <c r="N617" s="13"/>
      <c r="O617" s="13"/>
      <c r="P617" s="13"/>
      <c r="Q617" s="13"/>
      <c r="R617" s="13"/>
      <c r="S617" s="13"/>
      <c r="T617" s="13"/>
      <c r="U617" s="12"/>
      <c r="V617" s="14"/>
      <c r="W617" s="16"/>
      <c r="X617" s="16"/>
      <c r="Y617" s="16"/>
      <c r="Z617" s="16"/>
      <c r="AA617" s="15" t="str">
        <f aca="false">IF(AND(ISNUMBER(L617),ISNUMBER(M617)),M617-L617,"")</f>
        <v/>
      </c>
      <c r="AB617" s="15" t="str">
        <f aca="false">IF(AND(ISNUMBER(M617),ISNUMBER(P617)),P617-M617,"")</f>
        <v/>
      </c>
      <c r="AC617" s="15" t="str">
        <f aca="false">IF(AND(ISNUMBER(L617),ISNUMBER(P617)),P617-L617,"")</f>
        <v/>
      </c>
      <c r="AD617" s="15" t="str">
        <f aca="false">IF(AND(ISNUMBER(P617),ISNUMBER(Q617)),Q617-P617,"")</f>
        <v/>
      </c>
      <c r="AE617" s="15" t="str">
        <f aca="false">IF(AND(ISNUMBER(Q617),ISNUMBER(R617)),R617-Q617,IF(ISNUMBER(Y617),Y617,""))</f>
        <v/>
      </c>
      <c r="AF617" s="15" t="str">
        <f aca="false">IF(AND(ISNUMBER(R617),ISNUMBER(S617)),S617-R617,"")</f>
        <v/>
      </c>
      <c r="AG617" s="15" t="str">
        <f aca="false">IF(AND(ISNUMBER(S617),ISNUMBER(T617)),T617-S617,"")</f>
        <v/>
      </c>
      <c r="AH617" s="15" t="str">
        <f aca="false">IF(AND(ISNUMBER(L617),ISNUMBER(T617)),T617-L617,"")</f>
        <v/>
      </c>
      <c r="AI617" s="15" t="str">
        <f aca="false">IF(AND(ISNUMBER(O617),ISNUMBER(Q617)),Q617-O617,"")</f>
        <v/>
      </c>
      <c r="AJ617" s="15" t="str">
        <f aca="false">IF(B617="","",COUNT(L617:M617,P617:T617)&amp;"/7")</f>
        <v/>
      </c>
      <c r="AK617" s="15" t="str">
        <f aca="false">IF(B617="","",IF(OR(AND(ISNUMBER(L617),ISNUMBER(M617),M617&lt;L617),AND(ISNUMBER(M617),ISNUMBER(P617),P617&lt;M617),AND(ISNUMBER(P617),ISNUMBER(Q617),Q617&lt;P617),AND(ISNUMBER(Q617),ISNUMBER(R617),R617&lt;Q617),AND(ISNUMBER(R617),ISNUMBER(S617),S617&lt;R617),AND(ISNUMBER(S617),ISNUMBER(T617),T617&lt;S617),AND(ISNUMBER(N617),ISNUMBER(O617),O617&lt;N617)),"Urutan tanggal salah",IF(AND(ISNUMBER(Q617),ISNUMBER(R617),ISNUMBER(Y617),ABS(R617-Q617-Y617)&gt;2),"S tanggal ≠ Sailing tercatat",IF(AND(ISNUMBER(Q617),ISNUMBER(O617),ABS(Q617-O617)&gt;60),"Cek tahun laycan",IF(AND(ISNUMBER(Q617),ISNUMBER(N617),Q617&lt;N617),"Berangkat sebelum laycan",IF(NOT(ISNUMBER(AE617)),"S belum ada","OK"))))))</f>
        <v/>
      </c>
    </row>
    <row r="618" customFormat="false" ht="15" hidden="false" customHeight="false" outlineLevel="0" collapsed="false">
      <c r="A618" s="16" t="str">
        <f aca="false">IF(B618="","",ROW()-4)</f>
        <v/>
      </c>
      <c r="B618" s="12"/>
      <c r="C618" s="16"/>
      <c r="D618" s="16"/>
      <c r="E618" s="16"/>
      <c r="F618" s="16"/>
      <c r="G618" s="16"/>
      <c r="H618" s="16"/>
      <c r="I618" s="16"/>
      <c r="J618" s="16"/>
      <c r="K618" s="16"/>
      <c r="L618" s="13"/>
      <c r="M618" s="13"/>
      <c r="N618" s="13"/>
      <c r="O618" s="13"/>
      <c r="P618" s="13"/>
      <c r="Q618" s="13"/>
      <c r="R618" s="13"/>
      <c r="S618" s="13"/>
      <c r="T618" s="13"/>
      <c r="U618" s="12"/>
      <c r="V618" s="14"/>
      <c r="W618" s="16"/>
      <c r="X618" s="16"/>
      <c r="Y618" s="16"/>
      <c r="Z618" s="16"/>
      <c r="AA618" s="15" t="str">
        <f aca="false">IF(AND(ISNUMBER(L618),ISNUMBER(M618)),M618-L618,"")</f>
        <v/>
      </c>
      <c r="AB618" s="15" t="str">
        <f aca="false">IF(AND(ISNUMBER(M618),ISNUMBER(P618)),P618-M618,"")</f>
        <v/>
      </c>
      <c r="AC618" s="15" t="str">
        <f aca="false">IF(AND(ISNUMBER(L618),ISNUMBER(P618)),P618-L618,"")</f>
        <v/>
      </c>
      <c r="AD618" s="15" t="str">
        <f aca="false">IF(AND(ISNUMBER(P618),ISNUMBER(Q618)),Q618-P618,"")</f>
        <v/>
      </c>
      <c r="AE618" s="15" t="str">
        <f aca="false">IF(AND(ISNUMBER(Q618),ISNUMBER(R618)),R618-Q618,IF(ISNUMBER(Y618),Y618,""))</f>
        <v/>
      </c>
      <c r="AF618" s="15" t="str">
        <f aca="false">IF(AND(ISNUMBER(R618),ISNUMBER(S618)),S618-R618,"")</f>
        <v/>
      </c>
      <c r="AG618" s="15" t="str">
        <f aca="false">IF(AND(ISNUMBER(S618),ISNUMBER(T618)),T618-S618,"")</f>
        <v/>
      </c>
      <c r="AH618" s="15" t="str">
        <f aca="false">IF(AND(ISNUMBER(L618),ISNUMBER(T618)),T618-L618,"")</f>
        <v/>
      </c>
      <c r="AI618" s="15" t="str">
        <f aca="false">IF(AND(ISNUMBER(O618),ISNUMBER(Q618)),Q618-O618,"")</f>
        <v/>
      </c>
      <c r="AJ618" s="15" t="str">
        <f aca="false">IF(B618="","",COUNT(L618:M618,P618:T618)&amp;"/7")</f>
        <v/>
      </c>
      <c r="AK618" s="15" t="str">
        <f aca="false">IF(B618="","",IF(OR(AND(ISNUMBER(L618),ISNUMBER(M618),M618&lt;L618),AND(ISNUMBER(M618),ISNUMBER(P618),P618&lt;M618),AND(ISNUMBER(P618),ISNUMBER(Q618),Q618&lt;P618),AND(ISNUMBER(Q618),ISNUMBER(R618),R618&lt;Q618),AND(ISNUMBER(R618),ISNUMBER(S618),S618&lt;R618),AND(ISNUMBER(S618),ISNUMBER(T618),T618&lt;S618),AND(ISNUMBER(N618),ISNUMBER(O618),O618&lt;N618)),"Urutan tanggal salah",IF(AND(ISNUMBER(Q618),ISNUMBER(R618),ISNUMBER(Y618),ABS(R618-Q618-Y618)&gt;2),"S tanggal ≠ Sailing tercatat",IF(AND(ISNUMBER(Q618),ISNUMBER(O618),ABS(Q618-O618)&gt;60),"Cek tahun laycan",IF(AND(ISNUMBER(Q618),ISNUMBER(N618),Q618&lt;N618),"Berangkat sebelum laycan",IF(NOT(ISNUMBER(AE618)),"S belum ada","OK"))))))</f>
        <v/>
      </c>
    </row>
    <row r="619" customFormat="false" ht="15" hidden="false" customHeight="false" outlineLevel="0" collapsed="false">
      <c r="A619" s="16" t="str">
        <f aca="false">IF(B619="","",ROW()-4)</f>
        <v/>
      </c>
      <c r="B619" s="12"/>
      <c r="C619" s="16"/>
      <c r="D619" s="16"/>
      <c r="E619" s="16"/>
      <c r="F619" s="16"/>
      <c r="G619" s="16"/>
      <c r="H619" s="16"/>
      <c r="I619" s="16"/>
      <c r="J619" s="16"/>
      <c r="K619" s="16"/>
      <c r="L619" s="13"/>
      <c r="M619" s="13"/>
      <c r="N619" s="13"/>
      <c r="O619" s="13"/>
      <c r="P619" s="13"/>
      <c r="Q619" s="13"/>
      <c r="R619" s="13"/>
      <c r="S619" s="13"/>
      <c r="T619" s="13"/>
      <c r="U619" s="12"/>
      <c r="V619" s="14"/>
      <c r="W619" s="16"/>
      <c r="X619" s="16"/>
      <c r="Y619" s="16"/>
      <c r="Z619" s="16"/>
      <c r="AA619" s="15" t="str">
        <f aca="false">IF(AND(ISNUMBER(L619),ISNUMBER(M619)),M619-L619,"")</f>
        <v/>
      </c>
      <c r="AB619" s="15" t="str">
        <f aca="false">IF(AND(ISNUMBER(M619),ISNUMBER(P619)),P619-M619,"")</f>
        <v/>
      </c>
      <c r="AC619" s="15" t="str">
        <f aca="false">IF(AND(ISNUMBER(L619),ISNUMBER(P619)),P619-L619,"")</f>
        <v/>
      </c>
      <c r="AD619" s="15" t="str">
        <f aca="false">IF(AND(ISNUMBER(P619),ISNUMBER(Q619)),Q619-P619,"")</f>
        <v/>
      </c>
      <c r="AE619" s="15" t="str">
        <f aca="false">IF(AND(ISNUMBER(Q619),ISNUMBER(R619)),R619-Q619,IF(ISNUMBER(Y619),Y619,""))</f>
        <v/>
      </c>
      <c r="AF619" s="15" t="str">
        <f aca="false">IF(AND(ISNUMBER(R619),ISNUMBER(S619)),S619-R619,"")</f>
        <v/>
      </c>
      <c r="AG619" s="15" t="str">
        <f aca="false">IF(AND(ISNUMBER(S619),ISNUMBER(T619)),T619-S619,"")</f>
        <v/>
      </c>
      <c r="AH619" s="15" t="str">
        <f aca="false">IF(AND(ISNUMBER(L619),ISNUMBER(T619)),T619-L619,"")</f>
        <v/>
      </c>
      <c r="AI619" s="15" t="str">
        <f aca="false">IF(AND(ISNUMBER(O619),ISNUMBER(Q619)),Q619-O619,"")</f>
        <v/>
      </c>
      <c r="AJ619" s="15" t="str">
        <f aca="false">IF(B619="","",COUNT(L619:M619,P619:T619)&amp;"/7")</f>
        <v/>
      </c>
      <c r="AK619" s="15" t="str">
        <f aca="false">IF(B619="","",IF(OR(AND(ISNUMBER(L619),ISNUMBER(M619),M619&lt;L619),AND(ISNUMBER(M619),ISNUMBER(P619),P619&lt;M619),AND(ISNUMBER(P619),ISNUMBER(Q619),Q619&lt;P619),AND(ISNUMBER(Q619),ISNUMBER(R619),R619&lt;Q619),AND(ISNUMBER(R619),ISNUMBER(S619),S619&lt;R619),AND(ISNUMBER(S619),ISNUMBER(T619),T619&lt;S619),AND(ISNUMBER(N619),ISNUMBER(O619),O619&lt;N619)),"Urutan tanggal salah",IF(AND(ISNUMBER(Q619),ISNUMBER(R619),ISNUMBER(Y619),ABS(R619-Q619-Y619)&gt;2),"S tanggal ≠ Sailing tercatat",IF(AND(ISNUMBER(Q619),ISNUMBER(O619),ABS(Q619-O619)&gt;60),"Cek tahun laycan",IF(AND(ISNUMBER(Q619),ISNUMBER(N619),Q619&lt;N619),"Berangkat sebelum laycan",IF(NOT(ISNUMBER(AE619)),"S belum ada","OK"))))))</f>
        <v/>
      </c>
    </row>
    <row r="620" customFormat="false" ht="15" hidden="false" customHeight="false" outlineLevel="0" collapsed="false">
      <c r="A620" s="16" t="str">
        <f aca="false">IF(B620="","",ROW()-4)</f>
        <v/>
      </c>
      <c r="B620" s="12"/>
      <c r="C620" s="16"/>
      <c r="D620" s="16"/>
      <c r="E620" s="16"/>
      <c r="F620" s="16"/>
      <c r="G620" s="16"/>
      <c r="H620" s="16"/>
      <c r="I620" s="16"/>
      <c r="J620" s="16"/>
      <c r="K620" s="16"/>
      <c r="L620" s="13"/>
      <c r="M620" s="13"/>
      <c r="N620" s="13"/>
      <c r="O620" s="13"/>
      <c r="P620" s="13"/>
      <c r="Q620" s="13"/>
      <c r="R620" s="13"/>
      <c r="S620" s="13"/>
      <c r="T620" s="13"/>
      <c r="U620" s="12"/>
      <c r="V620" s="14"/>
      <c r="W620" s="16"/>
      <c r="X620" s="16"/>
      <c r="Y620" s="16"/>
      <c r="Z620" s="16"/>
      <c r="AA620" s="15" t="str">
        <f aca="false">IF(AND(ISNUMBER(L620),ISNUMBER(M620)),M620-L620,"")</f>
        <v/>
      </c>
      <c r="AB620" s="15" t="str">
        <f aca="false">IF(AND(ISNUMBER(M620),ISNUMBER(P620)),P620-M620,"")</f>
        <v/>
      </c>
      <c r="AC620" s="15" t="str">
        <f aca="false">IF(AND(ISNUMBER(L620),ISNUMBER(P620)),P620-L620,"")</f>
        <v/>
      </c>
      <c r="AD620" s="15" t="str">
        <f aca="false">IF(AND(ISNUMBER(P620),ISNUMBER(Q620)),Q620-P620,"")</f>
        <v/>
      </c>
      <c r="AE620" s="15" t="str">
        <f aca="false">IF(AND(ISNUMBER(Q620),ISNUMBER(R620)),R620-Q620,IF(ISNUMBER(Y620),Y620,""))</f>
        <v/>
      </c>
      <c r="AF620" s="15" t="str">
        <f aca="false">IF(AND(ISNUMBER(R620),ISNUMBER(S620)),S620-R620,"")</f>
        <v/>
      </c>
      <c r="AG620" s="15" t="str">
        <f aca="false">IF(AND(ISNUMBER(S620),ISNUMBER(T620)),T620-S620,"")</f>
        <v/>
      </c>
      <c r="AH620" s="15" t="str">
        <f aca="false">IF(AND(ISNUMBER(L620),ISNUMBER(T620)),T620-L620,"")</f>
        <v/>
      </c>
      <c r="AI620" s="15" t="str">
        <f aca="false">IF(AND(ISNUMBER(O620),ISNUMBER(Q620)),Q620-O620,"")</f>
        <v/>
      </c>
      <c r="AJ620" s="15" t="str">
        <f aca="false">IF(B620="","",COUNT(L620:M620,P620:T620)&amp;"/7")</f>
        <v/>
      </c>
      <c r="AK620" s="15" t="str">
        <f aca="false">IF(B620="","",IF(OR(AND(ISNUMBER(L620),ISNUMBER(M620),M620&lt;L620),AND(ISNUMBER(M620),ISNUMBER(P620),P620&lt;M620),AND(ISNUMBER(P620),ISNUMBER(Q620),Q620&lt;P620),AND(ISNUMBER(Q620),ISNUMBER(R620),R620&lt;Q620),AND(ISNUMBER(R620),ISNUMBER(S620),S620&lt;R620),AND(ISNUMBER(S620),ISNUMBER(T620),T620&lt;S620),AND(ISNUMBER(N620),ISNUMBER(O620),O620&lt;N620)),"Urutan tanggal salah",IF(AND(ISNUMBER(Q620),ISNUMBER(R620),ISNUMBER(Y620),ABS(R620-Q620-Y620)&gt;2),"S tanggal ≠ Sailing tercatat",IF(AND(ISNUMBER(Q620),ISNUMBER(O620),ABS(Q620-O620)&gt;60),"Cek tahun laycan",IF(AND(ISNUMBER(Q620),ISNUMBER(N620),Q620&lt;N620),"Berangkat sebelum laycan",IF(NOT(ISNUMBER(AE620)),"S belum ada","OK"))))))</f>
        <v/>
      </c>
    </row>
    <row r="621" customFormat="false" ht="15" hidden="false" customHeight="false" outlineLevel="0" collapsed="false">
      <c r="A621" s="16" t="str">
        <f aca="false">IF(B621="","",ROW()-4)</f>
        <v/>
      </c>
      <c r="B621" s="12"/>
      <c r="C621" s="16"/>
      <c r="D621" s="16"/>
      <c r="E621" s="16"/>
      <c r="F621" s="16"/>
      <c r="G621" s="16"/>
      <c r="H621" s="16"/>
      <c r="I621" s="16"/>
      <c r="J621" s="16"/>
      <c r="K621" s="16"/>
      <c r="L621" s="13"/>
      <c r="M621" s="13"/>
      <c r="N621" s="13"/>
      <c r="O621" s="13"/>
      <c r="P621" s="13"/>
      <c r="Q621" s="13"/>
      <c r="R621" s="13"/>
      <c r="S621" s="13"/>
      <c r="T621" s="13"/>
      <c r="U621" s="12"/>
      <c r="V621" s="14"/>
      <c r="W621" s="16"/>
      <c r="X621" s="16"/>
      <c r="Y621" s="16"/>
      <c r="Z621" s="16"/>
      <c r="AA621" s="15" t="str">
        <f aca="false">IF(AND(ISNUMBER(L621),ISNUMBER(M621)),M621-L621,"")</f>
        <v/>
      </c>
      <c r="AB621" s="15" t="str">
        <f aca="false">IF(AND(ISNUMBER(M621),ISNUMBER(P621)),P621-M621,"")</f>
        <v/>
      </c>
      <c r="AC621" s="15" t="str">
        <f aca="false">IF(AND(ISNUMBER(L621),ISNUMBER(P621)),P621-L621,"")</f>
        <v/>
      </c>
      <c r="AD621" s="15" t="str">
        <f aca="false">IF(AND(ISNUMBER(P621),ISNUMBER(Q621)),Q621-P621,"")</f>
        <v/>
      </c>
      <c r="AE621" s="15" t="str">
        <f aca="false">IF(AND(ISNUMBER(Q621),ISNUMBER(R621)),R621-Q621,IF(ISNUMBER(Y621),Y621,""))</f>
        <v/>
      </c>
      <c r="AF621" s="15" t="str">
        <f aca="false">IF(AND(ISNUMBER(R621),ISNUMBER(S621)),S621-R621,"")</f>
        <v/>
      </c>
      <c r="AG621" s="15" t="str">
        <f aca="false">IF(AND(ISNUMBER(S621),ISNUMBER(T621)),T621-S621,"")</f>
        <v/>
      </c>
      <c r="AH621" s="15" t="str">
        <f aca="false">IF(AND(ISNUMBER(L621),ISNUMBER(T621)),T621-L621,"")</f>
        <v/>
      </c>
      <c r="AI621" s="15" t="str">
        <f aca="false">IF(AND(ISNUMBER(O621),ISNUMBER(Q621)),Q621-O621,"")</f>
        <v/>
      </c>
      <c r="AJ621" s="15" t="str">
        <f aca="false">IF(B621="","",COUNT(L621:M621,P621:T621)&amp;"/7")</f>
        <v/>
      </c>
      <c r="AK621" s="15" t="str">
        <f aca="false">IF(B621="","",IF(OR(AND(ISNUMBER(L621),ISNUMBER(M621),M621&lt;L621),AND(ISNUMBER(M621),ISNUMBER(P621),P621&lt;M621),AND(ISNUMBER(P621),ISNUMBER(Q621),Q621&lt;P621),AND(ISNUMBER(Q621),ISNUMBER(R621),R621&lt;Q621),AND(ISNUMBER(R621),ISNUMBER(S621),S621&lt;R621),AND(ISNUMBER(S621),ISNUMBER(T621),T621&lt;S621),AND(ISNUMBER(N621),ISNUMBER(O621),O621&lt;N621)),"Urutan tanggal salah",IF(AND(ISNUMBER(Q621),ISNUMBER(R621),ISNUMBER(Y621),ABS(R621-Q621-Y621)&gt;2),"S tanggal ≠ Sailing tercatat",IF(AND(ISNUMBER(Q621),ISNUMBER(O621),ABS(Q621-O621)&gt;60),"Cek tahun laycan",IF(AND(ISNUMBER(Q621),ISNUMBER(N621),Q621&lt;N621),"Berangkat sebelum laycan",IF(NOT(ISNUMBER(AE621)),"S belum ada","OK"))))))</f>
        <v/>
      </c>
    </row>
    <row r="622" customFormat="false" ht="15" hidden="false" customHeight="false" outlineLevel="0" collapsed="false">
      <c r="A622" s="16" t="str">
        <f aca="false">IF(B622="","",ROW()-4)</f>
        <v/>
      </c>
      <c r="B622" s="12"/>
      <c r="C622" s="16"/>
      <c r="D622" s="16"/>
      <c r="E622" s="16"/>
      <c r="F622" s="16"/>
      <c r="G622" s="16"/>
      <c r="H622" s="16"/>
      <c r="I622" s="16"/>
      <c r="J622" s="16"/>
      <c r="K622" s="16"/>
      <c r="L622" s="13"/>
      <c r="M622" s="13"/>
      <c r="N622" s="13"/>
      <c r="O622" s="13"/>
      <c r="P622" s="13"/>
      <c r="Q622" s="13"/>
      <c r="R622" s="13"/>
      <c r="S622" s="13"/>
      <c r="T622" s="13"/>
      <c r="U622" s="12"/>
      <c r="V622" s="14"/>
      <c r="W622" s="16"/>
      <c r="X622" s="16"/>
      <c r="Y622" s="16"/>
      <c r="Z622" s="16"/>
      <c r="AA622" s="15" t="str">
        <f aca="false">IF(AND(ISNUMBER(L622),ISNUMBER(M622)),M622-L622,"")</f>
        <v/>
      </c>
      <c r="AB622" s="15" t="str">
        <f aca="false">IF(AND(ISNUMBER(M622),ISNUMBER(P622)),P622-M622,"")</f>
        <v/>
      </c>
      <c r="AC622" s="15" t="str">
        <f aca="false">IF(AND(ISNUMBER(L622),ISNUMBER(P622)),P622-L622,"")</f>
        <v/>
      </c>
      <c r="AD622" s="15" t="str">
        <f aca="false">IF(AND(ISNUMBER(P622),ISNUMBER(Q622)),Q622-P622,"")</f>
        <v/>
      </c>
      <c r="AE622" s="15" t="str">
        <f aca="false">IF(AND(ISNUMBER(Q622),ISNUMBER(R622)),R622-Q622,IF(ISNUMBER(Y622),Y622,""))</f>
        <v/>
      </c>
      <c r="AF622" s="15" t="str">
        <f aca="false">IF(AND(ISNUMBER(R622),ISNUMBER(S622)),S622-R622,"")</f>
        <v/>
      </c>
      <c r="AG622" s="15" t="str">
        <f aca="false">IF(AND(ISNUMBER(S622),ISNUMBER(T622)),T622-S622,"")</f>
        <v/>
      </c>
      <c r="AH622" s="15" t="str">
        <f aca="false">IF(AND(ISNUMBER(L622),ISNUMBER(T622)),T622-L622,"")</f>
        <v/>
      </c>
      <c r="AI622" s="15" t="str">
        <f aca="false">IF(AND(ISNUMBER(O622),ISNUMBER(Q622)),Q622-O622,"")</f>
        <v/>
      </c>
      <c r="AJ622" s="15" t="str">
        <f aca="false">IF(B622="","",COUNT(L622:M622,P622:T622)&amp;"/7")</f>
        <v/>
      </c>
      <c r="AK622" s="15" t="str">
        <f aca="false">IF(B622="","",IF(OR(AND(ISNUMBER(L622),ISNUMBER(M622),M622&lt;L622),AND(ISNUMBER(M622),ISNUMBER(P622),P622&lt;M622),AND(ISNUMBER(P622),ISNUMBER(Q622),Q622&lt;P622),AND(ISNUMBER(Q622),ISNUMBER(R622),R622&lt;Q622),AND(ISNUMBER(R622),ISNUMBER(S622),S622&lt;R622),AND(ISNUMBER(S622),ISNUMBER(T622),T622&lt;S622),AND(ISNUMBER(N622),ISNUMBER(O622),O622&lt;N622)),"Urutan tanggal salah",IF(AND(ISNUMBER(Q622),ISNUMBER(R622),ISNUMBER(Y622),ABS(R622-Q622-Y622)&gt;2),"S tanggal ≠ Sailing tercatat",IF(AND(ISNUMBER(Q622),ISNUMBER(O622),ABS(Q622-O622)&gt;60),"Cek tahun laycan",IF(AND(ISNUMBER(Q622),ISNUMBER(N622),Q622&lt;N622),"Berangkat sebelum laycan",IF(NOT(ISNUMBER(AE622)),"S belum ada","OK"))))))</f>
        <v/>
      </c>
    </row>
    <row r="623" customFormat="false" ht="15" hidden="false" customHeight="false" outlineLevel="0" collapsed="false">
      <c r="A623" s="16" t="str">
        <f aca="false">IF(B623="","",ROW()-4)</f>
        <v/>
      </c>
      <c r="B623" s="12"/>
      <c r="C623" s="16"/>
      <c r="D623" s="16"/>
      <c r="E623" s="16"/>
      <c r="F623" s="16"/>
      <c r="G623" s="16"/>
      <c r="H623" s="16"/>
      <c r="I623" s="16"/>
      <c r="J623" s="16"/>
      <c r="K623" s="16"/>
      <c r="L623" s="13"/>
      <c r="M623" s="13"/>
      <c r="N623" s="13"/>
      <c r="O623" s="13"/>
      <c r="P623" s="13"/>
      <c r="Q623" s="13"/>
      <c r="R623" s="13"/>
      <c r="S623" s="13"/>
      <c r="T623" s="13"/>
      <c r="U623" s="12"/>
      <c r="V623" s="14"/>
      <c r="W623" s="16"/>
      <c r="X623" s="16"/>
      <c r="Y623" s="16"/>
      <c r="Z623" s="16"/>
      <c r="AA623" s="15" t="str">
        <f aca="false">IF(AND(ISNUMBER(L623),ISNUMBER(M623)),M623-L623,"")</f>
        <v/>
      </c>
      <c r="AB623" s="15" t="str">
        <f aca="false">IF(AND(ISNUMBER(M623),ISNUMBER(P623)),P623-M623,"")</f>
        <v/>
      </c>
      <c r="AC623" s="15" t="str">
        <f aca="false">IF(AND(ISNUMBER(L623),ISNUMBER(P623)),P623-L623,"")</f>
        <v/>
      </c>
      <c r="AD623" s="15" t="str">
        <f aca="false">IF(AND(ISNUMBER(P623),ISNUMBER(Q623)),Q623-P623,"")</f>
        <v/>
      </c>
      <c r="AE623" s="15" t="str">
        <f aca="false">IF(AND(ISNUMBER(Q623),ISNUMBER(R623)),R623-Q623,IF(ISNUMBER(Y623),Y623,""))</f>
        <v/>
      </c>
      <c r="AF623" s="15" t="str">
        <f aca="false">IF(AND(ISNUMBER(R623),ISNUMBER(S623)),S623-R623,"")</f>
        <v/>
      </c>
      <c r="AG623" s="15" t="str">
        <f aca="false">IF(AND(ISNUMBER(S623),ISNUMBER(T623)),T623-S623,"")</f>
        <v/>
      </c>
      <c r="AH623" s="15" t="str">
        <f aca="false">IF(AND(ISNUMBER(L623),ISNUMBER(T623)),T623-L623,"")</f>
        <v/>
      </c>
      <c r="AI623" s="15" t="str">
        <f aca="false">IF(AND(ISNUMBER(O623),ISNUMBER(Q623)),Q623-O623,"")</f>
        <v/>
      </c>
      <c r="AJ623" s="15" t="str">
        <f aca="false">IF(B623="","",COUNT(L623:M623,P623:T623)&amp;"/7")</f>
        <v/>
      </c>
      <c r="AK623" s="15" t="str">
        <f aca="false">IF(B623="","",IF(OR(AND(ISNUMBER(L623),ISNUMBER(M623),M623&lt;L623),AND(ISNUMBER(M623),ISNUMBER(P623),P623&lt;M623),AND(ISNUMBER(P623),ISNUMBER(Q623),Q623&lt;P623),AND(ISNUMBER(Q623),ISNUMBER(R623),R623&lt;Q623),AND(ISNUMBER(R623),ISNUMBER(S623),S623&lt;R623),AND(ISNUMBER(S623),ISNUMBER(T623),T623&lt;S623),AND(ISNUMBER(N623),ISNUMBER(O623),O623&lt;N623)),"Urutan tanggal salah",IF(AND(ISNUMBER(Q623),ISNUMBER(R623),ISNUMBER(Y623),ABS(R623-Q623-Y623)&gt;2),"S tanggal ≠ Sailing tercatat",IF(AND(ISNUMBER(Q623),ISNUMBER(O623),ABS(Q623-O623)&gt;60),"Cek tahun laycan",IF(AND(ISNUMBER(Q623),ISNUMBER(N623),Q623&lt;N623),"Berangkat sebelum laycan",IF(NOT(ISNUMBER(AE623)),"S belum ada","OK"))))))</f>
        <v/>
      </c>
    </row>
    <row r="624" customFormat="false" ht="15" hidden="false" customHeight="false" outlineLevel="0" collapsed="false">
      <c r="A624" s="16" t="str">
        <f aca="false">IF(B624="","",ROW()-4)</f>
        <v/>
      </c>
      <c r="B624" s="12"/>
      <c r="C624" s="16"/>
      <c r="D624" s="16"/>
      <c r="E624" s="16"/>
      <c r="F624" s="16"/>
      <c r="G624" s="16"/>
      <c r="H624" s="16"/>
      <c r="I624" s="16"/>
      <c r="J624" s="16"/>
      <c r="K624" s="16"/>
      <c r="L624" s="13"/>
      <c r="M624" s="13"/>
      <c r="N624" s="13"/>
      <c r="O624" s="13"/>
      <c r="P624" s="13"/>
      <c r="Q624" s="13"/>
      <c r="R624" s="13"/>
      <c r="S624" s="13"/>
      <c r="T624" s="13"/>
      <c r="U624" s="12"/>
      <c r="V624" s="14"/>
      <c r="W624" s="16"/>
      <c r="X624" s="16"/>
      <c r="Y624" s="16"/>
      <c r="Z624" s="16"/>
      <c r="AA624" s="15" t="str">
        <f aca="false">IF(AND(ISNUMBER(L624),ISNUMBER(M624)),M624-L624,"")</f>
        <v/>
      </c>
      <c r="AB624" s="15" t="str">
        <f aca="false">IF(AND(ISNUMBER(M624),ISNUMBER(P624)),P624-M624,"")</f>
        <v/>
      </c>
      <c r="AC624" s="15" t="str">
        <f aca="false">IF(AND(ISNUMBER(L624),ISNUMBER(P624)),P624-L624,"")</f>
        <v/>
      </c>
      <c r="AD624" s="15" t="str">
        <f aca="false">IF(AND(ISNUMBER(P624),ISNUMBER(Q624)),Q624-P624,"")</f>
        <v/>
      </c>
      <c r="AE624" s="15" t="str">
        <f aca="false">IF(AND(ISNUMBER(Q624),ISNUMBER(R624)),R624-Q624,IF(ISNUMBER(Y624),Y624,""))</f>
        <v/>
      </c>
      <c r="AF624" s="15" t="str">
        <f aca="false">IF(AND(ISNUMBER(R624),ISNUMBER(S624)),S624-R624,"")</f>
        <v/>
      </c>
      <c r="AG624" s="15" t="str">
        <f aca="false">IF(AND(ISNUMBER(S624),ISNUMBER(T624)),T624-S624,"")</f>
        <v/>
      </c>
      <c r="AH624" s="15" t="str">
        <f aca="false">IF(AND(ISNUMBER(L624),ISNUMBER(T624)),T624-L624,"")</f>
        <v/>
      </c>
      <c r="AI624" s="15" t="str">
        <f aca="false">IF(AND(ISNUMBER(O624),ISNUMBER(Q624)),Q624-O624,"")</f>
        <v/>
      </c>
      <c r="AJ624" s="15" t="str">
        <f aca="false">IF(B624="","",COUNT(L624:M624,P624:T624)&amp;"/7")</f>
        <v/>
      </c>
      <c r="AK624" s="15" t="str">
        <f aca="false">IF(B624="","",IF(OR(AND(ISNUMBER(L624),ISNUMBER(M624),M624&lt;L624),AND(ISNUMBER(M624),ISNUMBER(P624),P624&lt;M624),AND(ISNUMBER(P624),ISNUMBER(Q624),Q624&lt;P624),AND(ISNUMBER(Q624),ISNUMBER(R624),R624&lt;Q624),AND(ISNUMBER(R624),ISNUMBER(S624),S624&lt;R624),AND(ISNUMBER(S624),ISNUMBER(T624),T624&lt;S624),AND(ISNUMBER(N624),ISNUMBER(O624),O624&lt;N624)),"Urutan tanggal salah",IF(AND(ISNUMBER(Q624),ISNUMBER(R624),ISNUMBER(Y624),ABS(R624-Q624-Y624)&gt;2),"S tanggal ≠ Sailing tercatat",IF(AND(ISNUMBER(Q624),ISNUMBER(O624),ABS(Q624-O624)&gt;60),"Cek tahun laycan",IF(AND(ISNUMBER(Q624),ISNUMBER(N624),Q624&lt;N624),"Berangkat sebelum laycan",IF(NOT(ISNUMBER(AE624)),"S belum ada","OK"))))))</f>
        <v/>
      </c>
    </row>
    <row r="625" customFormat="false" ht="15" hidden="false" customHeight="false" outlineLevel="0" collapsed="false">
      <c r="A625" s="16" t="str">
        <f aca="false">IF(B625="","",ROW()-4)</f>
        <v/>
      </c>
      <c r="B625" s="12"/>
      <c r="C625" s="16"/>
      <c r="D625" s="16"/>
      <c r="E625" s="16"/>
      <c r="F625" s="16"/>
      <c r="G625" s="16"/>
      <c r="H625" s="16"/>
      <c r="I625" s="16"/>
      <c r="J625" s="16"/>
      <c r="K625" s="16"/>
      <c r="L625" s="13"/>
      <c r="M625" s="13"/>
      <c r="N625" s="13"/>
      <c r="O625" s="13"/>
      <c r="P625" s="13"/>
      <c r="Q625" s="13"/>
      <c r="R625" s="13"/>
      <c r="S625" s="13"/>
      <c r="T625" s="13"/>
      <c r="U625" s="12"/>
      <c r="V625" s="14"/>
      <c r="W625" s="16"/>
      <c r="X625" s="16"/>
      <c r="Y625" s="16"/>
      <c r="Z625" s="16"/>
      <c r="AA625" s="15" t="str">
        <f aca="false">IF(AND(ISNUMBER(L625),ISNUMBER(M625)),M625-L625,"")</f>
        <v/>
      </c>
      <c r="AB625" s="15" t="str">
        <f aca="false">IF(AND(ISNUMBER(M625),ISNUMBER(P625)),P625-M625,"")</f>
        <v/>
      </c>
      <c r="AC625" s="15" t="str">
        <f aca="false">IF(AND(ISNUMBER(L625),ISNUMBER(P625)),P625-L625,"")</f>
        <v/>
      </c>
      <c r="AD625" s="15" t="str">
        <f aca="false">IF(AND(ISNUMBER(P625),ISNUMBER(Q625)),Q625-P625,"")</f>
        <v/>
      </c>
      <c r="AE625" s="15" t="str">
        <f aca="false">IF(AND(ISNUMBER(Q625),ISNUMBER(R625)),R625-Q625,IF(ISNUMBER(Y625),Y625,""))</f>
        <v/>
      </c>
      <c r="AF625" s="15" t="str">
        <f aca="false">IF(AND(ISNUMBER(R625),ISNUMBER(S625)),S625-R625,"")</f>
        <v/>
      </c>
      <c r="AG625" s="15" t="str">
        <f aca="false">IF(AND(ISNUMBER(S625),ISNUMBER(T625)),T625-S625,"")</f>
        <v/>
      </c>
      <c r="AH625" s="15" t="str">
        <f aca="false">IF(AND(ISNUMBER(L625),ISNUMBER(T625)),T625-L625,"")</f>
        <v/>
      </c>
      <c r="AI625" s="15" t="str">
        <f aca="false">IF(AND(ISNUMBER(O625),ISNUMBER(Q625)),Q625-O625,"")</f>
        <v/>
      </c>
      <c r="AJ625" s="15" t="str">
        <f aca="false">IF(B625="","",COUNT(L625:M625,P625:T625)&amp;"/7")</f>
        <v/>
      </c>
      <c r="AK625" s="15" t="str">
        <f aca="false">IF(B625="","",IF(OR(AND(ISNUMBER(L625),ISNUMBER(M625),M625&lt;L625),AND(ISNUMBER(M625),ISNUMBER(P625),P625&lt;M625),AND(ISNUMBER(P625),ISNUMBER(Q625),Q625&lt;P625),AND(ISNUMBER(Q625),ISNUMBER(R625),R625&lt;Q625),AND(ISNUMBER(R625),ISNUMBER(S625),S625&lt;R625),AND(ISNUMBER(S625),ISNUMBER(T625),T625&lt;S625),AND(ISNUMBER(N625),ISNUMBER(O625),O625&lt;N625)),"Urutan tanggal salah",IF(AND(ISNUMBER(Q625),ISNUMBER(R625),ISNUMBER(Y625),ABS(R625-Q625-Y625)&gt;2),"S tanggal ≠ Sailing tercatat",IF(AND(ISNUMBER(Q625),ISNUMBER(O625),ABS(Q625-O625)&gt;60),"Cek tahun laycan",IF(AND(ISNUMBER(Q625),ISNUMBER(N625),Q625&lt;N625),"Berangkat sebelum laycan",IF(NOT(ISNUMBER(AE625)),"S belum ada","OK"))))))</f>
        <v/>
      </c>
    </row>
    <row r="626" customFormat="false" ht="15" hidden="false" customHeight="false" outlineLevel="0" collapsed="false">
      <c r="A626" s="16" t="str">
        <f aca="false">IF(B626="","",ROW()-4)</f>
        <v/>
      </c>
      <c r="B626" s="12"/>
      <c r="C626" s="16"/>
      <c r="D626" s="16"/>
      <c r="E626" s="16"/>
      <c r="F626" s="16"/>
      <c r="G626" s="16"/>
      <c r="H626" s="16"/>
      <c r="I626" s="16"/>
      <c r="J626" s="16"/>
      <c r="K626" s="16"/>
      <c r="L626" s="13"/>
      <c r="M626" s="13"/>
      <c r="N626" s="13"/>
      <c r="O626" s="13"/>
      <c r="P626" s="13"/>
      <c r="Q626" s="13"/>
      <c r="R626" s="13"/>
      <c r="S626" s="13"/>
      <c r="T626" s="13"/>
      <c r="U626" s="12"/>
      <c r="V626" s="14"/>
      <c r="W626" s="16"/>
      <c r="X626" s="16"/>
      <c r="Y626" s="16"/>
      <c r="Z626" s="16"/>
      <c r="AA626" s="15" t="str">
        <f aca="false">IF(AND(ISNUMBER(L626),ISNUMBER(M626)),M626-L626,"")</f>
        <v/>
      </c>
      <c r="AB626" s="15" t="str">
        <f aca="false">IF(AND(ISNUMBER(M626),ISNUMBER(P626)),P626-M626,"")</f>
        <v/>
      </c>
      <c r="AC626" s="15" t="str">
        <f aca="false">IF(AND(ISNUMBER(L626),ISNUMBER(P626)),P626-L626,"")</f>
        <v/>
      </c>
      <c r="AD626" s="15" t="str">
        <f aca="false">IF(AND(ISNUMBER(P626),ISNUMBER(Q626)),Q626-P626,"")</f>
        <v/>
      </c>
      <c r="AE626" s="15" t="str">
        <f aca="false">IF(AND(ISNUMBER(Q626),ISNUMBER(R626)),R626-Q626,IF(ISNUMBER(Y626),Y626,""))</f>
        <v/>
      </c>
      <c r="AF626" s="15" t="str">
        <f aca="false">IF(AND(ISNUMBER(R626),ISNUMBER(S626)),S626-R626,"")</f>
        <v/>
      </c>
      <c r="AG626" s="15" t="str">
        <f aca="false">IF(AND(ISNUMBER(S626),ISNUMBER(T626)),T626-S626,"")</f>
        <v/>
      </c>
      <c r="AH626" s="15" t="str">
        <f aca="false">IF(AND(ISNUMBER(L626),ISNUMBER(T626)),T626-L626,"")</f>
        <v/>
      </c>
      <c r="AI626" s="15" t="str">
        <f aca="false">IF(AND(ISNUMBER(O626),ISNUMBER(Q626)),Q626-O626,"")</f>
        <v/>
      </c>
      <c r="AJ626" s="15" t="str">
        <f aca="false">IF(B626="","",COUNT(L626:M626,P626:T626)&amp;"/7")</f>
        <v/>
      </c>
      <c r="AK626" s="15" t="str">
        <f aca="false">IF(B626="","",IF(OR(AND(ISNUMBER(L626),ISNUMBER(M626),M626&lt;L626),AND(ISNUMBER(M626),ISNUMBER(P626),P626&lt;M626),AND(ISNUMBER(P626),ISNUMBER(Q626),Q626&lt;P626),AND(ISNUMBER(Q626),ISNUMBER(R626),R626&lt;Q626),AND(ISNUMBER(R626),ISNUMBER(S626),S626&lt;R626),AND(ISNUMBER(S626),ISNUMBER(T626),T626&lt;S626),AND(ISNUMBER(N626),ISNUMBER(O626),O626&lt;N626)),"Urutan tanggal salah",IF(AND(ISNUMBER(Q626),ISNUMBER(R626),ISNUMBER(Y626),ABS(R626-Q626-Y626)&gt;2),"S tanggal ≠ Sailing tercatat",IF(AND(ISNUMBER(Q626),ISNUMBER(O626),ABS(Q626-O626)&gt;60),"Cek tahun laycan",IF(AND(ISNUMBER(Q626),ISNUMBER(N626),Q626&lt;N626),"Berangkat sebelum laycan",IF(NOT(ISNUMBER(AE626)),"S belum ada","OK"))))))</f>
        <v/>
      </c>
    </row>
    <row r="627" customFormat="false" ht="15" hidden="false" customHeight="false" outlineLevel="0" collapsed="false">
      <c r="A627" s="16" t="str">
        <f aca="false">IF(B627="","",ROW()-4)</f>
        <v/>
      </c>
      <c r="B627" s="12"/>
      <c r="C627" s="16"/>
      <c r="D627" s="16"/>
      <c r="E627" s="16"/>
      <c r="F627" s="16"/>
      <c r="G627" s="16"/>
      <c r="H627" s="16"/>
      <c r="I627" s="16"/>
      <c r="J627" s="16"/>
      <c r="K627" s="16"/>
      <c r="L627" s="13"/>
      <c r="M627" s="13"/>
      <c r="N627" s="13"/>
      <c r="O627" s="13"/>
      <c r="P627" s="13"/>
      <c r="Q627" s="13"/>
      <c r="R627" s="13"/>
      <c r="S627" s="13"/>
      <c r="T627" s="13"/>
      <c r="U627" s="12"/>
      <c r="V627" s="14"/>
      <c r="W627" s="16"/>
      <c r="X627" s="16"/>
      <c r="Y627" s="16"/>
      <c r="Z627" s="16"/>
      <c r="AA627" s="15" t="str">
        <f aca="false">IF(AND(ISNUMBER(L627),ISNUMBER(M627)),M627-L627,"")</f>
        <v/>
      </c>
      <c r="AB627" s="15" t="str">
        <f aca="false">IF(AND(ISNUMBER(M627),ISNUMBER(P627)),P627-M627,"")</f>
        <v/>
      </c>
      <c r="AC627" s="15" t="str">
        <f aca="false">IF(AND(ISNUMBER(L627),ISNUMBER(P627)),P627-L627,"")</f>
        <v/>
      </c>
      <c r="AD627" s="15" t="str">
        <f aca="false">IF(AND(ISNUMBER(P627),ISNUMBER(Q627)),Q627-P627,"")</f>
        <v/>
      </c>
      <c r="AE627" s="15" t="str">
        <f aca="false">IF(AND(ISNUMBER(Q627),ISNUMBER(R627)),R627-Q627,IF(ISNUMBER(Y627),Y627,""))</f>
        <v/>
      </c>
      <c r="AF627" s="15" t="str">
        <f aca="false">IF(AND(ISNUMBER(R627),ISNUMBER(S627)),S627-R627,"")</f>
        <v/>
      </c>
      <c r="AG627" s="15" t="str">
        <f aca="false">IF(AND(ISNUMBER(S627),ISNUMBER(T627)),T627-S627,"")</f>
        <v/>
      </c>
      <c r="AH627" s="15" t="str">
        <f aca="false">IF(AND(ISNUMBER(L627),ISNUMBER(T627)),T627-L627,"")</f>
        <v/>
      </c>
      <c r="AI627" s="15" t="str">
        <f aca="false">IF(AND(ISNUMBER(O627),ISNUMBER(Q627)),Q627-O627,"")</f>
        <v/>
      </c>
      <c r="AJ627" s="15" t="str">
        <f aca="false">IF(B627="","",COUNT(L627:M627,P627:T627)&amp;"/7")</f>
        <v/>
      </c>
      <c r="AK627" s="15" t="str">
        <f aca="false">IF(B627="","",IF(OR(AND(ISNUMBER(L627),ISNUMBER(M627),M627&lt;L627),AND(ISNUMBER(M627),ISNUMBER(P627),P627&lt;M627),AND(ISNUMBER(P627),ISNUMBER(Q627),Q627&lt;P627),AND(ISNUMBER(Q627),ISNUMBER(R627),R627&lt;Q627),AND(ISNUMBER(R627),ISNUMBER(S627),S627&lt;R627),AND(ISNUMBER(S627),ISNUMBER(T627),T627&lt;S627),AND(ISNUMBER(N627),ISNUMBER(O627),O627&lt;N627)),"Urutan tanggal salah",IF(AND(ISNUMBER(Q627),ISNUMBER(R627),ISNUMBER(Y627),ABS(R627-Q627-Y627)&gt;2),"S tanggal ≠ Sailing tercatat",IF(AND(ISNUMBER(Q627),ISNUMBER(O627),ABS(Q627-O627)&gt;60),"Cek tahun laycan",IF(AND(ISNUMBER(Q627),ISNUMBER(N627),Q627&lt;N627),"Berangkat sebelum laycan",IF(NOT(ISNUMBER(AE627)),"S belum ada","OK"))))))</f>
        <v/>
      </c>
    </row>
    <row r="628" customFormat="false" ht="15" hidden="false" customHeight="false" outlineLevel="0" collapsed="false">
      <c r="A628" s="16" t="str">
        <f aca="false">IF(B628="","",ROW()-4)</f>
        <v/>
      </c>
      <c r="B628" s="12"/>
      <c r="C628" s="16"/>
      <c r="D628" s="16"/>
      <c r="E628" s="16"/>
      <c r="F628" s="16"/>
      <c r="G628" s="16"/>
      <c r="H628" s="16"/>
      <c r="I628" s="16"/>
      <c r="J628" s="16"/>
      <c r="K628" s="16"/>
      <c r="L628" s="13"/>
      <c r="M628" s="13"/>
      <c r="N628" s="13"/>
      <c r="O628" s="13"/>
      <c r="P628" s="13"/>
      <c r="Q628" s="13"/>
      <c r="R628" s="13"/>
      <c r="S628" s="13"/>
      <c r="T628" s="13"/>
      <c r="U628" s="12"/>
      <c r="V628" s="14"/>
      <c r="W628" s="16"/>
      <c r="X628" s="16"/>
      <c r="Y628" s="16"/>
      <c r="Z628" s="16"/>
      <c r="AA628" s="15" t="str">
        <f aca="false">IF(AND(ISNUMBER(L628),ISNUMBER(M628)),M628-L628,"")</f>
        <v/>
      </c>
      <c r="AB628" s="15" t="str">
        <f aca="false">IF(AND(ISNUMBER(M628),ISNUMBER(P628)),P628-M628,"")</f>
        <v/>
      </c>
      <c r="AC628" s="15" t="str">
        <f aca="false">IF(AND(ISNUMBER(L628),ISNUMBER(P628)),P628-L628,"")</f>
        <v/>
      </c>
      <c r="AD628" s="15" t="str">
        <f aca="false">IF(AND(ISNUMBER(P628),ISNUMBER(Q628)),Q628-P628,"")</f>
        <v/>
      </c>
      <c r="AE628" s="15" t="str">
        <f aca="false">IF(AND(ISNUMBER(Q628),ISNUMBER(R628)),R628-Q628,IF(ISNUMBER(Y628),Y628,""))</f>
        <v/>
      </c>
      <c r="AF628" s="15" t="str">
        <f aca="false">IF(AND(ISNUMBER(R628),ISNUMBER(S628)),S628-R628,"")</f>
        <v/>
      </c>
      <c r="AG628" s="15" t="str">
        <f aca="false">IF(AND(ISNUMBER(S628),ISNUMBER(T628)),T628-S628,"")</f>
        <v/>
      </c>
      <c r="AH628" s="15" t="str">
        <f aca="false">IF(AND(ISNUMBER(L628),ISNUMBER(T628)),T628-L628,"")</f>
        <v/>
      </c>
      <c r="AI628" s="15" t="str">
        <f aca="false">IF(AND(ISNUMBER(O628),ISNUMBER(Q628)),Q628-O628,"")</f>
        <v/>
      </c>
      <c r="AJ628" s="15" t="str">
        <f aca="false">IF(B628="","",COUNT(L628:M628,P628:T628)&amp;"/7")</f>
        <v/>
      </c>
      <c r="AK628" s="15" t="str">
        <f aca="false">IF(B628="","",IF(OR(AND(ISNUMBER(L628),ISNUMBER(M628),M628&lt;L628),AND(ISNUMBER(M628),ISNUMBER(P628),P628&lt;M628),AND(ISNUMBER(P628),ISNUMBER(Q628),Q628&lt;P628),AND(ISNUMBER(Q628),ISNUMBER(R628),R628&lt;Q628),AND(ISNUMBER(R628),ISNUMBER(S628),S628&lt;R628),AND(ISNUMBER(S628),ISNUMBER(T628),T628&lt;S628),AND(ISNUMBER(N628),ISNUMBER(O628),O628&lt;N628)),"Urutan tanggal salah",IF(AND(ISNUMBER(Q628),ISNUMBER(R628),ISNUMBER(Y628),ABS(R628-Q628-Y628)&gt;2),"S tanggal ≠ Sailing tercatat",IF(AND(ISNUMBER(Q628),ISNUMBER(O628),ABS(Q628-O628)&gt;60),"Cek tahun laycan",IF(AND(ISNUMBER(Q628),ISNUMBER(N628),Q628&lt;N628),"Berangkat sebelum laycan",IF(NOT(ISNUMBER(AE628)),"S belum ada","OK"))))))</f>
        <v/>
      </c>
    </row>
    <row r="629" customFormat="false" ht="15" hidden="false" customHeight="false" outlineLevel="0" collapsed="false">
      <c r="A629" s="16" t="str">
        <f aca="false">IF(B629="","",ROW()-4)</f>
        <v/>
      </c>
      <c r="B629" s="12"/>
      <c r="C629" s="16"/>
      <c r="D629" s="16"/>
      <c r="E629" s="16"/>
      <c r="F629" s="16"/>
      <c r="G629" s="16"/>
      <c r="H629" s="16"/>
      <c r="I629" s="16"/>
      <c r="J629" s="16"/>
      <c r="K629" s="16"/>
      <c r="L629" s="13"/>
      <c r="M629" s="13"/>
      <c r="N629" s="13"/>
      <c r="O629" s="13"/>
      <c r="P629" s="13"/>
      <c r="Q629" s="13"/>
      <c r="R629" s="13"/>
      <c r="S629" s="13"/>
      <c r="T629" s="13"/>
      <c r="U629" s="12"/>
      <c r="V629" s="14"/>
      <c r="W629" s="16"/>
      <c r="X629" s="16"/>
      <c r="Y629" s="16"/>
      <c r="Z629" s="16"/>
      <c r="AA629" s="15" t="str">
        <f aca="false">IF(AND(ISNUMBER(L629),ISNUMBER(M629)),M629-L629,"")</f>
        <v/>
      </c>
      <c r="AB629" s="15" t="str">
        <f aca="false">IF(AND(ISNUMBER(M629),ISNUMBER(P629)),P629-M629,"")</f>
        <v/>
      </c>
      <c r="AC629" s="15" t="str">
        <f aca="false">IF(AND(ISNUMBER(L629),ISNUMBER(P629)),P629-L629,"")</f>
        <v/>
      </c>
      <c r="AD629" s="15" t="str">
        <f aca="false">IF(AND(ISNUMBER(P629),ISNUMBER(Q629)),Q629-P629,"")</f>
        <v/>
      </c>
      <c r="AE629" s="15" t="str">
        <f aca="false">IF(AND(ISNUMBER(Q629),ISNUMBER(R629)),R629-Q629,IF(ISNUMBER(Y629),Y629,""))</f>
        <v/>
      </c>
      <c r="AF629" s="15" t="str">
        <f aca="false">IF(AND(ISNUMBER(R629),ISNUMBER(S629)),S629-R629,"")</f>
        <v/>
      </c>
      <c r="AG629" s="15" t="str">
        <f aca="false">IF(AND(ISNUMBER(S629),ISNUMBER(T629)),T629-S629,"")</f>
        <v/>
      </c>
      <c r="AH629" s="15" t="str">
        <f aca="false">IF(AND(ISNUMBER(L629),ISNUMBER(T629)),T629-L629,"")</f>
        <v/>
      </c>
      <c r="AI629" s="15" t="str">
        <f aca="false">IF(AND(ISNUMBER(O629),ISNUMBER(Q629)),Q629-O629,"")</f>
        <v/>
      </c>
      <c r="AJ629" s="15" t="str">
        <f aca="false">IF(B629="","",COUNT(L629:M629,P629:T629)&amp;"/7")</f>
        <v/>
      </c>
      <c r="AK629" s="15" t="str">
        <f aca="false">IF(B629="","",IF(OR(AND(ISNUMBER(L629),ISNUMBER(M629),M629&lt;L629),AND(ISNUMBER(M629),ISNUMBER(P629),P629&lt;M629),AND(ISNUMBER(P629),ISNUMBER(Q629),Q629&lt;P629),AND(ISNUMBER(Q629),ISNUMBER(R629),R629&lt;Q629),AND(ISNUMBER(R629),ISNUMBER(S629),S629&lt;R629),AND(ISNUMBER(S629),ISNUMBER(T629),T629&lt;S629),AND(ISNUMBER(N629),ISNUMBER(O629),O629&lt;N629)),"Urutan tanggal salah",IF(AND(ISNUMBER(Q629),ISNUMBER(R629),ISNUMBER(Y629),ABS(R629-Q629-Y629)&gt;2),"S tanggal ≠ Sailing tercatat",IF(AND(ISNUMBER(Q629),ISNUMBER(O629),ABS(Q629-O629)&gt;60),"Cek tahun laycan",IF(AND(ISNUMBER(Q629),ISNUMBER(N629),Q629&lt;N629),"Berangkat sebelum laycan",IF(NOT(ISNUMBER(AE629)),"S belum ada","OK"))))))</f>
        <v/>
      </c>
    </row>
    <row r="630" customFormat="false" ht="15" hidden="false" customHeight="false" outlineLevel="0" collapsed="false">
      <c r="A630" s="16" t="str">
        <f aca="false">IF(B630="","",ROW()-4)</f>
        <v/>
      </c>
      <c r="B630" s="12"/>
      <c r="C630" s="16"/>
      <c r="D630" s="16"/>
      <c r="E630" s="16"/>
      <c r="F630" s="16"/>
      <c r="G630" s="16"/>
      <c r="H630" s="16"/>
      <c r="I630" s="16"/>
      <c r="J630" s="16"/>
      <c r="K630" s="16"/>
      <c r="L630" s="13"/>
      <c r="M630" s="13"/>
      <c r="N630" s="13"/>
      <c r="O630" s="13"/>
      <c r="P630" s="13"/>
      <c r="Q630" s="13"/>
      <c r="R630" s="13"/>
      <c r="S630" s="13"/>
      <c r="T630" s="13"/>
      <c r="U630" s="12"/>
      <c r="V630" s="14"/>
      <c r="W630" s="16"/>
      <c r="X630" s="16"/>
      <c r="Y630" s="16"/>
      <c r="Z630" s="16"/>
      <c r="AA630" s="15" t="str">
        <f aca="false">IF(AND(ISNUMBER(L630),ISNUMBER(M630)),M630-L630,"")</f>
        <v/>
      </c>
      <c r="AB630" s="15" t="str">
        <f aca="false">IF(AND(ISNUMBER(M630),ISNUMBER(P630)),P630-M630,"")</f>
        <v/>
      </c>
      <c r="AC630" s="15" t="str">
        <f aca="false">IF(AND(ISNUMBER(L630),ISNUMBER(P630)),P630-L630,"")</f>
        <v/>
      </c>
      <c r="AD630" s="15" t="str">
        <f aca="false">IF(AND(ISNUMBER(P630),ISNUMBER(Q630)),Q630-P630,"")</f>
        <v/>
      </c>
      <c r="AE630" s="15" t="str">
        <f aca="false">IF(AND(ISNUMBER(Q630),ISNUMBER(R630)),R630-Q630,IF(ISNUMBER(Y630),Y630,""))</f>
        <v/>
      </c>
      <c r="AF630" s="15" t="str">
        <f aca="false">IF(AND(ISNUMBER(R630),ISNUMBER(S630)),S630-R630,"")</f>
        <v/>
      </c>
      <c r="AG630" s="15" t="str">
        <f aca="false">IF(AND(ISNUMBER(S630),ISNUMBER(T630)),T630-S630,"")</f>
        <v/>
      </c>
      <c r="AH630" s="15" t="str">
        <f aca="false">IF(AND(ISNUMBER(L630),ISNUMBER(T630)),T630-L630,"")</f>
        <v/>
      </c>
      <c r="AI630" s="15" t="str">
        <f aca="false">IF(AND(ISNUMBER(O630),ISNUMBER(Q630)),Q630-O630,"")</f>
        <v/>
      </c>
      <c r="AJ630" s="15" t="str">
        <f aca="false">IF(B630="","",COUNT(L630:M630,P630:T630)&amp;"/7")</f>
        <v/>
      </c>
      <c r="AK630" s="15" t="str">
        <f aca="false">IF(B630="","",IF(OR(AND(ISNUMBER(L630),ISNUMBER(M630),M630&lt;L630),AND(ISNUMBER(M630),ISNUMBER(P630),P630&lt;M630),AND(ISNUMBER(P630),ISNUMBER(Q630),Q630&lt;P630),AND(ISNUMBER(Q630),ISNUMBER(R630),R630&lt;Q630),AND(ISNUMBER(R630),ISNUMBER(S630),S630&lt;R630),AND(ISNUMBER(S630),ISNUMBER(T630),T630&lt;S630),AND(ISNUMBER(N630),ISNUMBER(O630),O630&lt;N630)),"Urutan tanggal salah",IF(AND(ISNUMBER(Q630),ISNUMBER(R630),ISNUMBER(Y630),ABS(R630-Q630-Y630)&gt;2),"S tanggal ≠ Sailing tercatat",IF(AND(ISNUMBER(Q630),ISNUMBER(O630),ABS(Q630-O630)&gt;60),"Cek tahun laycan",IF(AND(ISNUMBER(Q630),ISNUMBER(N630),Q630&lt;N630),"Berangkat sebelum laycan",IF(NOT(ISNUMBER(AE630)),"S belum ada","OK"))))))</f>
        <v/>
      </c>
    </row>
    <row r="631" customFormat="false" ht="15" hidden="false" customHeight="false" outlineLevel="0" collapsed="false">
      <c r="A631" s="16" t="str">
        <f aca="false">IF(B631="","",ROW()-4)</f>
        <v/>
      </c>
      <c r="B631" s="12"/>
      <c r="C631" s="16"/>
      <c r="D631" s="16"/>
      <c r="E631" s="16"/>
      <c r="F631" s="16"/>
      <c r="G631" s="16"/>
      <c r="H631" s="16"/>
      <c r="I631" s="16"/>
      <c r="J631" s="16"/>
      <c r="K631" s="16"/>
      <c r="L631" s="13"/>
      <c r="M631" s="13"/>
      <c r="N631" s="13"/>
      <c r="O631" s="13"/>
      <c r="P631" s="13"/>
      <c r="Q631" s="13"/>
      <c r="R631" s="13"/>
      <c r="S631" s="13"/>
      <c r="T631" s="13"/>
      <c r="U631" s="12"/>
      <c r="V631" s="14"/>
      <c r="W631" s="16"/>
      <c r="X631" s="16"/>
      <c r="Y631" s="16"/>
      <c r="Z631" s="16"/>
      <c r="AA631" s="15" t="str">
        <f aca="false">IF(AND(ISNUMBER(L631),ISNUMBER(M631)),M631-L631,"")</f>
        <v/>
      </c>
      <c r="AB631" s="15" t="str">
        <f aca="false">IF(AND(ISNUMBER(M631),ISNUMBER(P631)),P631-M631,"")</f>
        <v/>
      </c>
      <c r="AC631" s="15" t="str">
        <f aca="false">IF(AND(ISNUMBER(L631),ISNUMBER(P631)),P631-L631,"")</f>
        <v/>
      </c>
      <c r="AD631" s="15" t="str">
        <f aca="false">IF(AND(ISNUMBER(P631),ISNUMBER(Q631)),Q631-P631,"")</f>
        <v/>
      </c>
      <c r="AE631" s="15" t="str">
        <f aca="false">IF(AND(ISNUMBER(Q631),ISNUMBER(R631)),R631-Q631,IF(ISNUMBER(Y631),Y631,""))</f>
        <v/>
      </c>
      <c r="AF631" s="15" t="str">
        <f aca="false">IF(AND(ISNUMBER(R631),ISNUMBER(S631)),S631-R631,"")</f>
        <v/>
      </c>
      <c r="AG631" s="15" t="str">
        <f aca="false">IF(AND(ISNUMBER(S631),ISNUMBER(T631)),T631-S631,"")</f>
        <v/>
      </c>
      <c r="AH631" s="15" t="str">
        <f aca="false">IF(AND(ISNUMBER(L631),ISNUMBER(T631)),T631-L631,"")</f>
        <v/>
      </c>
      <c r="AI631" s="15" t="str">
        <f aca="false">IF(AND(ISNUMBER(O631),ISNUMBER(Q631)),Q631-O631,"")</f>
        <v/>
      </c>
      <c r="AJ631" s="15" t="str">
        <f aca="false">IF(B631="","",COUNT(L631:M631,P631:T631)&amp;"/7")</f>
        <v/>
      </c>
      <c r="AK631" s="15" t="str">
        <f aca="false">IF(B631="","",IF(OR(AND(ISNUMBER(L631),ISNUMBER(M631),M631&lt;L631),AND(ISNUMBER(M631),ISNUMBER(P631),P631&lt;M631),AND(ISNUMBER(P631),ISNUMBER(Q631),Q631&lt;P631),AND(ISNUMBER(Q631),ISNUMBER(R631),R631&lt;Q631),AND(ISNUMBER(R631),ISNUMBER(S631),S631&lt;R631),AND(ISNUMBER(S631),ISNUMBER(T631),T631&lt;S631),AND(ISNUMBER(N631),ISNUMBER(O631),O631&lt;N631)),"Urutan tanggal salah",IF(AND(ISNUMBER(Q631),ISNUMBER(R631),ISNUMBER(Y631),ABS(R631-Q631-Y631)&gt;2),"S tanggal ≠ Sailing tercatat",IF(AND(ISNUMBER(Q631),ISNUMBER(O631),ABS(Q631-O631)&gt;60),"Cek tahun laycan",IF(AND(ISNUMBER(Q631),ISNUMBER(N631),Q631&lt;N631),"Berangkat sebelum laycan",IF(NOT(ISNUMBER(AE631)),"S belum ada","OK"))))))</f>
        <v/>
      </c>
    </row>
    <row r="632" customFormat="false" ht="15" hidden="false" customHeight="false" outlineLevel="0" collapsed="false">
      <c r="A632" s="16" t="str">
        <f aca="false">IF(B632="","",ROW()-4)</f>
        <v/>
      </c>
      <c r="B632" s="12"/>
      <c r="C632" s="16"/>
      <c r="D632" s="16"/>
      <c r="E632" s="16"/>
      <c r="F632" s="16"/>
      <c r="G632" s="16"/>
      <c r="H632" s="16"/>
      <c r="I632" s="16"/>
      <c r="J632" s="16"/>
      <c r="K632" s="16"/>
      <c r="L632" s="13"/>
      <c r="M632" s="13"/>
      <c r="N632" s="13"/>
      <c r="O632" s="13"/>
      <c r="P632" s="13"/>
      <c r="Q632" s="13"/>
      <c r="R632" s="13"/>
      <c r="S632" s="13"/>
      <c r="T632" s="13"/>
      <c r="U632" s="12"/>
      <c r="V632" s="14"/>
      <c r="W632" s="16"/>
      <c r="X632" s="16"/>
      <c r="Y632" s="16"/>
      <c r="Z632" s="16"/>
      <c r="AA632" s="15" t="str">
        <f aca="false">IF(AND(ISNUMBER(L632),ISNUMBER(M632)),M632-L632,"")</f>
        <v/>
      </c>
      <c r="AB632" s="15" t="str">
        <f aca="false">IF(AND(ISNUMBER(M632),ISNUMBER(P632)),P632-M632,"")</f>
        <v/>
      </c>
      <c r="AC632" s="15" t="str">
        <f aca="false">IF(AND(ISNUMBER(L632),ISNUMBER(P632)),P632-L632,"")</f>
        <v/>
      </c>
      <c r="AD632" s="15" t="str">
        <f aca="false">IF(AND(ISNUMBER(P632),ISNUMBER(Q632)),Q632-P632,"")</f>
        <v/>
      </c>
      <c r="AE632" s="15" t="str">
        <f aca="false">IF(AND(ISNUMBER(Q632),ISNUMBER(R632)),R632-Q632,IF(ISNUMBER(Y632),Y632,""))</f>
        <v/>
      </c>
      <c r="AF632" s="15" t="str">
        <f aca="false">IF(AND(ISNUMBER(R632),ISNUMBER(S632)),S632-R632,"")</f>
        <v/>
      </c>
      <c r="AG632" s="15" t="str">
        <f aca="false">IF(AND(ISNUMBER(S632),ISNUMBER(T632)),T632-S632,"")</f>
        <v/>
      </c>
      <c r="AH632" s="15" t="str">
        <f aca="false">IF(AND(ISNUMBER(L632),ISNUMBER(T632)),T632-L632,"")</f>
        <v/>
      </c>
      <c r="AI632" s="15" t="str">
        <f aca="false">IF(AND(ISNUMBER(O632),ISNUMBER(Q632)),Q632-O632,"")</f>
        <v/>
      </c>
      <c r="AJ632" s="15" t="str">
        <f aca="false">IF(B632="","",COUNT(L632:M632,P632:T632)&amp;"/7")</f>
        <v/>
      </c>
      <c r="AK632" s="15" t="str">
        <f aca="false">IF(B632="","",IF(OR(AND(ISNUMBER(L632),ISNUMBER(M632),M632&lt;L632),AND(ISNUMBER(M632),ISNUMBER(P632),P632&lt;M632),AND(ISNUMBER(P632),ISNUMBER(Q632),Q632&lt;P632),AND(ISNUMBER(Q632),ISNUMBER(R632),R632&lt;Q632),AND(ISNUMBER(R632),ISNUMBER(S632),S632&lt;R632),AND(ISNUMBER(S632),ISNUMBER(T632),T632&lt;S632),AND(ISNUMBER(N632),ISNUMBER(O632),O632&lt;N632)),"Urutan tanggal salah",IF(AND(ISNUMBER(Q632),ISNUMBER(R632),ISNUMBER(Y632),ABS(R632-Q632-Y632)&gt;2),"S tanggal ≠ Sailing tercatat",IF(AND(ISNUMBER(Q632),ISNUMBER(O632),ABS(Q632-O632)&gt;60),"Cek tahun laycan",IF(AND(ISNUMBER(Q632),ISNUMBER(N632),Q632&lt;N632),"Berangkat sebelum laycan",IF(NOT(ISNUMBER(AE632)),"S belum ada","OK"))))))</f>
        <v/>
      </c>
    </row>
    <row r="633" customFormat="false" ht="15" hidden="false" customHeight="false" outlineLevel="0" collapsed="false">
      <c r="A633" s="16" t="str">
        <f aca="false">IF(B633="","",ROW()-4)</f>
        <v/>
      </c>
      <c r="B633" s="12"/>
      <c r="C633" s="16"/>
      <c r="D633" s="16"/>
      <c r="E633" s="16"/>
      <c r="F633" s="16"/>
      <c r="G633" s="16"/>
      <c r="H633" s="16"/>
      <c r="I633" s="16"/>
      <c r="J633" s="16"/>
      <c r="K633" s="16"/>
      <c r="L633" s="13"/>
      <c r="M633" s="13"/>
      <c r="N633" s="13"/>
      <c r="O633" s="13"/>
      <c r="P633" s="13"/>
      <c r="Q633" s="13"/>
      <c r="R633" s="13"/>
      <c r="S633" s="13"/>
      <c r="T633" s="13"/>
      <c r="U633" s="12"/>
      <c r="V633" s="14"/>
      <c r="W633" s="16"/>
      <c r="X633" s="16"/>
      <c r="Y633" s="16"/>
      <c r="Z633" s="16"/>
      <c r="AA633" s="15" t="str">
        <f aca="false">IF(AND(ISNUMBER(L633),ISNUMBER(M633)),M633-L633,"")</f>
        <v/>
      </c>
      <c r="AB633" s="15" t="str">
        <f aca="false">IF(AND(ISNUMBER(M633),ISNUMBER(P633)),P633-M633,"")</f>
        <v/>
      </c>
      <c r="AC633" s="15" t="str">
        <f aca="false">IF(AND(ISNUMBER(L633),ISNUMBER(P633)),P633-L633,"")</f>
        <v/>
      </c>
      <c r="AD633" s="15" t="str">
        <f aca="false">IF(AND(ISNUMBER(P633),ISNUMBER(Q633)),Q633-P633,"")</f>
        <v/>
      </c>
      <c r="AE633" s="15" t="str">
        <f aca="false">IF(AND(ISNUMBER(Q633),ISNUMBER(R633)),R633-Q633,IF(ISNUMBER(Y633),Y633,""))</f>
        <v/>
      </c>
      <c r="AF633" s="15" t="str">
        <f aca="false">IF(AND(ISNUMBER(R633),ISNUMBER(S633)),S633-R633,"")</f>
        <v/>
      </c>
      <c r="AG633" s="15" t="str">
        <f aca="false">IF(AND(ISNUMBER(S633),ISNUMBER(T633)),T633-S633,"")</f>
        <v/>
      </c>
      <c r="AH633" s="15" t="str">
        <f aca="false">IF(AND(ISNUMBER(L633),ISNUMBER(T633)),T633-L633,"")</f>
        <v/>
      </c>
      <c r="AI633" s="15" t="str">
        <f aca="false">IF(AND(ISNUMBER(O633),ISNUMBER(Q633)),Q633-O633,"")</f>
        <v/>
      </c>
      <c r="AJ633" s="15" t="str">
        <f aca="false">IF(B633="","",COUNT(L633:M633,P633:T633)&amp;"/7")</f>
        <v/>
      </c>
      <c r="AK633" s="15" t="str">
        <f aca="false">IF(B633="","",IF(OR(AND(ISNUMBER(L633),ISNUMBER(M633),M633&lt;L633),AND(ISNUMBER(M633),ISNUMBER(P633),P633&lt;M633),AND(ISNUMBER(P633),ISNUMBER(Q633),Q633&lt;P633),AND(ISNUMBER(Q633),ISNUMBER(R633),R633&lt;Q633),AND(ISNUMBER(R633),ISNUMBER(S633),S633&lt;R633),AND(ISNUMBER(S633),ISNUMBER(T633),T633&lt;S633),AND(ISNUMBER(N633),ISNUMBER(O633),O633&lt;N633)),"Urutan tanggal salah",IF(AND(ISNUMBER(Q633),ISNUMBER(R633),ISNUMBER(Y633),ABS(R633-Q633-Y633)&gt;2),"S tanggal ≠ Sailing tercatat",IF(AND(ISNUMBER(Q633),ISNUMBER(O633),ABS(Q633-O633)&gt;60),"Cek tahun laycan",IF(AND(ISNUMBER(Q633),ISNUMBER(N633),Q633&lt;N633),"Berangkat sebelum laycan",IF(NOT(ISNUMBER(AE633)),"S belum ada","OK"))))))</f>
        <v/>
      </c>
    </row>
    <row r="634" customFormat="false" ht="15" hidden="false" customHeight="false" outlineLevel="0" collapsed="false">
      <c r="A634" s="16" t="str">
        <f aca="false">IF(B634="","",ROW()-4)</f>
        <v/>
      </c>
      <c r="B634" s="12"/>
      <c r="C634" s="16"/>
      <c r="D634" s="16"/>
      <c r="E634" s="16"/>
      <c r="F634" s="16"/>
      <c r="G634" s="16"/>
      <c r="H634" s="16"/>
      <c r="I634" s="16"/>
      <c r="J634" s="16"/>
      <c r="K634" s="16"/>
      <c r="L634" s="13"/>
      <c r="M634" s="13"/>
      <c r="N634" s="13"/>
      <c r="O634" s="13"/>
      <c r="P634" s="13"/>
      <c r="Q634" s="13"/>
      <c r="R634" s="13"/>
      <c r="S634" s="13"/>
      <c r="T634" s="13"/>
      <c r="U634" s="12"/>
      <c r="V634" s="14"/>
      <c r="W634" s="16"/>
      <c r="X634" s="16"/>
      <c r="Y634" s="16"/>
      <c r="Z634" s="16"/>
      <c r="AA634" s="15" t="str">
        <f aca="false">IF(AND(ISNUMBER(L634),ISNUMBER(M634)),M634-L634,"")</f>
        <v/>
      </c>
      <c r="AB634" s="15" t="str">
        <f aca="false">IF(AND(ISNUMBER(M634),ISNUMBER(P634)),P634-M634,"")</f>
        <v/>
      </c>
      <c r="AC634" s="15" t="str">
        <f aca="false">IF(AND(ISNUMBER(L634),ISNUMBER(P634)),P634-L634,"")</f>
        <v/>
      </c>
      <c r="AD634" s="15" t="str">
        <f aca="false">IF(AND(ISNUMBER(P634),ISNUMBER(Q634)),Q634-P634,"")</f>
        <v/>
      </c>
      <c r="AE634" s="15" t="str">
        <f aca="false">IF(AND(ISNUMBER(Q634),ISNUMBER(R634)),R634-Q634,IF(ISNUMBER(Y634),Y634,""))</f>
        <v/>
      </c>
      <c r="AF634" s="15" t="str">
        <f aca="false">IF(AND(ISNUMBER(R634),ISNUMBER(S634)),S634-R634,"")</f>
        <v/>
      </c>
      <c r="AG634" s="15" t="str">
        <f aca="false">IF(AND(ISNUMBER(S634),ISNUMBER(T634)),T634-S634,"")</f>
        <v/>
      </c>
      <c r="AH634" s="15" t="str">
        <f aca="false">IF(AND(ISNUMBER(L634),ISNUMBER(T634)),T634-L634,"")</f>
        <v/>
      </c>
      <c r="AI634" s="15" t="str">
        <f aca="false">IF(AND(ISNUMBER(O634),ISNUMBER(Q634)),Q634-O634,"")</f>
        <v/>
      </c>
      <c r="AJ634" s="15" t="str">
        <f aca="false">IF(B634="","",COUNT(L634:M634,P634:T634)&amp;"/7")</f>
        <v/>
      </c>
      <c r="AK634" s="15" t="str">
        <f aca="false">IF(B634="","",IF(OR(AND(ISNUMBER(L634),ISNUMBER(M634),M634&lt;L634),AND(ISNUMBER(M634),ISNUMBER(P634),P634&lt;M634),AND(ISNUMBER(P634),ISNUMBER(Q634),Q634&lt;P634),AND(ISNUMBER(Q634),ISNUMBER(R634),R634&lt;Q634),AND(ISNUMBER(R634),ISNUMBER(S634),S634&lt;R634),AND(ISNUMBER(S634),ISNUMBER(T634),T634&lt;S634),AND(ISNUMBER(N634),ISNUMBER(O634),O634&lt;N634)),"Urutan tanggal salah",IF(AND(ISNUMBER(Q634),ISNUMBER(R634),ISNUMBER(Y634),ABS(R634-Q634-Y634)&gt;2),"S tanggal ≠ Sailing tercatat",IF(AND(ISNUMBER(Q634),ISNUMBER(O634),ABS(Q634-O634)&gt;60),"Cek tahun laycan",IF(AND(ISNUMBER(Q634),ISNUMBER(N634),Q634&lt;N634),"Berangkat sebelum laycan",IF(NOT(ISNUMBER(AE634)),"S belum ada","OK"))))))</f>
        <v/>
      </c>
    </row>
    <row r="635" customFormat="false" ht="15" hidden="false" customHeight="false" outlineLevel="0" collapsed="false">
      <c r="A635" s="16" t="str">
        <f aca="false">IF(B635="","",ROW()-4)</f>
        <v/>
      </c>
      <c r="B635" s="12"/>
      <c r="C635" s="16"/>
      <c r="D635" s="16"/>
      <c r="E635" s="16"/>
      <c r="F635" s="16"/>
      <c r="G635" s="16"/>
      <c r="H635" s="16"/>
      <c r="I635" s="16"/>
      <c r="J635" s="16"/>
      <c r="K635" s="16"/>
      <c r="L635" s="13"/>
      <c r="M635" s="13"/>
      <c r="N635" s="13"/>
      <c r="O635" s="13"/>
      <c r="P635" s="13"/>
      <c r="Q635" s="13"/>
      <c r="R635" s="13"/>
      <c r="S635" s="13"/>
      <c r="T635" s="13"/>
      <c r="U635" s="12"/>
      <c r="V635" s="14"/>
      <c r="W635" s="16"/>
      <c r="X635" s="16"/>
      <c r="Y635" s="16"/>
      <c r="Z635" s="16"/>
      <c r="AA635" s="15" t="str">
        <f aca="false">IF(AND(ISNUMBER(L635),ISNUMBER(M635)),M635-L635,"")</f>
        <v/>
      </c>
      <c r="AB635" s="15" t="str">
        <f aca="false">IF(AND(ISNUMBER(M635),ISNUMBER(P635)),P635-M635,"")</f>
        <v/>
      </c>
      <c r="AC635" s="15" t="str">
        <f aca="false">IF(AND(ISNUMBER(L635),ISNUMBER(P635)),P635-L635,"")</f>
        <v/>
      </c>
      <c r="AD635" s="15" t="str">
        <f aca="false">IF(AND(ISNUMBER(P635),ISNUMBER(Q635)),Q635-P635,"")</f>
        <v/>
      </c>
      <c r="AE635" s="15" t="str">
        <f aca="false">IF(AND(ISNUMBER(Q635),ISNUMBER(R635)),R635-Q635,IF(ISNUMBER(Y635),Y635,""))</f>
        <v/>
      </c>
      <c r="AF635" s="15" t="str">
        <f aca="false">IF(AND(ISNUMBER(R635),ISNUMBER(S635)),S635-R635,"")</f>
        <v/>
      </c>
      <c r="AG635" s="15" t="str">
        <f aca="false">IF(AND(ISNUMBER(S635),ISNUMBER(T635)),T635-S635,"")</f>
        <v/>
      </c>
      <c r="AH635" s="15" t="str">
        <f aca="false">IF(AND(ISNUMBER(L635),ISNUMBER(T635)),T635-L635,"")</f>
        <v/>
      </c>
      <c r="AI635" s="15" t="str">
        <f aca="false">IF(AND(ISNUMBER(O635),ISNUMBER(Q635)),Q635-O635,"")</f>
        <v/>
      </c>
      <c r="AJ635" s="15" t="str">
        <f aca="false">IF(B635="","",COUNT(L635:M635,P635:T635)&amp;"/7")</f>
        <v/>
      </c>
      <c r="AK635" s="15" t="str">
        <f aca="false">IF(B635="","",IF(OR(AND(ISNUMBER(L635),ISNUMBER(M635),M635&lt;L635),AND(ISNUMBER(M635),ISNUMBER(P635),P635&lt;M635),AND(ISNUMBER(P635),ISNUMBER(Q635),Q635&lt;P635),AND(ISNUMBER(Q635),ISNUMBER(R635),R635&lt;Q635),AND(ISNUMBER(R635),ISNUMBER(S635),S635&lt;R635),AND(ISNUMBER(S635),ISNUMBER(T635),T635&lt;S635),AND(ISNUMBER(N635),ISNUMBER(O635),O635&lt;N635)),"Urutan tanggal salah",IF(AND(ISNUMBER(Q635),ISNUMBER(R635),ISNUMBER(Y635),ABS(R635-Q635-Y635)&gt;2),"S tanggal ≠ Sailing tercatat",IF(AND(ISNUMBER(Q635),ISNUMBER(O635),ABS(Q635-O635)&gt;60),"Cek tahun laycan",IF(AND(ISNUMBER(Q635),ISNUMBER(N635),Q635&lt;N635),"Berangkat sebelum laycan",IF(NOT(ISNUMBER(AE635)),"S belum ada","OK"))))))</f>
        <v/>
      </c>
    </row>
    <row r="636" customFormat="false" ht="15" hidden="false" customHeight="false" outlineLevel="0" collapsed="false">
      <c r="A636" s="16" t="str">
        <f aca="false">IF(B636="","",ROW()-4)</f>
        <v/>
      </c>
      <c r="B636" s="12"/>
      <c r="C636" s="16"/>
      <c r="D636" s="16"/>
      <c r="E636" s="16"/>
      <c r="F636" s="16"/>
      <c r="G636" s="16"/>
      <c r="H636" s="16"/>
      <c r="I636" s="16"/>
      <c r="J636" s="16"/>
      <c r="K636" s="16"/>
      <c r="L636" s="13"/>
      <c r="M636" s="13"/>
      <c r="N636" s="13"/>
      <c r="O636" s="13"/>
      <c r="P636" s="13"/>
      <c r="Q636" s="13"/>
      <c r="R636" s="13"/>
      <c r="S636" s="13"/>
      <c r="T636" s="13"/>
      <c r="U636" s="12"/>
      <c r="V636" s="14"/>
      <c r="W636" s="16"/>
      <c r="X636" s="16"/>
      <c r="Y636" s="16"/>
      <c r="Z636" s="16"/>
      <c r="AA636" s="15" t="str">
        <f aca="false">IF(AND(ISNUMBER(L636),ISNUMBER(M636)),M636-L636,"")</f>
        <v/>
      </c>
      <c r="AB636" s="15" t="str">
        <f aca="false">IF(AND(ISNUMBER(M636),ISNUMBER(P636)),P636-M636,"")</f>
        <v/>
      </c>
      <c r="AC636" s="15" t="str">
        <f aca="false">IF(AND(ISNUMBER(L636),ISNUMBER(P636)),P636-L636,"")</f>
        <v/>
      </c>
      <c r="AD636" s="15" t="str">
        <f aca="false">IF(AND(ISNUMBER(P636),ISNUMBER(Q636)),Q636-P636,"")</f>
        <v/>
      </c>
      <c r="AE636" s="15" t="str">
        <f aca="false">IF(AND(ISNUMBER(Q636),ISNUMBER(R636)),R636-Q636,IF(ISNUMBER(Y636),Y636,""))</f>
        <v/>
      </c>
      <c r="AF636" s="15" t="str">
        <f aca="false">IF(AND(ISNUMBER(R636),ISNUMBER(S636)),S636-R636,"")</f>
        <v/>
      </c>
      <c r="AG636" s="15" t="str">
        <f aca="false">IF(AND(ISNUMBER(S636),ISNUMBER(T636)),T636-S636,"")</f>
        <v/>
      </c>
      <c r="AH636" s="15" t="str">
        <f aca="false">IF(AND(ISNUMBER(L636),ISNUMBER(T636)),T636-L636,"")</f>
        <v/>
      </c>
      <c r="AI636" s="15" t="str">
        <f aca="false">IF(AND(ISNUMBER(O636),ISNUMBER(Q636)),Q636-O636,"")</f>
        <v/>
      </c>
      <c r="AJ636" s="15" t="str">
        <f aca="false">IF(B636="","",COUNT(L636:M636,P636:T636)&amp;"/7")</f>
        <v/>
      </c>
      <c r="AK636" s="15" t="str">
        <f aca="false">IF(B636="","",IF(OR(AND(ISNUMBER(L636),ISNUMBER(M636),M636&lt;L636),AND(ISNUMBER(M636),ISNUMBER(P636),P636&lt;M636),AND(ISNUMBER(P636),ISNUMBER(Q636),Q636&lt;P636),AND(ISNUMBER(Q636),ISNUMBER(R636),R636&lt;Q636),AND(ISNUMBER(R636),ISNUMBER(S636),S636&lt;R636),AND(ISNUMBER(S636),ISNUMBER(T636),T636&lt;S636),AND(ISNUMBER(N636),ISNUMBER(O636),O636&lt;N636)),"Urutan tanggal salah",IF(AND(ISNUMBER(Q636),ISNUMBER(R636),ISNUMBER(Y636),ABS(R636-Q636-Y636)&gt;2),"S tanggal ≠ Sailing tercatat",IF(AND(ISNUMBER(Q636),ISNUMBER(O636),ABS(Q636-O636)&gt;60),"Cek tahun laycan",IF(AND(ISNUMBER(Q636),ISNUMBER(N636),Q636&lt;N636),"Berangkat sebelum laycan",IF(NOT(ISNUMBER(AE636)),"S belum ada","OK"))))))</f>
        <v/>
      </c>
    </row>
    <row r="637" customFormat="false" ht="15" hidden="false" customHeight="false" outlineLevel="0" collapsed="false">
      <c r="A637" s="16" t="str">
        <f aca="false">IF(B637="","",ROW()-4)</f>
        <v/>
      </c>
      <c r="B637" s="12"/>
      <c r="C637" s="16"/>
      <c r="D637" s="16"/>
      <c r="E637" s="16"/>
      <c r="F637" s="16"/>
      <c r="G637" s="16"/>
      <c r="H637" s="16"/>
      <c r="I637" s="16"/>
      <c r="J637" s="16"/>
      <c r="K637" s="16"/>
      <c r="L637" s="13"/>
      <c r="M637" s="13"/>
      <c r="N637" s="13"/>
      <c r="O637" s="13"/>
      <c r="P637" s="13"/>
      <c r="Q637" s="13"/>
      <c r="R637" s="13"/>
      <c r="S637" s="13"/>
      <c r="T637" s="13"/>
      <c r="U637" s="12"/>
      <c r="V637" s="14"/>
      <c r="W637" s="16"/>
      <c r="X637" s="16"/>
      <c r="Y637" s="16"/>
      <c r="Z637" s="16"/>
      <c r="AA637" s="15" t="str">
        <f aca="false">IF(AND(ISNUMBER(L637),ISNUMBER(M637)),M637-L637,"")</f>
        <v/>
      </c>
      <c r="AB637" s="15" t="str">
        <f aca="false">IF(AND(ISNUMBER(M637),ISNUMBER(P637)),P637-M637,"")</f>
        <v/>
      </c>
      <c r="AC637" s="15" t="str">
        <f aca="false">IF(AND(ISNUMBER(L637),ISNUMBER(P637)),P637-L637,"")</f>
        <v/>
      </c>
      <c r="AD637" s="15" t="str">
        <f aca="false">IF(AND(ISNUMBER(P637),ISNUMBER(Q637)),Q637-P637,"")</f>
        <v/>
      </c>
      <c r="AE637" s="15" t="str">
        <f aca="false">IF(AND(ISNUMBER(Q637),ISNUMBER(R637)),R637-Q637,IF(ISNUMBER(Y637),Y637,""))</f>
        <v/>
      </c>
      <c r="AF637" s="15" t="str">
        <f aca="false">IF(AND(ISNUMBER(R637),ISNUMBER(S637)),S637-R637,"")</f>
        <v/>
      </c>
      <c r="AG637" s="15" t="str">
        <f aca="false">IF(AND(ISNUMBER(S637),ISNUMBER(T637)),T637-S637,"")</f>
        <v/>
      </c>
      <c r="AH637" s="15" t="str">
        <f aca="false">IF(AND(ISNUMBER(L637),ISNUMBER(T637)),T637-L637,"")</f>
        <v/>
      </c>
      <c r="AI637" s="15" t="str">
        <f aca="false">IF(AND(ISNUMBER(O637),ISNUMBER(Q637)),Q637-O637,"")</f>
        <v/>
      </c>
      <c r="AJ637" s="15" t="str">
        <f aca="false">IF(B637="","",COUNT(L637:M637,P637:T637)&amp;"/7")</f>
        <v/>
      </c>
      <c r="AK637" s="15" t="str">
        <f aca="false">IF(B637="","",IF(OR(AND(ISNUMBER(L637),ISNUMBER(M637),M637&lt;L637),AND(ISNUMBER(M637),ISNUMBER(P637),P637&lt;M637),AND(ISNUMBER(P637),ISNUMBER(Q637),Q637&lt;P637),AND(ISNUMBER(Q637),ISNUMBER(R637),R637&lt;Q637),AND(ISNUMBER(R637),ISNUMBER(S637),S637&lt;R637),AND(ISNUMBER(S637),ISNUMBER(T637),T637&lt;S637),AND(ISNUMBER(N637),ISNUMBER(O637),O637&lt;N637)),"Urutan tanggal salah",IF(AND(ISNUMBER(Q637),ISNUMBER(R637),ISNUMBER(Y637),ABS(R637-Q637-Y637)&gt;2),"S tanggal ≠ Sailing tercatat",IF(AND(ISNUMBER(Q637),ISNUMBER(O637),ABS(Q637-O637)&gt;60),"Cek tahun laycan",IF(AND(ISNUMBER(Q637),ISNUMBER(N637),Q637&lt;N637),"Berangkat sebelum laycan",IF(NOT(ISNUMBER(AE637)),"S belum ada","OK"))))))</f>
        <v/>
      </c>
    </row>
    <row r="638" customFormat="false" ht="15" hidden="false" customHeight="false" outlineLevel="0" collapsed="false">
      <c r="A638" s="16" t="str">
        <f aca="false">IF(B638="","",ROW()-4)</f>
        <v/>
      </c>
      <c r="B638" s="12"/>
      <c r="C638" s="16"/>
      <c r="D638" s="16"/>
      <c r="E638" s="16"/>
      <c r="F638" s="16"/>
      <c r="G638" s="16"/>
      <c r="H638" s="16"/>
      <c r="I638" s="16"/>
      <c r="J638" s="16"/>
      <c r="K638" s="16"/>
      <c r="L638" s="13"/>
      <c r="M638" s="13"/>
      <c r="N638" s="13"/>
      <c r="O638" s="13"/>
      <c r="P638" s="13"/>
      <c r="Q638" s="13"/>
      <c r="R638" s="13"/>
      <c r="S638" s="13"/>
      <c r="T638" s="13"/>
      <c r="U638" s="12"/>
      <c r="V638" s="14"/>
      <c r="W638" s="16"/>
      <c r="X638" s="16"/>
      <c r="Y638" s="16"/>
      <c r="Z638" s="16"/>
      <c r="AA638" s="15" t="str">
        <f aca="false">IF(AND(ISNUMBER(L638),ISNUMBER(M638)),M638-L638,"")</f>
        <v/>
      </c>
      <c r="AB638" s="15" t="str">
        <f aca="false">IF(AND(ISNUMBER(M638),ISNUMBER(P638)),P638-M638,"")</f>
        <v/>
      </c>
      <c r="AC638" s="15" t="str">
        <f aca="false">IF(AND(ISNUMBER(L638),ISNUMBER(P638)),P638-L638,"")</f>
        <v/>
      </c>
      <c r="AD638" s="15" t="str">
        <f aca="false">IF(AND(ISNUMBER(P638),ISNUMBER(Q638)),Q638-P638,"")</f>
        <v/>
      </c>
      <c r="AE638" s="15" t="str">
        <f aca="false">IF(AND(ISNUMBER(Q638),ISNUMBER(R638)),R638-Q638,IF(ISNUMBER(Y638),Y638,""))</f>
        <v/>
      </c>
      <c r="AF638" s="15" t="str">
        <f aca="false">IF(AND(ISNUMBER(R638),ISNUMBER(S638)),S638-R638,"")</f>
        <v/>
      </c>
      <c r="AG638" s="15" t="str">
        <f aca="false">IF(AND(ISNUMBER(S638),ISNUMBER(T638)),T638-S638,"")</f>
        <v/>
      </c>
      <c r="AH638" s="15" t="str">
        <f aca="false">IF(AND(ISNUMBER(L638),ISNUMBER(T638)),T638-L638,"")</f>
        <v/>
      </c>
      <c r="AI638" s="15" t="str">
        <f aca="false">IF(AND(ISNUMBER(O638),ISNUMBER(Q638)),Q638-O638,"")</f>
        <v/>
      </c>
      <c r="AJ638" s="15" t="str">
        <f aca="false">IF(B638="","",COUNT(L638:M638,P638:T638)&amp;"/7")</f>
        <v/>
      </c>
      <c r="AK638" s="15" t="str">
        <f aca="false">IF(B638="","",IF(OR(AND(ISNUMBER(L638),ISNUMBER(M638),M638&lt;L638),AND(ISNUMBER(M638),ISNUMBER(P638),P638&lt;M638),AND(ISNUMBER(P638),ISNUMBER(Q638),Q638&lt;P638),AND(ISNUMBER(Q638),ISNUMBER(R638),R638&lt;Q638),AND(ISNUMBER(R638),ISNUMBER(S638),S638&lt;R638),AND(ISNUMBER(S638),ISNUMBER(T638),T638&lt;S638),AND(ISNUMBER(N638),ISNUMBER(O638),O638&lt;N638)),"Urutan tanggal salah",IF(AND(ISNUMBER(Q638),ISNUMBER(R638),ISNUMBER(Y638),ABS(R638-Q638-Y638)&gt;2),"S tanggal ≠ Sailing tercatat",IF(AND(ISNUMBER(Q638),ISNUMBER(O638),ABS(Q638-O638)&gt;60),"Cek tahun laycan",IF(AND(ISNUMBER(Q638),ISNUMBER(N638),Q638&lt;N638),"Berangkat sebelum laycan",IF(NOT(ISNUMBER(AE638)),"S belum ada","OK"))))))</f>
        <v/>
      </c>
    </row>
    <row r="639" customFormat="false" ht="15" hidden="false" customHeight="false" outlineLevel="0" collapsed="false">
      <c r="A639" s="16" t="str">
        <f aca="false">IF(B639="","",ROW()-4)</f>
        <v/>
      </c>
      <c r="B639" s="12"/>
      <c r="C639" s="16"/>
      <c r="D639" s="16"/>
      <c r="E639" s="16"/>
      <c r="F639" s="16"/>
      <c r="G639" s="16"/>
      <c r="H639" s="16"/>
      <c r="I639" s="16"/>
      <c r="J639" s="16"/>
      <c r="K639" s="16"/>
      <c r="L639" s="13"/>
      <c r="M639" s="13"/>
      <c r="N639" s="13"/>
      <c r="O639" s="13"/>
      <c r="P639" s="13"/>
      <c r="Q639" s="13"/>
      <c r="R639" s="13"/>
      <c r="S639" s="13"/>
      <c r="T639" s="13"/>
      <c r="U639" s="12"/>
      <c r="V639" s="14"/>
      <c r="W639" s="16"/>
      <c r="X639" s="16"/>
      <c r="Y639" s="16"/>
      <c r="Z639" s="16"/>
      <c r="AA639" s="15" t="str">
        <f aca="false">IF(AND(ISNUMBER(L639),ISNUMBER(M639)),M639-L639,"")</f>
        <v/>
      </c>
      <c r="AB639" s="15" t="str">
        <f aca="false">IF(AND(ISNUMBER(M639),ISNUMBER(P639)),P639-M639,"")</f>
        <v/>
      </c>
      <c r="AC639" s="15" t="str">
        <f aca="false">IF(AND(ISNUMBER(L639),ISNUMBER(P639)),P639-L639,"")</f>
        <v/>
      </c>
      <c r="AD639" s="15" t="str">
        <f aca="false">IF(AND(ISNUMBER(P639),ISNUMBER(Q639)),Q639-P639,"")</f>
        <v/>
      </c>
      <c r="AE639" s="15" t="str">
        <f aca="false">IF(AND(ISNUMBER(Q639),ISNUMBER(R639)),R639-Q639,IF(ISNUMBER(Y639),Y639,""))</f>
        <v/>
      </c>
      <c r="AF639" s="15" t="str">
        <f aca="false">IF(AND(ISNUMBER(R639),ISNUMBER(S639)),S639-R639,"")</f>
        <v/>
      </c>
      <c r="AG639" s="15" t="str">
        <f aca="false">IF(AND(ISNUMBER(S639),ISNUMBER(T639)),T639-S639,"")</f>
        <v/>
      </c>
      <c r="AH639" s="15" t="str">
        <f aca="false">IF(AND(ISNUMBER(L639),ISNUMBER(T639)),T639-L639,"")</f>
        <v/>
      </c>
      <c r="AI639" s="15" t="str">
        <f aca="false">IF(AND(ISNUMBER(O639),ISNUMBER(Q639)),Q639-O639,"")</f>
        <v/>
      </c>
      <c r="AJ639" s="15" t="str">
        <f aca="false">IF(B639="","",COUNT(L639:M639,P639:T639)&amp;"/7")</f>
        <v/>
      </c>
      <c r="AK639" s="15" t="str">
        <f aca="false">IF(B639="","",IF(OR(AND(ISNUMBER(L639),ISNUMBER(M639),M639&lt;L639),AND(ISNUMBER(M639),ISNUMBER(P639),P639&lt;M639),AND(ISNUMBER(P639),ISNUMBER(Q639),Q639&lt;P639),AND(ISNUMBER(Q639),ISNUMBER(R639),R639&lt;Q639),AND(ISNUMBER(R639),ISNUMBER(S639),S639&lt;R639),AND(ISNUMBER(S639),ISNUMBER(T639),T639&lt;S639),AND(ISNUMBER(N639),ISNUMBER(O639),O639&lt;N639)),"Urutan tanggal salah",IF(AND(ISNUMBER(Q639),ISNUMBER(R639),ISNUMBER(Y639),ABS(R639-Q639-Y639)&gt;2),"S tanggal ≠ Sailing tercatat",IF(AND(ISNUMBER(Q639),ISNUMBER(O639),ABS(Q639-O639)&gt;60),"Cek tahun laycan",IF(AND(ISNUMBER(Q639),ISNUMBER(N639),Q639&lt;N639),"Berangkat sebelum laycan",IF(NOT(ISNUMBER(AE639)),"S belum ada","OK"))))))</f>
        <v/>
      </c>
    </row>
    <row r="640" customFormat="false" ht="15" hidden="false" customHeight="false" outlineLevel="0" collapsed="false">
      <c r="A640" s="16" t="str">
        <f aca="false">IF(B640="","",ROW()-4)</f>
        <v/>
      </c>
      <c r="B640" s="12"/>
      <c r="C640" s="16"/>
      <c r="D640" s="16"/>
      <c r="E640" s="16"/>
      <c r="F640" s="16"/>
      <c r="G640" s="16"/>
      <c r="H640" s="16"/>
      <c r="I640" s="16"/>
      <c r="J640" s="16"/>
      <c r="K640" s="16"/>
      <c r="L640" s="13"/>
      <c r="M640" s="13"/>
      <c r="N640" s="13"/>
      <c r="O640" s="13"/>
      <c r="P640" s="13"/>
      <c r="Q640" s="13"/>
      <c r="R640" s="13"/>
      <c r="S640" s="13"/>
      <c r="T640" s="13"/>
      <c r="U640" s="12"/>
      <c r="V640" s="14"/>
      <c r="W640" s="16"/>
      <c r="X640" s="16"/>
      <c r="Y640" s="16"/>
      <c r="Z640" s="16"/>
      <c r="AA640" s="15" t="str">
        <f aca="false">IF(AND(ISNUMBER(L640),ISNUMBER(M640)),M640-L640,"")</f>
        <v/>
      </c>
      <c r="AB640" s="15" t="str">
        <f aca="false">IF(AND(ISNUMBER(M640),ISNUMBER(P640)),P640-M640,"")</f>
        <v/>
      </c>
      <c r="AC640" s="15" t="str">
        <f aca="false">IF(AND(ISNUMBER(L640),ISNUMBER(P640)),P640-L640,"")</f>
        <v/>
      </c>
      <c r="AD640" s="15" t="str">
        <f aca="false">IF(AND(ISNUMBER(P640),ISNUMBER(Q640)),Q640-P640,"")</f>
        <v/>
      </c>
      <c r="AE640" s="15" t="str">
        <f aca="false">IF(AND(ISNUMBER(Q640),ISNUMBER(R640)),R640-Q640,IF(ISNUMBER(Y640),Y640,""))</f>
        <v/>
      </c>
      <c r="AF640" s="15" t="str">
        <f aca="false">IF(AND(ISNUMBER(R640),ISNUMBER(S640)),S640-R640,"")</f>
        <v/>
      </c>
      <c r="AG640" s="15" t="str">
        <f aca="false">IF(AND(ISNUMBER(S640),ISNUMBER(T640)),T640-S640,"")</f>
        <v/>
      </c>
      <c r="AH640" s="15" t="str">
        <f aca="false">IF(AND(ISNUMBER(L640),ISNUMBER(T640)),T640-L640,"")</f>
        <v/>
      </c>
      <c r="AI640" s="15" t="str">
        <f aca="false">IF(AND(ISNUMBER(O640),ISNUMBER(Q640)),Q640-O640,"")</f>
        <v/>
      </c>
      <c r="AJ640" s="15" t="str">
        <f aca="false">IF(B640="","",COUNT(L640:M640,P640:T640)&amp;"/7")</f>
        <v/>
      </c>
      <c r="AK640" s="15" t="str">
        <f aca="false">IF(B640="","",IF(OR(AND(ISNUMBER(L640),ISNUMBER(M640),M640&lt;L640),AND(ISNUMBER(M640),ISNUMBER(P640),P640&lt;M640),AND(ISNUMBER(P640),ISNUMBER(Q640),Q640&lt;P640),AND(ISNUMBER(Q640),ISNUMBER(R640),R640&lt;Q640),AND(ISNUMBER(R640),ISNUMBER(S640),S640&lt;R640),AND(ISNUMBER(S640),ISNUMBER(T640),T640&lt;S640),AND(ISNUMBER(N640),ISNUMBER(O640),O640&lt;N640)),"Urutan tanggal salah",IF(AND(ISNUMBER(Q640),ISNUMBER(R640),ISNUMBER(Y640),ABS(R640-Q640-Y640)&gt;2),"S tanggal ≠ Sailing tercatat",IF(AND(ISNUMBER(Q640),ISNUMBER(O640),ABS(Q640-O640)&gt;60),"Cek tahun laycan",IF(AND(ISNUMBER(Q640),ISNUMBER(N640),Q640&lt;N640),"Berangkat sebelum laycan",IF(NOT(ISNUMBER(AE640)),"S belum ada","OK"))))))</f>
        <v/>
      </c>
    </row>
    <row r="641" customFormat="false" ht="15" hidden="false" customHeight="false" outlineLevel="0" collapsed="false">
      <c r="A641" s="16" t="str">
        <f aca="false">IF(B641="","",ROW()-4)</f>
        <v/>
      </c>
      <c r="B641" s="12"/>
      <c r="C641" s="16"/>
      <c r="D641" s="16"/>
      <c r="E641" s="16"/>
      <c r="F641" s="16"/>
      <c r="G641" s="16"/>
      <c r="H641" s="16"/>
      <c r="I641" s="16"/>
      <c r="J641" s="16"/>
      <c r="K641" s="16"/>
      <c r="L641" s="13"/>
      <c r="M641" s="13"/>
      <c r="N641" s="13"/>
      <c r="O641" s="13"/>
      <c r="P641" s="13"/>
      <c r="Q641" s="13"/>
      <c r="R641" s="13"/>
      <c r="S641" s="13"/>
      <c r="T641" s="13"/>
      <c r="U641" s="12"/>
      <c r="V641" s="14"/>
      <c r="W641" s="16"/>
      <c r="X641" s="16"/>
      <c r="Y641" s="16"/>
      <c r="Z641" s="16"/>
      <c r="AA641" s="15" t="str">
        <f aca="false">IF(AND(ISNUMBER(L641),ISNUMBER(M641)),M641-L641,"")</f>
        <v/>
      </c>
      <c r="AB641" s="15" t="str">
        <f aca="false">IF(AND(ISNUMBER(M641),ISNUMBER(P641)),P641-M641,"")</f>
        <v/>
      </c>
      <c r="AC641" s="15" t="str">
        <f aca="false">IF(AND(ISNUMBER(L641),ISNUMBER(P641)),P641-L641,"")</f>
        <v/>
      </c>
      <c r="AD641" s="15" t="str">
        <f aca="false">IF(AND(ISNUMBER(P641),ISNUMBER(Q641)),Q641-P641,"")</f>
        <v/>
      </c>
      <c r="AE641" s="15" t="str">
        <f aca="false">IF(AND(ISNUMBER(Q641),ISNUMBER(R641)),R641-Q641,IF(ISNUMBER(Y641),Y641,""))</f>
        <v/>
      </c>
      <c r="AF641" s="15" t="str">
        <f aca="false">IF(AND(ISNUMBER(R641),ISNUMBER(S641)),S641-R641,"")</f>
        <v/>
      </c>
      <c r="AG641" s="15" t="str">
        <f aca="false">IF(AND(ISNUMBER(S641),ISNUMBER(T641)),T641-S641,"")</f>
        <v/>
      </c>
      <c r="AH641" s="15" t="str">
        <f aca="false">IF(AND(ISNUMBER(L641),ISNUMBER(T641)),T641-L641,"")</f>
        <v/>
      </c>
      <c r="AI641" s="15" t="str">
        <f aca="false">IF(AND(ISNUMBER(O641),ISNUMBER(Q641)),Q641-O641,"")</f>
        <v/>
      </c>
      <c r="AJ641" s="15" t="str">
        <f aca="false">IF(B641="","",COUNT(L641:M641,P641:T641)&amp;"/7")</f>
        <v/>
      </c>
      <c r="AK641" s="15" t="str">
        <f aca="false">IF(B641="","",IF(OR(AND(ISNUMBER(L641),ISNUMBER(M641),M641&lt;L641),AND(ISNUMBER(M641),ISNUMBER(P641),P641&lt;M641),AND(ISNUMBER(P641),ISNUMBER(Q641),Q641&lt;P641),AND(ISNUMBER(Q641),ISNUMBER(R641),R641&lt;Q641),AND(ISNUMBER(R641),ISNUMBER(S641),S641&lt;R641),AND(ISNUMBER(S641),ISNUMBER(T641),T641&lt;S641),AND(ISNUMBER(N641),ISNUMBER(O641),O641&lt;N641)),"Urutan tanggal salah",IF(AND(ISNUMBER(Q641),ISNUMBER(R641),ISNUMBER(Y641),ABS(R641-Q641-Y641)&gt;2),"S tanggal ≠ Sailing tercatat",IF(AND(ISNUMBER(Q641),ISNUMBER(O641),ABS(Q641-O641)&gt;60),"Cek tahun laycan",IF(AND(ISNUMBER(Q641),ISNUMBER(N641),Q641&lt;N641),"Berangkat sebelum laycan",IF(NOT(ISNUMBER(AE641)),"S belum ada","OK"))))))</f>
        <v/>
      </c>
    </row>
    <row r="642" customFormat="false" ht="15" hidden="false" customHeight="false" outlineLevel="0" collapsed="false">
      <c r="A642" s="16" t="str">
        <f aca="false">IF(B642="","",ROW()-4)</f>
        <v/>
      </c>
      <c r="B642" s="12"/>
      <c r="C642" s="16"/>
      <c r="D642" s="16"/>
      <c r="E642" s="16"/>
      <c r="F642" s="16"/>
      <c r="G642" s="16"/>
      <c r="H642" s="16"/>
      <c r="I642" s="16"/>
      <c r="J642" s="16"/>
      <c r="K642" s="16"/>
      <c r="L642" s="13"/>
      <c r="M642" s="13"/>
      <c r="N642" s="13"/>
      <c r="O642" s="13"/>
      <c r="P642" s="13"/>
      <c r="Q642" s="13"/>
      <c r="R642" s="13"/>
      <c r="S642" s="13"/>
      <c r="T642" s="13"/>
      <c r="U642" s="12"/>
      <c r="V642" s="14"/>
      <c r="W642" s="16"/>
      <c r="X642" s="16"/>
      <c r="Y642" s="16"/>
      <c r="Z642" s="16"/>
      <c r="AA642" s="15" t="str">
        <f aca="false">IF(AND(ISNUMBER(L642),ISNUMBER(M642)),M642-L642,"")</f>
        <v/>
      </c>
      <c r="AB642" s="15" t="str">
        <f aca="false">IF(AND(ISNUMBER(M642),ISNUMBER(P642)),P642-M642,"")</f>
        <v/>
      </c>
      <c r="AC642" s="15" t="str">
        <f aca="false">IF(AND(ISNUMBER(L642),ISNUMBER(P642)),P642-L642,"")</f>
        <v/>
      </c>
      <c r="AD642" s="15" t="str">
        <f aca="false">IF(AND(ISNUMBER(P642),ISNUMBER(Q642)),Q642-P642,"")</f>
        <v/>
      </c>
      <c r="AE642" s="15" t="str">
        <f aca="false">IF(AND(ISNUMBER(Q642),ISNUMBER(R642)),R642-Q642,IF(ISNUMBER(Y642),Y642,""))</f>
        <v/>
      </c>
      <c r="AF642" s="15" t="str">
        <f aca="false">IF(AND(ISNUMBER(R642),ISNUMBER(S642)),S642-R642,"")</f>
        <v/>
      </c>
      <c r="AG642" s="15" t="str">
        <f aca="false">IF(AND(ISNUMBER(S642),ISNUMBER(T642)),T642-S642,"")</f>
        <v/>
      </c>
      <c r="AH642" s="15" t="str">
        <f aca="false">IF(AND(ISNUMBER(L642),ISNUMBER(T642)),T642-L642,"")</f>
        <v/>
      </c>
      <c r="AI642" s="15" t="str">
        <f aca="false">IF(AND(ISNUMBER(O642),ISNUMBER(Q642)),Q642-O642,"")</f>
        <v/>
      </c>
      <c r="AJ642" s="15" t="str">
        <f aca="false">IF(B642="","",COUNT(L642:M642,P642:T642)&amp;"/7")</f>
        <v/>
      </c>
      <c r="AK642" s="15" t="str">
        <f aca="false">IF(B642="","",IF(OR(AND(ISNUMBER(L642),ISNUMBER(M642),M642&lt;L642),AND(ISNUMBER(M642),ISNUMBER(P642),P642&lt;M642),AND(ISNUMBER(P642),ISNUMBER(Q642),Q642&lt;P642),AND(ISNUMBER(Q642),ISNUMBER(R642),R642&lt;Q642),AND(ISNUMBER(R642),ISNUMBER(S642),S642&lt;R642),AND(ISNUMBER(S642),ISNUMBER(T642),T642&lt;S642),AND(ISNUMBER(N642),ISNUMBER(O642),O642&lt;N642)),"Urutan tanggal salah",IF(AND(ISNUMBER(Q642),ISNUMBER(R642),ISNUMBER(Y642),ABS(R642-Q642-Y642)&gt;2),"S tanggal ≠ Sailing tercatat",IF(AND(ISNUMBER(Q642),ISNUMBER(O642),ABS(Q642-O642)&gt;60),"Cek tahun laycan",IF(AND(ISNUMBER(Q642),ISNUMBER(N642),Q642&lt;N642),"Berangkat sebelum laycan",IF(NOT(ISNUMBER(AE642)),"S belum ada","OK"))))))</f>
        <v/>
      </c>
    </row>
    <row r="643" customFormat="false" ht="15" hidden="false" customHeight="false" outlineLevel="0" collapsed="false">
      <c r="A643" s="16" t="str">
        <f aca="false">IF(B643="","",ROW()-4)</f>
        <v/>
      </c>
      <c r="B643" s="12"/>
      <c r="C643" s="16"/>
      <c r="D643" s="16"/>
      <c r="E643" s="16"/>
      <c r="F643" s="16"/>
      <c r="G643" s="16"/>
      <c r="H643" s="16"/>
      <c r="I643" s="16"/>
      <c r="J643" s="16"/>
      <c r="K643" s="16"/>
      <c r="L643" s="13"/>
      <c r="M643" s="13"/>
      <c r="N643" s="13"/>
      <c r="O643" s="13"/>
      <c r="P643" s="13"/>
      <c r="Q643" s="13"/>
      <c r="R643" s="13"/>
      <c r="S643" s="13"/>
      <c r="T643" s="13"/>
      <c r="U643" s="12"/>
      <c r="V643" s="14"/>
      <c r="W643" s="16"/>
      <c r="X643" s="16"/>
      <c r="Y643" s="16"/>
      <c r="Z643" s="16"/>
      <c r="AA643" s="15" t="str">
        <f aca="false">IF(AND(ISNUMBER(L643),ISNUMBER(M643)),M643-L643,"")</f>
        <v/>
      </c>
      <c r="AB643" s="15" t="str">
        <f aca="false">IF(AND(ISNUMBER(M643),ISNUMBER(P643)),P643-M643,"")</f>
        <v/>
      </c>
      <c r="AC643" s="15" t="str">
        <f aca="false">IF(AND(ISNUMBER(L643),ISNUMBER(P643)),P643-L643,"")</f>
        <v/>
      </c>
      <c r="AD643" s="15" t="str">
        <f aca="false">IF(AND(ISNUMBER(P643),ISNUMBER(Q643)),Q643-P643,"")</f>
        <v/>
      </c>
      <c r="AE643" s="15" t="str">
        <f aca="false">IF(AND(ISNUMBER(Q643),ISNUMBER(R643)),R643-Q643,IF(ISNUMBER(Y643),Y643,""))</f>
        <v/>
      </c>
      <c r="AF643" s="15" t="str">
        <f aca="false">IF(AND(ISNUMBER(R643),ISNUMBER(S643)),S643-R643,"")</f>
        <v/>
      </c>
      <c r="AG643" s="15" t="str">
        <f aca="false">IF(AND(ISNUMBER(S643),ISNUMBER(T643)),T643-S643,"")</f>
        <v/>
      </c>
      <c r="AH643" s="15" t="str">
        <f aca="false">IF(AND(ISNUMBER(L643),ISNUMBER(T643)),T643-L643,"")</f>
        <v/>
      </c>
      <c r="AI643" s="15" t="str">
        <f aca="false">IF(AND(ISNUMBER(O643),ISNUMBER(Q643)),Q643-O643,"")</f>
        <v/>
      </c>
      <c r="AJ643" s="15" t="str">
        <f aca="false">IF(B643="","",COUNT(L643:M643,P643:T643)&amp;"/7")</f>
        <v/>
      </c>
      <c r="AK643" s="15" t="str">
        <f aca="false">IF(B643="","",IF(OR(AND(ISNUMBER(L643),ISNUMBER(M643),M643&lt;L643),AND(ISNUMBER(M643),ISNUMBER(P643),P643&lt;M643),AND(ISNUMBER(P643),ISNUMBER(Q643),Q643&lt;P643),AND(ISNUMBER(Q643),ISNUMBER(R643),R643&lt;Q643),AND(ISNUMBER(R643),ISNUMBER(S643),S643&lt;R643),AND(ISNUMBER(S643),ISNUMBER(T643),T643&lt;S643),AND(ISNUMBER(N643),ISNUMBER(O643),O643&lt;N643)),"Urutan tanggal salah",IF(AND(ISNUMBER(Q643),ISNUMBER(R643),ISNUMBER(Y643),ABS(R643-Q643-Y643)&gt;2),"S tanggal ≠ Sailing tercatat",IF(AND(ISNUMBER(Q643),ISNUMBER(O643),ABS(Q643-O643)&gt;60),"Cek tahun laycan",IF(AND(ISNUMBER(Q643),ISNUMBER(N643),Q643&lt;N643),"Berangkat sebelum laycan",IF(NOT(ISNUMBER(AE643)),"S belum ada","OK"))))))</f>
        <v/>
      </c>
    </row>
    <row r="644" customFormat="false" ht="15" hidden="false" customHeight="false" outlineLevel="0" collapsed="false">
      <c r="A644" s="16" t="str">
        <f aca="false">IF(B644="","",ROW()-4)</f>
        <v/>
      </c>
      <c r="B644" s="12"/>
      <c r="C644" s="16"/>
      <c r="D644" s="16"/>
      <c r="E644" s="16"/>
      <c r="F644" s="16"/>
      <c r="G644" s="16"/>
      <c r="H644" s="16"/>
      <c r="I644" s="16"/>
      <c r="J644" s="16"/>
      <c r="K644" s="16"/>
      <c r="L644" s="13"/>
      <c r="M644" s="13"/>
      <c r="N644" s="13"/>
      <c r="O644" s="13"/>
      <c r="P644" s="13"/>
      <c r="Q644" s="13"/>
      <c r="R644" s="13"/>
      <c r="S644" s="13"/>
      <c r="T644" s="13"/>
      <c r="U644" s="12"/>
      <c r="V644" s="14"/>
      <c r="W644" s="16"/>
      <c r="X644" s="16"/>
      <c r="Y644" s="16"/>
      <c r="Z644" s="16"/>
      <c r="AA644" s="15" t="str">
        <f aca="false">IF(AND(ISNUMBER(L644),ISNUMBER(M644)),M644-L644,"")</f>
        <v/>
      </c>
      <c r="AB644" s="15" t="str">
        <f aca="false">IF(AND(ISNUMBER(M644),ISNUMBER(P644)),P644-M644,"")</f>
        <v/>
      </c>
      <c r="AC644" s="15" t="str">
        <f aca="false">IF(AND(ISNUMBER(L644),ISNUMBER(P644)),P644-L644,"")</f>
        <v/>
      </c>
      <c r="AD644" s="15" t="str">
        <f aca="false">IF(AND(ISNUMBER(P644),ISNUMBER(Q644)),Q644-P644,"")</f>
        <v/>
      </c>
      <c r="AE644" s="15" t="str">
        <f aca="false">IF(AND(ISNUMBER(Q644),ISNUMBER(R644)),R644-Q644,IF(ISNUMBER(Y644),Y644,""))</f>
        <v/>
      </c>
      <c r="AF644" s="15" t="str">
        <f aca="false">IF(AND(ISNUMBER(R644),ISNUMBER(S644)),S644-R644,"")</f>
        <v/>
      </c>
      <c r="AG644" s="15" t="str">
        <f aca="false">IF(AND(ISNUMBER(S644),ISNUMBER(T644)),T644-S644,"")</f>
        <v/>
      </c>
      <c r="AH644" s="15" t="str">
        <f aca="false">IF(AND(ISNUMBER(L644),ISNUMBER(T644)),T644-L644,"")</f>
        <v/>
      </c>
      <c r="AI644" s="15" t="str">
        <f aca="false">IF(AND(ISNUMBER(O644),ISNUMBER(Q644)),Q644-O644,"")</f>
        <v/>
      </c>
      <c r="AJ644" s="15" t="str">
        <f aca="false">IF(B644="","",COUNT(L644:M644,P644:T644)&amp;"/7")</f>
        <v/>
      </c>
      <c r="AK644" s="15" t="str">
        <f aca="false">IF(B644="","",IF(OR(AND(ISNUMBER(L644),ISNUMBER(M644),M644&lt;L644),AND(ISNUMBER(M644),ISNUMBER(P644),P644&lt;M644),AND(ISNUMBER(P644),ISNUMBER(Q644),Q644&lt;P644),AND(ISNUMBER(Q644),ISNUMBER(R644),R644&lt;Q644),AND(ISNUMBER(R644),ISNUMBER(S644),S644&lt;R644),AND(ISNUMBER(S644),ISNUMBER(T644),T644&lt;S644),AND(ISNUMBER(N644),ISNUMBER(O644),O644&lt;N644)),"Urutan tanggal salah",IF(AND(ISNUMBER(Q644),ISNUMBER(R644),ISNUMBER(Y644),ABS(R644-Q644-Y644)&gt;2),"S tanggal ≠ Sailing tercatat",IF(AND(ISNUMBER(Q644),ISNUMBER(O644),ABS(Q644-O644)&gt;60),"Cek tahun laycan",IF(AND(ISNUMBER(Q644),ISNUMBER(N644),Q644&lt;N644),"Berangkat sebelum laycan",IF(NOT(ISNUMBER(AE644)),"S belum ada","OK"))))))</f>
        <v/>
      </c>
    </row>
    <row r="645" customFormat="false" ht="15" hidden="false" customHeight="false" outlineLevel="0" collapsed="false">
      <c r="A645" s="16" t="str">
        <f aca="false">IF(B645="","",ROW()-4)</f>
        <v/>
      </c>
      <c r="B645" s="12"/>
      <c r="C645" s="16"/>
      <c r="D645" s="16"/>
      <c r="E645" s="16"/>
      <c r="F645" s="16"/>
      <c r="G645" s="16"/>
      <c r="H645" s="16"/>
      <c r="I645" s="16"/>
      <c r="J645" s="16"/>
      <c r="K645" s="16"/>
      <c r="L645" s="13"/>
      <c r="M645" s="13"/>
      <c r="N645" s="13"/>
      <c r="O645" s="13"/>
      <c r="P645" s="13"/>
      <c r="Q645" s="13"/>
      <c r="R645" s="13"/>
      <c r="S645" s="13"/>
      <c r="T645" s="13"/>
      <c r="U645" s="12"/>
      <c r="V645" s="14"/>
      <c r="W645" s="16"/>
      <c r="X645" s="16"/>
      <c r="Y645" s="16"/>
      <c r="Z645" s="16"/>
      <c r="AA645" s="15" t="str">
        <f aca="false">IF(AND(ISNUMBER(L645),ISNUMBER(M645)),M645-L645,"")</f>
        <v/>
      </c>
      <c r="AB645" s="15" t="str">
        <f aca="false">IF(AND(ISNUMBER(M645),ISNUMBER(P645)),P645-M645,"")</f>
        <v/>
      </c>
      <c r="AC645" s="15" t="str">
        <f aca="false">IF(AND(ISNUMBER(L645),ISNUMBER(P645)),P645-L645,"")</f>
        <v/>
      </c>
      <c r="AD645" s="15" t="str">
        <f aca="false">IF(AND(ISNUMBER(P645),ISNUMBER(Q645)),Q645-P645,"")</f>
        <v/>
      </c>
      <c r="AE645" s="15" t="str">
        <f aca="false">IF(AND(ISNUMBER(Q645),ISNUMBER(R645)),R645-Q645,IF(ISNUMBER(Y645),Y645,""))</f>
        <v/>
      </c>
      <c r="AF645" s="15" t="str">
        <f aca="false">IF(AND(ISNUMBER(R645),ISNUMBER(S645)),S645-R645,"")</f>
        <v/>
      </c>
      <c r="AG645" s="15" t="str">
        <f aca="false">IF(AND(ISNUMBER(S645),ISNUMBER(T645)),T645-S645,"")</f>
        <v/>
      </c>
      <c r="AH645" s="15" t="str">
        <f aca="false">IF(AND(ISNUMBER(L645),ISNUMBER(T645)),T645-L645,"")</f>
        <v/>
      </c>
      <c r="AI645" s="15" t="str">
        <f aca="false">IF(AND(ISNUMBER(O645),ISNUMBER(Q645)),Q645-O645,"")</f>
        <v/>
      </c>
      <c r="AJ645" s="15" t="str">
        <f aca="false">IF(B645="","",COUNT(L645:M645,P645:T645)&amp;"/7")</f>
        <v/>
      </c>
      <c r="AK645" s="15" t="str">
        <f aca="false">IF(B645="","",IF(OR(AND(ISNUMBER(L645),ISNUMBER(M645),M645&lt;L645),AND(ISNUMBER(M645),ISNUMBER(P645),P645&lt;M645),AND(ISNUMBER(P645),ISNUMBER(Q645),Q645&lt;P645),AND(ISNUMBER(Q645),ISNUMBER(R645),R645&lt;Q645),AND(ISNUMBER(R645),ISNUMBER(S645),S645&lt;R645),AND(ISNUMBER(S645),ISNUMBER(T645),T645&lt;S645),AND(ISNUMBER(N645),ISNUMBER(O645),O645&lt;N645)),"Urutan tanggal salah",IF(AND(ISNUMBER(Q645),ISNUMBER(R645),ISNUMBER(Y645),ABS(R645-Q645-Y645)&gt;2),"S tanggal ≠ Sailing tercatat",IF(AND(ISNUMBER(Q645),ISNUMBER(O645),ABS(Q645-O645)&gt;60),"Cek tahun laycan",IF(AND(ISNUMBER(Q645),ISNUMBER(N645),Q645&lt;N645),"Berangkat sebelum laycan",IF(NOT(ISNUMBER(AE645)),"S belum ada","OK"))))))</f>
        <v/>
      </c>
    </row>
    <row r="646" customFormat="false" ht="15" hidden="false" customHeight="false" outlineLevel="0" collapsed="false">
      <c r="A646" s="16" t="str">
        <f aca="false">IF(B646="","",ROW()-4)</f>
        <v/>
      </c>
      <c r="B646" s="12"/>
      <c r="C646" s="16"/>
      <c r="D646" s="16"/>
      <c r="E646" s="16"/>
      <c r="F646" s="16"/>
      <c r="G646" s="16"/>
      <c r="H646" s="16"/>
      <c r="I646" s="16"/>
      <c r="J646" s="16"/>
      <c r="K646" s="16"/>
      <c r="L646" s="13"/>
      <c r="M646" s="13"/>
      <c r="N646" s="13"/>
      <c r="O646" s="13"/>
      <c r="P646" s="13"/>
      <c r="Q646" s="13"/>
      <c r="R646" s="13"/>
      <c r="S646" s="13"/>
      <c r="T646" s="13"/>
      <c r="U646" s="12"/>
      <c r="V646" s="14"/>
      <c r="W646" s="16"/>
      <c r="X646" s="16"/>
      <c r="Y646" s="16"/>
      <c r="Z646" s="16"/>
      <c r="AA646" s="15" t="str">
        <f aca="false">IF(AND(ISNUMBER(L646),ISNUMBER(M646)),M646-L646,"")</f>
        <v/>
      </c>
      <c r="AB646" s="15" t="str">
        <f aca="false">IF(AND(ISNUMBER(M646),ISNUMBER(P646)),P646-M646,"")</f>
        <v/>
      </c>
      <c r="AC646" s="15" t="str">
        <f aca="false">IF(AND(ISNUMBER(L646),ISNUMBER(P646)),P646-L646,"")</f>
        <v/>
      </c>
      <c r="AD646" s="15" t="str">
        <f aca="false">IF(AND(ISNUMBER(P646),ISNUMBER(Q646)),Q646-P646,"")</f>
        <v/>
      </c>
      <c r="AE646" s="15" t="str">
        <f aca="false">IF(AND(ISNUMBER(Q646),ISNUMBER(R646)),R646-Q646,IF(ISNUMBER(Y646),Y646,""))</f>
        <v/>
      </c>
      <c r="AF646" s="15" t="str">
        <f aca="false">IF(AND(ISNUMBER(R646),ISNUMBER(S646)),S646-R646,"")</f>
        <v/>
      </c>
      <c r="AG646" s="15" t="str">
        <f aca="false">IF(AND(ISNUMBER(S646),ISNUMBER(T646)),T646-S646,"")</f>
        <v/>
      </c>
      <c r="AH646" s="15" t="str">
        <f aca="false">IF(AND(ISNUMBER(L646),ISNUMBER(T646)),T646-L646,"")</f>
        <v/>
      </c>
      <c r="AI646" s="15" t="str">
        <f aca="false">IF(AND(ISNUMBER(O646),ISNUMBER(Q646)),Q646-O646,"")</f>
        <v/>
      </c>
      <c r="AJ646" s="15" t="str">
        <f aca="false">IF(B646="","",COUNT(L646:M646,P646:T646)&amp;"/7")</f>
        <v/>
      </c>
      <c r="AK646" s="15" t="str">
        <f aca="false">IF(B646="","",IF(OR(AND(ISNUMBER(L646),ISNUMBER(M646),M646&lt;L646),AND(ISNUMBER(M646),ISNUMBER(P646),P646&lt;M646),AND(ISNUMBER(P646),ISNUMBER(Q646),Q646&lt;P646),AND(ISNUMBER(Q646),ISNUMBER(R646),R646&lt;Q646),AND(ISNUMBER(R646),ISNUMBER(S646),S646&lt;R646),AND(ISNUMBER(S646),ISNUMBER(T646),T646&lt;S646),AND(ISNUMBER(N646),ISNUMBER(O646),O646&lt;N646)),"Urutan tanggal salah",IF(AND(ISNUMBER(Q646),ISNUMBER(R646),ISNUMBER(Y646),ABS(R646-Q646-Y646)&gt;2),"S tanggal ≠ Sailing tercatat",IF(AND(ISNUMBER(Q646),ISNUMBER(O646),ABS(Q646-O646)&gt;60),"Cek tahun laycan",IF(AND(ISNUMBER(Q646),ISNUMBER(N646),Q646&lt;N646),"Berangkat sebelum laycan",IF(NOT(ISNUMBER(AE646)),"S belum ada","OK"))))))</f>
        <v/>
      </c>
    </row>
    <row r="647" customFormat="false" ht="15" hidden="false" customHeight="false" outlineLevel="0" collapsed="false">
      <c r="A647" s="16" t="str">
        <f aca="false">IF(B647="","",ROW()-4)</f>
        <v/>
      </c>
      <c r="B647" s="12"/>
      <c r="C647" s="16"/>
      <c r="D647" s="16"/>
      <c r="E647" s="16"/>
      <c r="F647" s="16"/>
      <c r="G647" s="16"/>
      <c r="H647" s="16"/>
      <c r="I647" s="16"/>
      <c r="J647" s="16"/>
      <c r="K647" s="16"/>
      <c r="L647" s="13"/>
      <c r="M647" s="13"/>
      <c r="N647" s="13"/>
      <c r="O647" s="13"/>
      <c r="P647" s="13"/>
      <c r="Q647" s="13"/>
      <c r="R647" s="13"/>
      <c r="S647" s="13"/>
      <c r="T647" s="13"/>
      <c r="U647" s="12"/>
      <c r="V647" s="14"/>
      <c r="W647" s="16"/>
      <c r="X647" s="16"/>
      <c r="Y647" s="16"/>
      <c r="Z647" s="16"/>
      <c r="AA647" s="15" t="str">
        <f aca="false">IF(AND(ISNUMBER(L647),ISNUMBER(M647)),M647-L647,"")</f>
        <v/>
      </c>
      <c r="AB647" s="15" t="str">
        <f aca="false">IF(AND(ISNUMBER(M647),ISNUMBER(P647)),P647-M647,"")</f>
        <v/>
      </c>
      <c r="AC647" s="15" t="str">
        <f aca="false">IF(AND(ISNUMBER(L647),ISNUMBER(P647)),P647-L647,"")</f>
        <v/>
      </c>
      <c r="AD647" s="15" t="str">
        <f aca="false">IF(AND(ISNUMBER(P647),ISNUMBER(Q647)),Q647-P647,"")</f>
        <v/>
      </c>
      <c r="AE647" s="15" t="str">
        <f aca="false">IF(AND(ISNUMBER(Q647),ISNUMBER(R647)),R647-Q647,IF(ISNUMBER(Y647),Y647,""))</f>
        <v/>
      </c>
      <c r="AF647" s="15" t="str">
        <f aca="false">IF(AND(ISNUMBER(R647),ISNUMBER(S647)),S647-R647,"")</f>
        <v/>
      </c>
      <c r="AG647" s="15" t="str">
        <f aca="false">IF(AND(ISNUMBER(S647),ISNUMBER(T647)),T647-S647,"")</f>
        <v/>
      </c>
      <c r="AH647" s="15" t="str">
        <f aca="false">IF(AND(ISNUMBER(L647),ISNUMBER(T647)),T647-L647,"")</f>
        <v/>
      </c>
      <c r="AI647" s="15" t="str">
        <f aca="false">IF(AND(ISNUMBER(O647),ISNUMBER(Q647)),Q647-O647,"")</f>
        <v/>
      </c>
      <c r="AJ647" s="15" t="str">
        <f aca="false">IF(B647="","",COUNT(L647:M647,P647:T647)&amp;"/7")</f>
        <v/>
      </c>
      <c r="AK647" s="15" t="str">
        <f aca="false">IF(B647="","",IF(OR(AND(ISNUMBER(L647),ISNUMBER(M647),M647&lt;L647),AND(ISNUMBER(M647),ISNUMBER(P647),P647&lt;M647),AND(ISNUMBER(P647),ISNUMBER(Q647),Q647&lt;P647),AND(ISNUMBER(Q647),ISNUMBER(R647),R647&lt;Q647),AND(ISNUMBER(R647),ISNUMBER(S647),S647&lt;R647),AND(ISNUMBER(S647),ISNUMBER(T647),T647&lt;S647),AND(ISNUMBER(N647),ISNUMBER(O647),O647&lt;N647)),"Urutan tanggal salah",IF(AND(ISNUMBER(Q647),ISNUMBER(R647),ISNUMBER(Y647),ABS(R647-Q647-Y647)&gt;2),"S tanggal ≠ Sailing tercatat",IF(AND(ISNUMBER(Q647),ISNUMBER(O647),ABS(Q647-O647)&gt;60),"Cek tahun laycan",IF(AND(ISNUMBER(Q647),ISNUMBER(N647),Q647&lt;N647),"Berangkat sebelum laycan",IF(NOT(ISNUMBER(AE647)),"S belum ada","OK"))))))</f>
        <v/>
      </c>
    </row>
    <row r="648" customFormat="false" ht="15" hidden="false" customHeight="false" outlineLevel="0" collapsed="false">
      <c r="A648" s="16" t="str">
        <f aca="false">IF(B648="","",ROW()-4)</f>
        <v/>
      </c>
      <c r="B648" s="12"/>
      <c r="C648" s="16"/>
      <c r="D648" s="16"/>
      <c r="E648" s="16"/>
      <c r="F648" s="16"/>
      <c r="G648" s="16"/>
      <c r="H648" s="16"/>
      <c r="I648" s="16"/>
      <c r="J648" s="16"/>
      <c r="K648" s="16"/>
      <c r="L648" s="13"/>
      <c r="M648" s="13"/>
      <c r="N648" s="13"/>
      <c r="O648" s="13"/>
      <c r="P648" s="13"/>
      <c r="Q648" s="13"/>
      <c r="R648" s="13"/>
      <c r="S648" s="13"/>
      <c r="T648" s="13"/>
      <c r="U648" s="12"/>
      <c r="V648" s="14"/>
      <c r="W648" s="16"/>
      <c r="X648" s="16"/>
      <c r="Y648" s="16"/>
      <c r="Z648" s="16"/>
      <c r="AA648" s="15" t="str">
        <f aca="false">IF(AND(ISNUMBER(L648),ISNUMBER(M648)),M648-L648,"")</f>
        <v/>
      </c>
      <c r="AB648" s="15" t="str">
        <f aca="false">IF(AND(ISNUMBER(M648),ISNUMBER(P648)),P648-M648,"")</f>
        <v/>
      </c>
      <c r="AC648" s="15" t="str">
        <f aca="false">IF(AND(ISNUMBER(L648),ISNUMBER(P648)),P648-L648,"")</f>
        <v/>
      </c>
      <c r="AD648" s="15" t="str">
        <f aca="false">IF(AND(ISNUMBER(P648),ISNUMBER(Q648)),Q648-P648,"")</f>
        <v/>
      </c>
      <c r="AE648" s="15" t="str">
        <f aca="false">IF(AND(ISNUMBER(Q648),ISNUMBER(R648)),R648-Q648,IF(ISNUMBER(Y648),Y648,""))</f>
        <v/>
      </c>
      <c r="AF648" s="15" t="str">
        <f aca="false">IF(AND(ISNUMBER(R648),ISNUMBER(S648)),S648-R648,"")</f>
        <v/>
      </c>
      <c r="AG648" s="15" t="str">
        <f aca="false">IF(AND(ISNUMBER(S648),ISNUMBER(T648)),T648-S648,"")</f>
        <v/>
      </c>
      <c r="AH648" s="15" t="str">
        <f aca="false">IF(AND(ISNUMBER(L648),ISNUMBER(T648)),T648-L648,"")</f>
        <v/>
      </c>
      <c r="AI648" s="15" t="str">
        <f aca="false">IF(AND(ISNUMBER(O648),ISNUMBER(Q648)),Q648-O648,"")</f>
        <v/>
      </c>
      <c r="AJ648" s="15" t="str">
        <f aca="false">IF(B648="","",COUNT(L648:M648,P648:T648)&amp;"/7")</f>
        <v/>
      </c>
      <c r="AK648" s="15" t="str">
        <f aca="false">IF(B648="","",IF(OR(AND(ISNUMBER(L648),ISNUMBER(M648),M648&lt;L648),AND(ISNUMBER(M648),ISNUMBER(P648),P648&lt;M648),AND(ISNUMBER(P648),ISNUMBER(Q648),Q648&lt;P648),AND(ISNUMBER(Q648),ISNUMBER(R648),R648&lt;Q648),AND(ISNUMBER(R648),ISNUMBER(S648),S648&lt;R648),AND(ISNUMBER(S648),ISNUMBER(T648),T648&lt;S648),AND(ISNUMBER(N648),ISNUMBER(O648),O648&lt;N648)),"Urutan tanggal salah",IF(AND(ISNUMBER(Q648),ISNUMBER(R648),ISNUMBER(Y648),ABS(R648-Q648-Y648)&gt;2),"S tanggal ≠ Sailing tercatat",IF(AND(ISNUMBER(Q648),ISNUMBER(O648),ABS(Q648-O648)&gt;60),"Cek tahun laycan",IF(AND(ISNUMBER(Q648),ISNUMBER(N648),Q648&lt;N648),"Berangkat sebelum laycan",IF(NOT(ISNUMBER(AE648)),"S belum ada","OK"))))))</f>
        <v/>
      </c>
    </row>
    <row r="649" customFormat="false" ht="15" hidden="false" customHeight="false" outlineLevel="0" collapsed="false">
      <c r="A649" s="16" t="str">
        <f aca="false">IF(B649="","",ROW()-4)</f>
        <v/>
      </c>
      <c r="B649" s="12"/>
      <c r="C649" s="16"/>
      <c r="D649" s="16"/>
      <c r="E649" s="16"/>
      <c r="F649" s="16"/>
      <c r="G649" s="16"/>
      <c r="H649" s="16"/>
      <c r="I649" s="16"/>
      <c r="J649" s="16"/>
      <c r="K649" s="16"/>
      <c r="L649" s="13"/>
      <c r="M649" s="13"/>
      <c r="N649" s="13"/>
      <c r="O649" s="13"/>
      <c r="P649" s="13"/>
      <c r="Q649" s="13"/>
      <c r="R649" s="13"/>
      <c r="S649" s="13"/>
      <c r="T649" s="13"/>
      <c r="U649" s="12"/>
      <c r="V649" s="14"/>
      <c r="W649" s="16"/>
      <c r="X649" s="16"/>
      <c r="Y649" s="16"/>
      <c r="Z649" s="16"/>
      <c r="AA649" s="15" t="str">
        <f aca="false">IF(AND(ISNUMBER(L649),ISNUMBER(M649)),M649-L649,"")</f>
        <v/>
      </c>
      <c r="AB649" s="15" t="str">
        <f aca="false">IF(AND(ISNUMBER(M649),ISNUMBER(P649)),P649-M649,"")</f>
        <v/>
      </c>
      <c r="AC649" s="15" t="str">
        <f aca="false">IF(AND(ISNUMBER(L649),ISNUMBER(P649)),P649-L649,"")</f>
        <v/>
      </c>
      <c r="AD649" s="15" t="str">
        <f aca="false">IF(AND(ISNUMBER(P649),ISNUMBER(Q649)),Q649-P649,"")</f>
        <v/>
      </c>
      <c r="AE649" s="15" t="str">
        <f aca="false">IF(AND(ISNUMBER(Q649),ISNUMBER(R649)),R649-Q649,IF(ISNUMBER(Y649),Y649,""))</f>
        <v/>
      </c>
      <c r="AF649" s="15" t="str">
        <f aca="false">IF(AND(ISNUMBER(R649),ISNUMBER(S649)),S649-R649,"")</f>
        <v/>
      </c>
      <c r="AG649" s="15" t="str">
        <f aca="false">IF(AND(ISNUMBER(S649),ISNUMBER(T649)),T649-S649,"")</f>
        <v/>
      </c>
      <c r="AH649" s="15" t="str">
        <f aca="false">IF(AND(ISNUMBER(L649),ISNUMBER(T649)),T649-L649,"")</f>
        <v/>
      </c>
      <c r="AI649" s="15" t="str">
        <f aca="false">IF(AND(ISNUMBER(O649),ISNUMBER(Q649)),Q649-O649,"")</f>
        <v/>
      </c>
      <c r="AJ649" s="15" t="str">
        <f aca="false">IF(B649="","",COUNT(L649:M649,P649:T649)&amp;"/7")</f>
        <v/>
      </c>
      <c r="AK649" s="15" t="str">
        <f aca="false">IF(B649="","",IF(OR(AND(ISNUMBER(L649),ISNUMBER(M649),M649&lt;L649),AND(ISNUMBER(M649),ISNUMBER(P649),P649&lt;M649),AND(ISNUMBER(P649),ISNUMBER(Q649),Q649&lt;P649),AND(ISNUMBER(Q649),ISNUMBER(R649),R649&lt;Q649),AND(ISNUMBER(R649),ISNUMBER(S649),S649&lt;R649),AND(ISNUMBER(S649),ISNUMBER(T649),T649&lt;S649),AND(ISNUMBER(N649),ISNUMBER(O649),O649&lt;N649)),"Urutan tanggal salah",IF(AND(ISNUMBER(Q649),ISNUMBER(R649),ISNUMBER(Y649),ABS(R649-Q649-Y649)&gt;2),"S tanggal ≠ Sailing tercatat",IF(AND(ISNUMBER(Q649),ISNUMBER(O649),ABS(Q649-O649)&gt;60),"Cek tahun laycan",IF(AND(ISNUMBER(Q649),ISNUMBER(N649),Q649&lt;N649),"Berangkat sebelum laycan",IF(NOT(ISNUMBER(AE649)),"S belum ada","OK"))))))</f>
        <v/>
      </c>
    </row>
    <row r="650" customFormat="false" ht="15" hidden="false" customHeight="false" outlineLevel="0" collapsed="false">
      <c r="A650" s="16" t="str">
        <f aca="false">IF(B650="","",ROW()-4)</f>
        <v/>
      </c>
      <c r="B650" s="12"/>
      <c r="C650" s="16"/>
      <c r="D650" s="16"/>
      <c r="E650" s="16"/>
      <c r="F650" s="16"/>
      <c r="G650" s="16"/>
      <c r="H650" s="16"/>
      <c r="I650" s="16"/>
      <c r="J650" s="16"/>
      <c r="K650" s="16"/>
      <c r="L650" s="13"/>
      <c r="M650" s="13"/>
      <c r="N650" s="13"/>
      <c r="O650" s="13"/>
      <c r="P650" s="13"/>
      <c r="Q650" s="13"/>
      <c r="R650" s="13"/>
      <c r="S650" s="13"/>
      <c r="T650" s="13"/>
      <c r="U650" s="12"/>
      <c r="V650" s="14"/>
      <c r="W650" s="16"/>
      <c r="X650" s="16"/>
      <c r="Y650" s="16"/>
      <c r="Z650" s="16"/>
      <c r="AA650" s="15" t="str">
        <f aca="false">IF(AND(ISNUMBER(L650),ISNUMBER(M650)),M650-L650,"")</f>
        <v/>
      </c>
      <c r="AB650" s="15" t="str">
        <f aca="false">IF(AND(ISNUMBER(M650),ISNUMBER(P650)),P650-M650,"")</f>
        <v/>
      </c>
      <c r="AC650" s="15" t="str">
        <f aca="false">IF(AND(ISNUMBER(L650),ISNUMBER(P650)),P650-L650,"")</f>
        <v/>
      </c>
      <c r="AD650" s="15" t="str">
        <f aca="false">IF(AND(ISNUMBER(P650),ISNUMBER(Q650)),Q650-P650,"")</f>
        <v/>
      </c>
      <c r="AE650" s="15" t="str">
        <f aca="false">IF(AND(ISNUMBER(Q650),ISNUMBER(R650)),R650-Q650,IF(ISNUMBER(Y650),Y650,""))</f>
        <v/>
      </c>
      <c r="AF650" s="15" t="str">
        <f aca="false">IF(AND(ISNUMBER(R650),ISNUMBER(S650)),S650-R650,"")</f>
        <v/>
      </c>
      <c r="AG650" s="15" t="str">
        <f aca="false">IF(AND(ISNUMBER(S650),ISNUMBER(T650)),T650-S650,"")</f>
        <v/>
      </c>
      <c r="AH650" s="15" t="str">
        <f aca="false">IF(AND(ISNUMBER(L650),ISNUMBER(T650)),T650-L650,"")</f>
        <v/>
      </c>
      <c r="AI650" s="15" t="str">
        <f aca="false">IF(AND(ISNUMBER(O650),ISNUMBER(Q650)),Q650-O650,"")</f>
        <v/>
      </c>
      <c r="AJ650" s="15" t="str">
        <f aca="false">IF(B650="","",COUNT(L650:M650,P650:T650)&amp;"/7")</f>
        <v/>
      </c>
      <c r="AK650" s="15" t="str">
        <f aca="false">IF(B650="","",IF(OR(AND(ISNUMBER(L650),ISNUMBER(M650),M650&lt;L650),AND(ISNUMBER(M650),ISNUMBER(P650),P650&lt;M650),AND(ISNUMBER(P650),ISNUMBER(Q650),Q650&lt;P650),AND(ISNUMBER(Q650),ISNUMBER(R650),R650&lt;Q650),AND(ISNUMBER(R650),ISNUMBER(S650),S650&lt;R650),AND(ISNUMBER(S650),ISNUMBER(T650),T650&lt;S650),AND(ISNUMBER(N650),ISNUMBER(O650),O650&lt;N650)),"Urutan tanggal salah",IF(AND(ISNUMBER(Q650),ISNUMBER(R650),ISNUMBER(Y650),ABS(R650-Q650-Y650)&gt;2),"S tanggal ≠ Sailing tercatat",IF(AND(ISNUMBER(Q650),ISNUMBER(O650),ABS(Q650-O650)&gt;60),"Cek tahun laycan",IF(AND(ISNUMBER(Q650),ISNUMBER(N650),Q650&lt;N650),"Berangkat sebelum laycan",IF(NOT(ISNUMBER(AE650)),"S belum ada","OK"))))))</f>
        <v/>
      </c>
    </row>
    <row r="651" customFormat="false" ht="15" hidden="false" customHeight="false" outlineLevel="0" collapsed="false">
      <c r="A651" s="16" t="str">
        <f aca="false">IF(B651="","",ROW()-4)</f>
        <v/>
      </c>
      <c r="B651" s="12"/>
      <c r="C651" s="16"/>
      <c r="D651" s="16"/>
      <c r="E651" s="16"/>
      <c r="F651" s="16"/>
      <c r="G651" s="16"/>
      <c r="H651" s="16"/>
      <c r="I651" s="16"/>
      <c r="J651" s="16"/>
      <c r="K651" s="16"/>
      <c r="L651" s="13"/>
      <c r="M651" s="13"/>
      <c r="N651" s="13"/>
      <c r="O651" s="13"/>
      <c r="P651" s="13"/>
      <c r="Q651" s="13"/>
      <c r="R651" s="13"/>
      <c r="S651" s="13"/>
      <c r="T651" s="13"/>
      <c r="U651" s="12"/>
      <c r="V651" s="14"/>
      <c r="W651" s="16"/>
      <c r="X651" s="16"/>
      <c r="Y651" s="16"/>
      <c r="Z651" s="16"/>
      <c r="AA651" s="15" t="str">
        <f aca="false">IF(AND(ISNUMBER(L651),ISNUMBER(M651)),M651-L651,"")</f>
        <v/>
      </c>
      <c r="AB651" s="15" t="str">
        <f aca="false">IF(AND(ISNUMBER(M651),ISNUMBER(P651)),P651-M651,"")</f>
        <v/>
      </c>
      <c r="AC651" s="15" t="str">
        <f aca="false">IF(AND(ISNUMBER(L651),ISNUMBER(P651)),P651-L651,"")</f>
        <v/>
      </c>
      <c r="AD651" s="15" t="str">
        <f aca="false">IF(AND(ISNUMBER(P651),ISNUMBER(Q651)),Q651-P651,"")</f>
        <v/>
      </c>
      <c r="AE651" s="15" t="str">
        <f aca="false">IF(AND(ISNUMBER(Q651),ISNUMBER(R651)),R651-Q651,IF(ISNUMBER(Y651),Y651,""))</f>
        <v/>
      </c>
      <c r="AF651" s="15" t="str">
        <f aca="false">IF(AND(ISNUMBER(R651),ISNUMBER(S651)),S651-R651,"")</f>
        <v/>
      </c>
      <c r="AG651" s="15" t="str">
        <f aca="false">IF(AND(ISNUMBER(S651),ISNUMBER(T651)),T651-S651,"")</f>
        <v/>
      </c>
      <c r="AH651" s="15" t="str">
        <f aca="false">IF(AND(ISNUMBER(L651),ISNUMBER(T651)),T651-L651,"")</f>
        <v/>
      </c>
      <c r="AI651" s="15" t="str">
        <f aca="false">IF(AND(ISNUMBER(O651),ISNUMBER(Q651)),Q651-O651,"")</f>
        <v/>
      </c>
      <c r="AJ651" s="15" t="str">
        <f aca="false">IF(B651="","",COUNT(L651:M651,P651:T651)&amp;"/7")</f>
        <v/>
      </c>
      <c r="AK651" s="15" t="str">
        <f aca="false">IF(B651="","",IF(OR(AND(ISNUMBER(L651),ISNUMBER(M651),M651&lt;L651),AND(ISNUMBER(M651),ISNUMBER(P651),P651&lt;M651),AND(ISNUMBER(P651),ISNUMBER(Q651),Q651&lt;P651),AND(ISNUMBER(Q651),ISNUMBER(R651),R651&lt;Q651),AND(ISNUMBER(R651),ISNUMBER(S651),S651&lt;R651),AND(ISNUMBER(S651),ISNUMBER(T651),T651&lt;S651),AND(ISNUMBER(N651),ISNUMBER(O651),O651&lt;N651)),"Urutan tanggal salah",IF(AND(ISNUMBER(Q651),ISNUMBER(R651),ISNUMBER(Y651),ABS(R651-Q651-Y651)&gt;2),"S tanggal ≠ Sailing tercatat",IF(AND(ISNUMBER(Q651),ISNUMBER(O651),ABS(Q651-O651)&gt;60),"Cek tahun laycan",IF(AND(ISNUMBER(Q651),ISNUMBER(N651),Q651&lt;N651),"Berangkat sebelum laycan",IF(NOT(ISNUMBER(AE651)),"S belum ada","OK"))))))</f>
        <v/>
      </c>
    </row>
    <row r="652" customFormat="false" ht="15" hidden="false" customHeight="false" outlineLevel="0" collapsed="false">
      <c r="A652" s="16" t="str">
        <f aca="false">IF(B652="","",ROW()-4)</f>
        <v/>
      </c>
      <c r="B652" s="12"/>
      <c r="C652" s="16"/>
      <c r="D652" s="16"/>
      <c r="E652" s="16"/>
      <c r="F652" s="16"/>
      <c r="G652" s="16"/>
      <c r="H652" s="16"/>
      <c r="I652" s="16"/>
      <c r="J652" s="16"/>
      <c r="K652" s="16"/>
      <c r="L652" s="13"/>
      <c r="M652" s="13"/>
      <c r="N652" s="13"/>
      <c r="O652" s="13"/>
      <c r="P652" s="13"/>
      <c r="Q652" s="13"/>
      <c r="R652" s="13"/>
      <c r="S652" s="13"/>
      <c r="T652" s="13"/>
      <c r="U652" s="12"/>
      <c r="V652" s="14"/>
      <c r="W652" s="16"/>
      <c r="X652" s="16"/>
      <c r="Y652" s="16"/>
      <c r="Z652" s="16"/>
      <c r="AA652" s="15" t="str">
        <f aca="false">IF(AND(ISNUMBER(L652),ISNUMBER(M652)),M652-L652,"")</f>
        <v/>
      </c>
      <c r="AB652" s="15" t="str">
        <f aca="false">IF(AND(ISNUMBER(M652),ISNUMBER(P652)),P652-M652,"")</f>
        <v/>
      </c>
      <c r="AC652" s="15" t="str">
        <f aca="false">IF(AND(ISNUMBER(L652),ISNUMBER(P652)),P652-L652,"")</f>
        <v/>
      </c>
      <c r="AD652" s="15" t="str">
        <f aca="false">IF(AND(ISNUMBER(P652),ISNUMBER(Q652)),Q652-P652,"")</f>
        <v/>
      </c>
      <c r="AE652" s="15" t="str">
        <f aca="false">IF(AND(ISNUMBER(Q652),ISNUMBER(R652)),R652-Q652,IF(ISNUMBER(Y652),Y652,""))</f>
        <v/>
      </c>
      <c r="AF652" s="15" t="str">
        <f aca="false">IF(AND(ISNUMBER(R652),ISNUMBER(S652)),S652-R652,"")</f>
        <v/>
      </c>
      <c r="AG652" s="15" t="str">
        <f aca="false">IF(AND(ISNUMBER(S652),ISNUMBER(T652)),T652-S652,"")</f>
        <v/>
      </c>
      <c r="AH652" s="15" t="str">
        <f aca="false">IF(AND(ISNUMBER(L652),ISNUMBER(T652)),T652-L652,"")</f>
        <v/>
      </c>
      <c r="AI652" s="15" t="str">
        <f aca="false">IF(AND(ISNUMBER(O652),ISNUMBER(Q652)),Q652-O652,"")</f>
        <v/>
      </c>
      <c r="AJ652" s="15" t="str">
        <f aca="false">IF(B652="","",COUNT(L652:M652,P652:T652)&amp;"/7")</f>
        <v/>
      </c>
      <c r="AK652" s="15" t="str">
        <f aca="false">IF(B652="","",IF(OR(AND(ISNUMBER(L652),ISNUMBER(M652),M652&lt;L652),AND(ISNUMBER(M652),ISNUMBER(P652),P652&lt;M652),AND(ISNUMBER(P652),ISNUMBER(Q652),Q652&lt;P652),AND(ISNUMBER(Q652),ISNUMBER(R652),R652&lt;Q652),AND(ISNUMBER(R652),ISNUMBER(S652),S652&lt;R652),AND(ISNUMBER(S652),ISNUMBER(T652),T652&lt;S652),AND(ISNUMBER(N652),ISNUMBER(O652),O652&lt;N652)),"Urutan tanggal salah",IF(AND(ISNUMBER(Q652),ISNUMBER(R652),ISNUMBER(Y652),ABS(R652-Q652-Y652)&gt;2),"S tanggal ≠ Sailing tercatat",IF(AND(ISNUMBER(Q652),ISNUMBER(O652),ABS(Q652-O652)&gt;60),"Cek tahun laycan",IF(AND(ISNUMBER(Q652),ISNUMBER(N652),Q652&lt;N652),"Berangkat sebelum laycan",IF(NOT(ISNUMBER(AE652)),"S belum ada","OK"))))))</f>
        <v/>
      </c>
    </row>
    <row r="653" customFormat="false" ht="15" hidden="false" customHeight="false" outlineLevel="0" collapsed="false">
      <c r="A653" s="16" t="str">
        <f aca="false">IF(B653="","",ROW()-4)</f>
        <v/>
      </c>
      <c r="B653" s="12"/>
      <c r="C653" s="16"/>
      <c r="D653" s="16"/>
      <c r="E653" s="16"/>
      <c r="F653" s="16"/>
      <c r="G653" s="16"/>
      <c r="H653" s="16"/>
      <c r="I653" s="16"/>
      <c r="J653" s="16"/>
      <c r="K653" s="16"/>
      <c r="L653" s="13"/>
      <c r="M653" s="13"/>
      <c r="N653" s="13"/>
      <c r="O653" s="13"/>
      <c r="P653" s="13"/>
      <c r="Q653" s="13"/>
      <c r="R653" s="13"/>
      <c r="S653" s="13"/>
      <c r="T653" s="13"/>
      <c r="U653" s="12"/>
      <c r="V653" s="14"/>
      <c r="W653" s="16"/>
      <c r="X653" s="16"/>
      <c r="Y653" s="16"/>
      <c r="Z653" s="16"/>
      <c r="AA653" s="15" t="str">
        <f aca="false">IF(AND(ISNUMBER(L653),ISNUMBER(M653)),M653-L653,"")</f>
        <v/>
      </c>
      <c r="AB653" s="15" t="str">
        <f aca="false">IF(AND(ISNUMBER(M653),ISNUMBER(P653)),P653-M653,"")</f>
        <v/>
      </c>
      <c r="AC653" s="15" t="str">
        <f aca="false">IF(AND(ISNUMBER(L653),ISNUMBER(P653)),P653-L653,"")</f>
        <v/>
      </c>
      <c r="AD653" s="15" t="str">
        <f aca="false">IF(AND(ISNUMBER(P653),ISNUMBER(Q653)),Q653-P653,"")</f>
        <v/>
      </c>
      <c r="AE653" s="15" t="str">
        <f aca="false">IF(AND(ISNUMBER(Q653),ISNUMBER(R653)),R653-Q653,IF(ISNUMBER(Y653),Y653,""))</f>
        <v/>
      </c>
      <c r="AF653" s="15" t="str">
        <f aca="false">IF(AND(ISNUMBER(R653),ISNUMBER(S653)),S653-R653,"")</f>
        <v/>
      </c>
      <c r="AG653" s="15" t="str">
        <f aca="false">IF(AND(ISNUMBER(S653),ISNUMBER(T653)),T653-S653,"")</f>
        <v/>
      </c>
      <c r="AH653" s="15" t="str">
        <f aca="false">IF(AND(ISNUMBER(L653),ISNUMBER(T653)),T653-L653,"")</f>
        <v/>
      </c>
      <c r="AI653" s="15" t="str">
        <f aca="false">IF(AND(ISNUMBER(O653),ISNUMBER(Q653)),Q653-O653,"")</f>
        <v/>
      </c>
      <c r="AJ653" s="15" t="str">
        <f aca="false">IF(B653="","",COUNT(L653:M653,P653:T653)&amp;"/7")</f>
        <v/>
      </c>
      <c r="AK653" s="15" t="str">
        <f aca="false">IF(B653="","",IF(OR(AND(ISNUMBER(L653),ISNUMBER(M653),M653&lt;L653),AND(ISNUMBER(M653),ISNUMBER(P653),P653&lt;M653),AND(ISNUMBER(P653),ISNUMBER(Q653),Q653&lt;P653),AND(ISNUMBER(Q653),ISNUMBER(R653),R653&lt;Q653),AND(ISNUMBER(R653),ISNUMBER(S653),S653&lt;R653),AND(ISNUMBER(S653),ISNUMBER(T653),T653&lt;S653),AND(ISNUMBER(N653),ISNUMBER(O653),O653&lt;N653)),"Urutan tanggal salah",IF(AND(ISNUMBER(Q653),ISNUMBER(R653),ISNUMBER(Y653),ABS(R653-Q653-Y653)&gt;2),"S tanggal ≠ Sailing tercatat",IF(AND(ISNUMBER(Q653),ISNUMBER(O653),ABS(Q653-O653)&gt;60),"Cek tahun laycan",IF(AND(ISNUMBER(Q653),ISNUMBER(N653),Q653&lt;N653),"Berangkat sebelum laycan",IF(NOT(ISNUMBER(AE653)),"S belum ada","OK"))))))</f>
        <v/>
      </c>
    </row>
    <row r="654" customFormat="false" ht="15" hidden="false" customHeight="false" outlineLevel="0" collapsed="false">
      <c r="A654" s="16" t="str">
        <f aca="false">IF(B654="","",ROW()-4)</f>
        <v/>
      </c>
      <c r="B654" s="12"/>
      <c r="C654" s="16"/>
      <c r="D654" s="16"/>
      <c r="E654" s="16"/>
      <c r="F654" s="16"/>
      <c r="G654" s="16"/>
      <c r="H654" s="16"/>
      <c r="I654" s="16"/>
      <c r="J654" s="16"/>
      <c r="K654" s="16"/>
      <c r="L654" s="13"/>
      <c r="M654" s="13"/>
      <c r="N654" s="13"/>
      <c r="O654" s="13"/>
      <c r="P654" s="13"/>
      <c r="Q654" s="13"/>
      <c r="R654" s="13"/>
      <c r="S654" s="13"/>
      <c r="T654" s="13"/>
      <c r="U654" s="12"/>
      <c r="V654" s="14"/>
      <c r="W654" s="16"/>
      <c r="X654" s="16"/>
      <c r="Y654" s="16"/>
      <c r="Z654" s="16"/>
      <c r="AA654" s="15" t="str">
        <f aca="false">IF(AND(ISNUMBER(L654),ISNUMBER(M654)),M654-L654,"")</f>
        <v/>
      </c>
      <c r="AB654" s="15" t="str">
        <f aca="false">IF(AND(ISNUMBER(M654),ISNUMBER(P654)),P654-M654,"")</f>
        <v/>
      </c>
      <c r="AC654" s="15" t="str">
        <f aca="false">IF(AND(ISNUMBER(L654),ISNUMBER(P654)),P654-L654,"")</f>
        <v/>
      </c>
      <c r="AD654" s="15" t="str">
        <f aca="false">IF(AND(ISNUMBER(P654),ISNUMBER(Q654)),Q654-P654,"")</f>
        <v/>
      </c>
      <c r="AE654" s="15" t="str">
        <f aca="false">IF(AND(ISNUMBER(Q654),ISNUMBER(R654)),R654-Q654,IF(ISNUMBER(Y654),Y654,""))</f>
        <v/>
      </c>
      <c r="AF654" s="15" t="str">
        <f aca="false">IF(AND(ISNUMBER(R654),ISNUMBER(S654)),S654-R654,"")</f>
        <v/>
      </c>
      <c r="AG654" s="15" t="str">
        <f aca="false">IF(AND(ISNUMBER(S654),ISNUMBER(T654)),T654-S654,"")</f>
        <v/>
      </c>
      <c r="AH654" s="15" t="str">
        <f aca="false">IF(AND(ISNUMBER(L654),ISNUMBER(T654)),T654-L654,"")</f>
        <v/>
      </c>
      <c r="AI654" s="15" t="str">
        <f aca="false">IF(AND(ISNUMBER(O654),ISNUMBER(Q654)),Q654-O654,"")</f>
        <v/>
      </c>
      <c r="AJ654" s="15" t="str">
        <f aca="false">IF(B654="","",COUNT(L654:M654,P654:T654)&amp;"/7")</f>
        <v/>
      </c>
      <c r="AK654" s="15" t="str">
        <f aca="false">IF(B654="","",IF(OR(AND(ISNUMBER(L654),ISNUMBER(M654),M654&lt;L654),AND(ISNUMBER(M654),ISNUMBER(P654),P654&lt;M654),AND(ISNUMBER(P654),ISNUMBER(Q654),Q654&lt;P654),AND(ISNUMBER(Q654),ISNUMBER(R654),R654&lt;Q654),AND(ISNUMBER(R654),ISNUMBER(S654),S654&lt;R654),AND(ISNUMBER(S654),ISNUMBER(T654),T654&lt;S654),AND(ISNUMBER(N654),ISNUMBER(O654),O654&lt;N654)),"Urutan tanggal salah",IF(AND(ISNUMBER(Q654),ISNUMBER(R654),ISNUMBER(Y654),ABS(R654-Q654-Y654)&gt;2),"S tanggal ≠ Sailing tercatat",IF(AND(ISNUMBER(Q654),ISNUMBER(O654),ABS(Q654-O654)&gt;60),"Cek tahun laycan",IF(AND(ISNUMBER(Q654),ISNUMBER(N654),Q654&lt;N654),"Berangkat sebelum laycan",IF(NOT(ISNUMBER(AE654)),"S belum ada","OK"))))))</f>
        <v/>
      </c>
    </row>
    <row r="655" customFormat="false" ht="15" hidden="false" customHeight="false" outlineLevel="0" collapsed="false">
      <c r="A655" s="16" t="str">
        <f aca="false">IF(B655="","",ROW()-4)</f>
        <v/>
      </c>
      <c r="B655" s="12"/>
      <c r="C655" s="16"/>
      <c r="D655" s="16"/>
      <c r="E655" s="16"/>
      <c r="F655" s="16"/>
      <c r="G655" s="16"/>
      <c r="H655" s="16"/>
      <c r="I655" s="16"/>
      <c r="J655" s="16"/>
      <c r="K655" s="16"/>
      <c r="L655" s="13"/>
      <c r="M655" s="13"/>
      <c r="N655" s="13"/>
      <c r="O655" s="13"/>
      <c r="P655" s="13"/>
      <c r="Q655" s="13"/>
      <c r="R655" s="13"/>
      <c r="S655" s="13"/>
      <c r="T655" s="13"/>
      <c r="U655" s="12"/>
      <c r="V655" s="14"/>
      <c r="W655" s="16"/>
      <c r="X655" s="16"/>
      <c r="Y655" s="16"/>
      <c r="Z655" s="16"/>
      <c r="AA655" s="15" t="str">
        <f aca="false">IF(AND(ISNUMBER(L655),ISNUMBER(M655)),M655-L655,"")</f>
        <v/>
      </c>
      <c r="AB655" s="15" t="str">
        <f aca="false">IF(AND(ISNUMBER(M655),ISNUMBER(P655)),P655-M655,"")</f>
        <v/>
      </c>
      <c r="AC655" s="15" t="str">
        <f aca="false">IF(AND(ISNUMBER(L655),ISNUMBER(P655)),P655-L655,"")</f>
        <v/>
      </c>
      <c r="AD655" s="15" t="str">
        <f aca="false">IF(AND(ISNUMBER(P655),ISNUMBER(Q655)),Q655-P655,"")</f>
        <v/>
      </c>
      <c r="AE655" s="15" t="str">
        <f aca="false">IF(AND(ISNUMBER(Q655),ISNUMBER(R655)),R655-Q655,IF(ISNUMBER(Y655),Y655,""))</f>
        <v/>
      </c>
      <c r="AF655" s="15" t="str">
        <f aca="false">IF(AND(ISNUMBER(R655),ISNUMBER(S655)),S655-R655,"")</f>
        <v/>
      </c>
      <c r="AG655" s="15" t="str">
        <f aca="false">IF(AND(ISNUMBER(S655),ISNUMBER(T655)),T655-S655,"")</f>
        <v/>
      </c>
      <c r="AH655" s="15" t="str">
        <f aca="false">IF(AND(ISNUMBER(L655),ISNUMBER(T655)),T655-L655,"")</f>
        <v/>
      </c>
      <c r="AI655" s="15" t="str">
        <f aca="false">IF(AND(ISNUMBER(O655),ISNUMBER(Q655)),Q655-O655,"")</f>
        <v/>
      </c>
      <c r="AJ655" s="15" t="str">
        <f aca="false">IF(B655="","",COUNT(L655:M655,P655:T655)&amp;"/7")</f>
        <v/>
      </c>
      <c r="AK655" s="15" t="str">
        <f aca="false">IF(B655="","",IF(OR(AND(ISNUMBER(L655),ISNUMBER(M655),M655&lt;L655),AND(ISNUMBER(M655),ISNUMBER(P655),P655&lt;M655),AND(ISNUMBER(P655),ISNUMBER(Q655),Q655&lt;P655),AND(ISNUMBER(Q655),ISNUMBER(R655),R655&lt;Q655),AND(ISNUMBER(R655),ISNUMBER(S655),S655&lt;R655),AND(ISNUMBER(S655),ISNUMBER(T655),T655&lt;S655),AND(ISNUMBER(N655),ISNUMBER(O655),O655&lt;N655)),"Urutan tanggal salah",IF(AND(ISNUMBER(Q655),ISNUMBER(R655),ISNUMBER(Y655),ABS(R655-Q655-Y655)&gt;2),"S tanggal ≠ Sailing tercatat",IF(AND(ISNUMBER(Q655),ISNUMBER(O655),ABS(Q655-O655)&gt;60),"Cek tahun laycan",IF(AND(ISNUMBER(Q655),ISNUMBER(N655),Q655&lt;N655),"Berangkat sebelum laycan",IF(NOT(ISNUMBER(AE655)),"S belum ada","OK"))))))</f>
        <v/>
      </c>
    </row>
    <row r="656" customFormat="false" ht="15" hidden="false" customHeight="false" outlineLevel="0" collapsed="false">
      <c r="A656" s="16" t="str">
        <f aca="false">IF(B656="","",ROW()-4)</f>
        <v/>
      </c>
      <c r="B656" s="12"/>
      <c r="C656" s="16"/>
      <c r="D656" s="16"/>
      <c r="E656" s="16"/>
      <c r="F656" s="16"/>
      <c r="G656" s="16"/>
      <c r="H656" s="16"/>
      <c r="I656" s="16"/>
      <c r="J656" s="16"/>
      <c r="K656" s="16"/>
      <c r="L656" s="13"/>
      <c r="M656" s="13"/>
      <c r="N656" s="13"/>
      <c r="O656" s="13"/>
      <c r="P656" s="13"/>
      <c r="Q656" s="13"/>
      <c r="R656" s="13"/>
      <c r="S656" s="13"/>
      <c r="T656" s="13"/>
      <c r="U656" s="12"/>
      <c r="V656" s="14"/>
      <c r="W656" s="16"/>
      <c r="X656" s="16"/>
      <c r="Y656" s="16"/>
      <c r="Z656" s="16"/>
      <c r="AA656" s="15" t="str">
        <f aca="false">IF(AND(ISNUMBER(L656),ISNUMBER(M656)),M656-L656,"")</f>
        <v/>
      </c>
      <c r="AB656" s="15" t="str">
        <f aca="false">IF(AND(ISNUMBER(M656),ISNUMBER(P656)),P656-M656,"")</f>
        <v/>
      </c>
      <c r="AC656" s="15" t="str">
        <f aca="false">IF(AND(ISNUMBER(L656),ISNUMBER(P656)),P656-L656,"")</f>
        <v/>
      </c>
      <c r="AD656" s="15" t="str">
        <f aca="false">IF(AND(ISNUMBER(P656),ISNUMBER(Q656)),Q656-P656,"")</f>
        <v/>
      </c>
      <c r="AE656" s="15" t="str">
        <f aca="false">IF(AND(ISNUMBER(Q656),ISNUMBER(R656)),R656-Q656,IF(ISNUMBER(Y656),Y656,""))</f>
        <v/>
      </c>
      <c r="AF656" s="15" t="str">
        <f aca="false">IF(AND(ISNUMBER(R656),ISNUMBER(S656)),S656-R656,"")</f>
        <v/>
      </c>
      <c r="AG656" s="15" t="str">
        <f aca="false">IF(AND(ISNUMBER(S656),ISNUMBER(T656)),T656-S656,"")</f>
        <v/>
      </c>
      <c r="AH656" s="15" t="str">
        <f aca="false">IF(AND(ISNUMBER(L656),ISNUMBER(T656)),T656-L656,"")</f>
        <v/>
      </c>
      <c r="AI656" s="15" t="str">
        <f aca="false">IF(AND(ISNUMBER(O656),ISNUMBER(Q656)),Q656-O656,"")</f>
        <v/>
      </c>
      <c r="AJ656" s="15" t="str">
        <f aca="false">IF(B656="","",COUNT(L656:M656,P656:T656)&amp;"/7")</f>
        <v/>
      </c>
      <c r="AK656" s="15" t="str">
        <f aca="false">IF(B656="","",IF(OR(AND(ISNUMBER(L656),ISNUMBER(M656),M656&lt;L656),AND(ISNUMBER(M656),ISNUMBER(P656),P656&lt;M656),AND(ISNUMBER(P656),ISNUMBER(Q656),Q656&lt;P656),AND(ISNUMBER(Q656),ISNUMBER(R656),R656&lt;Q656),AND(ISNUMBER(R656),ISNUMBER(S656),S656&lt;R656),AND(ISNUMBER(S656),ISNUMBER(T656),T656&lt;S656),AND(ISNUMBER(N656),ISNUMBER(O656),O656&lt;N656)),"Urutan tanggal salah",IF(AND(ISNUMBER(Q656),ISNUMBER(R656),ISNUMBER(Y656),ABS(R656-Q656-Y656)&gt;2),"S tanggal ≠ Sailing tercatat",IF(AND(ISNUMBER(Q656),ISNUMBER(O656),ABS(Q656-O656)&gt;60),"Cek tahun laycan",IF(AND(ISNUMBER(Q656),ISNUMBER(N656),Q656&lt;N656),"Berangkat sebelum laycan",IF(NOT(ISNUMBER(AE656)),"S belum ada","OK"))))))</f>
        <v/>
      </c>
    </row>
    <row r="657" customFormat="false" ht="15" hidden="false" customHeight="false" outlineLevel="0" collapsed="false">
      <c r="A657" s="16" t="str">
        <f aca="false">IF(B657="","",ROW()-4)</f>
        <v/>
      </c>
      <c r="B657" s="12"/>
      <c r="C657" s="16"/>
      <c r="D657" s="16"/>
      <c r="E657" s="16"/>
      <c r="F657" s="16"/>
      <c r="G657" s="16"/>
      <c r="H657" s="16"/>
      <c r="I657" s="16"/>
      <c r="J657" s="16"/>
      <c r="K657" s="16"/>
      <c r="L657" s="13"/>
      <c r="M657" s="13"/>
      <c r="N657" s="13"/>
      <c r="O657" s="13"/>
      <c r="P657" s="13"/>
      <c r="Q657" s="13"/>
      <c r="R657" s="13"/>
      <c r="S657" s="13"/>
      <c r="T657" s="13"/>
      <c r="U657" s="12"/>
      <c r="V657" s="14"/>
      <c r="W657" s="16"/>
      <c r="X657" s="16"/>
      <c r="Y657" s="16"/>
      <c r="Z657" s="16"/>
      <c r="AA657" s="15" t="str">
        <f aca="false">IF(AND(ISNUMBER(L657),ISNUMBER(M657)),M657-L657,"")</f>
        <v/>
      </c>
      <c r="AB657" s="15" t="str">
        <f aca="false">IF(AND(ISNUMBER(M657),ISNUMBER(P657)),P657-M657,"")</f>
        <v/>
      </c>
      <c r="AC657" s="15" t="str">
        <f aca="false">IF(AND(ISNUMBER(L657),ISNUMBER(P657)),P657-L657,"")</f>
        <v/>
      </c>
      <c r="AD657" s="15" t="str">
        <f aca="false">IF(AND(ISNUMBER(P657),ISNUMBER(Q657)),Q657-P657,"")</f>
        <v/>
      </c>
      <c r="AE657" s="15" t="str">
        <f aca="false">IF(AND(ISNUMBER(Q657),ISNUMBER(R657)),R657-Q657,IF(ISNUMBER(Y657),Y657,""))</f>
        <v/>
      </c>
      <c r="AF657" s="15" t="str">
        <f aca="false">IF(AND(ISNUMBER(R657),ISNUMBER(S657)),S657-R657,"")</f>
        <v/>
      </c>
      <c r="AG657" s="15" t="str">
        <f aca="false">IF(AND(ISNUMBER(S657),ISNUMBER(T657)),T657-S657,"")</f>
        <v/>
      </c>
      <c r="AH657" s="15" t="str">
        <f aca="false">IF(AND(ISNUMBER(L657),ISNUMBER(T657)),T657-L657,"")</f>
        <v/>
      </c>
      <c r="AI657" s="15" t="str">
        <f aca="false">IF(AND(ISNUMBER(O657),ISNUMBER(Q657)),Q657-O657,"")</f>
        <v/>
      </c>
      <c r="AJ657" s="15" t="str">
        <f aca="false">IF(B657="","",COUNT(L657:M657,P657:T657)&amp;"/7")</f>
        <v/>
      </c>
      <c r="AK657" s="15" t="str">
        <f aca="false">IF(B657="","",IF(OR(AND(ISNUMBER(L657),ISNUMBER(M657),M657&lt;L657),AND(ISNUMBER(M657),ISNUMBER(P657),P657&lt;M657),AND(ISNUMBER(P657),ISNUMBER(Q657),Q657&lt;P657),AND(ISNUMBER(Q657),ISNUMBER(R657),R657&lt;Q657),AND(ISNUMBER(R657),ISNUMBER(S657),S657&lt;R657),AND(ISNUMBER(S657),ISNUMBER(T657),T657&lt;S657),AND(ISNUMBER(N657),ISNUMBER(O657),O657&lt;N657)),"Urutan tanggal salah",IF(AND(ISNUMBER(Q657),ISNUMBER(R657),ISNUMBER(Y657),ABS(R657-Q657-Y657)&gt;2),"S tanggal ≠ Sailing tercatat",IF(AND(ISNUMBER(Q657),ISNUMBER(O657),ABS(Q657-O657)&gt;60),"Cek tahun laycan",IF(AND(ISNUMBER(Q657),ISNUMBER(N657),Q657&lt;N657),"Berangkat sebelum laycan",IF(NOT(ISNUMBER(AE657)),"S belum ada","OK"))))))</f>
        <v/>
      </c>
    </row>
    <row r="658" customFormat="false" ht="15" hidden="false" customHeight="false" outlineLevel="0" collapsed="false">
      <c r="A658" s="16" t="str">
        <f aca="false">IF(B658="","",ROW()-4)</f>
        <v/>
      </c>
      <c r="B658" s="12"/>
      <c r="C658" s="16"/>
      <c r="D658" s="16"/>
      <c r="E658" s="16"/>
      <c r="F658" s="16"/>
      <c r="G658" s="16"/>
      <c r="H658" s="16"/>
      <c r="I658" s="16"/>
      <c r="J658" s="16"/>
      <c r="K658" s="16"/>
      <c r="L658" s="13"/>
      <c r="M658" s="13"/>
      <c r="N658" s="13"/>
      <c r="O658" s="13"/>
      <c r="P658" s="13"/>
      <c r="Q658" s="13"/>
      <c r="R658" s="13"/>
      <c r="S658" s="13"/>
      <c r="T658" s="13"/>
      <c r="U658" s="12"/>
      <c r="V658" s="14"/>
      <c r="W658" s="16"/>
      <c r="X658" s="16"/>
      <c r="Y658" s="16"/>
      <c r="Z658" s="16"/>
      <c r="AA658" s="15" t="str">
        <f aca="false">IF(AND(ISNUMBER(L658),ISNUMBER(M658)),M658-L658,"")</f>
        <v/>
      </c>
      <c r="AB658" s="15" t="str">
        <f aca="false">IF(AND(ISNUMBER(M658),ISNUMBER(P658)),P658-M658,"")</f>
        <v/>
      </c>
      <c r="AC658" s="15" t="str">
        <f aca="false">IF(AND(ISNUMBER(L658),ISNUMBER(P658)),P658-L658,"")</f>
        <v/>
      </c>
      <c r="AD658" s="15" t="str">
        <f aca="false">IF(AND(ISNUMBER(P658),ISNUMBER(Q658)),Q658-P658,"")</f>
        <v/>
      </c>
      <c r="AE658" s="15" t="str">
        <f aca="false">IF(AND(ISNUMBER(Q658),ISNUMBER(R658)),R658-Q658,IF(ISNUMBER(Y658),Y658,""))</f>
        <v/>
      </c>
      <c r="AF658" s="15" t="str">
        <f aca="false">IF(AND(ISNUMBER(R658),ISNUMBER(S658)),S658-R658,"")</f>
        <v/>
      </c>
      <c r="AG658" s="15" t="str">
        <f aca="false">IF(AND(ISNUMBER(S658),ISNUMBER(T658)),T658-S658,"")</f>
        <v/>
      </c>
      <c r="AH658" s="15" t="str">
        <f aca="false">IF(AND(ISNUMBER(L658),ISNUMBER(T658)),T658-L658,"")</f>
        <v/>
      </c>
      <c r="AI658" s="15" t="str">
        <f aca="false">IF(AND(ISNUMBER(O658),ISNUMBER(Q658)),Q658-O658,"")</f>
        <v/>
      </c>
      <c r="AJ658" s="15" t="str">
        <f aca="false">IF(B658="","",COUNT(L658:M658,P658:T658)&amp;"/7")</f>
        <v/>
      </c>
      <c r="AK658" s="15" t="str">
        <f aca="false">IF(B658="","",IF(OR(AND(ISNUMBER(L658),ISNUMBER(M658),M658&lt;L658),AND(ISNUMBER(M658),ISNUMBER(P658),P658&lt;M658),AND(ISNUMBER(P658),ISNUMBER(Q658),Q658&lt;P658),AND(ISNUMBER(Q658),ISNUMBER(R658),R658&lt;Q658),AND(ISNUMBER(R658),ISNUMBER(S658),S658&lt;R658),AND(ISNUMBER(S658),ISNUMBER(T658),T658&lt;S658),AND(ISNUMBER(N658),ISNUMBER(O658),O658&lt;N658)),"Urutan tanggal salah",IF(AND(ISNUMBER(Q658),ISNUMBER(R658),ISNUMBER(Y658),ABS(R658-Q658-Y658)&gt;2),"S tanggal ≠ Sailing tercatat",IF(AND(ISNUMBER(Q658),ISNUMBER(O658),ABS(Q658-O658)&gt;60),"Cek tahun laycan",IF(AND(ISNUMBER(Q658),ISNUMBER(N658),Q658&lt;N658),"Berangkat sebelum laycan",IF(NOT(ISNUMBER(AE658)),"S belum ada","OK"))))))</f>
        <v/>
      </c>
    </row>
    <row r="659" customFormat="false" ht="15" hidden="false" customHeight="false" outlineLevel="0" collapsed="false">
      <c r="A659" s="16" t="str">
        <f aca="false">IF(B659="","",ROW()-4)</f>
        <v/>
      </c>
      <c r="B659" s="12"/>
      <c r="C659" s="16"/>
      <c r="D659" s="16"/>
      <c r="E659" s="16"/>
      <c r="F659" s="16"/>
      <c r="G659" s="16"/>
      <c r="H659" s="16"/>
      <c r="I659" s="16"/>
      <c r="J659" s="16"/>
      <c r="K659" s="16"/>
      <c r="L659" s="13"/>
      <c r="M659" s="13"/>
      <c r="N659" s="13"/>
      <c r="O659" s="13"/>
      <c r="P659" s="13"/>
      <c r="Q659" s="13"/>
      <c r="R659" s="13"/>
      <c r="S659" s="13"/>
      <c r="T659" s="13"/>
      <c r="U659" s="12"/>
      <c r="V659" s="14"/>
      <c r="W659" s="16"/>
      <c r="X659" s="16"/>
      <c r="Y659" s="16"/>
      <c r="Z659" s="16"/>
      <c r="AA659" s="15" t="str">
        <f aca="false">IF(AND(ISNUMBER(L659),ISNUMBER(M659)),M659-L659,"")</f>
        <v/>
      </c>
      <c r="AB659" s="15" t="str">
        <f aca="false">IF(AND(ISNUMBER(M659),ISNUMBER(P659)),P659-M659,"")</f>
        <v/>
      </c>
      <c r="AC659" s="15" t="str">
        <f aca="false">IF(AND(ISNUMBER(L659),ISNUMBER(P659)),P659-L659,"")</f>
        <v/>
      </c>
      <c r="AD659" s="15" t="str">
        <f aca="false">IF(AND(ISNUMBER(P659),ISNUMBER(Q659)),Q659-P659,"")</f>
        <v/>
      </c>
      <c r="AE659" s="15" t="str">
        <f aca="false">IF(AND(ISNUMBER(Q659),ISNUMBER(R659)),R659-Q659,IF(ISNUMBER(Y659),Y659,""))</f>
        <v/>
      </c>
      <c r="AF659" s="15" t="str">
        <f aca="false">IF(AND(ISNUMBER(R659),ISNUMBER(S659)),S659-R659,"")</f>
        <v/>
      </c>
      <c r="AG659" s="15" t="str">
        <f aca="false">IF(AND(ISNUMBER(S659),ISNUMBER(T659)),T659-S659,"")</f>
        <v/>
      </c>
      <c r="AH659" s="15" t="str">
        <f aca="false">IF(AND(ISNUMBER(L659),ISNUMBER(T659)),T659-L659,"")</f>
        <v/>
      </c>
      <c r="AI659" s="15" t="str">
        <f aca="false">IF(AND(ISNUMBER(O659),ISNUMBER(Q659)),Q659-O659,"")</f>
        <v/>
      </c>
      <c r="AJ659" s="15" t="str">
        <f aca="false">IF(B659="","",COUNT(L659:M659,P659:T659)&amp;"/7")</f>
        <v/>
      </c>
      <c r="AK659" s="15" t="str">
        <f aca="false">IF(B659="","",IF(OR(AND(ISNUMBER(L659),ISNUMBER(M659),M659&lt;L659),AND(ISNUMBER(M659),ISNUMBER(P659),P659&lt;M659),AND(ISNUMBER(P659),ISNUMBER(Q659),Q659&lt;P659),AND(ISNUMBER(Q659),ISNUMBER(R659),R659&lt;Q659),AND(ISNUMBER(R659),ISNUMBER(S659),S659&lt;R659),AND(ISNUMBER(S659),ISNUMBER(T659),T659&lt;S659),AND(ISNUMBER(N659),ISNUMBER(O659),O659&lt;N659)),"Urutan tanggal salah",IF(AND(ISNUMBER(Q659),ISNUMBER(R659),ISNUMBER(Y659),ABS(R659-Q659-Y659)&gt;2),"S tanggal ≠ Sailing tercatat",IF(AND(ISNUMBER(Q659),ISNUMBER(O659),ABS(Q659-O659)&gt;60),"Cek tahun laycan",IF(AND(ISNUMBER(Q659),ISNUMBER(N659),Q659&lt;N659),"Berangkat sebelum laycan",IF(NOT(ISNUMBER(AE659)),"S belum ada","OK"))))))</f>
        <v/>
      </c>
    </row>
    <row r="660" customFormat="false" ht="15" hidden="false" customHeight="false" outlineLevel="0" collapsed="false">
      <c r="A660" s="16" t="str">
        <f aca="false">IF(B660="","",ROW()-4)</f>
        <v/>
      </c>
      <c r="B660" s="12"/>
      <c r="C660" s="16"/>
      <c r="D660" s="16"/>
      <c r="E660" s="16"/>
      <c r="F660" s="16"/>
      <c r="G660" s="16"/>
      <c r="H660" s="16"/>
      <c r="I660" s="16"/>
      <c r="J660" s="16"/>
      <c r="K660" s="16"/>
      <c r="L660" s="13"/>
      <c r="M660" s="13"/>
      <c r="N660" s="13"/>
      <c r="O660" s="13"/>
      <c r="P660" s="13"/>
      <c r="Q660" s="13"/>
      <c r="R660" s="13"/>
      <c r="S660" s="13"/>
      <c r="T660" s="13"/>
      <c r="U660" s="12"/>
      <c r="V660" s="14"/>
      <c r="W660" s="16"/>
      <c r="X660" s="16"/>
      <c r="Y660" s="16"/>
      <c r="Z660" s="16"/>
      <c r="AA660" s="15" t="str">
        <f aca="false">IF(AND(ISNUMBER(L660),ISNUMBER(M660)),M660-L660,"")</f>
        <v/>
      </c>
      <c r="AB660" s="15" t="str">
        <f aca="false">IF(AND(ISNUMBER(M660),ISNUMBER(P660)),P660-M660,"")</f>
        <v/>
      </c>
      <c r="AC660" s="15" t="str">
        <f aca="false">IF(AND(ISNUMBER(L660),ISNUMBER(P660)),P660-L660,"")</f>
        <v/>
      </c>
      <c r="AD660" s="15" t="str">
        <f aca="false">IF(AND(ISNUMBER(P660),ISNUMBER(Q660)),Q660-P660,"")</f>
        <v/>
      </c>
      <c r="AE660" s="15" t="str">
        <f aca="false">IF(AND(ISNUMBER(Q660),ISNUMBER(R660)),R660-Q660,IF(ISNUMBER(Y660),Y660,""))</f>
        <v/>
      </c>
      <c r="AF660" s="15" t="str">
        <f aca="false">IF(AND(ISNUMBER(R660),ISNUMBER(S660)),S660-R660,"")</f>
        <v/>
      </c>
      <c r="AG660" s="15" t="str">
        <f aca="false">IF(AND(ISNUMBER(S660),ISNUMBER(T660)),T660-S660,"")</f>
        <v/>
      </c>
      <c r="AH660" s="15" t="str">
        <f aca="false">IF(AND(ISNUMBER(L660),ISNUMBER(T660)),T660-L660,"")</f>
        <v/>
      </c>
      <c r="AI660" s="15" t="str">
        <f aca="false">IF(AND(ISNUMBER(O660),ISNUMBER(Q660)),Q660-O660,"")</f>
        <v/>
      </c>
      <c r="AJ660" s="15" t="str">
        <f aca="false">IF(B660="","",COUNT(L660:M660,P660:T660)&amp;"/7")</f>
        <v/>
      </c>
      <c r="AK660" s="15" t="str">
        <f aca="false">IF(B660="","",IF(OR(AND(ISNUMBER(L660),ISNUMBER(M660),M660&lt;L660),AND(ISNUMBER(M660),ISNUMBER(P660),P660&lt;M660),AND(ISNUMBER(P660),ISNUMBER(Q660),Q660&lt;P660),AND(ISNUMBER(Q660),ISNUMBER(R660),R660&lt;Q660),AND(ISNUMBER(R660),ISNUMBER(S660),S660&lt;R660),AND(ISNUMBER(S660),ISNUMBER(T660),T660&lt;S660),AND(ISNUMBER(N660),ISNUMBER(O660),O660&lt;N660)),"Urutan tanggal salah",IF(AND(ISNUMBER(Q660),ISNUMBER(R660),ISNUMBER(Y660),ABS(R660-Q660-Y660)&gt;2),"S tanggal ≠ Sailing tercatat",IF(AND(ISNUMBER(Q660),ISNUMBER(O660),ABS(Q660-O660)&gt;60),"Cek tahun laycan",IF(AND(ISNUMBER(Q660),ISNUMBER(N660),Q660&lt;N660),"Berangkat sebelum laycan",IF(NOT(ISNUMBER(AE660)),"S belum ada","OK"))))))</f>
        <v/>
      </c>
    </row>
    <row r="661" customFormat="false" ht="15" hidden="false" customHeight="false" outlineLevel="0" collapsed="false">
      <c r="A661" s="16" t="str">
        <f aca="false">IF(B661="","",ROW()-4)</f>
        <v/>
      </c>
      <c r="B661" s="12"/>
      <c r="C661" s="16"/>
      <c r="D661" s="16"/>
      <c r="E661" s="16"/>
      <c r="F661" s="16"/>
      <c r="G661" s="16"/>
      <c r="H661" s="16"/>
      <c r="I661" s="16"/>
      <c r="J661" s="16"/>
      <c r="K661" s="16"/>
      <c r="L661" s="13"/>
      <c r="M661" s="13"/>
      <c r="N661" s="13"/>
      <c r="O661" s="13"/>
      <c r="P661" s="13"/>
      <c r="Q661" s="13"/>
      <c r="R661" s="13"/>
      <c r="S661" s="13"/>
      <c r="T661" s="13"/>
      <c r="U661" s="12"/>
      <c r="V661" s="14"/>
      <c r="W661" s="16"/>
      <c r="X661" s="16"/>
      <c r="Y661" s="16"/>
      <c r="Z661" s="16"/>
      <c r="AA661" s="15" t="str">
        <f aca="false">IF(AND(ISNUMBER(L661),ISNUMBER(M661)),M661-L661,"")</f>
        <v/>
      </c>
      <c r="AB661" s="15" t="str">
        <f aca="false">IF(AND(ISNUMBER(M661),ISNUMBER(P661)),P661-M661,"")</f>
        <v/>
      </c>
      <c r="AC661" s="15" t="str">
        <f aca="false">IF(AND(ISNUMBER(L661),ISNUMBER(P661)),P661-L661,"")</f>
        <v/>
      </c>
      <c r="AD661" s="15" t="str">
        <f aca="false">IF(AND(ISNUMBER(P661),ISNUMBER(Q661)),Q661-P661,"")</f>
        <v/>
      </c>
      <c r="AE661" s="15" t="str">
        <f aca="false">IF(AND(ISNUMBER(Q661),ISNUMBER(R661)),R661-Q661,IF(ISNUMBER(Y661),Y661,""))</f>
        <v/>
      </c>
      <c r="AF661" s="15" t="str">
        <f aca="false">IF(AND(ISNUMBER(R661),ISNUMBER(S661)),S661-R661,"")</f>
        <v/>
      </c>
      <c r="AG661" s="15" t="str">
        <f aca="false">IF(AND(ISNUMBER(S661),ISNUMBER(T661)),T661-S661,"")</f>
        <v/>
      </c>
      <c r="AH661" s="15" t="str">
        <f aca="false">IF(AND(ISNUMBER(L661),ISNUMBER(T661)),T661-L661,"")</f>
        <v/>
      </c>
      <c r="AI661" s="15" t="str">
        <f aca="false">IF(AND(ISNUMBER(O661),ISNUMBER(Q661)),Q661-O661,"")</f>
        <v/>
      </c>
      <c r="AJ661" s="15" t="str">
        <f aca="false">IF(B661="","",COUNT(L661:M661,P661:T661)&amp;"/7")</f>
        <v/>
      </c>
      <c r="AK661" s="15" t="str">
        <f aca="false">IF(B661="","",IF(OR(AND(ISNUMBER(L661),ISNUMBER(M661),M661&lt;L661),AND(ISNUMBER(M661),ISNUMBER(P661),P661&lt;M661),AND(ISNUMBER(P661),ISNUMBER(Q661),Q661&lt;P661),AND(ISNUMBER(Q661),ISNUMBER(R661),R661&lt;Q661),AND(ISNUMBER(R661),ISNUMBER(S661),S661&lt;R661),AND(ISNUMBER(S661),ISNUMBER(T661),T661&lt;S661),AND(ISNUMBER(N661),ISNUMBER(O661),O661&lt;N661)),"Urutan tanggal salah",IF(AND(ISNUMBER(Q661),ISNUMBER(R661),ISNUMBER(Y661),ABS(R661-Q661-Y661)&gt;2),"S tanggal ≠ Sailing tercatat",IF(AND(ISNUMBER(Q661),ISNUMBER(O661),ABS(Q661-O661)&gt;60),"Cek tahun laycan",IF(AND(ISNUMBER(Q661),ISNUMBER(N661),Q661&lt;N661),"Berangkat sebelum laycan",IF(NOT(ISNUMBER(AE661)),"S belum ada","OK"))))))</f>
        <v/>
      </c>
    </row>
    <row r="662" customFormat="false" ht="15" hidden="false" customHeight="false" outlineLevel="0" collapsed="false">
      <c r="A662" s="16" t="str">
        <f aca="false">IF(B662="","",ROW()-4)</f>
        <v/>
      </c>
      <c r="B662" s="12"/>
      <c r="C662" s="16"/>
      <c r="D662" s="16"/>
      <c r="E662" s="16"/>
      <c r="F662" s="16"/>
      <c r="G662" s="16"/>
      <c r="H662" s="16"/>
      <c r="I662" s="16"/>
      <c r="J662" s="16"/>
      <c r="K662" s="16"/>
      <c r="L662" s="13"/>
      <c r="M662" s="13"/>
      <c r="N662" s="13"/>
      <c r="O662" s="13"/>
      <c r="P662" s="13"/>
      <c r="Q662" s="13"/>
      <c r="R662" s="13"/>
      <c r="S662" s="13"/>
      <c r="T662" s="13"/>
      <c r="U662" s="12"/>
      <c r="V662" s="14"/>
      <c r="W662" s="16"/>
      <c r="X662" s="16"/>
      <c r="Y662" s="16"/>
      <c r="Z662" s="16"/>
      <c r="AA662" s="15" t="str">
        <f aca="false">IF(AND(ISNUMBER(L662),ISNUMBER(M662)),M662-L662,"")</f>
        <v/>
      </c>
      <c r="AB662" s="15" t="str">
        <f aca="false">IF(AND(ISNUMBER(M662),ISNUMBER(P662)),P662-M662,"")</f>
        <v/>
      </c>
      <c r="AC662" s="15" t="str">
        <f aca="false">IF(AND(ISNUMBER(L662),ISNUMBER(P662)),P662-L662,"")</f>
        <v/>
      </c>
      <c r="AD662" s="15" t="str">
        <f aca="false">IF(AND(ISNUMBER(P662),ISNUMBER(Q662)),Q662-P662,"")</f>
        <v/>
      </c>
      <c r="AE662" s="15" t="str">
        <f aca="false">IF(AND(ISNUMBER(Q662),ISNUMBER(R662)),R662-Q662,IF(ISNUMBER(Y662),Y662,""))</f>
        <v/>
      </c>
      <c r="AF662" s="15" t="str">
        <f aca="false">IF(AND(ISNUMBER(R662),ISNUMBER(S662)),S662-R662,"")</f>
        <v/>
      </c>
      <c r="AG662" s="15" t="str">
        <f aca="false">IF(AND(ISNUMBER(S662),ISNUMBER(T662)),T662-S662,"")</f>
        <v/>
      </c>
      <c r="AH662" s="15" t="str">
        <f aca="false">IF(AND(ISNUMBER(L662),ISNUMBER(T662)),T662-L662,"")</f>
        <v/>
      </c>
      <c r="AI662" s="15" t="str">
        <f aca="false">IF(AND(ISNUMBER(O662),ISNUMBER(Q662)),Q662-O662,"")</f>
        <v/>
      </c>
      <c r="AJ662" s="15" t="str">
        <f aca="false">IF(B662="","",COUNT(L662:M662,P662:T662)&amp;"/7")</f>
        <v/>
      </c>
      <c r="AK662" s="15" t="str">
        <f aca="false">IF(B662="","",IF(OR(AND(ISNUMBER(L662),ISNUMBER(M662),M662&lt;L662),AND(ISNUMBER(M662),ISNUMBER(P662),P662&lt;M662),AND(ISNUMBER(P662),ISNUMBER(Q662),Q662&lt;P662),AND(ISNUMBER(Q662),ISNUMBER(R662),R662&lt;Q662),AND(ISNUMBER(R662),ISNUMBER(S662),S662&lt;R662),AND(ISNUMBER(S662),ISNUMBER(T662),T662&lt;S662),AND(ISNUMBER(N662),ISNUMBER(O662),O662&lt;N662)),"Urutan tanggal salah",IF(AND(ISNUMBER(Q662),ISNUMBER(R662),ISNUMBER(Y662),ABS(R662-Q662-Y662)&gt;2),"S tanggal ≠ Sailing tercatat",IF(AND(ISNUMBER(Q662),ISNUMBER(O662),ABS(Q662-O662)&gt;60),"Cek tahun laycan",IF(AND(ISNUMBER(Q662),ISNUMBER(N662),Q662&lt;N662),"Berangkat sebelum laycan",IF(NOT(ISNUMBER(AE662)),"S belum ada","OK"))))))</f>
        <v/>
      </c>
    </row>
    <row r="663" customFormat="false" ht="15" hidden="false" customHeight="false" outlineLevel="0" collapsed="false">
      <c r="A663" s="16" t="str">
        <f aca="false">IF(B663="","",ROW()-4)</f>
        <v/>
      </c>
      <c r="B663" s="12"/>
      <c r="C663" s="16"/>
      <c r="D663" s="16"/>
      <c r="E663" s="16"/>
      <c r="F663" s="16"/>
      <c r="G663" s="16"/>
      <c r="H663" s="16"/>
      <c r="I663" s="16"/>
      <c r="J663" s="16"/>
      <c r="K663" s="16"/>
      <c r="L663" s="13"/>
      <c r="M663" s="13"/>
      <c r="N663" s="13"/>
      <c r="O663" s="13"/>
      <c r="P663" s="13"/>
      <c r="Q663" s="13"/>
      <c r="R663" s="13"/>
      <c r="S663" s="13"/>
      <c r="T663" s="13"/>
      <c r="U663" s="12"/>
      <c r="V663" s="14"/>
      <c r="W663" s="16"/>
      <c r="X663" s="16"/>
      <c r="Y663" s="16"/>
      <c r="Z663" s="16"/>
      <c r="AA663" s="15" t="str">
        <f aca="false">IF(AND(ISNUMBER(L663),ISNUMBER(M663)),M663-L663,"")</f>
        <v/>
      </c>
      <c r="AB663" s="15" t="str">
        <f aca="false">IF(AND(ISNUMBER(M663),ISNUMBER(P663)),P663-M663,"")</f>
        <v/>
      </c>
      <c r="AC663" s="15" t="str">
        <f aca="false">IF(AND(ISNUMBER(L663),ISNUMBER(P663)),P663-L663,"")</f>
        <v/>
      </c>
      <c r="AD663" s="15" t="str">
        <f aca="false">IF(AND(ISNUMBER(P663),ISNUMBER(Q663)),Q663-P663,"")</f>
        <v/>
      </c>
      <c r="AE663" s="15" t="str">
        <f aca="false">IF(AND(ISNUMBER(Q663),ISNUMBER(R663)),R663-Q663,IF(ISNUMBER(Y663),Y663,""))</f>
        <v/>
      </c>
      <c r="AF663" s="15" t="str">
        <f aca="false">IF(AND(ISNUMBER(R663),ISNUMBER(S663)),S663-R663,"")</f>
        <v/>
      </c>
      <c r="AG663" s="15" t="str">
        <f aca="false">IF(AND(ISNUMBER(S663),ISNUMBER(T663)),T663-S663,"")</f>
        <v/>
      </c>
      <c r="AH663" s="15" t="str">
        <f aca="false">IF(AND(ISNUMBER(L663),ISNUMBER(T663)),T663-L663,"")</f>
        <v/>
      </c>
      <c r="AI663" s="15" t="str">
        <f aca="false">IF(AND(ISNUMBER(O663),ISNUMBER(Q663)),Q663-O663,"")</f>
        <v/>
      </c>
      <c r="AJ663" s="15" t="str">
        <f aca="false">IF(B663="","",COUNT(L663:M663,P663:T663)&amp;"/7")</f>
        <v/>
      </c>
      <c r="AK663" s="15" t="str">
        <f aca="false">IF(B663="","",IF(OR(AND(ISNUMBER(L663),ISNUMBER(M663),M663&lt;L663),AND(ISNUMBER(M663),ISNUMBER(P663),P663&lt;M663),AND(ISNUMBER(P663),ISNUMBER(Q663),Q663&lt;P663),AND(ISNUMBER(Q663),ISNUMBER(R663),R663&lt;Q663),AND(ISNUMBER(R663),ISNUMBER(S663),S663&lt;R663),AND(ISNUMBER(S663),ISNUMBER(T663),T663&lt;S663),AND(ISNUMBER(N663),ISNUMBER(O663),O663&lt;N663)),"Urutan tanggal salah",IF(AND(ISNUMBER(Q663),ISNUMBER(R663),ISNUMBER(Y663),ABS(R663-Q663-Y663)&gt;2),"S tanggal ≠ Sailing tercatat",IF(AND(ISNUMBER(Q663),ISNUMBER(O663),ABS(Q663-O663)&gt;60),"Cek tahun laycan",IF(AND(ISNUMBER(Q663),ISNUMBER(N663),Q663&lt;N663),"Berangkat sebelum laycan",IF(NOT(ISNUMBER(AE663)),"S belum ada","OK"))))))</f>
        <v/>
      </c>
    </row>
    <row r="664" customFormat="false" ht="15" hidden="false" customHeight="false" outlineLevel="0" collapsed="false">
      <c r="A664" s="16" t="str">
        <f aca="false">IF(B664="","",ROW()-4)</f>
        <v/>
      </c>
      <c r="B664" s="12"/>
      <c r="C664" s="16"/>
      <c r="D664" s="16"/>
      <c r="E664" s="16"/>
      <c r="F664" s="16"/>
      <c r="G664" s="16"/>
      <c r="H664" s="16"/>
      <c r="I664" s="16"/>
      <c r="J664" s="16"/>
      <c r="K664" s="16"/>
      <c r="L664" s="13"/>
      <c r="M664" s="13"/>
      <c r="N664" s="13"/>
      <c r="O664" s="13"/>
      <c r="P664" s="13"/>
      <c r="Q664" s="13"/>
      <c r="R664" s="13"/>
      <c r="S664" s="13"/>
      <c r="T664" s="13"/>
      <c r="U664" s="12"/>
      <c r="V664" s="14"/>
      <c r="W664" s="16"/>
      <c r="X664" s="16"/>
      <c r="Y664" s="16"/>
      <c r="Z664" s="16"/>
      <c r="AA664" s="15" t="str">
        <f aca="false">IF(AND(ISNUMBER(L664),ISNUMBER(M664)),M664-L664,"")</f>
        <v/>
      </c>
      <c r="AB664" s="15" t="str">
        <f aca="false">IF(AND(ISNUMBER(M664),ISNUMBER(P664)),P664-M664,"")</f>
        <v/>
      </c>
      <c r="AC664" s="15" t="str">
        <f aca="false">IF(AND(ISNUMBER(L664),ISNUMBER(P664)),P664-L664,"")</f>
        <v/>
      </c>
      <c r="AD664" s="15" t="str">
        <f aca="false">IF(AND(ISNUMBER(P664),ISNUMBER(Q664)),Q664-P664,"")</f>
        <v/>
      </c>
      <c r="AE664" s="15" t="str">
        <f aca="false">IF(AND(ISNUMBER(Q664),ISNUMBER(R664)),R664-Q664,IF(ISNUMBER(Y664),Y664,""))</f>
        <v/>
      </c>
      <c r="AF664" s="15" t="str">
        <f aca="false">IF(AND(ISNUMBER(R664),ISNUMBER(S664)),S664-R664,"")</f>
        <v/>
      </c>
      <c r="AG664" s="15" t="str">
        <f aca="false">IF(AND(ISNUMBER(S664),ISNUMBER(T664)),T664-S664,"")</f>
        <v/>
      </c>
      <c r="AH664" s="15" t="str">
        <f aca="false">IF(AND(ISNUMBER(L664),ISNUMBER(T664)),T664-L664,"")</f>
        <v/>
      </c>
      <c r="AI664" s="15" t="str">
        <f aca="false">IF(AND(ISNUMBER(O664),ISNUMBER(Q664)),Q664-O664,"")</f>
        <v/>
      </c>
      <c r="AJ664" s="15" t="str">
        <f aca="false">IF(B664="","",COUNT(L664:M664,P664:T664)&amp;"/7")</f>
        <v/>
      </c>
      <c r="AK664" s="15" t="str">
        <f aca="false">IF(B664="","",IF(OR(AND(ISNUMBER(L664),ISNUMBER(M664),M664&lt;L664),AND(ISNUMBER(M664),ISNUMBER(P664),P664&lt;M664),AND(ISNUMBER(P664),ISNUMBER(Q664),Q664&lt;P664),AND(ISNUMBER(Q664),ISNUMBER(R664),R664&lt;Q664),AND(ISNUMBER(R664),ISNUMBER(S664),S664&lt;R664),AND(ISNUMBER(S664),ISNUMBER(T664),T664&lt;S664),AND(ISNUMBER(N664),ISNUMBER(O664),O664&lt;N664)),"Urutan tanggal salah",IF(AND(ISNUMBER(Q664),ISNUMBER(R664),ISNUMBER(Y664),ABS(R664-Q664-Y664)&gt;2),"S tanggal ≠ Sailing tercatat",IF(AND(ISNUMBER(Q664),ISNUMBER(O664),ABS(Q664-O664)&gt;60),"Cek tahun laycan",IF(AND(ISNUMBER(Q664),ISNUMBER(N664),Q664&lt;N664),"Berangkat sebelum laycan",IF(NOT(ISNUMBER(AE664)),"S belum ada","OK"))))))</f>
        <v/>
      </c>
    </row>
    <row r="665" customFormat="false" ht="15" hidden="false" customHeight="false" outlineLevel="0" collapsed="false">
      <c r="A665" s="16" t="str">
        <f aca="false">IF(B665="","",ROW()-4)</f>
        <v/>
      </c>
      <c r="B665" s="12"/>
      <c r="C665" s="16"/>
      <c r="D665" s="16"/>
      <c r="E665" s="16"/>
      <c r="F665" s="16"/>
      <c r="G665" s="16"/>
      <c r="H665" s="16"/>
      <c r="I665" s="16"/>
      <c r="J665" s="16"/>
      <c r="K665" s="16"/>
      <c r="L665" s="13"/>
      <c r="M665" s="13"/>
      <c r="N665" s="13"/>
      <c r="O665" s="13"/>
      <c r="P665" s="13"/>
      <c r="Q665" s="13"/>
      <c r="R665" s="13"/>
      <c r="S665" s="13"/>
      <c r="T665" s="13"/>
      <c r="U665" s="12"/>
      <c r="V665" s="14"/>
      <c r="W665" s="16"/>
      <c r="X665" s="16"/>
      <c r="Y665" s="16"/>
      <c r="Z665" s="16"/>
      <c r="AA665" s="15" t="str">
        <f aca="false">IF(AND(ISNUMBER(L665),ISNUMBER(M665)),M665-L665,"")</f>
        <v/>
      </c>
      <c r="AB665" s="15" t="str">
        <f aca="false">IF(AND(ISNUMBER(M665),ISNUMBER(P665)),P665-M665,"")</f>
        <v/>
      </c>
      <c r="AC665" s="15" t="str">
        <f aca="false">IF(AND(ISNUMBER(L665),ISNUMBER(P665)),P665-L665,"")</f>
        <v/>
      </c>
      <c r="AD665" s="15" t="str">
        <f aca="false">IF(AND(ISNUMBER(P665),ISNUMBER(Q665)),Q665-P665,"")</f>
        <v/>
      </c>
      <c r="AE665" s="15" t="str">
        <f aca="false">IF(AND(ISNUMBER(Q665),ISNUMBER(R665)),R665-Q665,IF(ISNUMBER(Y665),Y665,""))</f>
        <v/>
      </c>
      <c r="AF665" s="15" t="str">
        <f aca="false">IF(AND(ISNUMBER(R665),ISNUMBER(S665)),S665-R665,"")</f>
        <v/>
      </c>
      <c r="AG665" s="15" t="str">
        <f aca="false">IF(AND(ISNUMBER(S665),ISNUMBER(T665)),T665-S665,"")</f>
        <v/>
      </c>
      <c r="AH665" s="15" t="str">
        <f aca="false">IF(AND(ISNUMBER(L665),ISNUMBER(T665)),T665-L665,"")</f>
        <v/>
      </c>
      <c r="AI665" s="15" t="str">
        <f aca="false">IF(AND(ISNUMBER(O665),ISNUMBER(Q665)),Q665-O665,"")</f>
        <v/>
      </c>
      <c r="AJ665" s="15" t="str">
        <f aca="false">IF(B665="","",COUNT(L665:M665,P665:T665)&amp;"/7")</f>
        <v/>
      </c>
      <c r="AK665" s="15" t="str">
        <f aca="false">IF(B665="","",IF(OR(AND(ISNUMBER(L665),ISNUMBER(M665),M665&lt;L665),AND(ISNUMBER(M665),ISNUMBER(P665),P665&lt;M665),AND(ISNUMBER(P665),ISNUMBER(Q665),Q665&lt;P665),AND(ISNUMBER(Q665),ISNUMBER(R665),R665&lt;Q665),AND(ISNUMBER(R665),ISNUMBER(S665),S665&lt;R665),AND(ISNUMBER(S665),ISNUMBER(T665),T665&lt;S665),AND(ISNUMBER(N665),ISNUMBER(O665),O665&lt;N665)),"Urutan tanggal salah",IF(AND(ISNUMBER(Q665),ISNUMBER(R665),ISNUMBER(Y665),ABS(R665-Q665-Y665)&gt;2),"S tanggal ≠ Sailing tercatat",IF(AND(ISNUMBER(Q665),ISNUMBER(O665),ABS(Q665-O665)&gt;60),"Cek tahun laycan",IF(AND(ISNUMBER(Q665),ISNUMBER(N665),Q665&lt;N665),"Berangkat sebelum laycan",IF(NOT(ISNUMBER(AE665)),"S belum ada","OK"))))))</f>
        <v/>
      </c>
    </row>
    <row r="666" customFormat="false" ht="15" hidden="false" customHeight="false" outlineLevel="0" collapsed="false">
      <c r="A666" s="16" t="str">
        <f aca="false">IF(B666="","",ROW()-4)</f>
        <v/>
      </c>
      <c r="B666" s="12"/>
      <c r="C666" s="16"/>
      <c r="D666" s="16"/>
      <c r="E666" s="16"/>
      <c r="F666" s="16"/>
      <c r="G666" s="16"/>
      <c r="H666" s="16"/>
      <c r="I666" s="16"/>
      <c r="J666" s="16"/>
      <c r="K666" s="16"/>
      <c r="L666" s="13"/>
      <c r="M666" s="13"/>
      <c r="N666" s="13"/>
      <c r="O666" s="13"/>
      <c r="P666" s="13"/>
      <c r="Q666" s="13"/>
      <c r="R666" s="13"/>
      <c r="S666" s="13"/>
      <c r="T666" s="13"/>
      <c r="U666" s="12"/>
      <c r="V666" s="14"/>
      <c r="W666" s="16"/>
      <c r="X666" s="16"/>
      <c r="Y666" s="16"/>
      <c r="Z666" s="16"/>
      <c r="AA666" s="15" t="str">
        <f aca="false">IF(AND(ISNUMBER(L666),ISNUMBER(M666)),M666-L666,"")</f>
        <v/>
      </c>
      <c r="AB666" s="15" t="str">
        <f aca="false">IF(AND(ISNUMBER(M666),ISNUMBER(P666)),P666-M666,"")</f>
        <v/>
      </c>
      <c r="AC666" s="15" t="str">
        <f aca="false">IF(AND(ISNUMBER(L666),ISNUMBER(P666)),P666-L666,"")</f>
        <v/>
      </c>
      <c r="AD666" s="15" t="str">
        <f aca="false">IF(AND(ISNUMBER(P666),ISNUMBER(Q666)),Q666-P666,"")</f>
        <v/>
      </c>
      <c r="AE666" s="15" t="str">
        <f aca="false">IF(AND(ISNUMBER(Q666),ISNUMBER(R666)),R666-Q666,IF(ISNUMBER(Y666),Y666,""))</f>
        <v/>
      </c>
      <c r="AF666" s="15" t="str">
        <f aca="false">IF(AND(ISNUMBER(R666),ISNUMBER(S666)),S666-R666,"")</f>
        <v/>
      </c>
      <c r="AG666" s="15" t="str">
        <f aca="false">IF(AND(ISNUMBER(S666),ISNUMBER(T666)),T666-S666,"")</f>
        <v/>
      </c>
      <c r="AH666" s="15" t="str">
        <f aca="false">IF(AND(ISNUMBER(L666),ISNUMBER(T666)),T666-L666,"")</f>
        <v/>
      </c>
      <c r="AI666" s="15" t="str">
        <f aca="false">IF(AND(ISNUMBER(O666),ISNUMBER(Q666)),Q666-O666,"")</f>
        <v/>
      </c>
      <c r="AJ666" s="15" t="str">
        <f aca="false">IF(B666="","",COUNT(L666:M666,P666:T666)&amp;"/7")</f>
        <v/>
      </c>
      <c r="AK666" s="15" t="str">
        <f aca="false">IF(B666="","",IF(OR(AND(ISNUMBER(L666),ISNUMBER(M666),M666&lt;L666),AND(ISNUMBER(M666),ISNUMBER(P666),P666&lt;M666),AND(ISNUMBER(P666),ISNUMBER(Q666),Q666&lt;P666),AND(ISNUMBER(Q666),ISNUMBER(R666),R666&lt;Q666),AND(ISNUMBER(R666),ISNUMBER(S666),S666&lt;R666),AND(ISNUMBER(S666),ISNUMBER(T666),T666&lt;S666),AND(ISNUMBER(N666),ISNUMBER(O666),O666&lt;N666)),"Urutan tanggal salah",IF(AND(ISNUMBER(Q666),ISNUMBER(R666),ISNUMBER(Y666),ABS(R666-Q666-Y666)&gt;2),"S tanggal ≠ Sailing tercatat",IF(AND(ISNUMBER(Q666),ISNUMBER(O666),ABS(Q666-O666)&gt;60),"Cek tahun laycan",IF(AND(ISNUMBER(Q666),ISNUMBER(N666),Q666&lt;N666),"Berangkat sebelum laycan",IF(NOT(ISNUMBER(AE666)),"S belum ada","OK"))))))</f>
        <v/>
      </c>
    </row>
    <row r="667" customFormat="false" ht="15" hidden="false" customHeight="false" outlineLevel="0" collapsed="false">
      <c r="A667" s="16" t="str">
        <f aca="false">IF(B667="","",ROW()-4)</f>
        <v/>
      </c>
      <c r="B667" s="12"/>
      <c r="C667" s="16"/>
      <c r="D667" s="16"/>
      <c r="E667" s="16"/>
      <c r="F667" s="16"/>
      <c r="G667" s="16"/>
      <c r="H667" s="16"/>
      <c r="I667" s="16"/>
      <c r="J667" s="16"/>
      <c r="K667" s="16"/>
      <c r="L667" s="13"/>
      <c r="M667" s="13"/>
      <c r="N667" s="13"/>
      <c r="O667" s="13"/>
      <c r="P667" s="13"/>
      <c r="Q667" s="13"/>
      <c r="R667" s="13"/>
      <c r="S667" s="13"/>
      <c r="T667" s="13"/>
      <c r="U667" s="12"/>
      <c r="V667" s="14"/>
      <c r="W667" s="16"/>
      <c r="X667" s="16"/>
      <c r="Y667" s="16"/>
      <c r="Z667" s="16"/>
      <c r="AA667" s="15" t="str">
        <f aca="false">IF(AND(ISNUMBER(L667),ISNUMBER(M667)),M667-L667,"")</f>
        <v/>
      </c>
      <c r="AB667" s="15" t="str">
        <f aca="false">IF(AND(ISNUMBER(M667),ISNUMBER(P667)),P667-M667,"")</f>
        <v/>
      </c>
      <c r="AC667" s="15" t="str">
        <f aca="false">IF(AND(ISNUMBER(L667),ISNUMBER(P667)),P667-L667,"")</f>
        <v/>
      </c>
      <c r="AD667" s="15" t="str">
        <f aca="false">IF(AND(ISNUMBER(P667),ISNUMBER(Q667)),Q667-P667,"")</f>
        <v/>
      </c>
      <c r="AE667" s="15" t="str">
        <f aca="false">IF(AND(ISNUMBER(Q667),ISNUMBER(R667)),R667-Q667,IF(ISNUMBER(Y667),Y667,""))</f>
        <v/>
      </c>
      <c r="AF667" s="15" t="str">
        <f aca="false">IF(AND(ISNUMBER(R667),ISNUMBER(S667)),S667-R667,"")</f>
        <v/>
      </c>
      <c r="AG667" s="15" t="str">
        <f aca="false">IF(AND(ISNUMBER(S667),ISNUMBER(T667)),T667-S667,"")</f>
        <v/>
      </c>
      <c r="AH667" s="15" t="str">
        <f aca="false">IF(AND(ISNUMBER(L667),ISNUMBER(T667)),T667-L667,"")</f>
        <v/>
      </c>
      <c r="AI667" s="15" t="str">
        <f aca="false">IF(AND(ISNUMBER(O667),ISNUMBER(Q667)),Q667-O667,"")</f>
        <v/>
      </c>
      <c r="AJ667" s="15" t="str">
        <f aca="false">IF(B667="","",COUNT(L667:M667,P667:T667)&amp;"/7")</f>
        <v/>
      </c>
      <c r="AK667" s="15" t="str">
        <f aca="false">IF(B667="","",IF(OR(AND(ISNUMBER(L667),ISNUMBER(M667),M667&lt;L667),AND(ISNUMBER(M667),ISNUMBER(P667),P667&lt;M667),AND(ISNUMBER(P667),ISNUMBER(Q667),Q667&lt;P667),AND(ISNUMBER(Q667),ISNUMBER(R667),R667&lt;Q667),AND(ISNUMBER(R667),ISNUMBER(S667),S667&lt;R667),AND(ISNUMBER(S667),ISNUMBER(T667),T667&lt;S667),AND(ISNUMBER(N667),ISNUMBER(O667),O667&lt;N667)),"Urutan tanggal salah",IF(AND(ISNUMBER(Q667),ISNUMBER(R667),ISNUMBER(Y667),ABS(R667-Q667-Y667)&gt;2),"S tanggal ≠ Sailing tercatat",IF(AND(ISNUMBER(Q667),ISNUMBER(O667),ABS(Q667-O667)&gt;60),"Cek tahun laycan",IF(AND(ISNUMBER(Q667),ISNUMBER(N667),Q667&lt;N667),"Berangkat sebelum laycan",IF(NOT(ISNUMBER(AE667)),"S belum ada","OK"))))))</f>
        <v/>
      </c>
    </row>
    <row r="668" customFormat="false" ht="15" hidden="false" customHeight="false" outlineLevel="0" collapsed="false">
      <c r="A668" s="16" t="str">
        <f aca="false">IF(B668="","",ROW()-4)</f>
        <v/>
      </c>
      <c r="B668" s="12"/>
      <c r="C668" s="16"/>
      <c r="D668" s="16"/>
      <c r="E668" s="16"/>
      <c r="F668" s="16"/>
      <c r="G668" s="16"/>
      <c r="H668" s="16"/>
      <c r="I668" s="16"/>
      <c r="J668" s="16"/>
      <c r="K668" s="16"/>
      <c r="L668" s="13"/>
      <c r="M668" s="13"/>
      <c r="N668" s="13"/>
      <c r="O668" s="13"/>
      <c r="P668" s="13"/>
      <c r="Q668" s="13"/>
      <c r="R668" s="13"/>
      <c r="S668" s="13"/>
      <c r="T668" s="13"/>
      <c r="U668" s="12"/>
      <c r="V668" s="14"/>
      <c r="W668" s="16"/>
      <c r="X668" s="16"/>
      <c r="Y668" s="16"/>
      <c r="Z668" s="16"/>
      <c r="AA668" s="15" t="str">
        <f aca="false">IF(AND(ISNUMBER(L668),ISNUMBER(M668)),M668-L668,"")</f>
        <v/>
      </c>
      <c r="AB668" s="15" t="str">
        <f aca="false">IF(AND(ISNUMBER(M668),ISNUMBER(P668)),P668-M668,"")</f>
        <v/>
      </c>
      <c r="AC668" s="15" t="str">
        <f aca="false">IF(AND(ISNUMBER(L668),ISNUMBER(P668)),P668-L668,"")</f>
        <v/>
      </c>
      <c r="AD668" s="15" t="str">
        <f aca="false">IF(AND(ISNUMBER(P668),ISNUMBER(Q668)),Q668-P668,"")</f>
        <v/>
      </c>
      <c r="AE668" s="15" t="str">
        <f aca="false">IF(AND(ISNUMBER(Q668),ISNUMBER(R668)),R668-Q668,IF(ISNUMBER(Y668),Y668,""))</f>
        <v/>
      </c>
      <c r="AF668" s="15" t="str">
        <f aca="false">IF(AND(ISNUMBER(R668),ISNUMBER(S668)),S668-R668,"")</f>
        <v/>
      </c>
      <c r="AG668" s="15" t="str">
        <f aca="false">IF(AND(ISNUMBER(S668),ISNUMBER(T668)),T668-S668,"")</f>
        <v/>
      </c>
      <c r="AH668" s="15" t="str">
        <f aca="false">IF(AND(ISNUMBER(L668),ISNUMBER(T668)),T668-L668,"")</f>
        <v/>
      </c>
      <c r="AI668" s="15" t="str">
        <f aca="false">IF(AND(ISNUMBER(O668),ISNUMBER(Q668)),Q668-O668,"")</f>
        <v/>
      </c>
      <c r="AJ668" s="15" t="str">
        <f aca="false">IF(B668="","",COUNT(L668:M668,P668:T668)&amp;"/7")</f>
        <v/>
      </c>
      <c r="AK668" s="15" t="str">
        <f aca="false">IF(B668="","",IF(OR(AND(ISNUMBER(L668),ISNUMBER(M668),M668&lt;L668),AND(ISNUMBER(M668),ISNUMBER(P668),P668&lt;M668),AND(ISNUMBER(P668),ISNUMBER(Q668),Q668&lt;P668),AND(ISNUMBER(Q668),ISNUMBER(R668),R668&lt;Q668),AND(ISNUMBER(R668),ISNUMBER(S668),S668&lt;R668),AND(ISNUMBER(S668),ISNUMBER(T668),T668&lt;S668),AND(ISNUMBER(N668),ISNUMBER(O668),O668&lt;N668)),"Urutan tanggal salah",IF(AND(ISNUMBER(Q668),ISNUMBER(R668),ISNUMBER(Y668),ABS(R668-Q668-Y668)&gt;2),"S tanggal ≠ Sailing tercatat",IF(AND(ISNUMBER(Q668),ISNUMBER(O668),ABS(Q668-O668)&gt;60),"Cek tahun laycan",IF(AND(ISNUMBER(Q668),ISNUMBER(N668),Q668&lt;N668),"Berangkat sebelum laycan",IF(NOT(ISNUMBER(AE668)),"S belum ada","OK"))))))</f>
        <v/>
      </c>
    </row>
    <row r="669" customFormat="false" ht="15" hidden="false" customHeight="false" outlineLevel="0" collapsed="false">
      <c r="A669" s="16" t="str">
        <f aca="false">IF(B669="","",ROW()-4)</f>
        <v/>
      </c>
      <c r="B669" s="12"/>
      <c r="C669" s="16"/>
      <c r="D669" s="16"/>
      <c r="E669" s="16"/>
      <c r="F669" s="16"/>
      <c r="G669" s="16"/>
      <c r="H669" s="16"/>
      <c r="I669" s="16"/>
      <c r="J669" s="16"/>
      <c r="K669" s="16"/>
      <c r="L669" s="13"/>
      <c r="M669" s="13"/>
      <c r="N669" s="13"/>
      <c r="O669" s="13"/>
      <c r="P669" s="13"/>
      <c r="Q669" s="13"/>
      <c r="R669" s="13"/>
      <c r="S669" s="13"/>
      <c r="T669" s="13"/>
      <c r="U669" s="12"/>
      <c r="V669" s="14"/>
      <c r="W669" s="16"/>
      <c r="X669" s="16"/>
      <c r="Y669" s="16"/>
      <c r="Z669" s="16"/>
      <c r="AA669" s="15" t="str">
        <f aca="false">IF(AND(ISNUMBER(L669),ISNUMBER(M669)),M669-L669,"")</f>
        <v/>
      </c>
      <c r="AB669" s="15" t="str">
        <f aca="false">IF(AND(ISNUMBER(M669),ISNUMBER(P669)),P669-M669,"")</f>
        <v/>
      </c>
      <c r="AC669" s="15" t="str">
        <f aca="false">IF(AND(ISNUMBER(L669),ISNUMBER(P669)),P669-L669,"")</f>
        <v/>
      </c>
      <c r="AD669" s="15" t="str">
        <f aca="false">IF(AND(ISNUMBER(P669),ISNUMBER(Q669)),Q669-P669,"")</f>
        <v/>
      </c>
      <c r="AE669" s="15" t="str">
        <f aca="false">IF(AND(ISNUMBER(Q669),ISNUMBER(R669)),R669-Q669,IF(ISNUMBER(Y669),Y669,""))</f>
        <v/>
      </c>
      <c r="AF669" s="15" t="str">
        <f aca="false">IF(AND(ISNUMBER(R669),ISNUMBER(S669)),S669-R669,"")</f>
        <v/>
      </c>
      <c r="AG669" s="15" t="str">
        <f aca="false">IF(AND(ISNUMBER(S669),ISNUMBER(T669)),T669-S669,"")</f>
        <v/>
      </c>
      <c r="AH669" s="15" t="str">
        <f aca="false">IF(AND(ISNUMBER(L669),ISNUMBER(T669)),T669-L669,"")</f>
        <v/>
      </c>
      <c r="AI669" s="15" t="str">
        <f aca="false">IF(AND(ISNUMBER(O669),ISNUMBER(Q669)),Q669-O669,"")</f>
        <v/>
      </c>
      <c r="AJ669" s="15" t="str">
        <f aca="false">IF(B669="","",COUNT(L669:M669,P669:T669)&amp;"/7")</f>
        <v/>
      </c>
      <c r="AK669" s="15" t="str">
        <f aca="false">IF(B669="","",IF(OR(AND(ISNUMBER(L669),ISNUMBER(M669),M669&lt;L669),AND(ISNUMBER(M669),ISNUMBER(P669),P669&lt;M669),AND(ISNUMBER(P669),ISNUMBER(Q669),Q669&lt;P669),AND(ISNUMBER(Q669),ISNUMBER(R669),R669&lt;Q669),AND(ISNUMBER(R669),ISNUMBER(S669),S669&lt;R669),AND(ISNUMBER(S669),ISNUMBER(T669),T669&lt;S669),AND(ISNUMBER(N669),ISNUMBER(O669),O669&lt;N669)),"Urutan tanggal salah",IF(AND(ISNUMBER(Q669),ISNUMBER(R669),ISNUMBER(Y669),ABS(R669-Q669-Y669)&gt;2),"S tanggal ≠ Sailing tercatat",IF(AND(ISNUMBER(Q669),ISNUMBER(O669),ABS(Q669-O669)&gt;60),"Cek tahun laycan",IF(AND(ISNUMBER(Q669),ISNUMBER(N669),Q669&lt;N669),"Berangkat sebelum laycan",IF(NOT(ISNUMBER(AE669)),"S belum ada","OK"))))))</f>
        <v/>
      </c>
    </row>
    <row r="670" customFormat="false" ht="15" hidden="false" customHeight="false" outlineLevel="0" collapsed="false">
      <c r="A670" s="16" t="str">
        <f aca="false">IF(B670="","",ROW()-4)</f>
        <v/>
      </c>
      <c r="B670" s="12"/>
      <c r="C670" s="16"/>
      <c r="D670" s="16"/>
      <c r="E670" s="16"/>
      <c r="F670" s="16"/>
      <c r="G670" s="16"/>
      <c r="H670" s="16"/>
      <c r="I670" s="16"/>
      <c r="J670" s="16"/>
      <c r="K670" s="16"/>
      <c r="L670" s="13"/>
      <c r="M670" s="13"/>
      <c r="N670" s="13"/>
      <c r="O670" s="13"/>
      <c r="P670" s="13"/>
      <c r="Q670" s="13"/>
      <c r="R670" s="13"/>
      <c r="S670" s="13"/>
      <c r="T670" s="13"/>
      <c r="U670" s="12"/>
      <c r="V670" s="14"/>
      <c r="W670" s="16"/>
      <c r="X670" s="16"/>
      <c r="Y670" s="16"/>
      <c r="Z670" s="16"/>
      <c r="AA670" s="15" t="str">
        <f aca="false">IF(AND(ISNUMBER(L670),ISNUMBER(M670)),M670-L670,"")</f>
        <v/>
      </c>
      <c r="AB670" s="15" t="str">
        <f aca="false">IF(AND(ISNUMBER(M670),ISNUMBER(P670)),P670-M670,"")</f>
        <v/>
      </c>
      <c r="AC670" s="15" t="str">
        <f aca="false">IF(AND(ISNUMBER(L670),ISNUMBER(P670)),P670-L670,"")</f>
        <v/>
      </c>
      <c r="AD670" s="15" t="str">
        <f aca="false">IF(AND(ISNUMBER(P670),ISNUMBER(Q670)),Q670-P670,"")</f>
        <v/>
      </c>
      <c r="AE670" s="15" t="str">
        <f aca="false">IF(AND(ISNUMBER(Q670),ISNUMBER(R670)),R670-Q670,IF(ISNUMBER(Y670),Y670,""))</f>
        <v/>
      </c>
      <c r="AF670" s="15" t="str">
        <f aca="false">IF(AND(ISNUMBER(R670),ISNUMBER(S670)),S670-R670,"")</f>
        <v/>
      </c>
      <c r="AG670" s="15" t="str">
        <f aca="false">IF(AND(ISNUMBER(S670),ISNUMBER(T670)),T670-S670,"")</f>
        <v/>
      </c>
      <c r="AH670" s="15" t="str">
        <f aca="false">IF(AND(ISNUMBER(L670),ISNUMBER(T670)),T670-L670,"")</f>
        <v/>
      </c>
      <c r="AI670" s="15" t="str">
        <f aca="false">IF(AND(ISNUMBER(O670),ISNUMBER(Q670)),Q670-O670,"")</f>
        <v/>
      </c>
      <c r="AJ670" s="15" t="str">
        <f aca="false">IF(B670="","",COUNT(L670:M670,P670:T670)&amp;"/7")</f>
        <v/>
      </c>
      <c r="AK670" s="15" t="str">
        <f aca="false">IF(B670="","",IF(OR(AND(ISNUMBER(L670),ISNUMBER(M670),M670&lt;L670),AND(ISNUMBER(M670),ISNUMBER(P670),P670&lt;M670),AND(ISNUMBER(P670),ISNUMBER(Q670),Q670&lt;P670),AND(ISNUMBER(Q670),ISNUMBER(R670),R670&lt;Q670),AND(ISNUMBER(R670),ISNUMBER(S670),S670&lt;R670),AND(ISNUMBER(S670),ISNUMBER(T670),T670&lt;S670),AND(ISNUMBER(N670),ISNUMBER(O670),O670&lt;N670)),"Urutan tanggal salah",IF(AND(ISNUMBER(Q670),ISNUMBER(R670),ISNUMBER(Y670),ABS(R670-Q670-Y670)&gt;2),"S tanggal ≠ Sailing tercatat",IF(AND(ISNUMBER(Q670),ISNUMBER(O670),ABS(Q670-O670)&gt;60),"Cek tahun laycan",IF(AND(ISNUMBER(Q670),ISNUMBER(N670),Q670&lt;N670),"Berangkat sebelum laycan",IF(NOT(ISNUMBER(AE670)),"S belum ada","OK"))))))</f>
        <v/>
      </c>
    </row>
    <row r="671" customFormat="false" ht="15" hidden="false" customHeight="false" outlineLevel="0" collapsed="false">
      <c r="A671" s="16" t="str">
        <f aca="false">IF(B671="","",ROW()-4)</f>
        <v/>
      </c>
      <c r="B671" s="12"/>
      <c r="C671" s="16"/>
      <c r="D671" s="16"/>
      <c r="E671" s="16"/>
      <c r="F671" s="16"/>
      <c r="G671" s="16"/>
      <c r="H671" s="16"/>
      <c r="I671" s="16"/>
      <c r="J671" s="16"/>
      <c r="K671" s="16"/>
      <c r="L671" s="13"/>
      <c r="M671" s="13"/>
      <c r="N671" s="13"/>
      <c r="O671" s="13"/>
      <c r="P671" s="13"/>
      <c r="Q671" s="13"/>
      <c r="R671" s="13"/>
      <c r="S671" s="13"/>
      <c r="T671" s="13"/>
      <c r="U671" s="12"/>
      <c r="V671" s="14"/>
      <c r="W671" s="16"/>
      <c r="X671" s="16"/>
      <c r="Y671" s="16"/>
      <c r="Z671" s="16"/>
      <c r="AA671" s="15" t="str">
        <f aca="false">IF(AND(ISNUMBER(L671),ISNUMBER(M671)),M671-L671,"")</f>
        <v/>
      </c>
      <c r="AB671" s="15" t="str">
        <f aca="false">IF(AND(ISNUMBER(M671),ISNUMBER(P671)),P671-M671,"")</f>
        <v/>
      </c>
      <c r="AC671" s="15" t="str">
        <f aca="false">IF(AND(ISNUMBER(L671),ISNUMBER(P671)),P671-L671,"")</f>
        <v/>
      </c>
      <c r="AD671" s="15" t="str">
        <f aca="false">IF(AND(ISNUMBER(P671),ISNUMBER(Q671)),Q671-P671,"")</f>
        <v/>
      </c>
      <c r="AE671" s="15" t="str">
        <f aca="false">IF(AND(ISNUMBER(Q671),ISNUMBER(R671)),R671-Q671,IF(ISNUMBER(Y671),Y671,""))</f>
        <v/>
      </c>
      <c r="AF671" s="15" t="str">
        <f aca="false">IF(AND(ISNUMBER(R671),ISNUMBER(S671)),S671-R671,"")</f>
        <v/>
      </c>
      <c r="AG671" s="15" t="str">
        <f aca="false">IF(AND(ISNUMBER(S671),ISNUMBER(T671)),T671-S671,"")</f>
        <v/>
      </c>
      <c r="AH671" s="15" t="str">
        <f aca="false">IF(AND(ISNUMBER(L671),ISNUMBER(T671)),T671-L671,"")</f>
        <v/>
      </c>
      <c r="AI671" s="15" t="str">
        <f aca="false">IF(AND(ISNUMBER(O671),ISNUMBER(Q671)),Q671-O671,"")</f>
        <v/>
      </c>
      <c r="AJ671" s="15" t="str">
        <f aca="false">IF(B671="","",COUNT(L671:M671,P671:T671)&amp;"/7")</f>
        <v/>
      </c>
      <c r="AK671" s="15" t="str">
        <f aca="false">IF(B671="","",IF(OR(AND(ISNUMBER(L671),ISNUMBER(M671),M671&lt;L671),AND(ISNUMBER(M671),ISNUMBER(P671),P671&lt;M671),AND(ISNUMBER(P671),ISNUMBER(Q671),Q671&lt;P671),AND(ISNUMBER(Q671),ISNUMBER(R671),R671&lt;Q671),AND(ISNUMBER(R671),ISNUMBER(S671),S671&lt;R671),AND(ISNUMBER(S671),ISNUMBER(T671),T671&lt;S671),AND(ISNUMBER(N671),ISNUMBER(O671),O671&lt;N671)),"Urutan tanggal salah",IF(AND(ISNUMBER(Q671),ISNUMBER(R671),ISNUMBER(Y671),ABS(R671-Q671-Y671)&gt;2),"S tanggal ≠ Sailing tercatat",IF(AND(ISNUMBER(Q671),ISNUMBER(O671),ABS(Q671-O671)&gt;60),"Cek tahun laycan",IF(AND(ISNUMBER(Q671),ISNUMBER(N671),Q671&lt;N671),"Berangkat sebelum laycan",IF(NOT(ISNUMBER(AE671)),"S belum ada","OK"))))))</f>
        <v/>
      </c>
    </row>
    <row r="672" customFormat="false" ht="15" hidden="false" customHeight="false" outlineLevel="0" collapsed="false">
      <c r="A672" s="16" t="str">
        <f aca="false">IF(B672="","",ROW()-4)</f>
        <v/>
      </c>
      <c r="B672" s="12"/>
      <c r="C672" s="16"/>
      <c r="D672" s="16"/>
      <c r="E672" s="16"/>
      <c r="F672" s="16"/>
      <c r="G672" s="16"/>
      <c r="H672" s="16"/>
      <c r="I672" s="16"/>
      <c r="J672" s="16"/>
      <c r="K672" s="16"/>
      <c r="L672" s="13"/>
      <c r="M672" s="13"/>
      <c r="N672" s="13"/>
      <c r="O672" s="13"/>
      <c r="P672" s="13"/>
      <c r="Q672" s="13"/>
      <c r="R672" s="13"/>
      <c r="S672" s="13"/>
      <c r="T672" s="13"/>
      <c r="U672" s="12"/>
      <c r="V672" s="14"/>
      <c r="W672" s="16"/>
      <c r="X672" s="16"/>
      <c r="Y672" s="16"/>
      <c r="Z672" s="16"/>
      <c r="AA672" s="15" t="str">
        <f aca="false">IF(AND(ISNUMBER(L672),ISNUMBER(M672)),M672-L672,"")</f>
        <v/>
      </c>
      <c r="AB672" s="15" t="str">
        <f aca="false">IF(AND(ISNUMBER(M672),ISNUMBER(P672)),P672-M672,"")</f>
        <v/>
      </c>
      <c r="AC672" s="15" t="str">
        <f aca="false">IF(AND(ISNUMBER(L672),ISNUMBER(P672)),P672-L672,"")</f>
        <v/>
      </c>
      <c r="AD672" s="15" t="str">
        <f aca="false">IF(AND(ISNUMBER(P672),ISNUMBER(Q672)),Q672-P672,"")</f>
        <v/>
      </c>
      <c r="AE672" s="15" t="str">
        <f aca="false">IF(AND(ISNUMBER(Q672),ISNUMBER(R672)),R672-Q672,IF(ISNUMBER(Y672),Y672,""))</f>
        <v/>
      </c>
      <c r="AF672" s="15" t="str">
        <f aca="false">IF(AND(ISNUMBER(R672),ISNUMBER(S672)),S672-R672,"")</f>
        <v/>
      </c>
      <c r="AG672" s="15" t="str">
        <f aca="false">IF(AND(ISNUMBER(S672),ISNUMBER(T672)),T672-S672,"")</f>
        <v/>
      </c>
      <c r="AH672" s="15" t="str">
        <f aca="false">IF(AND(ISNUMBER(L672),ISNUMBER(T672)),T672-L672,"")</f>
        <v/>
      </c>
      <c r="AI672" s="15" t="str">
        <f aca="false">IF(AND(ISNUMBER(O672),ISNUMBER(Q672)),Q672-O672,"")</f>
        <v/>
      </c>
      <c r="AJ672" s="15" t="str">
        <f aca="false">IF(B672="","",COUNT(L672:M672,P672:T672)&amp;"/7")</f>
        <v/>
      </c>
      <c r="AK672" s="15" t="str">
        <f aca="false">IF(B672="","",IF(OR(AND(ISNUMBER(L672),ISNUMBER(M672),M672&lt;L672),AND(ISNUMBER(M672),ISNUMBER(P672),P672&lt;M672),AND(ISNUMBER(P672),ISNUMBER(Q672),Q672&lt;P672),AND(ISNUMBER(Q672),ISNUMBER(R672),R672&lt;Q672),AND(ISNUMBER(R672),ISNUMBER(S672),S672&lt;R672),AND(ISNUMBER(S672),ISNUMBER(T672),T672&lt;S672),AND(ISNUMBER(N672),ISNUMBER(O672),O672&lt;N672)),"Urutan tanggal salah",IF(AND(ISNUMBER(Q672),ISNUMBER(R672),ISNUMBER(Y672),ABS(R672-Q672-Y672)&gt;2),"S tanggal ≠ Sailing tercatat",IF(AND(ISNUMBER(Q672),ISNUMBER(O672),ABS(Q672-O672)&gt;60),"Cek tahun laycan",IF(AND(ISNUMBER(Q672),ISNUMBER(N672),Q672&lt;N672),"Berangkat sebelum laycan",IF(NOT(ISNUMBER(AE672)),"S belum ada","OK"))))))</f>
        <v/>
      </c>
    </row>
    <row r="673" customFormat="false" ht="15" hidden="false" customHeight="false" outlineLevel="0" collapsed="false">
      <c r="A673" s="16" t="str">
        <f aca="false">IF(B673="","",ROW()-4)</f>
        <v/>
      </c>
      <c r="B673" s="12"/>
      <c r="C673" s="16"/>
      <c r="D673" s="16"/>
      <c r="E673" s="16"/>
      <c r="F673" s="16"/>
      <c r="G673" s="16"/>
      <c r="H673" s="16"/>
      <c r="I673" s="16"/>
      <c r="J673" s="16"/>
      <c r="K673" s="16"/>
      <c r="L673" s="13"/>
      <c r="M673" s="13"/>
      <c r="N673" s="13"/>
      <c r="O673" s="13"/>
      <c r="P673" s="13"/>
      <c r="Q673" s="13"/>
      <c r="R673" s="13"/>
      <c r="S673" s="13"/>
      <c r="T673" s="13"/>
      <c r="U673" s="12"/>
      <c r="V673" s="14"/>
      <c r="W673" s="16"/>
      <c r="X673" s="16"/>
      <c r="Y673" s="16"/>
      <c r="Z673" s="16"/>
      <c r="AA673" s="15" t="str">
        <f aca="false">IF(AND(ISNUMBER(L673),ISNUMBER(M673)),M673-L673,"")</f>
        <v/>
      </c>
      <c r="AB673" s="15" t="str">
        <f aca="false">IF(AND(ISNUMBER(M673),ISNUMBER(P673)),P673-M673,"")</f>
        <v/>
      </c>
      <c r="AC673" s="15" t="str">
        <f aca="false">IF(AND(ISNUMBER(L673),ISNUMBER(P673)),P673-L673,"")</f>
        <v/>
      </c>
      <c r="AD673" s="15" t="str">
        <f aca="false">IF(AND(ISNUMBER(P673),ISNUMBER(Q673)),Q673-P673,"")</f>
        <v/>
      </c>
      <c r="AE673" s="15" t="str">
        <f aca="false">IF(AND(ISNUMBER(Q673),ISNUMBER(R673)),R673-Q673,IF(ISNUMBER(Y673),Y673,""))</f>
        <v/>
      </c>
      <c r="AF673" s="15" t="str">
        <f aca="false">IF(AND(ISNUMBER(R673),ISNUMBER(S673)),S673-R673,"")</f>
        <v/>
      </c>
      <c r="AG673" s="15" t="str">
        <f aca="false">IF(AND(ISNUMBER(S673),ISNUMBER(T673)),T673-S673,"")</f>
        <v/>
      </c>
      <c r="AH673" s="15" t="str">
        <f aca="false">IF(AND(ISNUMBER(L673),ISNUMBER(T673)),T673-L673,"")</f>
        <v/>
      </c>
      <c r="AI673" s="15" t="str">
        <f aca="false">IF(AND(ISNUMBER(O673),ISNUMBER(Q673)),Q673-O673,"")</f>
        <v/>
      </c>
      <c r="AJ673" s="15" t="str">
        <f aca="false">IF(B673="","",COUNT(L673:M673,P673:T673)&amp;"/7")</f>
        <v/>
      </c>
      <c r="AK673" s="15" t="str">
        <f aca="false">IF(B673="","",IF(OR(AND(ISNUMBER(L673),ISNUMBER(M673),M673&lt;L673),AND(ISNUMBER(M673),ISNUMBER(P673),P673&lt;M673),AND(ISNUMBER(P673),ISNUMBER(Q673),Q673&lt;P673),AND(ISNUMBER(Q673),ISNUMBER(R673),R673&lt;Q673),AND(ISNUMBER(R673),ISNUMBER(S673),S673&lt;R673),AND(ISNUMBER(S673),ISNUMBER(T673),T673&lt;S673),AND(ISNUMBER(N673),ISNUMBER(O673),O673&lt;N673)),"Urutan tanggal salah",IF(AND(ISNUMBER(Q673),ISNUMBER(R673),ISNUMBER(Y673),ABS(R673-Q673-Y673)&gt;2),"S tanggal ≠ Sailing tercatat",IF(AND(ISNUMBER(Q673),ISNUMBER(O673),ABS(Q673-O673)&gt;60),"Cek tahun laycan",IF(AND(ISNUMBER(Q673),ISNUMBER(N673),Q673&lt;N673),"Berangkat sebelum laycan",IF(NOT(ISNUMBER(AE673)),"S belum ada","OK"))))))</f>
        <v/>
      </c>
    </row>
    <row r="674" customFormat="false" ht="15" hidden="false" customHeight="false" outlineLevel="0" collapsed="false">
      <c r="A674" s="16" t="str">
        <f aca="false">IF(B674="","",ROW()-4)</f>
        <v/>
      </c>
      <c r="B674" s="12"/>
      <c r="C674" s="16"/>
      <c r="D674" s="16"/>
      <c r="E674" s="16"/>
      <c r="F674" s="16"/>
      <c r="G674" s="16"/>
      <c r="H674" s="16"/>
      <c r="I674" s="16"/>
      <c r="J674" s="16"/>
      <c r="K674" s="16"/>
      <c r="L674" s="13"/>
      <c r="M674" s="13"/>
      <c r="N674" s="13"/>
      <c r="O674" s="13"/>
      <c r="P674" s="13"/>
      <c r="Q674" s="13"/>
      <c r="R674" s="13"/>
      <c r="S674" s="13"/>
      <c r="T674" s="13"/>
      <c r="U674" s="12"/>
      <c r="V674" s="14"/>
      <c r="W674" s="16"/>
      <c r="X674" s="16"/>
      <c r="Y674" s="16"/>
      <c r="Z674" s="16"/>
      <c r="AA674" s="15" t="str">
        <f aca="false">IF(AND(ISNUMBER(L674),ISNUMBER(M674)),M674-L674,"")</f>
        <v/>
      </c>
      <c r="AB674" s="15" t="str">
        <f aca="false">IF(AND(ISNUMBER(M674),ISNUMBER(P674)),P674-M674,"")</f>
        <v/>
      </c>
      <c r="AC674" s="15" t="str">
        <f aca="false">IF(AND(ISNUMBER(L674),ISNUMBER(P674)),P674-L674,"")</f>
        <v/>
      </c>
      <c r="AD674" s="15" t="str">
        <f aca="false">IF(AND(ISNUMBER(P674),ISNUMBER(Q674)),Q674-P674,"")</f>
        <v/>
      </c>
      <c r="AE674" s="15" t="str">
        <f aca="false">IF(AND(ISNUMBER(Q674),ISNUMBER(R674)),R674-Q674,IF(ISNUMBER(Y674),Y674,""))</f>
        <v/>
      </c>
      <c r="AF674" s="15" t="str">
        <f aca="false">IF(AND(ISNUMBER(R674),ISNUMBER(S674)),S674-R674,"")</f>
        <v/>
      </c>
      <c r="AG674" s="15" t="str">
        <f aca="false">IF(AND(ISNUMBER(S674),ISNUMBER(T674)),T674-S674,"")</f>
        <v/>
      </c>
      <c r="AH674" s="15" t="str">
        <f aca="false">IF(AND(ISNUMBER(L674),ISNUMBER(T674)),T674-L674,"")</f>
        <v/>
      </c>
      <c r="AI674" s="15" t="str">
        <f aca="false">IF(AND(ISNUMBER(O674),ISNUMBER(Q674)),Q674-O674,"")</f>
        <v/>
      </c>
      <c r="AJ674" s="15" t="str">
        <f aca="false">IF(B674="","",COUNT(L674:M674,P674:T674)&amp;"/7")</f>
        <v/>
      </c>
      <c r="AK674" s="15" t="str">
        <f aca="false">IF(B674="","",IF(OR(AND(ISNUMBER(L674),ISNUMBER(M674),M674&lt;L674),AND(ISNUMBER(M674),ISNUMBER(P674),P674&lt;M674),AND(ISNUMBER(P674),ISNUMBER(Q674),Q674&lt;P674),AND(ISNUMBER(Q674),ISNUMBER(R674),R674&lt;Q674),AND(ISNUMBER(R674),ISNUMBER(S674),S674&lt;R674),AND(ISNUMBER(S674),ISNUMBER(T674),T674&lt;S674),AND(ISNUMBER(N674),ISNUMBER(O674),O674&lt;N674)),"Urutan tanggal salah",IF(AND(ISNUMBER(Q674),ISNUMBER(R674),ISNUMBER(Y674),ABS(R674-Q674-Y674)&gt;2),"S tanggal ≠ Sailing tercatat",IF(AND(ISNUMBER(Q674),ISNUMBER(O674),ABS(Q674-O674)&gt;60),"Cek tahun laycan",IF(AND(ISNUMBER(Q674),ISNUMBER(N674),Q674&lt;N674),"Berangkat sebelum laycan",IF(NOT(ISNUMBER(AE674)),"S belum ada","OK"))))))</f>
        <v/>
      </c>
    </row>
    <row r="675" customFormat="false" ht="15" hidden="false" customHeight="false" outlineLevel="0" collapsed="false">
      <c r="A675" s="16" t="str">
        <f aca="false">IF(B675="","",ROW()-4)</f>
        <v/>
      </c>
      <c r="B675" s="12"/>
      <c r="C675" s="16"/>
      <c r="D675" s="16"/>
      <c r="E675" s="16"/>
      <c r="F675" s="16"/>
      <c r="G675" s="16"/>
      <c r="H675" s="16"/>
      <c r="I675" s="16"/>
      <c r="J675" s="16"/>
      <c r="K675" s="16"/>
      <c r="L675" s="13"/>
      <c r="M675" s="13"/>
      <c r="N675" s="13"/>
      <c r="O675" s="13"/>
      <c r="P675" s="13"/>
      <c r="Q675" s="13"/>
      <c r="R675" s="13"/>
      <c r="S675" s="13"/>
      <c r="T675" s="13"/>
      <c r="U675" s="12"/>
      <c r="V675" s="14"/>
      <c r="W675" s="16"/>
      <c r="X675" s="16"/>
      <c r="Y675" s="16"/>
      <c r="Z675" s="16"/>
      <c r="AA675" s="15" t="str">
        <f aca="false">IF(AND(ISNUMBER(L675),ISNUMBER(M675)),M675-L675,"")</f>
        <v/>
      </c>
      <c r="AB675" s="15" t="str">
        <f aca="false">IF(AND(ISNUMBER(M675),ISNUMBER(P675)),P675-M675,"")</f>
        <v/>
      </c>
      <c r="AC675" s="15" t="str">
        <f aca="false">IF(AND(ISNUMBER(L675),ISNUMBER(P675)),P675-L675,"")</f>
        <v/>
      </c>
      <c r="AD675" s="15" t="str">
        <f aca="false">IF(AND(ISNUMBER(P675),ISNUMBER(Q675)),Q675-P675,"")</f>
        <v/>
      </c>
      <c r="AE675" s="15" t="str">
        <f aca="false">IF(AND(ISNUMBER(Q675),ISNUMBER(R675)),R675-Q675,IF(ISNUMBER(Y675),Y675,""))</f>
        <v/>
      </c>
      <c r="AF675" s="15" t="str">
        <f aca="false">IF(AND(ISNUMBER(R675),ISNUMBER(S675)),S675-R675,"")</f>
        <v/>
      </c>
      <c r="AG675" s="15" t="str">
        <f aca="false">IF(AND(ISNUMBER(S675),ISNUMBER(T675)),T675-S675,"")</f>
        <v/>
      </c>
      <c r="AH675" s="15" t="str">
        <f aca="false">IF(AND(ISNUMBER(L675),ISNUMBER(T675)),T675-L675,"")</f>
        <v/>
      </c>
      <c r="AI675" s="15" t="str">
        <f aca="false">IF(AND(ISNUMBER(O675),ISNUMBER(Q675)),Q675-O675,"")</f>
        <v/>
      </c>
      <c r="AJ675" s="15" t="str">
        <f aca="false">IF(B675="","",COUNT(L675:M675,P675:T675)&amp;"/7")</f>
        <v/>
      </c>
      <c r="AK675" s="15" t="str">
        <f aca="false">IF(B675="","",IF(OR(AND(ISNUMBER(L675),ISNUMBER(M675),M675&lt;L675),AND(ISNUMBER(M675),ISNUMBER(P675),P675&lt;M675),AND(ISNUMBER(P675),ISNUMBER(Q675),Q675&lt;P675),AND(ISNUMBER(Q675),ISNUMBER(R675),R675&lt;Q675),AND(ISNUMBER(R675),ISNUMBER(S675),S675&lt;R675),AND(ISNUMBER(S675),ISNUMBER(T675),T675&lt;S675),AND(ISNUMBER(N675),ISNUMBER(O675),O675&lt;N675)),"Urutan tanggal salah",IF(AND(ISNUMBER(Q675),ISNUMBER(R675),ISNUMBER(Y675),ABS(R675-Q675-Y675)&gt;2),"S tanggal ≠ Sailing tercatat",IF(AND(ISNUMBER(Q675),ISNUMBER(O675),ABS(Q675-O675)&gt;60),"Cek tahun laycan",IF(AND(ISNUMBER(Q675),ISNUMBER(N675),Q675&lt;N675),"Berangkat sebelum laycan",IF(NOT(ISNUMBER(AE675)),"S belum ada","OK"))))))</f>
        <v/>
      </c>
    </row>
    <row r="676" customFormat="false" ht="15" hidden="false" customHeight="false" outlineLevel="0" collapsed="false">
      <c r="A676" s="16" t="str">
        <f aca="false">IF(B676="","",ROW()-4)</f>
        <v/>
      </c>
      <c r="B676" s="12"/>
      <c r="C676" s="16"/>
      <c r="D676" s="16"/>
      <c r="E676" s="16"/>
      <c r="F676" s="16"/>
      <c r="G676" s="16"/>
      <c r="H676" s="16"/>
      <c r="I676" s="16"/>
      <c r="J676" s="16"/>
      <c r="K676" s="16"/>
      <c r="L676" s="13"/>
      <c r="M676" s="13"/>
      <c r="N676" s="13"/>
      <c r="O676" s="13"/>
      <c r="P676" s="13"/>
      <c r="Q676" s="13"/>
      <c r="R676" s="13"/>
      <c r="S676" s="13"/>
      <c r="T676" s="13"/>
      <c r="U676" s="12"/>
      <c r="V676" s="14"/>
      <c r="W676" s="16"/>
      <c r="X676" s="16"/>
      <c r="Y676" s="16"/>
      <c r="Z676" s="16"/>
      <c r="AA676" s="15" t="str">
        <f aca="false">IF(AND(ISNUMBER(L676),ISNUMBER(M676)),M676-L676,"")</f>
        <v/>
      </c>
      <c r="AB676" s="15" t="str">
        <f aca="false">IF(AND(ISNUMBER(M676),ISNUMBER(P676)),P676-M676,"")</f>
        <v/>
      </c>
      <c r="AC676" s="15" t="str">
        <f aca="false">IF(AND(ISNUMBER(L676),ISNUMBER(P676)),P676-L676,"")</f>
        <v/>
      </c>
      <c r="AD676" s="15" t="str">
        <f aca="false">IF(AND(ISNUMBER(P676),ISNUMBER(Q676)),Q676-P676,"")</f>
        <v/>
      </c>
      <c r="AE676" s="15" t="str">
        <f aca="false">IF(AND(ISNUMBER(Q676),ISNUMBER(R676)),R676-Q676,IF(ISNUMBER(Y676),Y676,""))</f>
        <v/>
      </c>
      <c r="AF676" s="15" t="str">
        <f aca="false">IF(AND(ISNUMBER(R676),ISNUMBER(S676)),S676-R676,"")</f>
        <v/>
      </c>
      <c r="AG676" s="15" t="str">
        <f aca="false">IF(AND(ISNUMBER(S676),ISNUMBER(T676)),T676-S676,"")</f>
        <v/>
      </c>
      <c r="AH676" s="15" t="str">
        <f aca="false">IF(AND(ISNUMBER(L676),ISNUMBER(T676)),T676-L676,"")</f>
        <v/>
      </c>
      <c r="AI676" s="15" t="str">
        <f aca="false">IF(AND(ISNUMBER(O676),ISNUMBER(Q676)),Q676-O676,"")</f>
        <v/>
      </c>
      <c r="AJ676" s="15" t="str">
        <f aca="false">IF(B676="","",COUNT(L676:M676,P676:T676)&amp;"/7")</f>
        <v/>
      </c>
      <c r="AK676" s="15" t="str">
        <f aca="false">IF(B676="","",IF(OR(AND(ISNUMBER(L676),ISNUMBER(M676),M676&lt;L676),AND(ISNUMBER(M676),ISNUMBER(P676),P676&lt;M676),AND(ISNUMBER(P676),ISNUMBER(Q676),Q676&lt;P676),AND(ISNUMBER(Q676),ISNUMBER(R676),R676&lt;Q676),AND(ISNUMBER(R676),ISNUMBER(S676),S676&lt;R676),AND(ISNUMBER(S676),ISNUMBER(T676),T676&lt;S676),AND(ISNUMBER(N676),ISNUMBER(O676),O676&lt;N676)),"Urutan tanggal salah",IF(AND(ISNUMBER(Q676),ISNUMBER(R676),ISNUMBER(Y676),ABS(R676-Q676-Y676)&gt;2),"S tanggal ≠ Sailing tercatat",IF(AND(ISNUMBER(Q676),ISNUMBER(O676),ABS(Q676-O676)&gt;60),"Cek tahun laycan",IF(AND(ISNUMBER(Q676),ISNUMBER(N676),Q676&lt;N676),"Berangkat sebelum laycan",IF(NOT(ISNUMBER(AE676)),"S belum ada","OK"))))))</f>
        <v/>
      </c>
    </row>
    <row r="677" customFormat="false" ht="15" hidden="false" customHeight="false" outlineLevel="0" collapsed="false">
      <c r="A677" s="16" t="str">
        <f aca="false">IF(B677="","",ROW()-4)</f>
        <v/>
      </c>
      <c r="B677" s="12"/>
      <c r="C677" s="16"/>
      <c r="D677" s="16"/>
      <c r="E677" s="16"/>
      <c r="F677" s="16"/>
      <c r="G677" s="16"/>
      <c r="H677" s="16"/>
      <c r="I677" s="16"/>
      <c r="J677" s="16"/>
      <c r="K677" s="16"/>
      <c r="L677" s="13"/>
      <c r="M677" s="13"/>
      <c r="N677" s="13"/>
      <c r="O677" s="13"/>
      <c r="P677" s="13"/>
      <c r="Q677" s="13"/>
      <c r="R677" s="13"/>
      <c r="S677" s="13"/>
      <c r="T677" s="13"/>
      <c r="U677" s="12"/>
      <c r="V677" s="14"/>
      <c r="W677" s="16"/>
      <c r="X677" s="16"/>
      <c r="Y677" s="16"/>
      <c r="Z677" s="16"/>
      <c r="AA677" s="15" t="str">
        <f aca="false">IF(AND(ISNUMBER(L677),ISNUMBER(M677)),M677-L677,"")</f>
        <v/>
      </c>
      <c r="AB677" s="15" t="str">
        <f aca="false">IF(AND(ISNUMBER(M677),ISNUMBER(P677)),P677-M677,"")</f>
        <v/>
      </c>
      <c r="AC677" s="15" t="str">
        <f aca="false">IF(AND(ISNUMBER(L677),ISNUMBER(P677)),P677-L677,"")</f>
        <v/>
      </c>
      <c r="AD677" s="15" t="str">
        <f aca="false">IF(AND(ISNUMBER(P677),ISNUMBER(Q677)),Q677-P677,"")</f>
        <v/>
      </c>
      <c r="AE677" s="15" t="str">
        <f aca="false">IF(AND(ISNUMBER(Q677),ISNUMBER(R677)),R677-Q677,IF(ISNUMBER(Y677),Y677,""))</f>
        <v/>
      </c>
      <c r="AF677" s="15" t="str">
        <f aca="false">IF(AND(ISNUMBER(R677),ISNUMBER(S677)),S677-R677,"")</f>
        <v/>
      </c>
      <c r="AG677" s="15" t="str">
        <f aca="false">IF(AND(ISNUMBER(S677),ISNUMBER(T677)),T677-S677,"")</f>
        <v/>
      </c>
      <c r="AH677" s="15" t="str">
        <f aca="false">IF(AND(ISNUMBER(L677),ISNUMBER(T677)),T677-L677,"")</f>
        <v/>
      </c>
      <c r="AI677" s="15" t="str">
        <f aca="false">IF(AND(ISNUMBER(O677),ISNUMBER(Q677)),Q677-O677,"")</f>
        <v/>
      </c>
      <c r="AJ677" s="15" t="str">
        <f aca="false">IF(B677="","",COUNT(L677:M677,P677:T677)&amp;"/7")</f>
        <v/>
      </c>
      <c r="AK677" s="15" t="str">
        <f aca="false">IF(B677="","",IF(OR(AND(ISNUMBER(L677),ISNUMBER(M677),M677&lt;L677),AND(ISNUMBER(M677),ISNUMBER(P677),P677&lt;M677),AND(ISNUMBER(P677),ISNUMBER(Q677),Q677&lt;P677),AND(ISNUMBER(Q677),ISNUMBER(R677),R677&lt;Q677),AND(ISNUMBER(R677),ISNUMBER(S677),S677&lt;R677),AND(ISNUMBER(S677),ISNUMBER(T677),T677&lt;S677),AND(ISNUMBER(N677),ISNUMBER(O677),O677&lt;N677)),"Urutan tanggal salah",IF(AND(ISNUMBER(Q677),ISNUMBER(R677),ISNUMBER(Y677),ABS(R677-Q677-Y677)&gt;2),"S tanggal ≠ Sailing tercatat",IF(AND(ISNUMBER(Q677),ISNUMBER(O677),ABS(Q677-O677)&gt;60),"Cek tahun laycan",IF(AND(ISNUMBER(Q677),ISNUMBER(N677),Q677&lt;N677),"Berangkat sebelum laycan",IF(NOT(ISNUMBER(AE677)),"S belum ada","OK"))))))</f>
        <v/>
      </c>
    </row>
    <row r="678" customFormat="false" ht="15" hidden="false" customHeight="false" outlineLevel="0" collapsed="false">
      <c r="A678" s="16" t="str">
        <f aca="false">IF(B678="","",ROW()-4)</f>
        <v/>
      </c>
      <c r="B678" s="12"/>
      <c r="C678" s="16"/>
      <c r="D678" s="16"/>
      <c r="E678" s="16"/>
      <c r="F678" s="16"/>
      <c r="G678" s="16"/>
      <c r="H678" s="16"/>
      <c r="I678" s="16"/>
      <c r="J678" s="16"/>
      <c r="K678" s="16"/>
      <c r="L678" s="13"/>
      <c r="M678" s="13"/>
      <c r="N678" s="13"/>
      <c r="O678" s="13"/>
      <c r="P678" s="13"/>
      <c r="Q678" s="13"/>
      <c r="R678" s="13"/>
      <c r="S678" s="13"/>
      <c r="T678" s="13"/>
      <c r="U678" s="12"/>
      <c r="V678" s="14"/>
      <c r="W678" s="16"/>
      <c r="X678" s="16"/>
      <c r="Y678" s="16"/>
      <c r="Z678" s="16"/>
      <c r="AA678" s="15" t="str">
        <f aca="false">IF(AND(ISNUMBER(L678),ISNUMBER(M678)),M678-L678,"")</f>
        <v/>
      </c>
      <c r="AB678" s="15" t="str">
        <f aca="false">IF(AND(ISNUMBER(M678),ISNUMBER(P678)),P678-M678,"")</f>
        <v/>
      </c>
      <c r="AC678" s="15" t="str">
        <f aca="false">IF(AND(ISNUMBER(L678),ISNUMBER(P678)),P678-L678,"")</f>
        <v/>
      </c>
      <c r="AD678" s="15" t="str">
        <f aca="false">IF(AND(ISNUMBER(P678),ISNUMBER(Q678)),Q678-P678,"")</f>
        <v/>
      </c>
      <c r="AE678" s="15" t="str">
        <f aca="false">IF(AND(ISNUMBER(Q678),ISNUMBER(R678)),R678-Q678,IF(ISNUMBER(Y678),Y678,""))</f>
        <v/>
      </c>
      <c r="AF678" s="15" t="str">
        <f aca="false">IF(AND(ISNUMBER(R678),ISNUMBER(S678)),S678-R678,"")</f>
        <v/>
      </c>
      <c r="AG678" s="15" t="str">
        <f aca="false">IF(AND(ISNUMBER(S678),ISNUMBER(T678)),T678-S678,"")</f>
        <v/>
      </c>
      <c r="AH678" s="15" t="str">
        <f aca="false">IF(AND(ISNUMBER(L678),ISNUMBER(T678)),T678-L678,"")</f>
        <v/>
      </c>
      <c r="AI678" s="15" t="str">
        <f aca="false">IF(AND(ISNUMBER(O678),ISNUMBER(Q678)),Q678-O678,"")</f>
        <v/>
      </c>
      <c r="AJ678" s="15" t="str">
        <f aca="false">IF(B678="","",COUNT(L678:M678,P678:T678)&amp;"/7")</f>
        <v/>
      </c>
      <c r="AK678" s="15" t="str">
        <f aca="false">IF(B678="","",IF(OR(AND(ISNUMBER(L678),ISNUMBER(M678),M678&lt;L678),AND(ISNUMBER(M678),ISNUMBER(P678),P678&lt;M678),AND(ISNUMBER(P678),ISNUMBER(Q678),Q678&lt;P678),AND(ISNUMBER(Q678),ISNUMBER(R678),R678&lt;Q678),AND(ISNUMBER(R678),ISNUMBER(S678),S678&lt;R678),AND(ISNUMBER(S678),ISNUMBER(T678),T678&lt;S678),AND(ISNUMBER(N678),ISNUMBER(O678),O678&lt;N678)),"Urutan tanggal salah",IF(AND(ISNUMBER(Q678),ISNUMBER(R678),ISNUMBER(Y678),ABS(R678-Q678-Y678)&gt;2),"S tanggal ≠ Sailing tercatat",IF(AND(ISNUMBER(Q678),ISNUMBER(O678),ABS(Q678-O678)&gt;60),"Cek tahun laycan",IF(AND(ISNUMBER(Q678),ISNUMBER(N678),Q678&lt;N678),"Berangkat sebelum laycan",IF(NOT(ISNUMBER(AE678)),"S belum ada","OK"))))))</f>
        <v/>
      </c>
    </row>
    <row r="679" customFormat="false" ht="15" hidden="false" customHeight="false" outlineLevel="0" collapsed="false">
      <c r="A679" s="16" t="str">
        <f aca="false">IF(B679="","",ROW()-4)</f>
        <v/>
      </c>
      <c r="B679" s="12"/>
      <c r="C679" s="16"/>
      <c r="D679" s="16"/>
      <c r="E679" s="16"/>
      <c r="F679" s="16"/>
      <c r="G679" s="16"/>
      <c r="H679" s="16"/>
      <c r="I679" s="16"/>
      <c r="J679" s="16"/>
      <c r="K679" s="16"/>
      <c r="L679" s="13"/>
      <c r="M679" s="13"/>
      <c r="N679" s="13"/>
      <c r="O679" s="13"/>
      <c r="P679" s="13"/>
      <c r="Q679" s="13"/>
      <c r="R679" s="13"/>
      <c r="S679" s="13"/>
      <c r="T679" s="13"/>
      <c r="U679" s="12"/>
      <c r="V679" s="14"/>
      <c r="W679" s="16"/>
      <c r="X679" s="16"/>
      <c r="Y679" s="16"/>
      <c r="Z679" s="16"/>
      <c r="AA679" s="15" t="str">
        <f aca="false">IF(AND(ISNUMBER(L679),ISNUMBER(M679)),M679-L679,"")</f>
        <v/>
      </c>
      <c r="AB679" s="15" t="str">
        <f aca="false">IF(AND(ISNUMBER(M679),ISNUMBER(P679)),P679-M679,"")</f>
        <v/>
      </c>
      <c r="AC679" s="15" t="str">
        <f aca="false">IF(AND(ISNUMBER(L679),ISNUMBER(P679)),P679-L679,"")</f>
        <v/>
      </c>
      <c r="AD679" s="15" t="str">
        <f aca="false">IF(AND(ISNUMBER(P679),ISNUMBER(Q679)),Q679-P679,"")</f>
        <v/>
      </c>
      <c r="AE679" s="15" t="str">
        <f aca="false">IF(AND(ISNUMBER(Q679),ISNUMBER(R679)),R679-Q679,IF(ISNUMBER(Y679),Y679,""))</f>
        <v/>
      </c>
      <c r="AF679" s="15" t="str">
        <f aca="false">IF(AND(ISNUMBER(R679),ISNUMBER(S679)),S679-R679,"")</f>
        <v/>
      </c>
      <c r="AG679" s="15" t="str">
        <f aca="false">IF(AND(ISNUMBER(S679),ISNUMBER(T679)),T679-S679,"")</f>
        <v/>
      </c>
      <c r="AH679" s="15" t="str">
        <f aca="false">IF(AND(ISNUMBER(L679),ISNUMBER(T679)),T679-L679,"")</f>
        <v/>
      </c>
      <c r="AI679" s="15" t="str">
        <f aca="false">IF(AND(ISNUMBER(O679),ISNUMBER(Q679)),Q679-O679,"")</f>
        <v/>
      </c>
      <c r="AJ679" s="15" t="str">
        <f aca="false">IF(B679="","",COUNT(L679:M679,P679:T679)&amp;"/7")</f>
        <v/>
      </c>
      <c r="AK679" s="15" t="str">
        <f aca="false">IF(B679="","",IF(OR(AND(ISNUMBER(L679),ISNUMBER(M679),M679&lt;L679),AND(ISNUMBER(M679),ISNUMBER(P679),P679&lt;M679),AND(ISNUMBER(P679),ISNUMBER(Q679),Q679&lt;P679),AND(ISNUMBER(Q679),ISNUMBER(R679),R679&lt;Q679),AND(ISNUMBER(R679),ISNUMBER(S679),S679&lt;R679),AND(ISNUMBER(S679),ISNUMBER(T679),T679&lt;S679),AND(ISNUMBER(N679),ISNUMBER(O679),O679&lt;N679)),"Urutan tanggal salah",IF(AND(ISNUMBER(Q679),ISNUMBER(R679),ISNUMBER(Y679),ABS(R679-Q679-Y679)&gt;2),"S tanggal ≠ Sailing tercatat",IF(AND(ISNUMBER(Q679),ISNUMBER(O679),ABS(Q679-O679)&gt;60),"Cek tahun laycan",IF(AND(ISNUMBER(Q679),ISNUMBER(N679),Q679&lt;N679),"Berangkat sebelum laycan",IF(NOT(ISNUMBER(AE679)),"S belum ada","OK"))))))</f>
        <v/>
      </c>
    </row>
    <row r="680" customFormat="false" ht="15" hidden="false" customHeight="false" outlineLevel="0" collapsed="false">
      <c r="A680" s="16" t="str">
        <f aca="false">IF(B680="","",ROW()-4)</f>
        <v/>
      </c>
      <c r="B680" s="12"/>
      <c r="C680" s="16"/>
      <c r="D680" s="16"/>
      <c r="E680" s="16"/>
      <c r="F680" s="16"/>
      <c r="G680" s="16"/>
      <c r="H680" s="16"/>
      <c r="I680" s="16"/>
      <c r="J680" s="16"/>
      <c r="K680" s="16"/>
      <c r="L680" s="13"/>
      <c r="M680" s="13"/>
      <c r="N680" s="13"/>
      <c r="O680" s="13"/>
      <c r="P680" s="13"/>
      <c r="Q680" s="13"/>
      <c r="R680" s="13"/>
      <c r="S680" s="13"/>
      <c r="T680" s="13"/>
      <c r="U680" s="12"/>
      <c r="V680" s="14"/>
      <c r="W680" s="16"/>
      <c r="X680" s="16"/>
      <c r="Y680" s="16"/>
      <c r="Z680" s="16"/>
      <c r="AA680" s="15" t="str">
        <f aca="false">IF(AND(ISNUMBER(L680),ISNUMBER(M680)),M680-L680,"")</f>
        <v/>
      </c>
      <c r="AB680" s="15" t="str">
        <f aca="false">IF(AND(ISNUMBER(M680),ISNUMBER(P680)),P680-M680,"")</f>
        <v/>
      </c>
      <c r="AC680" s="15" t="str">
        <f aca="false">IF(AND(ISNUMBER(L680),ISNUMBER(P680)),P680-L680,"")</f>
        <v/>
      </c>
      <c r="AD680" s="15" t="str">
        <f aca="false">IF(AND(ISNUMBER(P680),ISNUMBER(Q680)),Q680-P680,"")</f>
        <v/>
      </c>
      <c r="AE680" s="15" t="str">
        <f aca="false">IF(AND(ISNUMBER(Q680),ISNUMBER(R680)),R680-Q680,IF(ISNUMBER(Y680),Y680,""))</f>
        <v/>
      </c>
      <c r="AF680" s="15" t="str">
        <f aca="false">IF(AND(ISNUMBER(R680),ISNUMBER(S680)),S680-R680,"")</f>
        <v/>
      </c>
      <c r="AG680" s="15" t="str">
        <f aca="false">IF(AND(ISNUMBER(S680),ISNUMBER(T680)),T680-S680,"")</f>
        <v/>
      </c>
      <c r="AH680" s="15" t="str">
        <f aca="false">IF(AND(ISNUMBER(L680),ISNUMBER(T680)),T680-L680,"")</f>
        <v/>
      </c>
      <c r="AI680" s="15" t="str">
        <f aca="false">IF(AND(ISNUMBER(O680),ISNUMBER(Q680)),Q680-O680,"")</f>
        <v/>
      </c>
      <c r="AJ680" s="15" t="str">
        <f aca="false">IF(B680="","",COUNT(L680:M680,P680:T680)&amp;"/7")</f>
        <v/>
      </c>
      <c r="AK680" s="15" t="str">
        <f aca="false">IF(B680="","",IF(OR(AND(ISNUMBER(L680),ISNUMBER(M680),M680&lt;L680),AND(ISNUMBER(M680),ISNUMBER(P680),P680&lt;M680),AND(ISNUMBER(P680),ISNUMBER(Q680),Q680&lt;P680),AND(ISNUMBER(Q680),ISNUMBER(R680),R680&lt;Q680),AND(ISNUMBER(R680),ISNUMBER(S680),S680&lt;R680),AND(ISNUMBER(S680),ISNUMBER(T680),T680&lt;S680),AND(ISNUMBER(N680),ISNUMBER(O680),O680&lt;N680)),"Urutan tanggal salah",IF(AND(ISNUMBER(Q680),ISNUMBER(R680),ISNUMBER(Y680),ABS(R680-Q680-Y680)&gt;2),"S tanggal ≠ Sailing tercatat",IF(AND(ISNUMBER(Q680),ISNUMBER(O680),ABS(Q680-O680)&gt;60),"Cek tahun laycan",IF(AND(ISNUMBER(Q680),ISNUMBER(N680),Q680&lt;N680),"Berangkat sebelum laycan",IF(NOT(ISNUMBER(AE680)),"S belum ada","OK"))))))</f>
        <v/>
      </c>
    </row>
    <row r="681" customFormat="false" ht="15" hidden="false" customHeight="false" outlineLevel="0" collapsed="false">
      <c r="A681" s="16" t="str">
        <f aca="false">IF(B681="","",ROW()-4)</f>
        <v/>
      </c>
      <c r="B681" s="12"/>
      <c r="C681" s="16"/>
      <c r="D681" s="16"/>
      <c r="E681" s="16"/>
      <c r="F681" s="16"/>
      <c r="G681" s="16"/>
      <c r="H681" s="16"/>
      <c r="I681" s="16"/>
      <c r="J681" s="16"/>
      <c r="K681" s="16"/>
      <c r="L681" s="13"/>
      <c r="M681" s="13"/>
      <c r="N681" s="13"/>
      <c r="O681" s="13"/>
      <c r="P681" s="13"/>
      <c r="Q681" s="13"/>
      <c r="R681" s="13"/>
      <c r="S681" s="13"/>
      <c r="T681" s="13"/>
      <c r="U681" s="12"/>
      <c r="V681" s="14"/>
      <c r="W681" s="16"/>
      <c r="X681" s="16"/>
      <c r="Y681" s="16"/>
      <c r="Z681" s="16"/>
      <c r="AA681" s="15" t="str">
        <f aca="false">IF(AND(ISNUMBER(L681),ISNUMBER(M681)),M681-L681,"")</f>
        <v/>
      </c>
      <c r="AB681" s="15" t="str">
        <f aca="false">IF(AND(ISNUMBER(M681),ISNUMBER(P681)),P681-M681,"")</f>
        <v/>
      </c>
      <c r="AC681" s="15" t="str">
        <f aca="false">IF(AND(ISNUMBER(L681),ISNUMBER(P681)),P681-L681,"")</f>
        <v/>
      </c>
      <c r="AD681" s="15" t="str">
        <f aca="false">IF(AND(ISNUMBER(P681),ISNUMBER(Q681)),Q681-P681,"")</f>
        <v/>
      </c>
      <c r="AE681" s="15" t="str">
        <f aca="false">IF(AND(ISNUMBER(Q681),ISNUMBER(R681)),R681-Q681,IF(ISNUMBER(Y681),Y681,""))</f>
        <v/>
      </c>
      <c r="AF681" s="15" t="str">
        <f aca="false">IF(AND(ISNUMBER(R681),ISNUMBER(S681)),S681-R681,"")</f>
        <v/>
      </c>
      <c r="AG681" s="15" t="str">
        <f aca="false">IF(AND(ISNUMBER(S681),ISNUMBER(T681)),T681-S681,"")</f>
        <v/>
      </c>
      <c r="AH681" s="15" t="str">
        <f aca="false">IF(AND(ISNUMBER(L681),ISNUMBER(T681)),T681-L681,"")</f>
        <v/>
      </c>
      <c r="AI681" s="15" t="str">
        <f aca="false">IF(AND(ISNUMBER(O681),ISNUMBER(Q681)),Q681-O681,"")</f>
        <v/>
      </c>
      <c r="AJ681" s="15" t="str">
        <f aca="false">IF(B681="","",COUNT(L681:M681,P681:T681)&amp;"/7")</f>
        <v/>
      </c>
      <c r="AK681" s="15" t="str">
        <f aca="false">IF(B681="","",IF(OR(AND(ISNUMBER(L681),ISNUMBER(M681),M681&lt;L681),AND(ISNUMBER(M681),ISNUMBER(P681),P681&lt;M681),AND(ISNUMBER(P681),ISNUMBER(Q681),Q681&lt;P681),AND(ISNUMBER(Q681),ISNUMBER(R681),R681&lt;Q681),AND(ISNUMBER(R681),ISNUMBER(S681),S681&lt;R681),AND(ISNUMBER(S681),ISNUMBER(T681),T681&lt;S681),AND(ISNUMBER(N681),ISNUMBER(O681),O681&lt;N681)),"Urutan tanggal salah",IF(AND(ISNUMBER(Q681),ISNUMBER(R681),ISNUMBER(Y681),ABS(R681-Q681-Y681)&gt;2),"S tanggal ≠ Sailing tercatat",IF(AND(ISNUMBER(Q681),ISNUMBER(O681),ABS(Q681-O681)&gt;60),"Cek tahun laycan",IF(AND(ISNUMBER(Q681),ISNUMBER(N681),Q681&lt;N681),"Berangkat sebelum laycan",IF(NOT(ISNUMBER(AE681)),"S belum ada","OK"))))))</f>
        <v/>
      </c>
    </row>
    <row r="682" customFormat="false" ht="15" hidden="false" customHeight="false" outlineLevel="0" collapsed="false">
      <c r="A682" s="16" t="str">
        <f aca="false">IF(B682="","",ROW()-4)</f>
        <v/>
      </c>
      <c r="B682" s="12"/>
      <c r="C682" s="16"/>
      <c r="D682" s="16"/>
      <c r="E682" s="16"/>
      <c r="F682" s="16"/>
      <c r="G682" s="16"/>
      <c r="H682" s="16"/>
      <c r="I682" s="16"/>
      <c r="J682" s="16"/>
      <c r="K682" s="16"/>
      <c r="L682" s="13"/>
      <c r="M682" s="13"/>
      <c r="N682" s="13"/>
      <c r="O682" s="13"/>
      <c r="P682" s="13"/>
      <c r="Q682" s="13"/>
      <c r="R682" s="13"/>
      <c r="S682" s="13"/>
      <c r="T682" s="13"/>
      <c r="U682" s="12"/>
      <c r="V682" s="14"/>
      <c r="W682" s="16"/>
      <c r="X682" s="16"/>
      <c r="Y682" s="16"/>
      <c r="Z682" s="16"/>
      <c r="AA682" s="15" t="str">
        <f aca="false">IF(AND(ISNUMBER(L682),ISNUMBER(M682)),M682-L682,"")</f>
        <v/>
      </c>
      <c r="AB682" s="15" t="str">
        <f aca="false">IF(AND(ISNUMBER(M682),ISNUMBER(P682)),P682-M682,"")</f>
        <v/>
      </c>
      <c r="AC682" s="15" t="str">
        <f aca="false">IF(AND(ISNUMBER(L682),ISNUMBER(P682)),P682-L682,"")</f>
        <v/>
      </c>
      <c r="AD682" s="15" t="str">
        <f aca="false">IF(AND(ISNUMBER(P682),ISNUMBER(Q682)),Q682-P682,"")</f>
        <v/>
      </c>
      <c r="AE682" s="15" t="str">
        <f aca="false">IF(AND(ISNUMBER(Q682),ISNUMBER(R682)),R682-Q682,IF(ISNUMBER(Y682),Y682,""))</f>
        <v/>
      </c>
      <c r="AF682" s="15" t="str">
        <f aca="false">IF(AND(ISNUMBER(R682),ISNUMBER(S682)),S682-R682,"")</f>
        <v/>
      </c>
      <c r="AG682" s="15" t="str">
        <f aca="false">IF(AND(ISNUMBER(S682),ISNUMBER(T682)),T682-S682,"")</f>
        <v/>
      </c>
      <c r="AH682" s="15" t="str">
        <f aca="false">IF(AND(ISNUMBER(L682),ISNUMBER(T682)),T682-L682,"")</f>
        <v/>
      </c>
      <c r="AI682" s="15" t="str">
        <f aca="false">IF(AND(ISNUMBER(O682),ISNUMBER(Q682)),Q682-O682,"")</f>
        <v/>
      </c>
      <c r="AJ682" s="15" t="str">
        <f aca="false">IF(B682="","",COUNT(L682:M682,P682:T682)&amp;"/7")</f>
        <v/>
      </c>
      <c r="AK682" s="15" t="str">
        <f aca="false">IF(B682="","",IF(OR(AND(ISNUMBER(L682),ISNUMBER(M682),M682&lt;L682),AND(ISNUMBER(M682),ISNUMBER(P682),P682&lt;M682),AND(ISNUMBER(P682),ISNUMBER(Q682),Q682&lt;P682),AND(ISNUMBER(Q682),ISNUMBER(R682),R682&lt;Q682),AND(ISNUMBER(R682),ISNUMBER(S682),S682&lt;R682),AND(ISNUMBER(S682),ISNUMBER(T682),T682&lt;S682),AND(ISNUMBER(N682),ISNUMBER(O682),O682&lt;N682)),"Urutan tanggal salah",IF(AND(ISNUMBER(Q682),ISNUMBER(R682),ISNUMBER(Y682),ABS(R682-Q682-Y682)&gt;2),"S tanggal ≠ Sailing tercatat",IF(AND(ISNUMBER(Q682),ISNUMBER(O682),ABS(Q682-O682)&gt;60),"Cek tahun laycan",IF(AND(ISNUMBER(Q682),ISNUMBER(N682),Q682&lt;N682),"Berangkat sebelum laycan",IF(NOT(ISNUMBER(AE682)),"S belum ada","OK"))))))</f>
        <v/>
      </c>
    </row>
    <row r="683" customFormat="false" ht="15" hidden="false" customHeight="false" outlineLevel="0" collapsed="false">
      <c r="A683" s="16" t="str">
        <f aca="false">IF(B683="","",ROW()-4)</f>
        <v/>
      </c>
      <c r="B683" s="12"/>
      <c r="C683" s="16"/>
      <c r="D683" s="16"/>
      <c r="E683" s="16"/>
      <c r="F683" s="16"/>
      <c r="G683" s="16"/>
      <c r="H683" s="16"/>
      <c r="I683" s="16"/>
      <c r="J683" s="16"/>
      <c r="K683" s="16"/>
      <c r="L683" s="13"/>
      <c r="M683" s="13"/>
      <c r="N683" s="13"/>
      <c r="O683" s="13"/>
      <c r="P683" s="13"/>
      <c r="Q683" s="13"/>
      <c r="R683" s="13"/>
      <c r="S683" s="13"/>
      <c r="T683" s="13"/>
      <c r="U683" s="12"/>
      <c r="V683" s="14"/>
      <c r="W683" s="16"/>
      <c r="X683" s="16"/>
      <c r="Y683" s="16"/>
      <c r="Z683" s="16"/>
      <c r="AA683" s="15" t="str">
        <f aca="false">IF(AND(ISNUMBER(L683),ISNUMBER(M683)),M683-L683,"")</f>
        <v/>
      </c>
      <c r="AB683" s="15" t="str">
        <f aca="false">IF(AND(ISNUMBER(M683),ISNUMBER(P683)),P683-M683,"")</f>
        <v/>
      </c>
      <c r="AC683" s="15" t="str">
        <f aca="false">IF(AND(ISNUMBER(L683),ISNUMBER(P683)),P683-L683,"")</f>
        <v/>
      </c>
      <c r="AD683" s="15" t="str">
        <f aca="false">IF(AND(ISNUMBER(P683),ISNUMBER(Q683)),Q683-P683,"")</f>
        <v/>
      </c>
      <c r="AE683" s="15" t="str">
        <f aca="false">IF(AND(ISNUMBER(Q683),ISNUMBER(R683)),R683-Q683,IF(ISNUMBER(Y683),Y683,""))</f>
        <v/>
      </c>
      <c r="AF683" s="15" t="str">
        <f aca="false">IF(AND(ISNUMBER(R683),ISNUMBER(S683)),S683-R683,"")</f>
        <v/>
      </c>
      <c r="AG683" s="15" t="str">
        <f aca="false">IF(AND(ISNUMBER(S683),ISNUMBER(T683)),T683-S683,"")</f>
        <v/>
      </c>
      <c r="AH683" s="15" t="str">
        <f aca="false">IF(AND(ISNUMBER(L683),ISNUMBER(T683)),T683-L683,"")</f>
        <v/>
      </c>
      <c r="AI683" s="15" t="str">
        <f aca="false">IF(AND(ISNUMBER(O683),ISNUMBER(Q683)),Q683-O683,"")</f>
        <v/>
      </c>
      <c r="AJ683" s="15" t="str">
        <f aca="false">IF(B683="","",COUNT(L683:M683,P683:T683)&amp;"/7")</f>
        <v/>
      </c>
      <c r="AK683" s="15" t="str">
        <f aca="false">IF(B683="","",IF(OR(AND(ISNUMBER(L683),ISNUMBER(M683),M683&lt;L683),AND(ISNUMBER(M683),ISNUMBER(P683),P683&lt;M683),AND(ISNUMBER(P683),ISNUMBER(Q683),Q683&lt;P683),AND(ISNUMBER(Q683),ISNUMBER(R683),R683&lt;Q683),AND(ISNUMBER(R683),ISNUMBER(S683),S683&lt;R683),AND(ISNUMBER(S683),ISNUMBER(T683),T683&lt;S683),AND(ISNUMBER(N683),ISNUMBER(O683),O683&lt;N683)),"Urutan tanggal salah",IF(AND(ISNUMBER(Q683),ISNUMBER(R683),ISNUMBER(Y683),ABS(R683-Q683-Y683)&gt;2),"S tanggal ≠ Sailing tercatat",IF(AND(ISNUMBER(Q683),ISNUMBER(O683),ABS(Q683-O683)&gt;60),"Cek tahun laycan",IF(AND(ISNUMBER(Q683),ISNUMBER(N683),Q683&lt;N683),"Berangkat sebelum laycan",IF(NOT(ISNUMBER(AE683)),"S belum ada","OK"))))))</f>
        <v/>
      </c>
    </row>
    <row r="684" customFormat="false" ht="15" hidden="false" customHeight="false" outlineLevel="0" collapsed="false">
      <c r="A684" s="16" t="str">
        <f aca="false">IF(B684="","",ROW()-4)</f>
        <v/>
      </c>
      <c r="B684" s="12"/>
      <c r="C684" s="16"/>
      <c r="D684" s="16"/>
      <c r="E684" s="16"/>
      <c r="F684" s="16"/>
      <c r="G684" s="16"/>
      <c r="H684" s="16"/>
      <c r="I684" s="16"/>
      <c r="J684" s="16"/>
      <c r="K684" s="16"/>
      <c r="L684" s="13"/>
      <c r="M684" s="13"/>
      <c r="N684" s="13"/>
      <c r="O684" s="13"/>
      <c r="P684" s="13"/>
      <c r="Q684" s="13"/>
      <c r="R684" s="13"/>
      <c r="S684" s="13"/>
      <c r="T684" s="13"/>
      <c r="U684" s="12"/>
      <c r="V684" s="14"/>
      <c r="W684" s="16"/>
      <c r="X684" s="16"/>
      <c r="Y684" s="16"/>
      <c r="Z684" s="16"/>
      <c r="AA684" s="15" t="str">
        <f aca="false">IF(AND(ISNUMBER(L684),ISNUMBER(M684)),M684-L684,"")</f>
        <v/>
      </c>
      <c r="AB684" s="15" t="str">
        <f aca="false">IF(AND(ISNUMBER(M684),ISNUMBER(P684)),P684-M684,"")</f>
        <v/>
      </c>
      <c r="AC684" s="15" t="str">
        <f aca="false">IF(AND(ISNUMBER(L684),ISNUMBER(P684)),P684-L684,"")</f>
        <v/>
      </c>
      <c r="AD684" s="15" t="str">
        <f aca="false">IF(AND(ISNUMBER(P684),ISNUMBER(Q684)),Q684-P684,"")</f>
        <v/>
      </c>
      <c r="AE684" s="15" t="str">
        <f aca="false">IF(AND(ISNUMBER(Q684),ISNUMBER(R684)),R684-Q684,IF(ISNUMBER(Y684),Y684,""))</f>
        <v/>
      </c>
      <c r="AF684" s="15" t="str">
        <f aca="false">IF(AND(ISNUMBER(R684),ISNUMBER(S684)),S684-R684,"")</f>
        <v/>
      </c>
      <c r="AG684" s="15" t="str">
        <f aca="false">IF(AND(ISNUMBER(S684),ISNUMBER(T684)),T684-S684,"")</f>
        <v/>
      </c>
      <c r="AH684" s="15" t="str">
        <f aca="false">IF(AND(ISNUMBER(L684),ISNUMBER(T684)),T684-L684,"")</f>
        <v/>
      </c>
      <c r="AI684" s="15" t="str">
        <f aca="false">IF(AND(ISNUMBER(O684),ISNUMBER(Q684)),Q684-O684,"")</f>
        <v/>
      </c>
      <c r="AJ684" s="15" t="str">
        <f aca="false">IF(B684="","",COUNT(L684:M684,P684:T684)&amp;"/7")</f>
        <v/>
      </c>
      <c r="AK684" s="15" t="str">
        <f aca="false">IF(B684="","",IF(OR(AND(ISNUMBER(L684),ISNUMBER(M684),M684&lt;L684),AND(ISNUMBER(M684),ISNUMBER(P684),P684&lt;M684),AND(ISNUMBER(P684),ISNUMBER(Q684),Q684&lt;P684),AND(ISNUMBER(Q684),ISNUMBER(R684),R684&lt;Q684),AND(ISNUMBER(R684),ISNUMBER(S684),S684&lt;R684),AND(ISNUMBER(S684),ISNUMBER(T684),T684&lt;S684),AND(ISNUMBER(N684),ISNUMBER(O684),O684&lt;N684)),"Urutan tanggal salah",IF(AND(ISNUMBER(Q684),ISNUMBER(R684),ISNUMBER(Y684),ABS(R684-Q684-Y684)&gt;2),"S tanggal ≠ Sailing tercatat",IF(AND(ISNUMBER(Q684),ISNUMBER(O684),ABS(Q684-O684)&gt;60),"Cek tahun laycan",IF(AND(ISNUMBER(Q684),ISNUMBER(N684),Q684&lt;N684),"Berangkat sebelum laycan",IF(NOT(ISNUMBER(AE684)),"S belum ada","OK"))))))</f>
        <v/>
      </c>
    </row>
    <row r="685" customFormat="false" ht="15" hidden="false" customHeight="false" outlineLevel="0" collapsed="false">
      <c r="A685" s="16" t="str">
        <f aca="false">IF(B685="","",ROW()-4)</f>
        <v/>
      </c>
      <c r="B685" s="12"/>
      <c r="C685" s="16"/>
      <c r="D685" s="16"/>
      <c r="E685" s="16"/>
      <c r="F685" s="16"/>
      <c r="G685" s="16"/>
      <c r="H685" s="16"/>
      <c r="I685" s="16"/>
      <c r="J685" s="16"/>
      <c r="K685" s="16"/>
      <c r="L685" s="13"/>
      <c r="M685" s="13"/>
      <c r="N685" s="13"/>
      <c r="O685" s="13"/>
      <c r="P685" s="13"/>
      <c r="Q685" s="13"/>
      <c r="R685" s="13"/>
      <c r="S685" s="13"/>
      <c r="T685" s="13"/>
      <c r="U685" s="12"/>
      <c r="V685" s="14"/>
      <c r="W685" s="16"/>
      <c r="X685" s="16"/>
      <c r="Y685" s="16"/>
      <c r="Z685" s="16"/>
      <c r="AA685" s="15" t="str">
        <f aca="false">IF(AND(ISNUMBER(L685),ISNUMBER(M685)),M685-L685,"")</f>
        <v/>
      </c>
      <c r="AB685" s="15" t="str">
        <f aca="false">IF(AND(ISNUMBER(M685),ISNUMBER(P685)),P685-M685,"")</f>
        <v/>
      </c>
      <c r="AC685" s="15" t="str">
        <f aca="false">IF(AND(ISNUMBER(L685),ISNUMBER(P685)),P685-L685,"")</f>
        <v/>
      </c>
      <c r="AD685" s="15" t="str">
        <f aca="false">IF(AND(ISNUMBER(P685),ISNUMBER(Q685)),Q685-P685,"")</f>
        <v/>
      </c>
      <c r="AE685" s="15" t="str">
        <f aca="false">IF(AND(ISNUMBER(Q685),ISNUMBER(R685)),R685-Q685,IF(ISNUMBER(Y685),Y685,""))</f>
        <v/>
      </c>
      <c r="AF685" s="15" t="str">
        <f aca="false">IF(AND(ISNUMBER(R685),ISNUMBER(S685)),S685-R685,"")</f>
        <v/>
      </c>
      <c r="AG685" s="15" t="str">
        <f aca="false">IF(AND(ISNUMBER(S685),ISNUMBER(T685)),T685-S685,"")</f>
        <v/>
      </c>
      <c r="AH685" s="15" t="str">
        <f aca="false">IF(AND(ISNUMBER(L685),ISNUMBER(T685)),T685-L685,"")</f>
        <v/>
      </c>
      <c r="AI685" s="15" t="str">
        <f aca="false">IF(AND(ISNUMBER(O685),ISNUMBER(Q685)),Q685-O685,"")</f>
        <v/>
      </c>
      <c r="AJ685" s="15" t="str">
        <f aca="false">IF(B685="","",COUNT(L685:M685,P685:T685)&amp;"/7")</f>
        <v/>
      </c>
      <c r="AK685" s="15" t="str">
        <f aca="false">IF(B685="","",IF(OR(AND(ISNUMBER(L685),ISNUMBER(M685),M685&lt;L685),AND(ISNUMBER(M685),ISNUMBER(P685),P685&lt;M685),AND(ISNUMBER(P685),ISNUMBER(Q685),Q685&lt;P685),AND(ISNUMBER(Q685),ISNUMBER(R685),R685&lt;Q685),AND(ISNUMBER(R685),ISNUMBER(S685),S685&lt;R685),AND(ISNUMBER(S685),ISNUMBER(T685),T685&lt;S685),AND(ISNUMBER(N685),ISNUMBER(O685),O685&lt;N685)),"Urutan tanggal salah",IF(AND(ISNUMBER(Q685),ISNUMBER(R685),ISNUMBER(Y685),ABS(R685-Q685-Y685)&gt;2),"S tanggal ≠ Sailing tercatat",IF(AND(ISNUMBER(Q685),ISNUMBER(O685),ABS(Q685-O685)&gt;60),"Cek tahun laycan",IF(AND(ISNUMBER(Q685),ISNUMBER(N685),Q685&lt;N685),"Berangkat sebelum laycan",IF(NOT(ISNUMBER(AE685)),"S belum ada","OK"))))))</f>
        <v/>
      </c>
    </row>
    <row r="686" customFormat="false" ht="15" hidden="false" customHeight="false" outlineLevel="0" collapsed="false">
      <c r="A686" s="16" t="str">
        <f aca="false">IF(B686="","",ROW()-4)</f>
        <v/>
      </c>
      <c r="B686" s="12"/>
      <c r="C686" s="16"/>
      <c r="D686" s="16"/>
      <c r="E686" s="16"/>
      <c r="F686" s="16"/>
      <c r="G686" s="16"/>
      <c r="H686" s="16"/>
      <c r="I686" s="16"/>
      <c r="J686" s="16"/>
      <c r="K686" s="16"/>
      <c r="L686" s="13"/>
      <c r="M686" s="13"/>
      <c r="N686" s="13"/>
      <c r="O686" s="13"/>
      <c r="P686" s="13"/>
      <c r="Q686" s="13"/>
      <c r="R686" s="13"/>
      <c r="S686" s="13"/>
      <c r="T686" s="13"/>
      <c r="U686" s="12"/>
      <c r="V686" s="14"/>
      <c r="W686" s="16"/>
      <c r="X686" s="16"/>
      <c r="Y686" s="16"/>
      <c r="Z686" s="16"/>
      <c r="AA686" s="15" t="str">
        <f aca="false">IF(AND(ISNUMBER(L686),ISNUMBER(M686)),M686-L686,"")</f>
        <v/>
      </c>
      <c r="AB686" s="15" t="str">
        <f aca="false">IF(AND(ISNUMBER(M686),ISNUMBER(P686)),P686-M686,"")</f>
        <v/>
      </c>
      <c r="AC686" s="15" t="str">
        <f aca="false">IF(AND(ISNUMBER(L686),ISNUMBER(P686)),P686-L686,"")</f>
        <v/>
      </c>
      <c r="AD686" s="15" t="str">
        <f aca="false">IF(AND(ISNUMBER(P686),ISNUMBER(Q686)),Q686-P686,"")</f>
        <v/>
      </c>
      <c r="AE686" s="15" t="str">
        <f aca="false">IF(AND(ISNUMBER(Q686),ISNUMBER(R686)),R686-Q686,IF(ISNUMBER(Y686),Y686,""))</f>
        <v/>
      </c>
      <c r="AF686" s="15" t="str">
        <f aca="false">IF(AND(ISNUMBER(R686),ISNUMBER(S686)),S686-R686,"")</f>
        <v/>
      </c>
      <c r="AG686" s="15" t="str">
        <f aca="false">IF(AND(ISNUMBER(S686),ISNUMBER(T686)),T686-S686,"")</f>
        <v/>
      </c>
      <c r="AH686" s="15" t="str">
        <f aca="false">IF(AND(ISNUMBER(L686),ISNUMBER(T686)),T686-L686,"")</f>
        <v/>
      </c>
      <c r="AI686" s="15" t="str">
        <f aca="false">IF(AND(ISNUMBER(O686),ISNUMBER(Q686)),Q686-O686,"")</f>
        <v/>
      </c>
      <c r="AJ686" s="15" t="str">
        <f aca="false">IF(B686="","",COUNT(L686:M686,P686:T686)&amp;"/7")</f>
        <v/>
      </c>
      <c r="AK686" s="15" t="str">
        <f aca="false">IF(B686="","",IF(OR(AND(ISNUMBER(L686),ISNUMBER(M686),M686&lt;L686),AND(ISNUMBER(M686),ISNUMBER(P686),P686&lt;M686),AND(ISNUMBER(P686),ISNUMBER(Q686),Q686&lt;P686),AND(ISNUMBER(Q686),ISNUMBER(R686),R686&lt;Q686),AND(ISNUMBER(R686),ISNUMBER(S686),S686&lt;R686),AND(ISNUMBER(S686),ISNUMBER(T686),T686&lt;S686),AND(ISNUMBER(N686),ISNUMBER(O686),O686&lt;N686)),"Urutan tanggal salah",IF(AND(ISNUMBER(Q686),ISNUMBER(R686),ISNUMBER(Y686),ABS(R686-Q686-Y686)&gt;2),"S tanggal ≠ Sailing tercatat",IF(AND(ISNUMBER(Q686),ISNUMBER(O686),ABS(Q686-O686)&gt;60),"Cek tahun laycan",IF(AND(ISNUMBER(Q686),ISNUMBER(N686),Q686&lt;N686),"Berangkat sebelum laycan",IF(NOT(ISNUMBER(AE686)),"S belum ada","OK"))))))</f>
        <v/>
      </c>
    </row>
    <row r="687" customFormat="false" ht="15" hidden="false" customHeight="false" outlineLevel="0" collapsed="false">
      <c r="A687" s="16" t="str">
        <f aca="false">IF(B687="","",ROW()-4)</f>
        <v/>
      </c>
      <c r="B687" s="12"/>
      <c r="C687" s="16"/>
      <c r="D687" s="16"/>
      <c r="E687" s="16"/>
      <c r="F687" s="16"/>
      <c r="G687" s="16"/>
      <c r="H687" s="16"/>
      <c r="I687" s="16"/>
      <c r="J687" s="16"/>
      <c r="K687" s="16"/>
      <c r="L687" s="13"/>
      <c r="M687" s="13"/>
      <c r="N687" s="13"/>
      <c r="O687" s="13"/>
      <c r="P687" s="13"/>
      <c r="Q687" s="13"/>
      <c r="R687" s="13"/>
      <c r="S687" s="13"/>
      <c r="T687" s="13"/>
      <c r="U687" s="12"/>
      <c r="V687" s="14"/>
      <c r="W687" s="16"/>
      <c r="X687" s="16"/>
      <c r="Y687" s="16"/>
      <c r="Z687" s="16"/>
      <c r="AA687" s="15" t="str">
        <f aca="false">IF(AND(ISNUMBER(L687),ISNUMBER(M687)),M687-L687,"")</f>
        <v/>
      </c>
      <c r="AB687" s="15" t="str">
        <f aca="false">IF(AND(ISNUMBER(M687),ISNUMBER(P687)),P687-M687,"")</f>
        <v/>
      </c>
      <c r="AC687" s="15" t="str">
        <f aca="false">IF(AND(ISNUMBER(L687),ISNUMBER(P687)),P687-L687,"")</f>
        <v/>
      </c>
      <c r="AD687" s="15" t="str">
        <f aca="false">IF(AND(ISNUMBER(P687),ISNUMBER(Q687)),Q687-P687,"")</f>
        <v/>
      </c>
      <c r="AE687" s="15" t="str">
        <f aca="false">IF(AND(ISNUMBER(Q687),ISNUMBER(R687)),R687-Q687,IF(ISNUMBER(Y687),Y687,""))</f>
        <v/>
      </c>
      <c r="AF687" s="15" t="str">
        <f aca="false">IF(AND(ISNUMBER(R687),ISNUMBER(S687)),S687-R687,"")</f>
        <v/>
      </c>
      <c r="AG687" s="15" t="str">
        <f aca="false">IF(AND(ISNUMBER(S687),ISNUMBER(T687)),T687-S687,"")</f>
        <v/>
      </c>
      <c r="AH687" s="15" t="str">
        <f aca="false">IF(AND(ISNUMBER(L687),ISNUMBER(T687)),T687-L687,"")</f>
        <v/>
      </c>
      <c r="AI687" s="15" t="str">
        <f aca="false">IF(AND(ISNUMBER(O687),ISNUMBER(Q687)),Q687-O687,"")</f>
        <v/>
      </c>
      <c r="AJ687" s="15" t="str">
        <f aca="false">IF(B687="","",COUNT(L687:M687,P687:T687)&amp;"/7")</f>
        <v/>
      </c>
      <c r="AK687" s="15" t="str">
        <f aca="false">IF(B687="","",IF(OR(AND(ISNUMBER(L687),ISNUMBER(M687),M687&lt;L687),AND(ISNUMBER(M687),ISNUMBER(P687),P687&lt;M687),AND(ISNUMBER(P687),ISNUMBER(Q687),Q687&lt;P687),AND(ISNUMBER(Q687),ISNUMBER(R687),R687&lt;Q687),AND(ISNUMBER(R687),ISNUMBER(S687),S687&lt;R687),AND(ISNUMBER(S687),ISNUMBER(T687),T687&lt;S687),AND(ISNUMBER(N687),ISNUMBER(O687),O687&lt;N687)),"Urutan tanggal salah",IF(AND(ISNUMBER(Q687),ISNUMBER(R687),ISNUMBER(Y687),ABS(R687-Q687-Y687)&gt;2),"S tanggal ≠ Sailing tercatat",IF(AND(ISNUMBER(Q687),ISNUMBER(O687),ABS(Q687-O687)&gt;60),"Cek tahun laycan",IF(AND(ISNUMBER(Q687),ISNUMBER(N687),Q687&lt;N687),"Berangkat sebelum laycan",IF(NOT(ISNUMBER(AE687)),"S belum ada","OK"))))))</f>
        <v/>
      </c>
    </row>
    <row r="688" customFormat="false" ht="15" hidden="false" customHeight="false" outlineLevel="0" collapsed="false">
      <c r="A688" s="16" t="str">
        <f aca="false">IF(B688="","",ROW()-4)</f>
        <v/>
      </c>
      <c r="B688" s="12"/>
      <c r="C688" s="16"/>
      <c r="D688" s="16"/>
      <c r="E688" s="16"/>
      <c r="F688" s="16"/>
      <c r="G688" s="16"/>
      <c r="H688" s="16"/>
      <c r="I688" s="16"/>
      <c r="J688" s="16"/>
      <c r="K688" s="16"/>
      <c r="L688" s="13"/>
      <c r="M688" s="13"/>
      <c r="N688" s="13"/>
      <c r="O688" s="13"/>
      <c r="P688" s="13"/>
      <c r="Q688" s="13"/>
      <c r="R688" s="13"/>
      <c r="S688" s="13"/>
      <c r="T688" s="13"/>
      <c r="U688" s="12"/>
      <c r="V688" s="14"/>
      <c r="W688" s="16"/>
      <c r="X688" s="16"/>
      <c r="Y688" s="16"/>
      <c r="Z688" s="16"/>
      <c r="AA688" s="15" t="str">
        <f aca="false">IF(AND(ISNUMBER(L688),ISNUMBER(M688)),M688-L688,"")</f>
        <v/>
      </c>
      <c r="AB688" s="15" t="str">
        <f aca="false">IF(AND(ISNUMBER(M688),ISNUMBER(P688)),P688-M688,"")</f>
        <v/>
      </c>
      <c r="AC688" s="15" t="str">
        <f aca="false">IF(AND(ISNUMBER(L688),ISNUMBER(P688)),P688-L688,"")</f>
        <v/>
      </c>
      <c r="AD688" s="15" t="str">
        <f aca="false">IF(AND(ISNUMBER(P688),ISNUMBER(Q688)),Q688-P688,"")</f>
        <v/>
      </c>
      <c r="AE688" s="15" t="str">
        <f aca="false">IF(AND(ISNUMBER(Q688),ISNUMBER(R688)),R688-Q688,IF(ISNUMBER(Y688),Y688,""))</f>
        <v/>
      </c>
      <c r="AF688" s="15" t="str">
        <f aca="false">IF(AND(ISNUMBER(R688),ISNUMBER(S688)),S688-R688,"")</f>
        <v/>
      </c>
      <c r="AG688" s="15" t="str">
        <f aca="false">IF(AND(ISNUMBER(S688),ISNUMBER(T688)),T688-S688,"")</f>
        <v/>
      </c>
      <c r="AH688" s="15" t="str">
        <f aca="false">IF(AND(ISNUMBER(L688),ISNUMBER(T688)),T688-L688,"")</f>
        <v/>
      </c>
      <c r="AI688" s="15" t="str">
        <f aca="false">IF(AND(ISNUMBER(O688),ISNUMBER(Q688)),Q688-O688,"")</f>
        <v/>
      </c>
      <c r="AJ688" s="15" t="str">
        <f aca="false">IF(B688="","",COUNT(L688:M688,P688:T688)&amp;"/7")</f>
        <v/>
      </c>
      <c r="AK688" s="15" t="str">
        <f aca="false">IF(B688="","",IF(OR(AND(ISNUMBER(L688),ISNUMBER(M688),M688&lt;L688),AND(ISNUMBER(M688),ISNUMBER(P688),P688&lt;M688),AND(ISNUMBER(P688),ISNUMBER(Q688),Q688&lt;P688),AND(ISNUMBER(Q688),ISNUMBER(R688),R688&lt;Q688),AND(ISNUMBER(R688),ISNUMBER(S688),S688&lt;R688),AND(ISNUMBER(S688),ISNUMBER(T688),T688&lt;S688),AND(ISNUMBER(N688),ISNUMBER(O688),O688&lt;N688)),"Urutan tanggal salah",IF(AND(ISNUMBER(Q688),ISNUMBER(R688),ISNUMBER(Y688),ABS(R688-Q688-Y688)&gt;2),"S tanggal ≠ Sailing tercatat",IF(AND(ISNUMBER(Q688),ISNUMBER(O688),ABS(Q688-O688)&gt;60),"Cek tahun laycan",IF(AND(ISNUMBER(Q688),ISNUMBER(N688),Q688&lt;N688),"Berangkat sebelum laycan",IF(NOT(ISNUMBER(AE688)),"S belum ada","OK"))))))</f>
        <v/>
      </c>
    </row>
    <row r="689" customFormat="false" ht="15" hidden="false" customHeight="false" outlineLevel="0" collapsed="false">
      <c r="A689" s="16" t="str">
        <f aca="false">IF(B689="","",ROW()-4)</f>
        <v/>
      </c>
      <c r="B689" s="12"/>
      <c r="C689" s="16"/>
      <c r="D689" s="16"/>
      <c r="E689" s="16"/>
      <c r="F689" s="16"/>
      <c r="G689" s="16"/>
      <c r="H689" s="16"/>
      <c r="I689" s="16"/>
      <c r="J689" s="16"/>
      <c r="K689" s="16"/>
      <c r="L689" s="13"/>
      <c r="M689" s="13"/>
      <c r="N689" s="13"/>
      <c r="O689" s="13"/>
      <c r="P689" s="13"/>
      <c r="Q689" s="13"/>
      <c r="R689" s="13"/>
      <c r="S689" s="13"/>
      <c r="T689" s="13"/>
      <c r="U689" s="12"/>
      <c r="V689" s="14"/>
      <c r="W689" s="16"/>
      <c r="X689" s="16"/>
      <c r="Y689" s="16"/>
      <c r="Z689" s="16"/>
      <c r="AA689" s="15" t="str">
        <f aca="false">IF(AND(ISNUMBER(L689),ISNUMBER(M689)),M689-L689,"")</f>
        <v/>
      </c>
      <c r="AB689" s="15" t="str">
        <f aca="false">IF(AND(ISNUMBER(M689),ISNUMBER(P689)),P689-M689,"")</f>
        <v/>
      </c>
      <c r="AC689" s="15" t="str">
        <f aca="false">IF(AND(ISNUMBER(L689),ISNUMBER(P689)),P689-L689,"")</f>
        <v/>
      </c>
      <c r="AD689" s="15" t="str">
        <f aca="false">IF(AND(ISNUMBER(P689),ISNUMBER(Q689)),Q689-P689,"")</f>
        <v/>
      </c>
      <c r="AE689" s="15" t="str">
        <f aca="false">IF(AND(ISNUMBER(Q689),ISNUMBER(R689)),R689-Q689,IF(ISNUMBER(Y689),Y689,""))</f>
        <v/>
      </c>
      <c r="AF689" s="15" t="str">
        <f aca="false">IF(AND(ISNUMBER(R689),ISNUMBER(S689)),S689-R689,"")</f>
        <v/>
      </c>
      <c r="AG689" s="15" t="str">
        <f aca="false">IF(AND(ISNUMBER(S689),ISNUMBER(T689)),T689-S689,"")</f>
        <v/>
      </c>
      <c r="AH689" s="15" t="str">
        <f aca="false">IF(AND(ISNUMBER(L689),ISNUMBER(T689)),T689-L689,"")</f>
        <v/>
      </c>
      <c r="AI689" s="15" t="str">
        <f aca="false">IF(AND(ISNUMBER(O689),ISNUMBER(Q689)),Q689-O689,"")</f>
        <v/>
      </c>
      <c r="AJ689" s="15" t="str">
        <f aca="false">IF(B689="","",COUNT(L689:M689,P689:T689)&amp;"/7")</f>
        <v/>
      </c>
      <c r="AK689" s="15" t="str">
        <f aca="false">IF(B689="","",IF(OR(AND(ISNUMBER(L689),ISNUMBER(M689),M689&lt;L689),AND(ISNUMBER(M689),ISNUMBER(P689),P689&lt;M689),AND(ISNUMBER(P689),ISNUMBER(Q689),Q689&lt;P689),AND(ISNUMBER(Q689),ISNUMBER(R689),R689&lt;Q689),AND(ISNUMBER(R689),ISNUMBER(S689),S689&lt;R689),AND(ISNUMBER(S689),ISNUMBER(T689),T689&lt;S689),AND(ISNUMBER(N689),ISNUMBER(O689),O689&lt;N689)),"Urutan tanggal salah",IF(AND(ISNUMBER(Q689),ISNUMBER(R689),ISNUMBER(Y689),ABS(R689-Q689-Y689)&gt;2),"S tanggal ≠ Sailing tercatat",IF(AND(ISNUMBER(Q689),ISNUMBER(O689),ABS(Q689-O689)&gt;60),"Cek tahun laycan",IF(AND(ISNUMBER(Q689),ISNUMBER(N689),Q689&lt;N689),"Berangkat sebelum laycan",IF(NOT(ISNUMBER(AE689)),"S belum ada","OK"))))))</f>
        <v/>
      </c>
    </row>
    <row r="690" customFormat="false" ht="15" hidden="false" customHeight="false" outlineLevel="0" collapsed="false">
      <c r="A690" s="16" t="str">
        <f aca="false">IF(B690="","",ROW()-4)</f>
        <v/>
      </c>
      <c r="B690" s="12"/>
      <c r="C690" s="16"/>
      <c r="D690" s="16"/>
      <c r="E690" s="16"/>
      <c r="F690" s="16"/>
      <c r="G690" s="16"/>
      <c r="H690" s="16"/>
      <c r="I690" s="16"/>
      <c r="J690" s="16"/>
      <c r="K690" s="16"/>
      <c r="L690" s="13"/>
      <c r="M690" s="13"/>
      <c r="N690" s="13"/>
      <c r="O690" s="13"/>
      <c r="P690" s="13"/>
      <c r="Q690" s="13"/>
      <c r="R690" s="13"/>
      <c r="S690" s="13"/>
      <c r="T690" s="13"/>
      <c r="U690" s="12"/>
      <c r="V690" s="14"/>
      <c r="W690" s="16"/>
      <c r="X690" s="16"/>
      <c r="Y690" s="16"/>
      <c r="Z690" s="16"/>
      <c r="AA690" s="15" t="str">
        <f aca="false">IF(AND(ISNUMBER(L690),ISNUMBER(M690)),M690-L690,"")</f>
        <v/>
      </c>
      <c r="AB690" s="15" t="str">
        <f aca="false">IF(AND(ISNUMBER(M690),ISNUMBER(P690)),P690-M690,"")</f>
        <v/>
      </c>
      <c r="AC690" s="15" t="str">
        <f aca="false">IF(AND(ISNUMBER(L690),ISNUMBER(P690)),P690-L690,"")</f>
        <v/>
      </c>
      <c r="AD690" s="15" t="str">
        <f aca="false">IF(AND(ISNUMBER(P690),ISNUMBER(Q690)),Q690-P690,"")</f>
        <v/>
      </c>
      <c r="AE690" s="15" t="str">
        <f aca="false">IF(AND(ISNUMBER(Q690),ISNUMBER(R690)),R690-Q690,IF(ISNUMBER(Y690),Y690,""))</f>
        <v/>
      </c>
      <c r="AF690" s="15" t="str">
        <f aca="false">IF(AND(ISNUMBER(R690),ISNUMBER(S690)),S690-R690,"")</f>
        <v/>
      </c>
      <c r="AG690" s="15" t="str">
        <f aca="false">IF(AND(ISNUMBER(S690),ISNUMBER(T690)),T690-S690,"")</f>
        <v/>
      </c>
      <c r="AH690" s="15" t="str">
        <f aca="false">IF(AND(ISNUMBER(L690),ISNUMBER(T690)),T690-L690,"")</f>
        <v/>
      </c>
      <c r="AI690" s="15" t="str">
        <f aca="false">IF(AND(ISNUMBER(O690),ISNUMBER(Q690)),Q690-O690,"")</f>
        <v/>
      </c>
      <c r="AJ690" s="15" t="str">
        <f aca="false">IF(B690="","",COUNT(L690:M690,P690:T690)&amp;"/7")</f>
        <v/>
      </c>
      <c r="AK690" s="15" t="str">
        <f aca="false">IF(B690="","",IF(OR(AND(ISNUMBER(L690),ISNUMBER(M690),M690&lt;L690),AND(ISNUMBER(M690),ISNUMBER(P690),P690&lt;M690),AND(ISNUMBER(P690),ISNUMBER(Q690),Q690&lt;P690),AND(ISNUMBER(Q690),ISNUMBER(R690),R690&lt;Q690),AND(ISNUMBER(R690),ISNUMBER(S690),S690&lt;R690),AND(ISNUMBER(S690),ISNUMBER(T690),T690&lt;S690),AND(ISNUMBER(N690),ISNUMBER(O690),O690&lt;N690)),"Urutan tanggal salah",IF(AND(ISNUMBER(Q690),ISNUMBER(R690),ISNUMBER(Y690),ABS(R690-Q690-Y690)&gt;2),"S tanggal ≠ Sailing tercatat",IF(AND(ISNUMBER(Q690),ISNUMBER(O690),ABS(Q690-O690)&gt;60),"Cek tahun laycan",IF(AND(ISNUMBER(Q690),ISNUMBER(N690),Q690&lt;N690),"Berangkat sebelum laycan",IF(NOT(ISNUMBER(AE690)),"S belum ada","OK"))))))</f>
        <v/>
      </c>
    </row>
    <row r="691" customFormat="false" ht="15" hidden="false" customHeight="false" outlineLevel="0" collapsed="false">
      <c r="A691" s="16" t="str">
        <f aca="false">IF(B691="","",ROW()-4)</f>
        <v/>
      </c>
      <c r="B691" s="12"/>
      <c r="C691" s="16"/>
      <c r="D691" s="16"/>
      <c r="E691" s="16"/>
      <c r="F691" s="16"/>
      <c r="G691" s="16"/>
      <c r="H691" s="16"/>
      <c r="I691" s="16"/>
      <c r="J691" s="16"/>
      <c r="K691" s="16"/>
      <c r="L691" s="13"/>
      <c r="M691" s="13"/>
      <c r="N691" s="13"/>
      <c r="O691" s="13"/>
      <c r="P691" s="13"/>
      <c r="Q691" s="13"/>
      <c r="R691" s="13"/>
      <c r="S691" s="13"/>
      <c r="T691" s="13"/>
      <c r="U691" s="12"/>
      <c r="V691" s="14"/>
      <c r="W691" s="16"/>
      <c r="X691" s="16"/>
      <c r="Y691" s="16"/>
      <c r="Z691" s="16"/>
      <c r="AA691" s="15" t="str">
        <f aca="false">IF(AND(ISNUMBER(L691),ISNUMBER(M691)),M691-L691,"")</f>
        <v/>
      </c>
      <c r="AB691" s="15" t="str">
        <f aca="false">IF(AND(ISNUMBER(M691),ISNUMBER(P691)),P691-M691,"")</f>
        <v/>
      </c>
      <c r="AC691" s="15" t="str">
        <f aca="false">IF(AND(ISNUMBER(L691),ISNUMBER(P691)),P691-L691,"")</f>
        <v/>
      </c>
      <c r="AD691" s="15" t="str">
        <f aca="false">IF(AND(ISNUMBER(P691),ISNUMBER(Q691)),Q691-P691,"")</f>
        <v/>
      </c>
      <c r="AE691" s="15" t="str">
        <f aca="false">IF(AND(ISNUMBER(Q691),ISNUMBER(R691)),R691-Q691,IF(ISNUMBER(Y691),Y691,""))</f>
        <v/>
      </c>
      <c r="AF691" s="15" t="str">
        <f aca="false">IF(AND(ISNUMBER(R691),ISNUMBER(S691)),S691-R691,"")</f>
        <v/>
      </c>
      <c r="AG691" s="15" t="str">
        <f aca="false">IF(AND(ISNUMBER(S691),ISNUMBER(T691)),T691-S691,"")</f>
        <v/>
      </c>
      <c r="AH691" s="15" t="str">
        <f aca="false">IF(AND(ISNUMBER(L691),ISNUMBER(T691)),T691-L691,"")</f>
        <v/>
      </c>
      <c r="AI691" s="15" t="str">
        <f aca="false">IF(AND(ISNUMBER(O691),ISNUMBER(Q691)),Q691-O691,"")</f>
        <v/>
      </c>
      <c r="AJ691" s="15" t="str">
        <f aca="false">IF(B691="","",COUNT(L691:M691,P691:T691)&amp;"/7")</f>
        <v/>
      </c>
      <c r="AK691" s="15" t="str">
        <f aca="false">IF(B691="","",IF(OR(AND(ISNUMBER(L691),ISNUMBER(M691),M691&lt;L691),AND(ISNUMBER(M691),ISNUMBER(P691),P691&lt;M691),AND(ISNUMBER(P691),ISNUMBER(Q691),Q691&lt;P691),AND(ISNUMBER(Q691),ISNUMBER(R691),R691&lt;Q691),AND(ISNUMBER(R691),ISNUMBER(S691),S691&lt;R691),AND(ISNUMBER(S691),ISNUMBER(T691),T691&lt;S691),AND(ISNUMBER(N691),ISNUMBER(O691),O691&lt;N691)),"Urutan tanggal salah",IF(AND(ISNUMBER(Q691),ISNUMBER(R691),ISNUMBER(Y691),ABS(R691-Q691-Y691)&gt;2),"S tanggal ≠ Sailing tercatat",IF(AND(ISNUMBER(Q691),ISNUMBER(O691),ABS(Q691-O691)&gt;60),"Cek tahun laycan",IF(AND(ISNUMBER(Q691),ISNUMBER(N691),Q691&lt;N691),"Berangkat sebelum laycan",IF(NOT(ISNUMBER(AE691)),"S belum ada","OK"))))))</f>
        <v/>
      </c>
    </row>
    <row r="692" customFormat="false" ht="15" hidden="false" customHeight="false" outlineLevel="0" collapsed="false">
      <c r="A692" s="16" t="str">
        <f aca="false">IF(B692="","",ROW()-4)</f>
        <v/>
      </c>
      <c r="B692" s="12"/>
      <c r="C692" s="16"/>
      <c r="D692" s="16"/>
      <c r="E692" s="16"/>
      <c r="F692" s="16"/>
      <c r="G692" s="16"/>
      <c r="H692" s="16"/>
      <c r="I692" s="16"/>
      <c r="J692" s="16"/>
      <c r="K692" s="16"/>
      <c r="L692" s="13"/>
      <c r="M692" s="13"/>
      <c r="N692" s="13"/>
      <c r="O692" s="13"/>
      <c r="P692" s="13"/>
      <c r="Q692" s="13"/>
      <c r="R692" s="13"/>
      <c r="S692" s="13"/>
      <c r="T692" s="13"/>
      <c r="U692" s="12"/>
      <c r="V692" s="14"/>
      <c r="W692" s="16"/>
      <c r="X692" s="16"/>
      <c r="Y692" s="16"/>
      <c r="Z692" s="16"/>
      <c r="AA692" s="15" t="str">
        <f aca="false">IF(AND(ISNUMBER(L692),ISNUMBER(M692)),M692-L692,"")</f>
        <v/>
      </c>
      <c r="AB692" s="15" t="str">
        <f aca="false">IF(AND(ISNUMBER(M692),ISNUMBER(P692)),P692-M692,"")</f>
        <v/>
      </c>
      <c r="AC692" s="15" t="str">
        <f aca="false">IF(AND(ISNUMBER(L692),ISNUMBER(P692)),P692-L692,"")</f>
        <v/>
      </c>
      <c r="AD692" s="15" t="str">
        <f aca="false">IF(AND(ISNUMBER(P692),ISNUMBER(Q692)),Q692-P692,"")</f>
        <v/>
      </c>
      <c r="AE692" s="15" t="str">
        <f aca="false">IF(AND(ISNUMBER(Q692),ISNUMBER(R692)),R692-Q692,IF(ISNUMBER(Y692),Y692,""))</f>
        <v/>
      </c>
      <c r="AF692" s="15" t="str">
        <f aca="false">IF(AND(ISNUMBER(R692),ISNUMBER(S692)),S692-R692,"")</f>
        <v/>
      </c>
      <c r="AG692" s="15" t="str">
        <f aca="false">IF(AND(ISNUMBER(S692),ISNUMBER(T692)),T692-S692,"")</f>
        <v/>
      </c>
      <c r="AH692" s="15" t="str">
        <f aca="false">IF(AND(ISNUMBER(L692),ISNUMBER(T692)),T692-L692,"")</f>
        <v/>
      </c>
      <c r="AI692" s="15" t="str">
        <f aca="false">IF(AND(ISNUMBER(O692),ISNUMBER(Q692)),Q692-O692,"")</f>
        <v/>
      </c>
      <c r="AJ692" s="15" t="str">
        <f aca="false">IF(B692="","",COUNT(L692:M692,P692:T692)&amp;"/7")</f>
        <v/>
      </c>
      <c r="AK692" s="15" t="str">
        <f aca="false">IF(B692="","",IF(OR(AND(ISNUMBER(L692),ISNUMBER(M692),M692&lt;L692),AND(ISNUMBER(M692),ISNUMBER(P692),P692&lt;M692),AND(ISNUMBER(P692),ISNUMBER(Q692),Q692&lt;P692),AND(ISNUMBER(Q692),ISNUMBER(R692),R692&lt;Q692),AND(ISNUMBER(R692),ISNUMBER(S692),S692&lt;R692),AND(ISNUMBER(S692),ISNUMBER(T692),T692&lt;S692),AND(ISNUMBER(N692),ISNUMBER(O692),O692&lt;N692)),"Urutan tanggal salah",IF(AND(ISNUMBER(Q692),ISNUMBER(R692),ISNUMBER(Y692),ABS(R692-Q692-Y692)&gt;2),"S tanggal ≠ Sailing tercatat",IF(AND(ISNUMBER(Q692),ISNUMBER(O692),ABS(Q692-O692)&gt;60),"Cek tahun laycan",IF(AND(ISNUMBER(Q692),ISNUMBER(N692),Q692&lt;N692),"Berangkat sebelum laycan",IF(NOT(ISNUMBER(AE692)),"S belum ada","OK"))))))</f>
        <v/>
      </c>
    </row>
    <row r="693" customFormat="false" ht="15" hidden="false" customHeight="false" outlineLevel="0" collapsed="false">
      <c r="A693" s="16" t="str">
        <f aca="false">IF(B693="","",ROW()-4)</f>
        <v/>
      </c>
      <c r="B693" s="12"/>
      <c r="C693" s="16"/>
      <c r="D693" s="16"/>
      <c r="E693" s="16"/>
      <c r="F693" s="16"/>
      <c r="G693" s="16"/>
      <c r="H693" s="16"/>
      <c r="I693" s="16"/>
      <c r="J693" s="16"/>
      <c r="K693" s="16"/>
      <c r="L693" s="13"/>
      <c r="M693" s="13"/>
      <c r="N693" s="13"/>
      <c r="O693" s="13"/>
      <c r="P693" s="13"/>
      <c r="Q693" s="13"/>
      <c r="R693" s="13"/>
      <c r="S693" s="13"/>
      <c r="T693" s="13"/>
      <c r="U693" s="12"/>
      <c r="V693" s="14"/>
      <c r="W693" s="16"/>
      <c r="X693" s="16"/>
      <c r="Y693" s="16"/>
      <c r="Z693" s="16"/>
      <c r="AA693" s="15" t="str">
        <f aca="false">IF(AND(ISNUMBER(L693),ISNUMBER(M693)),M693-L693,"")</f>
        <v/>
      </c>
      <c r="AB693" s="15" t="str">
        <f aca="false">IF(AND(ISNUMBER(M693),ISNUMBER(P693)),P693-M693,"")</f>
        <v/>
      </c>
      <c r="AC693" s="15" t="str">
        <f aca="false">IF(AND(ISNUMBER(L693),ISNUMBER(P693)),P693-L693,"")</f>
        <v/>
      </c>
      <c r="AD693" s="15" t="str">
        <f aca="false">IF(AND(ISNUMBER(P693),ISNUMBER(Q693)),Q693-P693,"")</f>
        <v/>
      </c>
      <c r="AE693" s="15" t="str">
        <f aca="false">IF(AND(ISNUMBER(Q693),ISNUMBER(R693)),R693-Q693,IF(ISNUMBER(Y693),Y693,""))</f>
        <v/>
      </c>
      <c r="AF693" s="15" t="str">
        <f aca="false">IF(AND(ISNUMBER(R693),ISNUMBER(S693)),S693-R693,"")</f>
        <v/>
      </c>
      <c r="AG693" s="15" t="str">
        <f aca="false">IF(AND(ISNUMBER(S693),ISNUMBER(T693)),T693-S693,"")</f>
        <v/>
      </c>
      <c r="AH693" s="15" t="str">
        <f aca="false">IF(AND(ISNUMBER(L693),ISNUMBER(T693)),T693-L693,"")</f>
        <v/>
      </c>
      <c r="AI693" s="15" t="str">
        <f aca="false">IF(AND(ISNUMBER(O693),ISNUMBER(Q693)),Q693-O693,"")</f>
        <v/>
      </c>
      <c r="AJ693" s="15" t="str">
        <f aca="false">IF(B693="","",COUNT(L693:M693,P693:T693)&amp;"/7")</f>
        <v/>
      </c>
      <c r="AK693" s="15" t="str">
        <f aca="false">IF(B693="","",IF(OR(AND(ISNUMBER(L693),ISNUMBER(M693),M693&lt;L693),AND(ISNUMBER(M693),ISNUMBER(P693),P693&lt;M693),AND(ISNUMBER(P693),ISNUMBER(Q693),Q693&lt;P693),AND(ISNUMBER(Q693),ISNUMBER(R693),R693&lt;Q693),AND(ISNUMBER(R693),ISNUMBER(S693),S693&lt;R693),AND(ISNUMBER(S693),ISNUMBER(T693),T693&lt;S693),AND(ISNUMBER(N693),ISNUMBER(O693),O693&lt;N693)),"Urutan tanggal salah",IF(AND(ISNUMBER(Q693),ISNUMBER(R693),ISNUMBER(Y693),ABS(R693-Q693-Y693)&gt;2),"S tanggal ≠ Sailing tercatat",IF(AND(ISNUMBER(Q693),ISNUMBER(O693),ABS(Q693-O693)&gt;60),"Cek tahun laycan",IF(AND(ISNUMBER(Q693),ISNUMBER(N693),Q693&lt;N693),"Berangkat sebelum laycan",IF(NOT(ISNUMBER(AE693)),"S belum ada","OK"))))))</f>
        <v/>
      </c>
    </row>
    <row r="694" customFormat="false" ht="15" hidden="false" customHeight="false" outlineLevel="0" collapsed="false">
      <c r="A694" s="16" t="str">
        <f aca="false">IF(B694="","",ROW()-4)</f>
        <v/>
      </c>
      <c r="B694" s="12"/>
      <c r="C694" s="16"/>
      <c r="D694" s="16"/>
      <c r="E694" s="16"/>
      <c r="F694" s="16"/>
      <c r="G694" s="16"/>
      <c r="H694" s="16"/>
      <c r="I694" s="16"/>
      <c r="J694" s="16"/>
      <c r="K694" s="16"/>
      <c r="L694" s="13"/>
      <c r="M694" s="13"/>
      <c r="N694" s="13"/>
      <c r="O694" s="13"/>
      <c r="P694" s="13"/>
      <c r="Q694" s="13"/>
      <c r="R694" s="13"/>
      <c r="S694" s="13"/>
      <c r="T694" s="13"/>
      <c r="U694" s="12"/>
      <c r="V694" s="14"/>
      <c r="W694" s="16"/>
      <c r="X694" s="16"/>
      <c r="Y694" s="16"/>
      <c r="Z694" s="16"/>
      <c r="AA694" s="15" t="str">
        <f aca="false">IF(AND(ISNUMBER(L694),ISNUMBER(M694)),M694-L694,"")</f>
        <v/>
      </c>
      <c r="AB694" s="15" t="str">
        <f aca="false">IF(AND(ISNUMBER(M694),ISNUMBER(P694)),P694-M694,"")</f>
        <v/>
      </c>
      <c r="AC694" s="15" t="str">
        <f aca="false">IF(AND(ISNUMBER(L694),ISNUMBER(P694)),P694-L694,"")</f>
        <v/>
      </c>
      <c r="AD694" s="15" t="str">
        <f aca="false">IF(AND(ISNUMBER(P694),ISNUMBER(Q694)),Q694-P694,"")</f>
        <v/>
      </c>
      <c r="AE694" s="15" t="str">
        <f aca="false">IF(AND(ISNUMBER(Q694),ISNUMBER(R694)),R694-Q694,IF(ISNUMBER(Y694),Y694,""))</f>
        <v/>
      </c>
      <c r="AF694" s="15" t="str">
        <f aca="false">IF(AND(ISNUMBER(R694),ISNUMBER(S694)),S694-R694,"")</f>
        <v/>
      </c>
      <c r="AG694" s="15" t="str">
        <f aca="false">IF(AND(ISNUMBER(S694),ISNUMBER(T694)),T694-S694,"")</f>
        <v/>
      </c>
      <c r="AH694" s="15" t="str">
        <f aca="false">IF(AND(ISNUMBER(L694),ISNUMBER(T694)),T694-L694,"")</f>
        <v/>
      </c>
      <c r="AI694" s="15" t="str">
        <f aca="false">IF(AND(ISNUMBER(O694),ISNUMBER(Q694)),Q694-O694,"")</f>
        <v/>
      </c>
      <c r="AJ694" s="15" t="str">
        <f aca="false">IF(B694="","",COUNT(L694:M694,P694:T694)&amp;"/7")</f>
        <v/>
      </c>
      <c r="AK694" s="15" t="str">
        <f aca="false">IF(B694="","",IF(OR(AND(ISNUMBER(L694),ISNUMBER(M694),M694&lt;L694),AND(ISNUMBER(M694),ISNUMBER(P694),P694&lt;M694),AND(ISNUMBER(P694),ISNUMBER(Q694),Q694&lt;P694),AND(ISNUMBER(Q694),ISNUMBER(R694),R694&lt;Q694),AND(ISNUMBER(R694),ISNUMBER(S694),S694&lt;R694),AND(ISNUMBER(S694),ISNUMBER(T694),T694&lt;S694),AND(ISNUMBER(N694),ISNUMBER(O694),O694&lt;N694)),"Urutan tanggal salah",IF(AND(ISNUMBER(Q694),ISNUMBER(R694),ISNUMBER(Y694),ABS(R694-Q694-Y694)&gt;2),"S tanggal ≠ Sailing tercatat",IF(AND(ISNUMBER(Q694),ISNUMBER(O694),ABS(Q694-O694)&gt;60),"Cek tahun laycan",IF(AND(ISNUMBER(Q694),ISNUMBER(N694),Q694&lt;N694),"Berangkat sebelum laycan",IF(NOT(ISNUMBER(AE694)),"S belum ada","OK"))))))</f>
        <v/>
      </c>
    </row>
    <row r="695" customFormat="false" ht="15" hidden="false" customHeight="false" outlineLevel="0" collapsed="false">
      <c r="A695" s="16" t="str">
        <f aca="false">IF(B695="","",ROW()-4)</f>
        <v/>
      </c>
      <c r="B695" s="12"/>
      <c r="C695" s="16"/>
      <c r="D695" s="16"/>
      <c r="E695" s="16"/>
      <c r="F695" s="16"/>
      <c r="G695" s="16"/>
      <c r="H695" s="16"/>
      <c r="I695" s="16"/>
      <c r="J695" s="16"/>
      <c r="K695" s="16"/>
      <c r="L695" s="13"/>
      <c r="M695" s="13"/>
      <c r="N695" s="13"/>
      <c r="O695" s="13"/>
      <c r="P695" s="13"/>
      <c r="Q695" s="13"/>
      <c r="R695" s="13"/>
      <c r="S695" s="13"/>
      <c r="T695" s="13"/>
      <c r="U695" s="12"/>
      <c r="V695" s="14"/>
      <c r="W695" s="16"/>
      <c r="X695" s="16"/>
      <c r="Y695" s="16"/>
      <c r="Z695" s="16"/>
      <c r="AA695" s="15" t="str">
        <f aca="false">IF(AND(ISNUMBER(L695),ISNUMBER(M695)),M695-L695,"")</f>
        <v/>
      </c>
      <c r="AB695" s="15" t="str">
        <f aca="false">IF(AND(ISNUMBER(M695),ISNUMBER(P695)),P695-M695,"")</f>
        <v/>
      </c>
      <c r="AC695" s="15" t="str">
        <f aca="false">IF(AND(ISNUMBER(L695),ISNUMBER(P695)),P695-L695,"")</f>
        <v/>
      </c>
      <c r="AD695" s="15" t="str">
        <f aca="false">IF(AND(ISNUMBER(P695),ISNUMBER(Q695)),Q695-P695,"")</f>
        <v/>
      </c>
      <c r="AE695" s="15" t="str">
        <f aca="false">IF(AND(ISNUMBER(Q695),ISNUMBER(R695)),R695-Q695,IF(ISNUMBER(Y695),Y695,""))</f>
        <v/>
      </c>
      <c r="AF695" s="15" t="str">
        <f aca="false">IF(AND(ISNUMBER(R695),ISNUMBER(S695)),S695-R695,"")</f>
        <v/>
      </c>
      <c r="AG695" s="15" t="str">
        <f aca="false">IF(AND(ISNUMBER(S695),ISNUMBER(T695)),T695-S695,"")</f>
        <v/>
      </c>
      <c r="AH695" s="15" t="str">
        <f aca="false">IF(AND(ISNUMBER(L695),ISNUMBER(T695)),T695-L695,"")</f>
        <v/>
      </c>
      <c r="AI695" s="15" t="str">
        <f aca="false">IF(AND(ISNUMBER(O695),ISNUMBER(Q695)),Q695-O695,"")</f>
        <v/>
      </c>
      <c r="AJ695" s="15" t="str">
        <f aca="false">IF(B695="","",COUNT(L695:M695,P695:T695)&amp;"/7")</f>
        <v/>
      </c>
      <c r="AK695" s="15" t="str">
        <f aca="false">IF(B695="","",IF(OR(AND(ISNUMBER(L695),ISNUMBER(M695),M695&lt;L695),AND(ISNUMBER(M695),ISNUMBER(P695),P695&lt;M695),AND(ISNUMBER(P695),ISNUMBER(Q695),Q695&lt;P695),AND(ISNUMBER(Q695),ISNUMBER(R695),R695&lt;Q695),AND(ISNUMBER(R695),ISNUMBER(S695),S695&lt;R695),AND(ISNUMBER(S695),ISNUMBER(T695),T695&lt;S695),AND(ISNUMBER(N695),ISNUMBER(O695),O695&lt;N695)),"Urutan tanggal salah",IF(AND(ISNUMBER(Q695),ISNUMBER(R695),ISNUMBER(Y695),ABS(R695-Q695-Y695)&gt;2),"S tanggal ≠ Sailing tercatat",IF(AND(ISNUMBER(Q695),ISNUMBER(O695),ABS(Q695-O695)&gt;60),"Cek tahun laycan",IF(AND(ISNUMBER(Q695),ISNUMBER(N695),Q695&lt;N695),"Berangkat sebelum laycan",IF(NOT(ISNUMBER(AE695)),"S belum ada","OK"))))))</f>
        <v/>
      </c>
    </row>
    <row r="696" customFormat="false" ht="15" hidden="false" customHeight="false" outlineLevel="0" collapsed="false">
      <c r="A696" s="16" t="str">
        <f aca="false">IF(B696="","",ROW()-4)</f>
        <v/>
      </c>
      <c r="B696" s="12"/>
      <c r="C696" s="16"/>
      <c r="D696" s="16"/>
      <c r="E696" s="16"/>
      <c r="F696" s="16"/>
      <c r="G696" s="16"/>
      <c r="H696" s="16"/>
      <c r="I696" s="16"/>
      <c r="J696" s="16"/>
      <c r="K696" s="16"/>
      <c r="L696" s="13"/>
      <c r="M696" s="13"/>
      <c r="N696" s="13"/>
      <c r="O696" s="13"/>
      <c r="P696" s="13"/>
      <c r="Q696" s="13"/>
      <c r="R696" s="13"/>
      <c r="S696" s="13"/>
      <c r="T696" s="13"/>
      <c r="U696" s="12"/>
      <c r="V696" s="14"/>
      <c r="W696" s="16"/>
      <c r="X696" s="16"/>
      <c r="Y696" s="16"/>
      <c r="Z696" s="16"/>
      <c r="AA696" s="15" t="str">
        <f aca="false">IF(AND(ISNUMBER(L696),ISNUMBER(M696)),M696-L696,"")</f>
        <v/>
      </c>
      <c r="AB696" s="15" t="str">
        <f aca="false">IF(AND(ISNUMBER(M696),ISNUMBER(P696)),P696-M696,"")</f>
        <v/>
      </c>
      <c r="AC696" s="15" t="str">
        <f aca="false">IF(AND(ISNUMBER(L696),ISNUMBER(P696)),P696-L696,"")</f>
        <v/>
      </c>
      <c r="AD696" s="15" t="str">
        <f aca="false">IF(AND(ISNUMBER(P696),ISNUMBER(Q696)),Q696-P696,"")</f>
        <v/>
      </c>
      <c r="AE696" s="15" t="str">
        <f aca="false">IF(AND(ISNUMBER(Q696),ISNUMBER(R696)),R696-Q696,IF(ISNUMBER(Y696),Y696,""))</f>
        <v/>
      </c>
      <c r="AF696" s="15" t="str">
        <f aca="false">IF(AND(ISNUMBER(R696),ISNUMBER(S696)),S696-R696,"")</f>
        <v/>
      </c>
      <c r="AG696" s="15" t="str">
        <f aca="false">IF(AND(ISNUMBER(S696),ISNUMBER(T696)),T696-S696,"")</f>
        <v/>
      </c>
      <c r="AH696" s="15" t="str">
        <f aca="false">IF(AND(ISNUMBER(L696),ISNUMBER(T696)),T696-L696,"")</f>
        <v/>
      </c>
      <c r="AI696" s="15" t="str">
        <f aca="false">IF(AND(ISNUMBER(O696),ISNUMBER(Q696)),Q696-O696,"")</f>
        <v/>
      </c>
      <c r="AJ696" s="15" t="str">
        <f aca="false">IF(B696="","",COUNT(L696:M696,P696:T696)&amp;"/7")</f>
        <v/>
      </c>
      <c r="AK696" s="15" t="str">
        <f aca="false">IF(B696="","",IF(OR(AND(ISNUMBER(L696),ISNUMBER(M696),M696&lt;L696),AND(ISNUMBER(M696),ISNUMBER(P696),P696&lt;M696),AND(ISNUMBER(P696),ISNUMBER(Q696),Q696&lt;P696),AND(ISNUMBER(Q696),ISNUMBER(R696),R696&lt;Q696),AND(ISNUMBER(R696),ISNUMBER(S696),S696&lt;R696),AND(ISNUMBER(S696),ISNUMBER(T696),T696&lt;S696),AND(ISNUMBER(N696),ISNUMBER(O696),O696&lt;N696)),"Urutan tanggal salah",IF(AND(ISNUMBER(Q696),ISNUMBER(R696),ISNUMBER(Y696),ABS(R696-Q696-Y696)&gt;2),"S tanggal ≠ Sailing tercatat",IF(AND(ISNUMBER(Q696),ISNUMBER(O696),ABS(Q696-O696)&gt;60),"Cek tahun laycan",IF(AND(ISNUMBER(Q696),ISNUMBER(N696),Q696&lt;N696),"Berangkat sebelum laycan",IF(NOT(ISNUMBER(AE696)),"S belum ada","OK"))))))</f>
        <v/>
      </c>
    </row>
    <row r="697" customFormat="false" ht="15" hidden="false" customHeight="false" outlineLevel="0" collapsed="false">
      <c r="A697" s="16" t="str">
        <f aca="false">IF(B697="","",ROW()-4)</f>
        <v/>
      </c>
      <c r="B697" s="12"/>
      <c r="C697" s="16"/>
      <c r="D697" s="16"/>
      <c r="E697" s="16"/>
      <c r="F697" s="16"/>
      <c r="G697" s="16"/>
      <c r="H697" s="16"/>
      <c r="I697" s="16"/>
      <c r="J697" s="16"/>
      <c r="K697" s="16"/>
      <c r="L697" s="13"/>
      <c r="M697" s="13"/>
      <c r="N697" s="13"/>
      <c r="O697" s="13"/>
      <c r="P697" s="13"/>
      <c r="Q697" s="13"/>
      <c r="R697" s="13"/>
      <c r="S697" s="13"/>
      <c r="T697" s="13"/>
      <c r="U697" s="12"/>
      <c r="V697" s="14"/>
      <c r="W697" s="16"/>
      <c r="X697" s="16"/>
      <c r="Y697" s="16"/>
      <c r="Z697" s="16"/>
      <c r="AA697" s="15" t="str">
        <f aca="false">IF(AND(ISNUMBER(L697),ISNUMBER(M697)),M697-L697,"")</f>
        <v/>
      </c>
      <c r="AB697" s="15" t="str">
        <f aca="false">IF(AND(ISNUMBER(M697),ISNUMBER(P697)),P697-M697,"")</f>
        <v/>
      </c>
      <c r="AC697" s="15" t="str">
        <f aca="false">IF(AND(ISNUMBER(L697),ISNUMBER(P697)),P697-L697,"")</f>
        <v/>
      </c>
      <c r="AD697" s="15" t="str">
        <f aca="false">IF(AND(ISNUMBER(P697),ISNUMBER(Q697)),Q697-P697,"")</f>
        <v/>
      </c>
      <c r="AE697" s="15" t="str">
        <f aca="false">IF(AND(ISNUMBER(Q697),ISNUMBER(R697)),R697-Q697,IF(ISNUMBER(Y697),Y697,""))</f>
        <v/>
      </c>
      <c r="AF697" s="15" t="str">
        <f aca="false">IF(AND(ISNUMBER(R697),ISNUMBER(S697)),S697-R697,"")</f>
        <v/>
      </c>
      <c r="AG697" s="15" t="str">
        <f aca="false">IF(AND(ISNUMBER(S697),ISNUMBER(T697)),T697-S697,"")</f>
        <v/>
      </c>
      <c r="AH697" s="15" t="str">
        <f aca="false">IF(AND(ISNUMBER(L697),ISNUMBER(T697)),T697-L697,"")</f>
        <v/>
      </c>
      <c r="AI697" s="15" t="str">
        <f aca="false">IF(AND(ISNUMBER(O697),ISNUMBER(Q697)),Q697-O697,"")</f>
        <v/>
      </c>
      <c r="AJ697" s="15" t="str">
        <f aca="false">IF(B697="","",COUNT(L697:M697,P697:T697)&amp;"/7")</f>
        <v/>
      </c>
      <c r="AK697" s="15" t="str">
        <f aca="false">IF(B697="","",IF(OR(AND(ISNUMBER(L697),ISNUMBER(M697),M697&lt;L697),AND(ISNUMBER(M697),ISNUMBER(P697),P697&lt;M697),AND(ISNUMBER(P697),ISNUMBER(Q697),Q697&lt;P697),AND(ISNUMBER(Q697),ISNUMBER(R697),R697&lt;Q697),AND(ISNUMBER(R697),ISNUMBER(S697),S697&lt;R697),AND(ISNUMBER(S697),ISNUMBER(T697),T697&lt;S697),AND(ISNUMBER(N697),ISNUMBER(O697),O697&lt;N697)),"Urutan tanggal salah",IF(AND(ISNUMBER(Q697),ISNUMBER(R697),ISNUMBER(Y697),ABS(R697-Q697-Y697)&gt;2),"S tanggal ≠ Sailing tercatat",IF(AND(ISNUMBER(Q697),ISNUMBER(O697),ABS(Q697-O697)&gt;60),"Cek tahun laycan",IF(AND(ISNUMBER(Q697),ISNUMBER(N697),Q697&lt;N697),"Berangkat sebelum laycan",IF(NOT(ISNUMBER(AE697)),"S belum ada","OK"))))))</f>
        <v/>
      </c>
    </row>
    <row r="698" customFormat="false" ht="15" hidden="false" customHeight="false" outlineLevel="0" collapsed="false">
      <c r="A698" s="16" t="str">
        <f aca="false">IF(B698="","",ROW()-4)</f>
        <v/>
      </c>
      <c r="B698" s="12"/>
      <c r="C698" s="16"/>
      <c r="D698" s="16"/>
      <c r="E698" s="16"/>
      <c r="F698" s="16"/>
      <c r="G698" s="16"/>
      <c r="H698" s="16"/>
      <c r="I698" s="16"/>
      <c r="J698" s="16"/>
      <c r="K698" s="16"/>
      <c r="L698" s="13"/>
      <c r="M698" s="13"/>
      <c r="N698" s="13"/>
      <c r="O698" s="13"/>
      <c r="P698" s="13"/>
      <c r="Q698" s="13"/>
      <c r="R698" s="13"/>
      <c r="S698" s="13"/>
      <c r="T698" s="13"/>
      <c r="U698" s="12"/>
      <c r="V698" s="14"/>
      <c r="W698" s="16"/>
      <c r="X698" s="16"/>
      <c r="Y698" s="16"/>
      <c r="Z698" s="16"/>
      <c r="AA698" s="15" t="str">
        <f aca="false">IF(AND(ISNUMBER(L698),ISNUMBER(M698)),M698-L698,"")</f>
        <v/>
      </c>
      <c r="AB698" s="15" t="str">
        <f aca="false">IF(AND(ISNUMBER(M698),ISNUMBER(P698)),P698-M698,"")</f>
        <v/>
      </c>
      <c r="AC698" s="15" t="str">
        <f aca="false">IF(AND(ISNUMBER(L698),ISNUMBER(P698)),P698-L698,"")</f>
        <v/>
      </c>
      <c r="AD698" s="15" t="str">
        <f aca="false">IF(AND(ISNUMBER(P698),ISNUMBER(Q698)),Q698-P698,"")</f>
        <v/>
      </c>
      <c r="AE698" s="15" t="str">
        <f aca="false">IF(AND(ISNUMBER(Q698),ISNUMBER(R698)),R698-Q698,IF(ISNUMBER(Y698),Y698,""))</f>
        <v/>
      </c>
      <c r="AF698" s="15" t="str">
        <f aca="false">IF(AND(ISNUMBER(R698),ISNUMBER(S698)),S698-R698,"")</f>
        <v/>
      </c>
      <c r="AG698" s="15" t="str">
        <f aca="false">IF(AND(ISNUMBER(S698),ISNUMBER(T698)),T698-S698,"")</f>
        <v/>
      </c>
      <c r="AH698" s="15" t="str">
        <f aca="false">IF(AND(ISNUMBER(L698),ISNUMBER(T698)),T698-L698,"")</f>
        <v/>
      </c>
      <c r="AI698" s="15" t="str">
        <f aca="false">IF(AND(ISNUMBER(O698),ISNUMBER(Q698)),Q698-O698,"")</f>
        <v/>
      </c>
      <c r="AJ698" s="15" t="str">
        <f aca="false">IF(B698="","",COUNT(L698:M698,P698:T698)&amp;"/7")</f>
        <v/>
      </c>
      <c r="AK698" s="15" t="str">
        <f aca="false">IF(B698="","",IF(OR(AND(ISNUMBER(L698),ISNUMBER(M698),M698&lt;L698),AND(ISNUMBER(M698),ISNUMBER(P698),P698&lt;M698),AND(ISNUMBER(P698),ISNUMBER(Q698),Q698&lt;P698),AND(ISNUMBER(Q698),ISNUMBER(R698),R698&lt;Q698),AND(ISNUMBER(R698),ISNUMBER(S698),S698&lt;R698),AND(ISNUMBER(S698),ISNUMBER(T698),T698&lt;S698),AND(ISNUMBER(N698),ISNUMBER(O698),O698&lt;N698)),"Urutan tanggal salah",IF(AND(ISNUMBER(Q698),ISNUMBER(R698),ISNUMBER(Y698),ABS(R698-Q698-Y698)&gt;2),"S tanggal ≠ Sailing tercatat",IF(AND(ISNUMBER(Q698),ISNUMBER(O698),ABS(Q698-O698)&gt;60),"Cek tahun laycan",IF(AND(ISNUMBER(Q698),ISNUMBER(N698),Q698&lt;N698),"Berangkat sebelum laycan",IF(NOT(ISNUMBER(AE698)),"S belum ada","OK"))))))</f>
        <v/>
      </c>
    </row>
    <row r="699" customFormat="false" ht="15" hidden="false" customHeight="false" outlineLevel="0" collapsed="false">
      <c r="A699" s="16" t="str">
        <f aca="false">IF(B699="","",ROW()-4)</f>
        <v/>
      </c>
      <c r="B699" s="12"/>
      <c r="C699" s="16"/>
      <c r="D699" s="16"/>
      <c r="E699" s="16"/>
      <c r="F699" s="16"/>
      <c r="G699" s="16"/>
      <c r="H699" s="16"/>
      <c r="I699" s="16"/>
      <c r="J699" s="16"/>
      <c r="K699" s="16"/>
      <c r="L699" s="13"/>
      <c r="M699" s="13"/>
      <c r="N699" s="13"/>
      <c r="O699" s="13"/>
      <c r="P699" s="13"/>
      <c r="Q699" s="13"/>
      <c r="R699" s="13"/>
      <c r="S699" s="13"/>
      <c r="T699" s="13"/>
      <c r="U699" s="12"/>
      <c r="V699" s="14"/>
      <c r="W699" s="16"/>
      <c r="X699" s="16"/>
      <c r="Y699" s="16"/>
      <c r="Z699" s="16"/>
      <c r="AA699" s="15" t="str">
        <f aca="false">IF(AND(ISNUMBER(L699),ISNUMBER(M699)),M699-L699,"")</f>
        <v/>
      </c>
      <c r="AB699" s="15" t="str">
        <f aca="false">IF(AND(ISNUMBER(M699),ISNUMBER(P699)),P699-M699,"")</f>
        <v/>
      </c>
      <c r="AC699" s="15" t="str">
        <f aca="false">IF(AND(ISNUMBER(L699),ISNUMBER(P699)),P699-L699,"")</f>
        <v/>
      </c>
      <c r="AD699" s="15" t="str">
        <f aca="false">IF(AND(ISNUMBER(P699),ISNUMBER(Q699)),Q699-P699,"")</f>
        <v/>
      </c>
      <c r="AE699" s="15" t="str">
        <f aca="false">IF(AND(ISNUMBER(Q699),ISNUMBER(R699)),R699-Q699,IF(ISNUMBER(Y699),Y699,""))</f>
        <v/>
      </c>
      <c r="AF699" s="15" t="str">
        <f aca="false">IF(AND(ISNUMBER(R699),ISNUMBER(S699)),S699-R699,"")</f>
        <v/>
      </c>
      <c r="AG699" s="15" t="str">
        <f aca="false">IF(AND(ISNUMBER(S699),ISNUMBER(T699)),T699-S699,"")</f>
        <v/>
      </c>
      <c r="AH699" s="15" t="str">
        <f aca="false">IF(AND(ISNUMBER(L699),ISNUMBER(T699)),T699-L699,"")</f>
        <v/>
      </c>
      <c r="AI699" s="15" t="str">
        <f aca="false">IF(AND(ISNUMBER(O699),ISNUMBER(Q699)),Q699-O699,"")</f>
        <v/>
      </c>
      <c r="AJ699" s="15" t="str">
        <f aca="false">IF(B699="","",COUNT(L699:M699,P699:T699)&amp;"/7")</f>
        <v/>
      </c>
      <c r="AK699" s="15" t="str">
        <f aca="false">IF(B699="","",IF(OR(AND(ISNUMBER(L699),ISNUMBER(M699),M699&lt;L699),AND(ISNUMBER(M699),ISNUMBER(P699),P699&lt;M699),AND(ISNUMBER(P699),ISNUMBER(Q699),Q699&lt;P699),AND(ISNUMBER(Q699),ISNUMBER(R699),R699&lt;Q699),AND(ISNUMBER(R699),ISNUMBER(S699),S699&lt;R699),AND(ISNUMBER(S699),ISNUMBER(T699),T699&lt;S699),AND(ISNUMBER(N699),ISNUMBER(O699),O699&lt;N699)),"Urutan tanggal salah",IF(AND(ISNUMBER(Q699),ISNUMBER(R699),ISNUMBER(Y699),ABS(R699-Q699-Y699)&gt;2),"S tanggal ≠ Sailing tercatat",IF(AND(ISNUMBER(Q699),ISNUMBER(O699),ABS(Q699-O699)&gt;60),"Cek tahun laycan",IF(AND(ISNUMBER(Q699),ISNUMBER(N699),Q699&lt;N699),"Berangkat sebelum laycan",IF(NOT(ISNUMBER(AE699)),"S belum ada","OK"))))))</f>
        <v/>
      </c>
    </row>
    <row r="700" customFormat="false" ht="15" hidden="false" customHeight="false" outlineLevel="0" collapsed="false">
      <c r="A700" s="16" t="str">
        <f aca="false">IF(B700="","",ROW()-4)</f>
        <v/>
      </c>
      <c r="B700" s="12"/>
      <c r="C700" s="16"/>
      <c r="D700" s="16"/>
      <c r="E700" s="16"/>
      <c r="F700" s="16"/>
      <c r="G700" s="16"/>
      <c r="H700" s="16"/>
      <c r="I700" s="16"/>
      <c r="J700" s="16"/>
      <c r="K700" s="16"/>
      <c r="L700" s="13"/>
      <c r="M700" s="13"/>
      <c r="N700" s="13"/>
      <c r="O700" s="13"/>
      <c r="P700" s="13"/>
      <c r="Q700" s="13"/>
      <c r="R700" s="13"/>
      <c r="S700" s="13"/>
      <c r="T700" s="13"/>
      <c r="U700" s="12"/>
      <c r="V700" s="14"/>
      <c r="W700" s="16"/>
      <c r="X700" s="16"/>
      <c r="Y700" s="16"/>
      <c r="Z700" s="16"/>
      <c r="AA700" s="15" t="str">
        <f aca="false">IF(AND(ISNUMBER(L700),ISNUMBER(M700)),M700-L700,"")</f>
        <v/>
      </c>
      <c r="AB700" s="15" t="str">
        <f aca="false">IF(AND(ISNUMBER(M700),ISNUMBER(P700)),P700-M700,"")</f>
        <v/>
      </c>
      <c r="AC700" s="15" t="str">
        <f aca="false">IF(AND(ISNUMBER(L700),ISNUMBER(P700)),P700-L700,"")</f>
        <v/>
      </c>
      <c r="AD700" s="15" t="str">
        <f aca="false">IF(AND(ISNUMBER(P700),ISNUMBER(Q700)),Q700-P700,"")</f>
        <v/>
      </c>
      <c r="AE700" s="15" t="str">
        <f aca="false">IF(AND(ISNUMBER(Q700),ISNUMBER(R700)),R700-Q700,IF(ISNUMBER(Y700),Y700,""))</f>
        <v/>
      </c>
      <c r="AF700" s="15" t="str">
        <f aca="false">IF(AND(ISNUMBER(R700),ISNUMBER(S700)),S700-R700,"")</f>
        <v/>
      </c>
      <c r="AG700" s="15" t="str">
        <f aca="false">IF(AND(ISNUMBER(S700),ISNUMBER(T700)),T700-S700,"")</f>
        <v/>
      </c>
      <c r="AH700" s="15" t="str">
        <f aca="false">IF(AND(ISNUMBER(L700),ISNUMBER(T700)),T700-L700,"")</f>
        <v/>
      </c>
      <c r="AI700" s="15" t="str">
        <f aca="false">IF(AND(ISNUMBER(O700),ISNUMBER(Q700)),Q700-O700,"")</f>
        <v/>
      </c>
      <c r="AJ700" s="15" t="str">
        <f aca="false">IF(B700="","",COUNT(L700:M700,P700:T700)&amp;"/7")</f>
        <v/>
      </c>
      <c r="AK700" s="15" t="str">
        <f aca="false">IF(B700="","",IF(OR(AND(ISNUMBER(L700),ISNUMBER(M700),M700&lt;L700),AND(ISNUMBER(M700),ISNUMBER(P700),P700&lt;M700),AND(ISNUMBER(P700),ISNUMBER(Q700),Q700&lt;P700),AND(ISNUMBER(Q700),ISNUMBER(R700),R700&lt;Q700),AND(ISNUMBER(R700),ISNUMBER(S700),S700&lt;R700),AND(ISNUMBER(S700),ISNUMBER(T700),T700&lt;S700),AND(ISNUMBER(N700),ISNUMBER(O700),O700&lt;N700)),"Urutan tanggal salah",IF(AND(ISNUMBER(Q700),ISNUMBER(R700),ISNUMBER(Y700),ABS(R700-Q700-Y700)&gt;2),"S tanggal ≠ Sailing tercatat",IF(AND(ISNUMBER(Q700),ISNUMBER(O700),ABS(Q700-O700)&gt;60),"Cek tahun laycan",IF(AND(ISNUMBER(Q700),ISNUMBER(N700),Q700&lt;N700),"Berangkat sebelum laycan",IF(NOT(ISNUMBER(AE700)),"S belum ada","OK"))))))</f>
        <v/>
      </c>
    </row>
    <row r="701" customFormat="false" ht="15" hidden="false" customHeight="false" outlineLevel="0" collapsed="false">
      <c r="A701" s="16" t="str">
        <f aca="false">IF(B701="","",ROW()-4)</f>
        <v/>
      </c>
      <c r="B701" s="12"/>
      <c r="C701" s="16"/>
      <c r="D701" s="16"/>
      <c r="E701" s="16"/>
      <c r="F701" s="16"/>
      <c r="G701" s="16"/>
      <c r="H701" s="16"/>
      <c r="I701" s="16"/>
      <c r="J701" s="16"/>
      <c r="K701" s="16"/>
      <c r="L701" s="13"/>
      <c r="M701" s="13"/>
      <c r="N701" s="13"/>
      <c r="O701" s="13"/>
      <c r="P701" s="13"/>
      <c r="Q701" s="13"/>
      <c r="R701" s="13"/>
      <c r="S701" s="13"/>
      <c r="T701" s="13"/>
      <c r="U701" s="12"/>
      <c r="V701" s="14"/>
      <c r="W701" s="16"/>
      <c r="X701" s="16"/>
      <c r="Y701" s="16"/>
      <c r="Z701" s="16"/>
      <c r="AA701" s="15" t="str">
        <f aca="false">IF(AND(ISNUMBER(L701),ISNUMBER(M701)),M701-L701,"")</f>
        <v/>
      </c>
      <c r="AB701" s="15" t="str">
        <f aca="false">IF(AND(ISNUMBER(M701),ISNUMBER(P701)),P701-M701,"")</f>
        <v/>
      </c>
      <c r="AC701" s="15" t="str">
        <f aca="false">IF(AND(ISNUMBER(L701),ISNUMBER(P701)),P701-L701,"")</f>
        <v/>
      </c>
      <c r="AD701" s="15" t="str">
        <f aca="false">IF(AND(ISNUMBER(P701),ISNUMBER(Q701)),Q701-P701,"")</f>
        <v/>
      </c>
      <c r="AE701" s="15" t="str">
        <f aca="false">IF(AND(ISNUMBER(Q701),ISNUMBER(R701)),R701-Q701,IF(ISNUMBER(Y701),Y701,""))</f>
        <v/>
      </c>
      <c r="AF701" s="15" t="str">
        <f aca="false">IF(AND(ISNUMBER(R701),ISNUMBER(S701)),S701-R701,"")</f>
        <v/>
      </c>
      <c r="AG701" s="15" t="str">
        <f aca="false">IF(AND(ISNUMBER(S701),ISNUMBER(T701)),T701-S701,"")</f>
        <v/>
      </c>
      <c r="AH701" s="15" t="str">
        <f aca="false">IF(AND(ISNUMBER(L701),ISNUMBER(T701)),T701-L701,"")</f>
        <v/>
      </c>
      <c r="AI701" s="15" t="str">
        <f aca="false">IF(AND(ISNUMBER(O701),ISNUMBER(Q701)),Q701-O701,"")</f>
        <v/>
      </c>
      <c r="AJ701" s="15" t="str">
        <f aca="false">IF(B701="","",COUNT(L701:M701,P701:T701)&amp;"/7")</f>
        <v/>
      </c>
      <c r="AK701" s="15" t="str">
        <f aca="false">IF(B701="","",IF(OR(AND(ISNUMBER(L701),ISNUMBER(M701),M701&lt;L701),AND(ISNUMBER(M701),ISNUMBER(P701),P701&lt;M701),AND(ISNUMBER(P701),ISNUMBER(Q701),Q701&lt;P701),AND(ISNUMBER(Q701),ISNUMBER(R701),R701&lt;Q701),AND(ISNUMBER(R701),ISNUMBER(S701),S701&lt;R701),AND(ISNUMBER(S701),ISNUMBER(T701),T701&lt;S701),AND(ISNUMBER(N701),ISNUMBER(O701),O701&lt;N701)),"Urutan tanggal salah",IF(AND(ISNUMBER(Q701),ISNUMBER(R701),ISNUMBER(Y701),ABS(R701-Q701-Y701)&gt;2),"S tanggal ≠ Sailing tercatat",IF(AND(ISNUMBER(Q701),ISNUMBER(O701),ABS(Q701-O701)&gt;60),"Cek tahun laycan",IF(AND(ISNUMBER(Q701),ISNUMBER(N701),Q701&lt;N701),"Berangkat sebelum laycan",IF(NOT(ISNUMBER(AE701)),"S belum ada","OK"))))))</f>
        <v/>
      </c>
    </row>
    <row r="702" customFormat="false" ht="15" hidden="false" customHeight="false" outlineLevel="0" collapsed="false">
      <c r="A702" s="16" t="str">
        <f aca="false">IF(B702="","",ROW()-4)</f>
        <v/>
      </c>
      <c r="B702" s="12"/>
      <c r="C702" s="16"/>
      <c r="D702" s="16"/>
      <c r="E702" s="16"/>
      <c r="F702" s="16"/>
      <c r="G702" s="16"/>
      <c r="H702" s="16"/>
      <c r="I702" s="16"/>
      <c r="J702" s="16"/>
      <c r="K702" s="16"/>
      <c r="L702" s="13"/>
      <c r="M702" s="13"/>
      <c r="N702" s="13"/>
      <c r="O702" s="13"/>
      <c r="P702" s="13"/>
      <c r="Q702" s="13"/>
      <c r="R702" s="13"/>
      <c r="S702" s="13"/>
      <c r="T702" s="13"/>
      <c r="U702" s="12"/>
      <c r="V702" s="14"/>
      <c r="W702" s="16"/>
      <c r="X702" s="16"/>
      <c r="Y702" s="16"/>
      <c r="Z702" s="16"/>
      <c r="AA702" s="15" t="str">
        <f aca="false">IF(AND(ISNUMBER(L702),ISNUMBER(M702)),M702-L702,"")</f>
        <v/>
      </c>
      <c r="AB702" s="15" t="str">
        <f aca="false">IF(AND(ISNUMBER(M702),ISNUMBER(P702)),P702-M702,"")</f>
        <v/>
      </c>
      <c r="AC702" s="15" t="str">
        <f aca="false">IF(AND(ISNUMBER(L702),ISNUMBER(P702)),P702-L702,"")</f>
        <v/>
      </c>
      <c r="AD702" s="15" t="str">
        <f aca="false">IF(AND(ISNUMBER(P702),ISNUMBER(Q702)),Q702-P702,"")</f>
        <v/>
      </c>
      <c r="AE702" s="15" t="str">
        <f aca="false">IF(AND(ISNUMBER(Q702),ISNUMBER(R702)),R702-Q702,IF(ISNUMBER(Y702),Y702,""))</f>
        <v/>
      </c>
      <c r="AF702" s="15" t="str">
        <f aca="false">IF(AND(ISNUMBER(R702),ISNUMBER(S702)),S702-R702,"")</f>
        <v/>
      </c>
      <c r="AG702" s="15" t="str">
        <f aca="false">IF(AND(ISNUMBER(S702),ISNUMBER(T702)),T702-S702,"")</f>
        <v/>
      </c>
      <c r="AH702" s="15" t="str">
        <f aca="false">IF(AND(ISNUMBER(L702),ISNUMBER(T702)),T702-L702,"")</f>
        <v/>
      </c>
      <c r="AI702" s="15" t="str">
        <f aca="false">IF(AND(ISNUMBER(O702),ISNUMBER(Q702)),Q702-O702,"")</f>
        <v/>
      </c>
      <c r="AJ702" s="15" t="str">
        <f aca="false">IF(B702="","",COUNT(L702:M702,P702:T702)&amp;"/7")</f>
        <v/>
      </c>
      <c r="AK702" s="15" t="str">
        <f aca="false">IF(B702="","",IF(OR(AND(ISNUMBER(L702),ISNUMBER(M702),M702&lt;L702),AND(ISNUMBER(M702),ISNUMBER(P702),P702&lt;M702),AND(ISNUMBER(P702),ISNUMBER(Q702),Q702&lt;P702),AND(ISNUMBER(Q702),ISNUMBER(R702),R702&lt;Q702),AND(ISNUMBER(R702),ISNUMBER(S702),S702&lt;R702),AND(ISNUMBER(S702),ISNUMBER(T702),T702&lt;S702),AND(ISNUMBER(N702),ISNUMBER(O702),O702&lt;N702)),"Urutan tanggal salah",IF(AND(ISNUMBER(Q702),ISNUMBER(R702),ISNUMBER(Y702),ABS(R702-Q702-Y702)&gt;2),"S tanggal ≠ Sailing tercatat",IF(AND(ISNUMBER(Q702),ISNUMBER(O702),ABS(Q702-O702)&gt;60),"Cek tahun laycan",IF(AND(ISNUMBER(Q702),ISNUMBER(N702),Q702&lt;N702),"Berangkat sebelum laycan",IF(NOT(ISNUMBER(AE702)),"S belum ada","OK"))))))</f>
        <v/>
      </c>
    </row>
    <row r="703" customFormat="false" ht="15" hidden="false" customHeight="false" outlineLevel="0" collapsed="false">
      <c r="A703" s="16" t="str">
        <f aca="false">IF(B703="","",ROW()-4)</f>
        <v/>
      </c>
      <c r="B703" s="12"/>
      <c r="C703" s="16"/>
      <c r="D703" s="16"/>
      <c r="E703" s="16"/>
      <c r="F703" s="16"/>
      <c r="G703" s="16"/>
      <c r="H703" s="16"/>
      <c r="I703" s="16"/>
      <c r="J703" s="16"/>
      <c r="K703" s="16"/>
      <c r="L703" s="13"/>
      <c r="M703" s="13"/>
      <c r="N703" s="13"/>
      <c r="O703" s="13"/>
      <c r="P703" s="13"/>
      <c r="Q703" s="13"/>
      <c r="R703" s="13"/>
      <c r="S703" s="13"/>
      <c r="T703" s="13"/>
      <c r="U703" s="12"/>
      <c r="V703" s="14"/>
      <c r="W703" s="16"/>
      <c r="X703" s="16"/>
      <c r="Y703" s="16"/>
      <c r="Z703" s="16"/>
      <c r="AA703" s="15" t="str">
        <f aca="false">IF(AND(ISNUMBER(L703),ISNUMBER(M703)),M703-L703,"")</f>
        <v/>
      </c>
      <c r="AB703" s="15" t="str">
        <f aca="false">IF(AND(ISNUMBER(M703),ISNUMBER(P703)),P703-M703,"")</f>
        <v/>
      </c>
      <c r="AC703" s="15" t="str">
        <f aca="false">IF(AND(ISNUMBER(L703),ISNUMBER(P703)),P703-L703,"")</f>
        <v/>
      </c>
      <c r="AD703" s="15" t="str">
        <f aca="false">IF(AND(ISNUMBER(P703),ISNUMBER(Q703)),Q703-P703,"")</f>
        <v/>
      </c>
      <c r="AE703" s="15" t="str">
        <f aca="false">IF(AND(ISNUMBER(Q703),ISNUMBER(R703)),R703-Q703,IF(ISNUMBER(Y703),Y703,""))</f>
        <v/>
      </c>
      <c r="AF703" s="15" t="str">
        <f aca="false">IF(AND(ISNUMBER(R703),ISNUMBER(S703)),S703-R703,"")</f>
        <v/>
      </c>
      <c r="AG703" s="15" t="str">
        <f aca="false">IF(AND(ISNUMBER(S703),ISNUMBER(T703)),T703-S703,"")</f>
        <v/>
      </c>
      <c r="AH703" s="15" t="str">
        <f aca="false">IF(AND(ISNUMBER(L703),ISNUMBER(T703)),T703-L703,"")</f>
        <v/>
      </c>
      <c r="AI703" s="15" t="str">
        <f aca="false">IF(AND(ISNUMBER(O703),ISNUMBER(Q703)),Q703-O703,"")</f>
        <v/>
      </c>
      <c r="AJ703" s="15" t="str">
        <f aca="false">IF(B703="","",COUNT(L703:M703,P703:T703)&amp;"/7")</f>
        <v/>
      </c>
      <c r="AK703" s="15" t="str">
        <f aca="false">IF(B703="","",IF(OR(AND(ISNUMBER(L703),ISNUMBER(M703),M703&lt;L703),AND(ISNUMBER(M703),ISNUMBER(P703),P703&lt;M703),AND(ISNUMBER(P703),ISNUMBER(Q703),Q703&lt;P703),AND(ISNUMBER(Q703),ISNUMBER(R703),R703&lt;Q703),AND(ISNUMBER(R703),ISNUMBER(S703),S703&lt;R703),AND(ISNUMBER(S703),ISNUMBER(T703),T703&lt;S703),AND(ISNUMBER(N703),ISNUMBER(O703),O703&lt;N703)),"Urutan tanggal salah",IF(AND(ISNUMBER(Q703),ISNUMBER(R703),ISNUMBER(Y703),ABS(R703-Q703-Y703)&gt;2),"S tanggal ≠ Sailing tercatat",IF(AND(ISNUMBER(Q703),ISNUMBER(O703),ABS(Q703-O703)&gt;60),"Cek tahun laycan",IF(AND(ISNUMBER(Q703),ISNUMBER(N703),Q703&lt;N703),"Berangkat sebelum laycan",IF(NOT(ISNUMBER(AE703)),"S belum ada","OK"))))))</f>
        <v/>
      </c>
    </row>
    <row r="704" customFormat="false" ht="15" hidden="false" customHeight="false" outlineLevel="0" collapsed="false">
      <c r="A704" s="16" t="str">
        <f aca="false">IF(B704="","",ROW()-4)</f>
        <v/>
      </c>
      <c r="B704" s="12"/>
      <c r="C704" s="16"/>
      <c r="D704" s="16"/>
      <c r="E704" s="16"/>
      <c r="F704" s="16"/>
      <c r="G704" s="16"/>
      <c r="H704" s="16"/>
      <c r="I704" s="16"/>
      <c r="J704" s="16"/>
      <c r="K704" s="16"/>
      <c r="L704" s="13"/>
      <c r="M704" s="13"/>
      <c r="N704" s="13"/>
      <c r="O704" s="13"/>
      <c r="P704" s="13"/>
      <c r="Q704" s="13"/>
      <c r="R704" s="13"/>
      <c r="S704" s="13"/>
      <c r="T704" s="13"/>
      <c r="U704" s="12"/>
      <c r="V704" s="14"/>
      <c r="W704" s="16"/>
      <c r="X704" s="16"/>
      <c r="Y704" s="16"/>
      <c r="Z704" s="16"/>
      <c r="AA704" s="15" t="str">
        <f aca="false">IF(AND(ISNUMBER(L704),ISNUMBER(M704)),M704-L704,"")</f>
        <v/>
      </c>
      <c r="AB704" s="15" t="str">
        <f aca="false">IF(AND(ISNUMBER(M704),ISNUMBER(P704)),P704-M704,"")</f>
        <v/>
      </c>
      <c r="AC704" s="15" t="str">
        <f aca="false">IF(AND(ISNUMBER(L704),ISNUMBER(P704)),P704-L704,"")</f>
        <v/>
      </c>
      <c r="AD704" s="15" t="str">
        <f aca="false">IF(AND(ISNUMBER(P704),ISNUMBER(Q704)),Q704-P704,"")</f>
        <v/>
      </c>
      <c r="AE704" s="15" t="str">
        <f aca="false">IF(AND(ISNUMBER(Q704),ISNUMBER(R704)),R704-Q704,IF(ISNUMBER(Y704),Y704,""))</f>
        <v/>
      </c>
      <c r="AF704" s="15" t="str">
        <f aca="false">IF(AND(ISNUMBER(R704),ISNUMBER(S704)),S704-R704,"")</f>
        <v/>
      </c>
      <c r="AG704" s="15" t="str">
        <f aca="false">IF(AND(ISNUMBER(S704),ISNUMBER(T704)),T704-S704,"")</f>
        <v/>
      </c>
      <c r="AH704" s="15" t="str">
        <f aca="false">IF(AND(ISNUMBER(L704),ISNUMBER(T704)),T704-L704,"")</f>
        <v/>
      </c>
      <c r="AI704" s="15" t="str">
        <f aca="false">IF(AND(ISNUMBER(O704),ISNUMBER(Q704)),Q704-O704,"")</f>
        <v/>
      </c>
      <c r="AJ704" s="15" t="str">
        <f aca="false">IF(B704="","",COUNT(L704:M704,P704:T704)&amp;"/7")</f>
        <v/>
      </c>
      <c r="AK704" s="15" t="str">
        <f aca="false">IF(B704="","",IF(OR(AND(ISNUMBER(L704),ISNUMBER(M704),M704&lt;L704),AND(ISNUMBER(M704),ISNUMBER(P704),P704&lt;M704),AND(ISNUMBER(P704),ISNUMBER(Q704),Q704&lt;P704),AND(ISNUMBER(Q704),ISNUMBER(R704),R704&lt;Q704),AND(ISNUMBER(R704),ISNUMBER(S704),S704&lt;R704),AND(ISNUMBER(S704),ISNUMBER(T704),T704&lt;S704),AND(ISNUMBER(N704),ISNUMBER(O704),O704&lt;N704)),"Urutan tanggal salah",IF(AND(ISNUMBER(Q704),ISNUMBER(R704),ISNUMBER(Y704),ABS(R704-Q704-Y704)&gt;2),"S tanggal ≠ Sailing tercatat",IF(AND(ISNUMBER(Q704),ISNUMBER(O704),ABS(Q704-O704)&gt;60),"Cek tahun laycan",IF(AND(ISNUMBER(Q704),ISNUMBER(N704),Q704&lt;N704),"Berangkat sebelum laycan",IF(NOT(ISNUMBER(AE704)),"S belum ada","OK"))))))</f>
        <v/>
      </c>
    </row>
    <row r="705" customFormat="false" ht="15" hidden="false" customHeight="false" outlineLevel="0" collapsed="false">
      <c r="A705" s="16" t="str">
        <f aca="false">IF(B705="","",ROW()-4)</f>
        <v/>
      </c>
      <c r="B705" s="12"/>
      <c r="C705" s="16"/>
      <c r="D705" s="16"/>
      <c r="E705" s="16"/>
      <c r="F705" s="16"/>
      <c r="G705" s="16"/>
      <c r="H705" s="16"/>
      <c r="I705" s="16"/>
      <c r="J705" s="16"/>
      <c r="K705" s="16"/>
      <c r="L705" s="13"/>
      <c r="M705" s="13"/>
      <c r="N705" s="13"/>
      <c r="O705" s="13"/>
      <c r="P705" s="13"/>
      <c r="Q705" s="13"/>
      <c r="R705" s="13"/>
      <c r="S705" s="13"/>
      <c r="T705" s="13"/>
      <c r="U705" s="12"/>
      <c r="V705" s="14"/>
      <c r="W705" s="16"/>
      <c r="X705" s="16"/>
      <c r="Y705" s="16"/>
      <c r="Z705" s="16"/>
      <c r="AA705" s="15" t="str">
        <f aca="false">IF(AND(ISNUMBER(L705),ISNUMBER(M705)),M705-L705,"")</f>
        <v/>
      </c>
      <c r="AB705" s="15" t="str">
        <f aca="false">IF(AND(ISNUMBER(M705),ISNUMBER(P705)),P705-M705,"")</f>
        <v/>
      </c>
      <c r="AC705" s="15" t="str">
        <f aca="false">IF(AND(ISNUMBER(L705),ISNUMBER(P705)),P705-L705,"")</f>
        <v/>
      </c>
      <c r="AD705" s="15" t="str">
        <f aca="false">IF(AND(ISNUMBER(P705),ISNUMBER(Q705)),Q705-P705,"")</f>
        <v/>
      </c>
      <c r="AE705" s="15" t="str">
        <f aca="false">IF(AND(ISNUMBER(Q705),ISNUMBER(R705)),R705-Q705,IF(ISNUMBER(Y705),Y705,""))</f>
        <v/>
      </c>
      <c r="AF705" s="15" t="str">
        <f aca="false">IF(AND(ISNUMBER(R705),ISNUMBER(S705)),S705-R705,"")</f>
        <v/>
      </c>
      <c r="AG705" s="15" t="str">
        <f aca="false">IF(AND(ISNUMBER(S705),ISNUMBER(T705)),T705-S705,"")</f>
        <v/>
      </c>
      <c r="AH705" s="15" t="str">
        <f aca="false">IF(AND(ISNUMBER(L705),ISNUMBER(T705)),T705-L705,"")</f>
        <v/>
      </c>
      <c r="AI705" s="15" t="str">
        <f aca="false">IF(AND(ISNUMBER(O705),ISNUMBER(Q705)),Q705-O705,"")</f>
        <v/>
      </c>
      <c r="AJ705" s="15" t="str">
        <f aca="false">IF(B705="","",COUNT(L705:M705,P705:T705)&amp;"/7")</f>
        <v/>
      </c>
      <c r="AK705" s="15" t="str">
        <f aca="false">IF(B705="","",IF(OR(AND(ISNUMBER(L705),ISNUMBER(M705),M705&lt;L705),AND(ISNUMBER(M705),ISNUMBER(P705),P705&lt;M705),AND(ISNUMBER(P705),ISNUMBER(Q705),Q705&lt;P705),AND(ISNUMBER(Q705),ISNUMBER(R705),R705&lt;Q705),AND(ISNUMBER(R705),ISNUMBER(S705),S705&lt;R705),AND(ISNUMBER(S705),ISNUMBER(T705),T705&lt;S705),AND(ISNUMBER(N705),ISNUMBER(O705),O705&lt;N705)),"Urutan tanggal salah",IF(AND(ISNUMBER(Q705),ISNUMBER(R705),ISNUMBER(Y705),ABS(R705-Q705-Y705)&gt;2),"S tanggal ≠ Sailing tercatat",IF(AND(ISNUMBER(Q705),ISNUMBER(O705),ABS(Q705-O705)&gt;60),"Cek tahun laycan",IF(AND(ISNUMBER(Q705),ISNUMBER(N705),Q705&lt;N705),"Berangkat sebelum laycan",IF(NOT(ISNUMBER(AE705)),"S belum ada","OK"))))))</f>
        <v/>
      </c>
    </row>
    <row r="706" customFormat="false" ht="15" hidden="false" customHeight="false" outlineLevel="0" collapsed="false">
      <c r="A706" s="16" t="str">
        <f aca="false">IF(B706="","",ROW()-4)</f>
        <v/>
      </c>
      <c r="B706" s="12"/>
      <c r="C706" s="16"/>
      <c r="D706" s="16"/>
      <c r="E706" s="16"/>
      <c r="F706" s="16"/>
      <c r="G706" s="16"/>
      <c r="H706" s="16"/>
      <c r="I706" s="16"/>
      <c r="J706" s="16"/>
      <c r="K706" s="16"/>
      <c r="L706" s="13"/>
      <c r="M706" s="13"/>
      <c r="N706" s="13"/>
      <c r="O706" s="13"/>
      <c r="P706" s="13"/>
      <c r="Q706" s="13"/>
      <c r="R706" s="13"/>
      <c r="S706" s="13"/>
      <c r="T706" s="13"/>
      <c r="U706" s="12"/>
      <c r="V706" s="14"/>
      <c r="W706" s="16"/>
      <c r="X706" s="16"/>
      <c r="Y706" s="16"/>
      <c r="Z706" s="16"/>
      <c r="AA706" s="15" t="str">
        <f aca="false">IF(AND(ISNUMBER(L706),ISNUMBER(M706)),M706-L706,"")</f>
        <v/>
      </c>
      <c r="AB706" s="15" t="str">
        <f aca="false">IF(AND(ISNUMBER(M706),ISNUMBER(P706)),P706-M706,"")</f>
        <v/>
      </c>
      <c r="AC706" s="15" t="str">
        <f aca="false">IF(AND(ISNUMBER(L706),ISNUMBER(P706)),P706-L706,"")</f>
        <v/>
      </c>
      <c r="AD706" s="15" t="str">
        <f aca="false">IF(AND(ISNUMBER(P706),ISNUMBER(Q706)),Q706-P706,"")</f>
        <v/>
      </c>
      <c r="AE706" s="15" t="str">
        <f aca="false">IF(AND(ISNUMBER(Q706),ISNUMBER(R706)),R706-Q706,IF(ISNUMBER(Y706),Y706,""))</f>
        <v/>
      </c>
      <c r="AF706" s="15" t="str">
        <f aca="false">IF(AND(ISNUMBER(R706),ISNUMBER(S706)),S706-R706,"")</f>
        <v/>
      </c>
      <c r="AG706" s="15" t="str">
        <f aca="false">IF(AND(ISNUMBER(S706),ISNUMBER(T706)),T706-S706,"")</f>
        <v/>
      </c>
      <c r="AH706" s="15" t="str">
        <f aca="false">IF(AND(ISNUMBER(L706),ISNUMBER(T706)),T706-L706,"")</f>
        <v/>
      </c>
      <c r="AI706" s="15" t="str">
        <f aca="false">IF(AND(ISNUMBER(O706),ISNUMBER(Q706)),Q706-O706,"")</f>
        <v/>
      </c>
      <c r="AJ706" s="15" t="str">
        <f aca="false">IF(B706="","",COUNT(L706:M706,P706:T706)&amp;"/7")</f>
        <v/>
      </c>
      <c r="AK706" s="15" t="str">
        <f aca="false">IF(B706="","",IF(OR(AND(ISNUMBER(L706),ISNUMBER(M706),M706&lt;L706),AND(ISNUMBER(M706),ISNUMBER(P706),P706&lt;M706),AND(ISNUMBER(P706),ISNUMBER(Q706),Q706&lt;P706),AND(ISNUMBER(Q706),ISNUMBER(R706),R706&lt;Q706),AND(ISNUMBER(R706),ISNUMBER(S706),S706&lt;R706),AND(ISNUMBER(S706),ISNUMBER(T706),T706&lt;S706),AND(ISNUMBER(N706),ISNUMBER(O706),O706&lt;N706)),"Urutan tanggal salah",IF(AND(ISNUMBER(Q706),ISNUMBER(R706),ISNUMBER(Y706),ABS(R706-Q706-Y706)&gt;2),"S tanggal ≠ Sailing tercatat",IF(AND(ISNUMBER(Q706),ISNUMBER(O706),ABS(Q706-O706)&gt;60),"Cek tahun laycan",IF(AND(ISNUMBER(Q706),ISNUMBER(N706),Q706&lt;N706),"Berangkat sebelum laycan",IF(NOT(ISNUMBER(AE706)),"S belum ada","OK"))))))</f>
        <v/>
      </c>
    </row>
    <row r="707" customFormat="false" ht="15" hidden="false" customHeight="false" outlineLevel="0" collapsed="false">
      <c r="A707" s="16" t="str">
        <f aca="false">IF(B707="","",ROW()-4)</f>
        <v/>
      </c>
      <c r="B707" s="12"/>
      <c r="C707" s="16"/>
      <c r="D707" s="16"/>
      <c r="E707" s="16"/>
      <c r="F707" s="16"/>
      <c r="G707" s="16"/>
      <c r="H707" s="16"/>
      <c r="I707" s="16"/>
      <c r="J707" s="16"/>
      <c r="K707" s="16"/>
      <c r="L707" s="13"/>
      <c r="M707" s="13"/>
      <c r="N707" s="13"/>
      <c r="O707" s="13"/>
      <c r="P707" s="13"/>
      <c r="Q707" s="13"/>
      <c r="R707" s="13"/>
      <c r="S707" s="13"/>
      <c r="T707" s="13"/>
      <c r="U707" s="12"/>
      <c r="V707" s="14"/>
      <c r="W707" s="16"/>
      <c r="X707" s="16"/>
      <c r="Y707" s="16"/>
      <c r="Z707" s="16"/>
      <c r="AA707" s="15" t="str">
        <f aca="false">IF(AND(ISNUMBER(L707),ISNUMBER(M707)),M707-L707,"")</f>
        <v/>
      </c>
      <c r="AB707" s="15" t="str">
        <f aca="false">IF(AND(ISNUMBER(M707),ISNUMBER(P707)),P707-M707,"")</f>
        <v/>
      </c>
      <c r="AC707" s="15" t="str">
        <f aca="false">IF(AND(ISNUMBER(L707),ISNUMBER(P707)),P707-L707,"")</f>
        <v/>
      </c>
      <c r="AD707" s="15" t="str">
        <f aca="false">IF(AND(ISNUMBER(P707),ISNUMBER(Q707)),Q707-P707,"")</f>
        <v/>
      </c>
      <c r="AE707" s="15" t="str">
        <f aca="false">IF(AND(ISNUMBER(Q707),ISNUMBER(R707)),R707-Q707,IF(ISNUMBER(Y707),Y707,""))</f>
        <v/>
      </c>
      <c r="AF707" s="15" t="str">
        <f aca="false">IF(AND(ISNUMBER(R707),ISNUMBER(S707)),S707-R707,"")</f>
        <v/>
      </c>
      <c r="AG707" s="15" t="str">
        <f aca="false">IF(AND(ISNUMBER(S707),ISNUMBER(T707)),T707-S707,"")</f>
        <v/>
      </c>
      <c r="AH707" s="15" t="str">
        <f aca="false">IF(AND(ISNUMBER(L707),ISNUMBER(T707)),T707-L707,"")</f>
        <v/>
      </c>
      <c r="AI707" s="15" t="str">
        <f aca="false">IF(AND(ISNUMBER(O707),ISNUMBER(Q707)),Q707-O707,"")</f>
        <v/>
      </c>
      <c r="AJ707" s="15" t="str">
        <f aca="false">IF(B707="","",COUNT(L707:M707,P707:T707)&amp;"/7")</f>
        <v/>
      </c>
      <c r="AK707" s="15" t="str">
        <f aca="false">IF(B707="","",IF(OR(AND(ISNUMBER(L707),ISNUMBER(M707),M707&lt;L707),AND(ISNUMBER(M707),ISNUMBER(P707),P707&lt;M707),AND(ISNUMBER(P707),ISNUMBER(Q707),Q707&lt;P707),AND(ISNUMBER(Q707),ISNUMBER(R707),R707&lt;Q707),AND(ISNUMBER(R707),ISNUMBER(S707),S707&lt;R707),AND(ISNUMBER(S707),ISNUMBER(T707),T707&lt;S707),AND(ISNUMBER(N707),ISNUMBER(O707),O707&lt;N707)),"Urutan tanggal salah",IF(AND(ISNUMBER(Q707),ISNUMBER(R707),ISNUMBER(Y707),ABS(R707-Q707-Y707)&gt;2),"S tanggal ≠ Sailing tercatat",IF(AND(ISNUMBER(Q707),ISNUMBER(O707),ABS(Q707-O707)&gt;60),"Cek tahun laycan",IF(AND(ISNUMBER(Q707),ISNUMBER(N707),Q707&lt;N707),"Berangkat sebelum laycan",IF(NOT(ISNUMBER(AE707)),"S belum ada","OK"))))))</f>
        <v/>
      </c>
    </row>
    <row r="708" customFormat="false" ht="15" hidden="false" customHeight="false" outlineLevel="0" collapsed="false">
      <c r="A708" s="16" t="str">
        <f aca="false">IF(B708="","",ROW()-4)</f>
        <v/>
      </c>
      <c r="B708" s="12"/>
      <c r="C708" s="16"/>
      <c r="D708" s="16"/>
      <c r="E708" s="16"/>
      <c r="F708" s="16"/>
      <c r="G708" s="16"/>
      <c r="H708" s="16"/>
      <c r="I708" s="16"/>
      <c r="J708" s="16"/>
      <c r="K708" s="16"/>
      <c r="L708" s="13"/>
      <c r="M708" s="13"/>
      <c r="N708" s="13"/>
      <c r="O708" s="13"/>
      <c r="P708" s="13"/>
      <c r="Q708" s="13"/>
      <c r="R708" s="13"/>
      <c r="S708" s="13"/>
      <c r="T708" s="13"/>
      <c r="U708" s="12"/>
      <c r="V708" s="14"/>
      <c r="W708" s="16"/>
      <c r="X708" s="16"/>
      <c r="Y708" s="16"/>
      <c r="Z708" s="16"/>
      <c r="AA708" s="15" t="str">
        <f aca="false">IF(AND(ISNUMBER(L708),ISNUMBER(M708)),M708-L708,"")</f>
        <v/>
      </c>
      <c r="AB708" s="15" t="str">
        <f aca="false">IF(AND(ISNUMBER(M708),ISNUMBER(P708)),P708-M708,"")</f>
        <v/>
      </c>
      <c r="AC708" s="15" t="str">
        <f aca="false">IF(AND(ISNUMBER(L708),ISNUMBER(P708)),P708-L708,"")</f>
        <v/>
      </c>
      <c r="AD708" s="15" t="str">
        <f aca="false">IF(AND(ISNUMBER(P708),ISNUMBER(Q708)),Q708-P708,"")</f>
        <v/>
      </c>
      <c r="AE708" s="15" t="str">
        <f aca="false">IF(AND(ISNUMBER(Q708),ISNUMBER(R708)),R708-Q708,IF(ISNUMBER(Y708),Y708,""))</f>
        <v/>
      </c>
      <c r="AF708" s="15" t="str">
        <f aca="false">IF(AND(ISNUMBER(R708),ISNUMBER(S708)),S708-R708,"")</f>
        <v/>
      </c>
      <c r="AG708" s="15" t="str">
        <f aca="false">IF(AND(ISNUMBER(S708),ISNUMBER(T708)),T708-S708,"")</f>
        <v/>
      </c>
      <c r="AH708" s="15" t="str">
        <f aca="false">IF(AND(ISNUMBER(L708),ISNUMBER(T708)),T708-L708,"")</f>
        <v/>
      </c>
      <c r="AI708" s="15" t="str">
        <f aca="false">IF(AND(ISNUMBER(O708),ISNUMBER(Q708)),Q708-O708,"")</f>
        <v/>
      </c>
      <c r="AJ708" s="15" t="str">
        <f aca="false">IF(B708="","",COUNT(L708:M708,P708:T708)&amp;"/7")</f>
        <v/>
      </c>
      <c r="AK708" s="15" t="str">
        <f aca="false">IF(B708="","",IF(OR(AND(ISNUMBER(L708),ISNUMBER(M708),M708&lt;L708),AND(ISNUMBER(M708),ISNUMBER(P708),P708&lt;M708),AND(ISNUMBER(P708),ISNUMBER(Q708),Q708&lt;P708),AND(ISNUMBER(Q708),ISNUMBER(R708),R708&lt;Q708),AND(ISNUMBER(R708),ISNUMBER(S708),S708&lt;R708),AND(ISNUMBER(S708),ISNUMBER(T708),T708&lt;S708),AND(ISNUMBER(N708),ISNUMBER(O708),O708&lt;N708)),"Urutan tanggal salah",IF(AND(ISNUMBER(Q708),ISNUMBER(R708),ISNUMBER(Y708),ABS(R708-Q708-Y708)&gt;2),"S tanggal ≠ Sailing tercatat",IF(AND(ISNUMBER(Q708),ISNUMBER(O708),ABS(Q708-O708)&gt;60),"Cek tahun laycan",IF(AND(ISNUMBER(Q708),ISNUMBER(N708),Q708&lt;N708),"Berangkat sebelum laycan",IF(NOT(ISNUMBER(AE708)),"S belum ada","OK"))))))</f>
        <v/>
      </c>
    </row>
    <row r="709" customFormat="false" ht="15" hidden="false" customHeight="false" outlineLevel="0" collapsed="false">
      <c r="A709" s="16" t="str">
        <f aca="false">IF(B709="","",ROW()-4)</f>
        <v/>
      </c>
      <c r="B709" s="12"/>
      <c r="C709" s="16"/>
      <c r="D709" s="16"/>
      <c r="E709" s="16"/>
      <c r="F709" s="16"/>
      <c r="G709" s="16"/>
      <c r="H709" s="16"/>
      <c r="I709" s="16"/>
      <c r="J709" s="16"/>
      <c r="K709" s="16"/>
      <c r="L709" s="13"/>
      <c r="M709" s="13"/>
      <c r="N709" s="13"/>
      <c r="O709" s="13"/>
      <c r="P709" s="13"/>
      <c r="Q709" s="13"/>
      <c r="R709" s="13"/>
      <c r="S709" s="13"/>
      <c r="T709" s="13"/>
      <c r="U709" s="12"/>
      <c r="V709" s="14"/>
      <c r="W709" s="16"/>
      <c r="X709" s="16"/>
      <c r="Y709" s="16"/>
      <c r="Z709" s="16"/>
      <c r="AA709" s="15" t="str">
        <f aca="false">IF(AND(ISNUMBER(L709),ISNUMBER(M709)),M709-L709,"")</f>
        <v/>
      </c>
      <c r="AB709" s="15" t="str">
        <f aca="false">IF(AND(ISNUMBER(M709),ISNUMBER(P709)),P709-M709,"")</f>
        <v/>
      </c>
      <c r="AC709" s="15" t="str">
        <f aca="false">IF(AND(ISNUMBER(L709),ISNUMBER(P709)),P709-L709,"")</f>
        <v/>
      </c>
      <c r="AD709" s="15" t="str">
        <f aca="false">IF(AND(ISNUMBER(P709),ISNUMBER(Q709)),Q709-P709,"")</f>
        <v/>
      </c>
      <c r="AE709" s="15" t="str">
        <f aca="false">IF(AND(ISNUMBER(Q709),ISNUMBER(R709)),R709-Q709,IF(ISNUMBER(Y709),Y709,""))</f>
        <v/>
      </c>
      <c r="AF709" s="15" t="str">
        <f aca="false">IF(AND(ISNUMBER(R709),ISNUMBER(S709)),S709-R709,"")</f>
        <v/>
      </c>
      <c r="AG709" s="15" t="str">
        <f aca="false">IF(AND(ISNUMBER(S709),ISNUMBER(T709)),T709-S709,"")</f>
        <v/>
      </c>
      <c r="AH709" s="15" t="str">
        <f aca="false">IF(AND(ISNUMBER(L709),ISNUMBER(T709)),T709-L709,"")</f>
        <v/>
      </c>
      <c r="AI709" s="15" t="str">
        <f aca="false">IF(AND(ISNUMBER(O709),ISNUMBER(Q709)),Q709-O709,"")</f>
        <v/>
      </c>
      <c r="AJ709" s="15" t="str">
        <f aca="false">IF(B709="","",COUNT(L709:M709,P709:T709)&amp;"/7")</f>
        <v/>
      </c>
      <c r="AK709" s="15" t="str">
        <f aca="false">IF(B709="","",IF(OR(AND(ISNUMBER(L709),ISNUMBER(M709),M709&lt;L709),AND(ISNUMBER(M709),ISNUMBER(P709),P709&lt;M709),AND(ISNUMBER(P709),ISNUMBER(Q709),Q709&lt;P709),AND(ISNUMBER(Q709),ISNUMBER(R709),R709&lt;Q709),AND(ISNUMBER(R709),ISNUMBER(S709),S709&lt;R709),AND(ISNUMBER(S709),ISNUMBER(T709),T709&lt;S709),AND(ISNUMBER(N709),ISNUMBER(O709),O709&lt;N709)),"Urutan tanggal salah",IF(AND(ISNUMBER(Q709),ISNUMBER(R709),ISNUMBER(Y709),ABS(R709-Q709-Y709)&gt;2),"S tanggal ≠ Sailing tercatat",IF(AND(ISNUMBER(Q709),ISNUMBER(O709),ABS(Q709-O709)&gt;60),"Cek tahun laycan",IF(AND(ISNUMBER(Q709),ISNUMBER(N709),Q709&lt;N709),"Berangkat sebelum laycan",IF(NOT(ISNUMBER(AE709)),"S belum ada","OK"))))))</f>
        <v/>
      </c>
    </row>
    <row r="710" customFormat="false" ht="15" hidden="false" customHeight="false" outlineLevel="0" collapsed="false">
      <c r="A710" s="16" t="str">
        <f aca="false">IF(B710="","",ROW()-4)</f>
        <v/>
      </c>
      <c r="B710" s="12"/>
      <c r="C710" s="16"/>
      <c r="D710" s="16"/>
      <c r="E710" s="16"/>
      <c r="F710" s="16"/>
      <c r="G710" s="16"/>
      <c r="H710" s="16"/>
      <c r="I710" s="16"/>
      <c r="J710" s="16"/>
      <c r="K710" s="16"/>
      <c r="L710" s="13"/>
      <c r="M710" s="13"/>
      <c r="N710" s="13"/>
      <c r="O710" s="13"/>
      <c r="P710" s="13"/>
      <c r="Q710" s="13"/>
      <c r="R710" s="13"/>
      <c r="S710" s="13"/>
      <c r="T710" s="13"/>
      <c r="U710" s="12"/>
      <c r="V710" s="14"/>
      <c r="W710" s="16"/>
      <c r="X710" s="16"/>
      <c r="Y710" s="16"/>
      <c r="Z710" s="16"/>
      <c r="AA710" s="15" t="str">
        <f aca="false">IF(AND(ISNUMBER(L710),ISNUMBER(M710)),M710-L710,"")</f>
        <v/>
      </c>
      <c r="AB710" s="15" t="str">
        <f aca="false">IF(AND(ISNUMBER(M710),ISNUMBER(P710)),P710-M710,"")</f>
        <v/>
      </c>
      <c r="AC710" s="15" t="str">
        <f aca="false">IF(AND(ISNUMBER(L710),ISNUMBER(P710)),P710-L710,"")</f>
        <v/>
      </c>
      <c r="AD710" s="15" t="str">
        <f aca="false">IF(AND(ISNUMBER(P710),ISNUMBER(Q710)),Q710-P710,"")</f>
        <v/>
      </c>
      <c r="AE710" s="15" t="str">
        <f aca="false">IF(AND(ISNUMBER(Q710),ISNUMBER(R710)),R710-Q710,IF(ISNUMBER(Y710),Y710,""))</f>
        <v/>
      </c>
      <c r="AF710" s="15" t="str">
        <f aca="false">IF(AND(ISNUMBER(R710),ISNUMBER(S710)),S710-R710,"")</f>
        <v/>
      </c>
      <c r="AG710" s="15" t="str">
        <f aca="false">IF(AND(ISNUMBER(S710),ISNUMBER(T710)),T710-S710,"")</f>
        <v/>
      </c>
      <c r="AH710" s="15" t="str">
        <f aca="false">IF(AND(ISNUMBER(L710),ISNUMBER(T710)),T710-L710,"")</f>
        <v/>
      </c>
      <c r="AI710" s="15" t="str">
        <f aca="false">IF(AND(ISNUMBER(O710),ISNUMBER(Q710)),Q710-O710,"")</f>
        <v/>
      </c>
      <c r="AJ710" s="15" t="str">
        <f aca="false">IF(B710="","",COUNT(L710:M710,P710:T710)&amp;"/7")</f>
        <v/>
      </c>
      <c r="AK710" s="15" t="str">
        <f aca="false">IF(B710="","",IF(OR(AND(ISNUMBER(L710),ISNUMBER(M710),M710&lt;L710),AND(ISNUMBER(M710),ISNUMBER(P710),P710&lt;M710),AND(ISNUMBER(P710),ISNUMBER(Q710),Q710&lt;P710),AND(ISNUMBER(Q710),ISNUMBER(R710),R710&lt;Q710),AND(ISNUMBER(R710),ISNUMBER(S710),S710&lt;R710),AND(ISNUMBER(S710),ISNUMBER(T710),T710&lt;S710),AND(ISNUMBER(N710),ISNUMBER(O710),O710&lt;N710)),"Urutan tanggal salah",IF(AND(ISNUMBER(Q710),ISNUMBER(R710),ISNUMBER(Y710),ABS(R710-Q710-Y710)&gt;2),"S tanggal ≠ Sailing tercatat",IF(AND(ISNUMBER(Q710),ISNUMBER(O710),ABS(Q710-O710)&gt;60),"Cek tahun laycan",IF(AND(ISNUMBER(Q710),ISNUMBER(N710),Q710&lt;N710),"Berangkat sebelum laycan",IF(NOT(ISNUMBER(AE710)),"S belum ada","OK"))))))</f>
        <v/>
      </c>
    </row>
    <row r="711" customFormat="false" ht="15" hidden="false" customHeight="false" outlineLevel="0" collapsed="false">
      <c r="A711" s="16" t="str">
        <f aca="false">IF(B711="","",ROW()-4)</f>
        <v/>
      </c>
      <c r="B711" s="12"/>
      <c r="C711" s="16"/>
      <c r="D711" s="16"/>
      <c r="E711" s="16"/>
      <c r="F711" s="16"/>
      <c r="G711" s="16"/>
      <c r="H711" s="16"/>
      <c r="I711" s="16"/>
      <c r="J711" s="16"/>
      <c r="K711" s="16"/>
      <c r="L711" s="13"/>
      <c r="M711" s="13"/>
      <c r="N711" s="13"/>
      <c r="O711" s="13"/>
      <c r="P711" s="13"/>
      <c r="Q711" s="13"/>
      <c r="R711" s="13"/>
      <c r="S711" s="13"/>
      <c r="T711" s="13"/>
      <c r="U711" s="12"/>
      <c r="V711" s="14"/>
      <c r="W711" s="16"/>
      <c r="X711" s="16"/>
      <c r="Y711" s="16"/>
      <c r="Z711" s="16"/>
      <c r="AA711" s="15" t="str">
        <f aca="false">IF(AND(ISNUMBER(L711),ISNUMBER(M711)),M711-L711,"")</f>
        <v/>
      </c>
      <c r="AB711" s="15" t="str">
        <f aca="false">IF(AND(ISNUMBER(M711),ISNUMBER(P711)),P711-M711,"")</f>
        <v/>
      </c>
      <c r="AC711" s="15" t="str">
        <f aca="false">IF(AND(ISNUMBER(L711),ISNUMBER(P711)),P711-L711,"")</f>
        <v/>
      </c>
      <c r="AD711" s="15" t="str">
        <f aca="false">IF(AND(ISNUMBER(P711),ISNUMBER(Q711)),Q711-P711,"")</f>
        <v/>
      </c>
      <c r="AE711" s="15" t="str">
        <f aca="false">IF(AND(ISNUMBER(Q711),ISNUMBER(R711)),R711-Q711,IF(ISNUMBER(Y711),Y711,""))</f>
        <v/>
      </c>
      <c r="AF711" s="15" t="str">
        <f aca="false">IF(AND(ISNUMBER(R711),ISNUMBER(S711)),S711-R711,"")</f>
        <v/>
      </c>
      <c r="AG711" s="15" t="str">
        <f aca="false">IF(AND(ISNUMBER(S711),ISNUMBER(T711)),T711-S711,"")</f>
        <v/>
      </c>
      <c r="AH711" s="15" t="str">
        <f aca="false">IF(AND(ISNUMBER(L711),ISNUMBER(T711)),T711-L711,"")</f>
        <v/>
      </c>
      <c r="AI711" s="15" t="str">
        <f aca="false">IF(AND(ISNUMBER(O711),ISNUMBER(Q711)),Q711-O711,"")</f>
        <v/>
      </c>
      <c r="AJ711" s="15" t="str">
        <f aca="false">IF(B711="","",COUNT(L711:M711,P711:T711)&amp;"/7")</f>
        <v/>
      </c>
      <c r="AK711" s="15" t="str">
        <f aca="false">IF(B711="","",IF(OR(AND(ISNUMBER(L711),ISNUMBER(M711),M711&lt;L711),AND(ISNUMBER(M711),ISNUMBER(P711),P711&lt;M711),AND(ISNUMBER(P711),ISNUMBER(Q711),Q711&lt;P711),AND(ISNUMBER(Q711),ISNUMBER(R711),R711&lt;Q711),AND(ISNUMBER(R711),ISNUMBER(S711),S711&lt;R711),AND(ISNUMBER(S711),ISNUMBER(T711),T711&lt;S711),AND(ISNUMBER(N711),ISNUMBER(O711),O711&lt;N711)),"Urutan tanggal salah",IF(AND(ISNUMBER(Q711),ISNUMBER(R711),ISNUMBER(Y711),ABS(R711-Q711-Y711)&gt;2),"S tanggal ≠ Sailing tercatat",IF(AND(ISNUMBER(Q711),ISNUMBER(O711),ABS(Q711-O711)&gt;60),"Cek tahun laycan",IF(AND(ISNUMBER(Q711),ISNUMBER(N711),Q711&lt;N711),"Berangkat sebelum laycan",IF(NOT(ISNUMBER(AE711)),"S belum ada","OK"))))))</f>
        <v/>
      </c>
    </row>
    <row r="712" customFormat="false" ht="15" hidden="false" customHeight="false" outlineLevel="0" collapsed="false">
      <c r="A712" s="16" t="str">
        <f aca="false">IF(B712="","",ROW()-4)</f>
        <v/>
      </c>
      <c r="B712" s="12"/>
      <c r="C712" s="16"/>
      <c r="D712" s="16"/>
      <c r="E712" s="16"/>
      <c r="F712" s="16"/>
      <c r="G712" s="16"/>
      <c r="H712" s="16"/>
      <c r="I712" s="16"/>
      <c r="J712" s="16"/>
      <c r="K712" s="16"/>
      <c r="L712" s="13"/>
      <c r="M712" s="13"/>
      <c r="N712" s="13"/>
      <c r="O712" s="13"/>
      <c r="P712" s="13"/>
      <c r="Q712" s="13"/>
      <c r="R712" s="13"/>
      <c r="S712" s="13"/>
      <c r="T712" s="13"/>
      <c r="U712" s="12"/>
      <c r="V712" s="14"/>
      <c r="W712" s="16"/>
      <c r="X712" s="16"/>
      <c r="Y712" s="16"/>
      <c r="Z712" s="16"/>
      <c r="AA712" s="15" t="str">
        <f aca="false">IF(AND(ISNUMBER(L712),ISNUMBER(M712)),M712-L712,"")</f>
        <v/>
      </c>
      <c r="AB712" s="15" t="str">
        <f aca="false">IF(AND(ISNUMBER(M712),ISNUMBER(P712)),P712-M712,"")</f>
        <v/>
      </c>
      <c r="AC712" s="15" t="str">
        <f aca="false">IF(AND(ISNUMBER(L712),ISNUMBER(P712)),P712-L712,"")</f>
        <v/>
      </c>
      <c r="AD712" s="15" t="str">
        <f aca="false">IF(AND(ISNUMBER(P712),ISNUMBER(Q712)),Q712-P712,"")</f>
        <v/>
      </c>
      <c r="AE712" s="15" t="str">
        <f aca="false">IF(AND(ISNUMBER(Q712),ISNUMBER(R712)),R712-Q712,IF(ISNUMBER(Y712),Y712,""))</f>
        <v/>
      </c>
      <c r="AF712" s="15" t="str">
        <f aca="false">IF(AND(ISNUMBER(R712),ISNUMBER(S712)),S712-R712,"")</f>
        <v/>
      </c>
      <c r="AG712" s="15" t="str">
        <f aca="false">IF(AND(ISNUMBER(S712),ISNUMBER(T712)),T712-S712,"")</f>
        <v/>
      </c>
      <c r="AH712" s="15" t="str">
        <f aca="false">IF(AND(ISNUMBER(L712),ISNUMBER(T712)),T712-L712,"")</f>
        <v/>
      </c>
      <c r="AI712" s="15" t="str">
        <f aca="false">IF(AND(ISNUMBER(O712),ISNUMBER(Q712)),Q712-O712,"")</f>
        <v/>
      </c>
      <c r="AJ712" s="15" t="str">
        <f aca="false">IF(B712="","",COUNT(L712:M712,P712:T712)&amp;"/7")</f>
        <v/>
      </c>
      <c r="AK712" s="15" t="str">
        <f aca="false">IF(B712="","",IF(OR(AND(ISNUMBER(L712),ISNUMBER(M712),M712&lt;L712),AND(ISNUMBER(M712),ISNUMBER(P712),P712&lt;M712),AND(ISNUMBER(P712),ISNUMBER(Q712),Q712&lt;P712),AND(ISNUMBER(Q712),ISNUMBER(R712),R712&lt;Q712),AND(ISNUMBER(R712),ISNUMBER(S712),S712&lt;R712),AND(ISNUMBER(S712),ISNUMBER(T712),T712&lt;S712),AND(ISNUMBER(N712),ISNUMBER(O712),O712&lt;N712)),"Urutan tanggal salah",IF(AND(ISNUMBER(Q712),ISNUMBER(R712),ISNUMBER(Y712),ABS(R712-Q712-Y712)&gt;2),"S tanggal ≠ Sailing tercatat",IF(AND(ISNUMBER(Q712),ISNUMBER(O712),ABS(Q712-O712)&gt;60),"Cek tahun laycan",IF(AND(ISNUMBER(Q712),ISNUMBER(N712),Q712&lt;N712),"Berangkat sebelum laycan",IF(NOT(ISNUMBER(AE712)),"S belum ada","OK"))))))</f>
        <v/>
      </c>
    </row>
    <row r="713" customFormat="false" ht="15" hidden="false" customHeight="false" outlineLevel="0" collapsed="false">
      <c r="A713" s="16" t="str">
        <f aca="false">IF(B713="","",ROW()-4)</f>
        <v/>
      </c>
      <c r="B713" s="12"/>
      <c r="C713" s="16"/>
      <c r="D713" s="16"/>
      <c r="E713" s="16"/>
      <c r="F713" s="16"/>
      <c r="G713" s="16"/>
      <c r="H713" s="16"/>
      <c r="I713" s="16"/>
      <c r="J713" s="16"/>
      <c r="K713" s="16"/>
      <c r="L713" s="13"/>
      <c r="M713" s="13"/>
      <c r="N713" s="13"/>
      <c r="O713" s="13"/>
      <c r="P713" s="13"/>
      <c r="Q713" s="13"/>
      <c r="R713" s="13"/>
      <c r="S713" s="13"/>
      <c r="T713" s="13"/>
      <c r="U713" s="12"/>
      <c r="V713" s="14"/>
      <c r="W713" s="16"/>
      <c r="X713" s="16"/>
      <c r="Y713" s="16"/>
      <c r="Z713" s="16"/>
      <c r="AA713" s="15" t="str">
        <f aca="false">IF(AND(ISNUMBER(L713),ISNUMBER(M713)),M713-L713,"")</f>
        <v/>
      </c>
      <c r="AB713" s="15" t="str">
        <f aca="false">IF(AND(ISNUMBER(M713),ISNUMBER(P713)),P713-M713,"")</f>
        <v/>
      </c>
      <c r="AC713" s="15" t="str">
        <f aca="false">IF(AND(ISNUMBER(L713),ISNUMBER(P713)),P713-L713,"")</f>
        <v/>
      </c>
      <c r="AD713" s="15" t="str">
        <f aca="false">IF(AND(ISNUMBER(P713),ISNUMBER(Q713)),Q713-P713,"")</f>
        <v/>
      </c>
      <c r="AE713" s="15" t="str">
        <f aca="false">IF(AND(ISNUMBER(Q713),ISNUMBER(R713)),R713-Q713,IF(ISNUMBER(Y713),Y713,""))</f>
        <v/>
      </c>
      <c r="AF713" s="15" t="str">
        <f aca="false">IF(AND(ISNUMBER(R713),ISNUMBER(S713)),S713-R713,"")</f>
        <v/>
      </c>
      <c r="AG713" s="15" t="str">
        <f aca="false">IF(AND(ISNUMBER(S713),ISNUMBER(T713)),T713-S713,"")</f>
        <v/>
      </c>
      <c r="AH713" s="15" t="str">
        <f aca="false">IF(AND(ISNUMBER(L713),ISNUMBER(T713)),T713-L713,"")</f>
        <v/>
      </c>
      <c r="AI713" s="15" t="str">
        <f aca="false">IF(AND(ISNUMBER(O713),ISNUMBER(Q713)),Q713-O713,"")</f>
        <v/>
      </c>
      <c r="AJ713" s="15" t="str">
        <f aca="false">IF(B713="","",COUNT(L713:M713,P713:T713)&amp;"/7")</f>
        <v/>
      </c>
      <c r="AK713" s="15" t="str">
        <f aca="false">IF(B713="","",IF(OR(AND(ISNUMBER(L713),ISNUMBER(M713),M713&lt;L713),AND(ISNUMBER(M713),ISNUMBER(P713),P713&lt;M713),AND(ISNUMBER(P713),ISNUMBER(Q713),Q713&lt;P713),AND(ISNUMBER(Q713),ISNUMBER(R713),R713&lt;Q713),AND(ISNUMBER(R713),ISNUMBER(S713),S713&lt;R713),AND(ISNUMBER(S713),ISNUMBER(T713),T713&lt;S713),AND(ISNUMBER(N713),ISNUMBER(O713),O713&lt;N713)),"Urutan tanggal salah",IF(AND(ISNUMBER(Q713),ISNUMBER(R713),ISNUMBER(Y713),ABS(R713-Q713-Y713)&gt;2),"S tanggal ≠ Sailing tercatat",IF(AND(ISNUMBER(Q713),ISNUMBER(O713),ABS(Q713-O713)&gt;60),"Cek tahun laycan",IF(AND(ISNUMBER(Q713),ISNUMBER(N713),Q713&lt;N713),"Berangkat sebelum laycan",IF(NOT(ISNUMBER(AE713)),"S belum ada","OK"))))))</f>
        <v/>
      </c>
    </row>
    <row r="714" customFormat="false" ht="15" hidden="false" customHeight="false" outlineLevel="0" collapsed="false">
      <c r="A714" s="16" t="str">
        <f aca="false">IF(B714="","",ROW()-4)</f>
        <v/>
      </c>
      <c r="B714" s="12"/>
      <c r="C714" s="16"/>
      <c r="D714" s="16"/>
      <c r="E714" s="16"/>
      <c r="F714" s="16"/>
      <c r="G714" s="16"/>
      <c r="H714" s="16"/>
      <c r="I714" s="16"/>
      <c r="J714" s="16"/>
      <c r="K714" s="16"/>
      <c r="L714" s="13"/>
      <c r="M714" s="13"/>
      <c r="N714" s="13"/>
      <c r="O714" s="13"/>
      <c r="P714" s="13"/>
      <c r="Q714" s="13"/>
      <c r="R714" s="13"/>
      <c r="S714" s="13"/>
      <c r="T714" s="13"/>
      <c r="U714" s="12"/>
      <c r="V714" s="14"/>
      <c r="W714" s="16"/>
      <c r="X714" s="16"/>
      <c r="Y714" s="16"/>
      <c r="Z714" s="16"/>
      <c r="AA714" s="15" t="str">
        <f aca="false">IF(AND(ISNUMBER(L714),ISNUMBER(M714)),M714-L714,"")</f>
        <v/>
      </c>
      <c r="AB714" s="15" t="str">
        <f aca="false">IF(AND(ISNUMBER(M714),ISNUMBER(P714)),P714-M714,"")</f>
        <v/>
      </c>
      <c r="AC714" s="15" t="str">
        <f aca="false">IF(AND(ISNUMBER(L714),ISNUMBER(P714)),P714-L714,"")</f>
        <v/>
      </c>
      <c r="AD714" s="15" t="str">
        <f aca="false">IF(AND(ISNUMBER(P714),ISNUMBER(Q714)),Q714-P714,"")</f>
        <v/>
      </c>
      <c r="AE714" s="15" t="str">
        <f aca="false">IF(AND(ISNUMBER(Q714),ISNUMBER(R714)),R714-Q714,IF(ISNUMBER(Y714),Y714,""))</f>
        <v/>
      </c>
      <c r="AF714" s="15" t="str">
        <f aca="false">IF(AND(ISNUMBER(R714),ISNUMBER(S714)),S714-R714,"")</f>
        <v/>
      </c>
      <c r="AG714" s="15" t="str">
        <f aca="false">IF(AND(ISNUMBER(S714),ISNUMBER(T714)),T714-S714,"")</f>
        <v/>
      </c>
      <c r="AH714" s="15" t="str">
        <f aca="false">IF(AND(ISNUMBER(L714),ISNUMBER(T714)),T714-L714,"")</f>
        <v/>
      </c>
      <c r="AI714" s="15" t="str">
        <f aca="false">IF(AND(ISNUMBER(O714),ISNUMBER(Q714)),Q714-O714,"")</f>
        <v/>
      </c>
      <c r="AJ714" s="15" t="str">
        <f aca="false">IF(B714="","",COUNT(L714:M714,P714:T714)&amp;"/7")</f>
        <v/>
      </c>
      <c r="AK714" s="15" t="str">
        <f aca="false">IF(B714="","",IF(OR(AND(ISNUMBER(L714),ISNUMBER(M714),M714&lt;L714),AND(ISNUMBER(M714),ISNUMBER(P714),P714&lt;M714),AND(ISNUMBER(P714),ISNUMBER(Q714),Q714&lt;P714),AND(ISNUMBER(Q714),ISNUMBER(R714),R714&lt;Q714),AND(ISNUMBER(R714),ISNUMBER(S714),S714&lt;R714),AND(ISNUMBER(S714),ISNUMBER(T714),T714&lt;S714),AND(ISNUMBER(N714),ISNUMBER(O714),O714&lt;N714)),"Urutan tanggal salah",IF(AND(ISNUMBER(Q714),ISNUMBER(R714),ISNUMBER(Y714),ABS(R714-Q714-Y714)&gt;2),"S tanggal ≠ Sailing tercatat",IF(AND(ISNUMBER(Q714),ISNUMBER(O714),ABS(Q714-O714)&gt;60),"Cek tahun laycan",IF(AND(ISNUMBER(Q714),ISNUMBER(N714),Q714&lt;N714),"Berangkat sebelum laycan",IF(NOT(ISNUMBER(AE714)),"S belum ada","OK"))))))</f>
        <v/>
      </c>
    </row>
    <row r="715" customFormat="false" ht="15" hidden="false" customHeight="false" outlineLevel="0" collapsed="false">
      <c r="A715" s="16" t="str">
        <f aca="false">IF(B715="","",ROW()-4)</f>
        <v/>
      </c>
      <c r="B715" s="12"/>
      <c r="C715" s="16"/>
      <c r="D715" s="16"/>
      <c r="E715" s="16"/>
      <c r="F715" s="16"/>
      <c r="G715" s="16"/>
      <c r="H715" s="16"/>
      <c r="I715" s="16"/>
      <c r="J715" s="16"/>
      <c r="K715" s="16"/>
      <c r="L715" s="13"/>
      <c r="M715" s="13"/>
      <c r="N715" s="13"/>
      <c r="O715" s="13"/>
      <c r="P715" s="13"/>
      <c r="Q715" s="13"/>
      <c r="R715" s="13"/>
      <c r="S715" s="13"/>
      <c r="T715" s="13"/>
      <c r="U715" s="12"/>
      <c r="V715" s="14"/>
      <c r="W715" s="16"/>
      <c r="X715" s="16"/>
      <c r="Y715" s="16"/>
      <c r="Z715" s="16"/>
      <c r="AA715" s="15" t="str">
        <f aca="false">IF(AND(ISNUMBER(L715),ISNUMBER(M715)),M715-L715,"")</f>
        <v/>
      </c>
      <c r="AB715" s="15" t="str">
        <f aca="false">IF(AND(ISNUMBER(M715),ISNUMBER(P715)),P715-M715,"")</f>
        <v/>
      </c>
      <c r="AC715" s="15" t="str">
        <f aca="false">IF(AND(ISNUMBER(L715),ISNUMBER(P715)),P715-L715,"")</f>
        <v/>
      </c>
      <c r="AD715" s="15" t="str">
        <f aca="false">IF(AND(ISNUMBER(P715),ISNUMBER(Q715)),Q715-P715,"")</f>
        <v/>
      </c>
      <c r="AE715" s="15" t="str">
        <f aca="false">IF(AND(ISNUMBER(Q715),ISNUMBER(R715)),R715-Q715,IF(ISNUMBER(Y715),Y715,""))</f>
        <v/>
      </c>
      <c r="AF715" s="15" t="str">
        <f aca="false">IF(AND(ISNUMBER(R715),ISNUMBER(S715)),S715-R715,"")</f>
        <v/>
      </c>
      <c r="AG715" s="15" t="str">
        <f aca="false">IF(AND(ISNUMBER(S715),ISNUMBER(T715)),T715-S715,"")</f>
        <v/>
      </c>
      <c r="AH715" s="15" t="str">
        <f aca="false">IF(AND(ISNUMBER(L715),ISNUMBER(T715)),T715-L715,"")</f>
        <v/>
      </c>
      <c r="AI715" s="15" t="str">
        <f aca="false">IF(AND(ISNUMBER(O715),ISNUMBER(Q715)),Q715-O715,"")</f>
        <v/>
      </c>
      <c r="AJ715" s="15" t="str">
        <f aca="false">IF(B715="","",COUNT(L715:M715,P715:T715)&amp;"/7")</f>
        <v/>
      </c>
      <c r="AK715" s="15" t="str">
        <f aca="false">IF(B715="","",IF(OR(AND(ISNUMBER(L715),ISNUMBER(M715),M715&lt;L715),AND(ISNUMBER(M715),ISNUMBER(P715),P715&lt;M715),AND(ISNUMBER(P715),ISNUMBER(Q715),Q715&lt;P715),AND(ISNUMBER(Q715),ISNUMBER(R715),R715&lt;Q715),AND(ISNUMBER(R715),ISNUMBER(S715),S715&lt;R715),AND(ISNUMBER(S715),ISNUMBER(T715),T715&lt;S715),AND(ISNUMBER(N715),ISNUMBER(O715),O715&lt;N715)),"Urutan tanggal salah",IF(AND(ISNUMBER(Q715),ISNUMBER(R715),ISNUMBER(Y715),ABS(R715-Q715-Y715)&gt;2),"S tanggal ≠ Sailing tercatat",IF(AND(ISNUMBER(Q715),ISNUMBER(O715),ABS(Q715-O715)&gt;60),"Cek tahun laycan",IF(AND(ISNUMBER(Q715),ISNUMBER(N715),Q715&lt;N715),"Berangkat sebelum laycan",IF(NOT(ISNUMBER(AE715)),"S belum ada","OK"))))))</f>
        <v/>
      </c>
    </row>
    <row r="716" customFormat="false" ht="15" hidden="false" customHeight="false" outlineLevel="0" collapsed="false">
      <c r="A716" s="16" t="str">
        <f aca="false">IF(B716="","",ROW()-4)</f>
        <v/>
      </c>
      <c r="B716" s="12"/>
      <c r="C716" s="16"/>
      <c r="D716" s="16"/>
      <c r="E716" s="16"/>
      <c r="F716" s="16"/>
      <c r="G716" s="16"/>
      <c r="H716" s="16"/>
      <c r="I716" s="16"/>
      <c r="J716" s="16"/>
      <c r="K716" s="16"/>
      <c r="L716" s="13"/>
      <c r="M716" s="13"/>
      <c r="N716" s="13"/>
      <c r="O716" s="13"/>
      <c r="P716" s="13"/>
      <c r="Q716" s="13"/>
      <c r="R716" s="13"/>
      <c r="S716" s="13"/>
      <c r="T716" s="13"/>
      <c r="U716" s="12"/>
      <c r="V716" s="14"/>
      <c r="W716" s="16"/>
      <c r="X716" s="16"/>
      <c r="Y716" s="16"/>
      <c r="Z716" s="16"/>
      <c r="AA716" s="15" t="str">
        <f aca="false">IF(AND(ISNUMBER(L716),ISNUMBER(M716)),M716-L716,"")</f>
        <v/>
      </c>
      <c r="AB716" s="15" t="str">
        <f aca="false">IF(AND(ISNUMBER(M716),ISNUMBER(P716)),P716-M716,"")</f>
        <v/>
      </c>
      <c r="AC716" s="15" t="str">
        <f aca="false">IF(AND(ISNUMBER(L716),ISNUMBER(P716)),P716-L716,"")</f>
        <v/>
      </c>
      <c r="AD716" s="15" t="str">
        <f aca="false">IF(AND(ISNUMBER(P716),ISNUMBER(Q716)),Q716-P716,"")</f>
        <v/>
      </c>
      <c r="AE716" s="15" t="str">
        <f aca="false">IF(AND(ISNUMBER(Q716),ISNUMBER(R716)),R716-Q716,IF(ISNUMBER(Y716),Y716,""))</f>
        <v/>
      </c>
      <c r="AF716" s="15" t="str">
        <f aca="false">IF(AND(ISNUMBER(R716),ISNUMBER(S716)),S716-R716,"")</f>
        <v/>
      </c>
      <c r="AG716" s="15" t="str">
        <f aca="false">IF(AND(ISNUMBER(S716),ISNUMBER(T716)),T716-S716,"")</f>
        <v/>
      </c>
      <c r="AH716" s="15" t="str">
        <f aca="false">IF(AND(ISNUMBER(L716),ISNUMBER(T716)),T716-L716,"")</f>
        <v/>
      </c>
      <c r="AI716" s="15" t="str">
        <f aca="false">IF(AND(ISNUMBER(O716),ISNUMBER(Q716)),Q716-O716,"")</f>
        <v/>
      </c>
      <c r="AJ716" s="15" t="str">
        <f aca="false">IF(B716="","",COUNT(L716:M716,P716:T716)&amp;"/7")</f>
        <v/>
      </c>
      <c r="AK716" s="15" t="str">
        <f aca="false">IF(B716="","",IF(OR(AND(ISNUMBER(L716),ISNUMBER(M716),M716&lt;L716),AND(ISNUMBER(M716),ISNUMBER(P716),P716&lt;M716),AND(ISNUMBER(P716),ISNUMBER(Q716),Q716&lt;P716),AND(ISNUMBER(Q716),ISNUMBER(R716),R716&lt;Q716),AND(ISNUMBER(R716),ISNUMBER(S716),S716&lt;R716),AND(ISNUMBER(S716),ISNUMBER(T716),T716&lt;S716),AND(ISNUMBER(N716),ISNUMBER(O716),O716&lt;N716)),"Urutan tanggal salah",IF(AND(ISNUMBER(Q716),ISNUMBER(R716),ISNUMBER(Y716),ABS(R716-Q716-Y716)&gt;2),"S tanggal ≠ Sailing tercatat",IF(AND(ISNUMBER(Q716),ISNUMBER(O716),ABS(Q716-O716)&gt;60),"Cek tahun laycan",IF(AND(ISNUMBER(Q716),ISNUMBER(N716),Q716&lt;N716),"Berangkat sebelum laycan",IF(NOT(ISNUMBER(AE716)),"S belum ada","OK"))))))</f>
        <v/>
      </c>
    </row>
    <row r="717" customFormat="false" ht="15" hidden="false" customHeight="false" outlineLevel="0" collapsed="false">
      <c r="A717" s="16" t="str">
        <f aca="false">IF(B717="","",ROW()-4)</f>
        <v/>
      </c>
      <c r="B717" s="12"/>
      <c r="C717" s="16"/>
      <c r="D717" s="16"/>
      <c r="E717" s="16"/>
      <c r="F717" s="16"/>
      <c r="G717" s="16"/>
      <c r="H717" s="16"/>
      <c r="I717" s="16"/>
      <c r="J717" s="16"/>
      <c r="K717" s="16"/>
      <c r="L717" s="13"/>
      <c r="M717" s="13"/>
      <c r="N717" s="13"/>
      <c r="O717" s="13"/>
      <c r="P717" s="13"/>
      <c r="Q717" s="13"/>
      <c r="R717" s="13"/>
      <c r="S717" s="13"/>
      <c r="T717" s="13"/>
      <c r="U717" s="12"/>
      <c r="V717" s="14"/>
      <c r="W717" s="16"/>
      <c r="X717" s="16"/>
      <c r="Y717" s="16"/>
      <c r="Z717" s="16"/>
      <c r="AA717" s="15" t="str">
        <f aca="false">IF(AND(ISNUMBER(L717),ISNUMBER(M717)),M717-L717,"")</f>
        <v/>
      </c>
      <c r="AB717" s="15" t="str">
        <f aca="false">IF(AND(ISNUMBER(M717),ISNUMBER(P717)),P717-M717,"")</f>
        <v/>
      </c>
      <c r="AC717" s="15" t="str">
        <f aca="false">IF(AND(ISNUMBER(L717),ISNUMBER(P717)),P717-L717,"")</f>
        <v/>
      </c>
      <c r="AD717" s="15" t="str">
        <f aca="false">IF(AND(ISNUMBER(P717),ISNUMBER(Q717)),Q717-P717,"")</f>
        <v/>
      </c>
      <c r="AE717" s="15" t="str">
        <f aca="false">IF(AND(ISNUMBER(Q717),ISNUMBER(R717)),R717-Q717,IF(ISNUMBER(Y717),Y717,""))</f>
        <v/>
      </c>
      <c r="AF717" s="15" t="str">
        <f aca="false">IF(AND(ISNUMBER(R717),ISNUMBER(S717)),S717-R717,"")</f>
        <v/>
      </c>
      <c r="AG717" s="15" t="str">
        <f aca="false">IF(AND(ISNUMBER(S717),ISNUMBER(T717)),T717-S717,"")</f>
        <v/>
      </c>
      <c r="AH717" s="15" t="str">
        <f aca="false">IF(AND(ISNUMBER(L717),ISNUMBER(T717)),T717-L717,"")</f>
        <v/>
      </c>
      <c r="AI717" s="15" t="str">
        <f aca="false">IF(AND(ISNUMBER(O717),ISNUMBER(Q717)),Q717-O717,"")</f>
        <v/>
      </c>
      <c r="AJ717" s="15" t="str">
        <f aca="false">IF(B717="","",COUNT(L717:M717,P717:T717)&amp;"/7")</f>
        <v/>
      </c>
      <c r="AK717" s="15" t="str">
        <f aca="false">IF(B717="","",IF(OR(AND(ISNUMBER(L717),ISNUMBER(M717),M717&lt;L717),AND(ISNUMBER(M717),ISNUMBER(P717),P717&lt;M717),AND(ISNUMBER(P717),ISNUMBER(Q717),Q717&lt;P717),AND(ISNUMBER(Q717),ISNUMBER(R717),R717&lt;Q717),AND(ISNUMBER(R717),ISNUMBER(S717),S717&lt;R717),AND(ISNUMBER(S717),ISNUMBER(T717),T717&lt;S717),AND(ISNUMBER(N717),ISNUMBER(O717),O717&lt;N717)),"Urutan tanggal salah",IF(AND(ISNUMBER(Q717),ISNUMBER(R717),ISNUMBER(Y717),ABS(R717-Q717-Y717)&gt;2),"S tanggal ≠ Sailing tercatat",IF(AND(ISNUMBER(Q717),ISNUMBER(O717),ABS(Q717-O717)&gt;60),"Cek tahun laycan",IF(AND(ISNUMBER(Q717),ISNUMBER(N717),Q717&lt;N717),"Berangkat sebelum laycan",IF(NOT(ISNUMBER(AE717)),"S belum ada","OK"))))))</f>
        <v/>
      </c>
    </row>
    <row r="718" customFormat="false" ht="15" hidden="false" customHeight="false" outlineLevel="0" collapsed="false">
      <c r="A718" s="16" t="str">
        <f aca="false">IF(B718="","",ROW()-4)</f>
        <v/>
      </c>
      <c r="B718" s="12"/>
      <c r="C718" s="16"/>
      <c r="D718" s="16"/>
      <c r="E718" s="16"/>
      <c r="F718" s="16"/>
      <c r="G718" s="16"/>
      <c r="H718" s="16"/>
      <c r="I718" s="16"/>
      <c r="J718" s="16"/>
      <c r="K718" s="16"/>
      <c r="L718" s="13"/>
      <c r="M718" s="13"/>
      <c r="N718" s="13"/>
      <c r="O718" s="13"/>
      <c r="P718" s="13"/>
      <c r="Q718" s="13"/>
      <c r="R718" s="13"/>
      <c r="S718" s="13"/>
      <c r="T718" s="13"/>
      <c r="U718" s="12"/>
      <c r="V718" s="14"/>
      <c r="W718" s="16"/>
      <c r="X718" s="16"/>
      <c r="Y718" s="16"/>
      <c r="Z718" s="16"/>
      <c r="AA718" s="15" t="str">
        <f aca="false">IF(AND(ISNUMBER(L718),ISNUMBER(M718)),M718-L718,"")</f>
        <v/>
      </c>
      <c r="AB718" s="15" t="str">
        <f aca="false">IF(AND(ISNUMBER(M718),ISNUMBER(P718)),P718-M718,"")</f>
        <v/>
      </c>
      <c r="AC718" s="15" t="str">
        <f aca="false">IF(AND(ISNUMBER(L718),ISNUMBER(P718)),P718-L718,"")</f>
        <v/>
      </c>
      <c r="AD718" s="15" t="str">
        <f aca="false">IF(AND(ISNUMBER(P718),ISNUMBER(Q718)),Q718-P718,"")</f>
        <v/>
      </c>
      <c r="AE718" s="15" t="str">
        <f aca="false">IF(AND(ISNUMBER(Q718),ISNUMBER(R718)),R718-Q718,IF(ISNUMBER(Y718),Y718,""))</f>
        <v/>
      </c>
      <c r="AF718" s="15" t="str">
        <f aca="false">IF(AND(ISNUMBER(R718),ISNUMBER(S718)),S718-R718,"")</f>
        <v/>
      </c>
      <c r="AG718" s="15" t="str">
        <f aca="false">IF(AND(ISNUMBER(S718),ISNUMBER(T718)),T718-S718,"")</f>
        <v/>
      </c>
      <c r="AH718" s="15" t="str">
        <f aca="false">IF(AND(ISNUMBER(L718),ISNUMBER(T718)),T718-L718,"")</f>
        <v/>
      </c>
      <c r="AI718" s="15" t="str">
        <f aca="false">IF(AND(ISNUMBER(O718),ISNUMBER(Q718)),Q718-O718,"")</f>
        <v/>
      </c>
      <c r="AJ718" s="15" t="str">
        <f aca="false">IF(B718="","",COUNT(L718:M718,P718:T718)&amp;"/7")</f>
        <v/>
      </c>
      <c r="AK718" s="15" t="str">
        <f aca="false">IF(B718="","",IF(OR(AND(ISNUMBER(L718),ISNUMBER(M718),M718&lt;L718),AND(ISNUMBER(M718),ISNUMBER(P718),P718&lt;M718),AND(ISNUMBER(P718),ISNUMBER(Q718),Q718&lt;P718),AND(ISNUMBER(Q718),ISNUMBER(R718),R718&lt;Q718),AND(ISNUMBER(R718),ISNUMBER(S718),S718&lt;R718),AND(ISNUMBER(S718),ISNUMBER(T718),T718&lt;S718),AND(ISNUMBER(N718),ISNUMBER(O718),O718&lt;N718)),"Urutan tanggal salah",IF(AND(ISNUMBER(Q718),ISNUMBER(R718),ISNUMBER(Y718),ABS(R718-Q718-Y718)&gt;2),"S tanggal ≠ Sailing tercatat",IF(AND(ISNUMBER(Q718),ISNUMBER(O718),ABS(Q718-O718)&gt;60),"Cek tahun laycan",IF(AND(ISNUMBER(Q718),ISNUMBER(N718),Q718&lt;N718),"Berangkat sebelum laycan",IF(NOT(ISNUMBER(AE718)),"S belum ada","OK"))))))</f>
        <v/>
      </c>
    </row>
    <row r="719" customFormat="false" ht="15" hidden="false" customHeight="false" outlineLevel="0" collapsed="false">
      <c r="A719" s="16" t="str">
        <f aca="false">IF(B719="","",ROW()-4)</f>
        <v/>
      </c>
      <c r="B719" s="12"/>
      <c r="C719" s="16"/>
      <c r="D719" s="16"/>
      <c r="E719" s="16"/>
      <c r="F719" s="16"/>
      <c r="G719" s="16"/>
      <c r="H719" s="16"/>
      <c r="I719" s="16"/>
      <c r="J719" s="16"/>
      <c r="K719" s="16"/>
      <c r="L719" s="13"/>
      <c r="M719" s="13"/>
      <c r="N719" s="13"/>
      <c r="O719" s="13"/>
      <c r="P719" s="13"/>
      <c r="Q719" s="13"/>
      <c r="R719" s="13"/>
      <c r="S719" s="13"/>
      <c r="T719" s="13"/>
      <c r="U719" s="12"/>
      <c r="V719" s="14"/>
      <c r="W719" s="16"/>
      <c r="X719" s="16"/>
      <c r="Y719" s="16"/>
      <c r="Z719" s="16"/>
      <c r="AA719" s="15" t="str">
        <f aca="false">IF(AND(ISNUMBER(L719),ISNUMBER(M719)),M719-L719,"")</f>
        <v/>
      </c>
      <c r="AB719" s="15" t="str">
        <f aca="false">IF(AND(ISNUMBER(M719),ISNUMBER(P719)),P719-M719,"")</f>
        <v/>
      </c>
      <c r="AC719" s="15" t="str">
        <f aca="false">IF(AND(ISNUMBER(L719),ISNUMBER(P719)),P719-L719,"")</f>
        <v/>
      </c>
      <c r="AD719" s="15" t="str">
        <f aca="false">IF(AND(ISNUMBER(P719),ISNUMBER(Q719)),Q719-P719,"")</f>
        <v/>
      </c>
      <c r="AE719" s="15" t="str">
        <f aca="false">IF(AND(ISNUMBER(Q719),ISNUMBER(R719)),R719-Q719,IF(ISNUMBER(Y719),Y719,""))</f>
        <v/>
      </c>
      <c r="AF719" s="15" t="str">
        <f aca="false">IF(AND(ISNUMBER(R719),ISNUMBER(S719)),S719-R719,"")</f>
        <v/>
      </c>
      <c r="AG719" s="15" t="str">
        <f aca="false">IF(AND(ISNUMBER(S719),ISNUMBER(T719)),T719-S719,"")</f>
        <v/>
      </c>
      <c r="AH719" s="15" t="str">
        <f aca="false">IF(AND(ISNUMBER(L719),ISNUMBER(T719)),T719-L719,"")</f>
        <v/>
      </c>
      <c r="AI719" s="15" t="str">
        <f aca="false">IF(AND(ISNUMBER(O719),ISNUMBER(Q719)),Q719-O719,"")</f>
        <v/>
      </c>
      <c r="AJ719" s="15" t="str">
        <f aca="false">IF(B719="","",COUNT(L719:M719,P719:T719)&amp;"/7")</f>
        <v/>
      </c>
      <c r="AK719" s="15" t="str">
        <f aca="false">IF(B719="","",IF(OR(AND(ISNUMBER(L719),ISNUMBER(M719),M719&lt;L719),AND(ISNUMBER(M719),ISNUMBER(P719),P719&lt;M719),AND(ISNUMBER(P719),ISNUMBER(Q719),Q719&lt;P719),AND(ISNUMBER(Q719),ISNUMBER(R719),R719&lt;Q719),AND(ISNUMBER(R719),ISNUMBER(S719),S719&lt;R719),AND(ISNUMBER(S719),ISNUMBER(T719),T719&lt;S719),AND(ISNUMBER(N719),ISNUMBER(O719),O719&lt;N719)),"Urutan tanggal salah",IF(AND(ISNUMBER(Q719),ISNUMBER(R719),ISNUMBER(Y719),ABS(R719-Q719-Y719)&gt;2),"S tanggal ≠ Sailing tercatat",IF(AND(ISNUMBER(Q719),ISNUMBER(O719),ABS(Q719-O719)&gt;60),"Cek tahun laycan",IF(AND(ISNUMBER(Q719),ISNUMBER(N719),Q719&lt;N719),"Berangkat sebelum laycan",IF(NOT(ISNUMBER(AE719)),"S belum ada","OK"))))))</f>
        <v/>
      </c>
    </row>
    <row r="720" customFormat="false" ht="15" hidden="false" customHeight="false" outlineLevel="0" collapsed="false">
      <c r="A720" s="16" t="str">
        <f aca="false">IF(B720="","",ROW()-4)</f>
        <v/>
      </c>
      <c r="B720" s="12"/>
      <c r="C720" s="16"/>
      <c r="D720" s="16"/>
      <c r="E720" s="16"/>
      <c r="F720" s="16"/>
      <c r="G720" s="16"/>
      <c r="H720" s="16"/>
      <c r="I720" s="16"/>
      <c r="J720" s="16"/>
      <c r="K720" s="16"/>
      <c r="L720" s="13"/>
      <c r="M720" s="13"/>
      <c r="N720" s="13"/>
      <c r="O720" s="13"/>
      <c r="P720" s="13"/>
      <c r="Q720" s="13"/>
      <c r="R720" s="13"/>
      <c r="S720" s="13"/>
      <c r="T720" s="13"/>
      <c r="U720" s="12"/>
      <c r="V720" s="14"/>
      <c r="W720" s="16"/>
      <c r="X720" s="16"/>
      <c r="Y720" s="16"/>
      <c r="Z720" s="16"/>
      <c r="AA720" s="15" t="str">
        <f aca="false">IF(AND(ISNUMBER(L720),ISNUMBER(M720)),M720-L720,"")</f>
        <v/>
      </c>
      <c r="AB720" s="15" t="str">
        <f aca="false">IF(AND(ISNUMBER(M720),ISNUMBER(P720)),P720-M720,"")</f>
        <v/>
      </c>
      <c r="AC720" s="15" t="str">
        <f aca="false">IF(AND(ISNUMBER(L720),ISNUMBER(P720)),P720-L720,"")</f>
        <v/>
      </c>
      <c r="AD720" s="15" t="str">
        <f aca="false">IF(AND(ISNUMBER(P720),ISNUMBER(Q720)),Q720-P720,"")</f>
        <v/>
      </c>
      <c r="AE720" s="15" t="str">
        <f aca="false">IF(AND(ISNUMBER(Q720),ISNUMBER(R720)),R720-Q720,IF(ISNUMBER(Y720),Y720,""))</f>
        <v/>
      </c>
      <c r="AF720" s="15" t="str">
        <f aca="false">IF(AND(ISNUMBER(R720),ISNUMBER(S720)),S720-R720,"")</f>
        <v/>
      </c>
      <c r="AG720" s="15" t="str">
        <f aca="false">IF(AND(ISNUMBER(S720),ISNUMBER(T720)),T720-S720,"")</f>
        <v/>
      </c>
      <c r="AH720" s="15" t="str">
        <f aca="false">IF(AND(ISNUMBER(L720),ISNUMBER(T720)),T720-L720,"")</f>
        <v/>
      </c>
      <c r="AI720" s="15" t="str">
        <f aca="false">IF(AND(ISNUMBER(O720),ISNUMBER(Q720)),Q720-O720,"")</f>
        <v/>
      </c>
      <c r="AJ720" s="15" t="str">
        <f aca="false">IF(B720="","",COUNT(L720:M720,P720:T720)&amp;"/7")</f>
        <v/>
      </c>
      <c r="AK720" s="15" t="str">
        <f aca="false">IF(B720="","",IF(OR(AND(ISNUMBER(L720),ISNUMBER(M720),M720&lt;L720),AND(ISNUMBER(M720),ISNUMBER(P720),P720&lt;M720),AND(ISNUMBER(P720),ISNUMBER(Q720),Q720&lt;P720),AND(ISNUMBER(Q720),ISNUMBER(R720),R720&lt;Q720),AND(ISNUMBER(R720),ISNUMBER(S720),S720&lt;R720),AND(ISNUMBER(S720),ISNUMBER(T720),T720&lt;S720),AND(ISNUMBER(N720),ISNUMBER(O720),O720&lt;N720)),"Urutan tanggal salah",IF(AND(ISNUMBER(Q720),ISNUMBER(R720),ISNUMBER(Y720),ABS(R720-Q720-Y720)&gt;2),"S tanggal ≠ Sailing tercatat",IF(AND(ISNUMBER(Q720),ISNUMBER(O720),ABS(Q720-O720)&gt;60),"Cek tahun laycan",IF(AND(ISNUMBER(Q720),ISNUMBER(N720),Q720&lt;N720),"Berangkat sebelum laycan",IF(NOT(ISNUMBER(AE720)),"S belum ada","OK"))))))</f>
        <v/>
      </c>
    </row>
    <row r="721" customFormat="false" ht="15" hidden="false" customHeight="false" outlineLevel="0" collapsed="false">
      <c r="A721" s="16" t="str">
        <f aca="false">IF(B721="","",ROW()-4)</f>
        <v/>
      </c>
      <c r="B721" s="12"/>
      <c r="C721" s="16"/>
      <c r="D721" s="16"/>
      <c r="E721" s="16"/>
      <c r="F721" s="16"/>
      <c r="G721" s="16"/>
      <c r="H721" s="16"/>
      <c r="I721" s="16"/>
      <c r="J721" s="16"/>
      <c r="K721" s="16"/>
      <c r="L721" s="13"/>
      <c r="M721" s="13"/>
      <c r="N721" s="13"/>
      <c r="O721" s="13"/>
      <c r="P721" s="13"/>
      <c r="Q721" s="13"/>
      <c r="R721" s="13"/>
      <c r="S721" s="13"/>
      <c r="T721" s="13"/>
      <c r="U721" s="12"/>
      <c r="V721" s="14"/>
      <c r="W721" s="16"/>
      <c r="X721" s="16"/>
      <c r="Y721" s="16"/>
      <c r="Z721" s="16"/>
      <c r="AA721" s="15" t="str">
        <f aca="false">IF(AND(ISNUMBER(L721),ISNUMBER(M721)),M721-L721,"")</f>
        <v/>
      </c>
      <c r="AB721" s="15" t="str">
        <f aca="false">IF(AND(ISNUMBER(M721),ISNUMBER(P721)),P721-M721,"")</f>
        <v/>
      </c>
      <c r="AC721" s="15" t="str">
        <f aca="false">IF(AND(ISNUMBER(L721),ISNUMBER(P721)),P721-L721,"")</f>
        <v/>
      </c>
      <c r="AD721" s="15" t="str">
        <f aca="false">IF(AND(ISNUMBER(P721),ISNUMBER(Q721)),Q721-P721,"")</f>
        <v/>
      </c>
      <c r="AE721" s="15" t="str">
        <f aca="false">IF(AND(ISNUMBER(Q721),ISNUMBER(R721)),R721-Q721,IF(ISNUMBER(Y721),Y721,""))</f>
        <v/>
      </c>
      <c r="AF721" s="15" t="str">
        <f aca="false">IF(AND(ISNUMBER(R721),ISNUMBER(S721)),S721-R721,"")</f>
        <v/>
      </c>
      <c r="AG721" s="15" t="str">
        <f aca="false">IF(AND(ISNUMBER(S721),ISNUMBER(T721)),T721-S721,"")</f>
        <v/>
      </c>
      <c r="AH721" s="15" t="str">
        <f aca="false">IF(AND(ISNUMBER(L721),ISNUMBER(T721)),T721-L721,"")</f>
        <v/>
      </c>
      <c r="AI721" s="15" t="str">
        <f aca="false">IF(AND(ISNUMBER(O721),ISNUMBER(Q721)),Q721-O721,"")</f>
        <v/>
      </c>
      <c r="AJ721" s="15" t="str">
        <f aca="false">IF(B721="","",COUNT(L721:M721,P721:T721)&amp;"/7")</f>
        <v/>
      </c>
      <c r="AK721" s="15" t="str">
        <f aca="false">IF(B721="","",IF(OR(AND(ISNUMBER(L721),ISNUMBER(M721),M721&lt;L721),AND(ISNUMBER(M721),ISNUMBER(P721),P721&lt;M721),AND(ISNUMBER(P721),ISNUMBER(Q721),Q721&lt;P721),AND(ISNUMBER(Q721),ISNUMBER(R721),R721&lt;Q721),AND(ISNUMBER(R721),ISNUMBER(S721),S721&lt;R721),AND(ISNUMBER(S721),ISNUMBER(T721),T721&lt;S721),AND(ISNUMBER(N721),ISNUMBER(O721),O721&lt;N721)),"Urutan tanggal salah",IF(AND(ISNUMBER(Q721),ISNUMBER(R721),ISNUMBER(Y721),ABS(R721-Q721-Y721)&gt;2),"S tanggal ≠ Sailing tercatat",IF(AND(ISNUMBER(Q721),ISNUMBER(O721),ABS(Q721-O721)&gt;60),"Cek tahun laycan",IF(AND(ISNUMBER(Q721),ISNUMBER(N721),Q721&lt;N721),"Berangkat sebelum laycan",IF(NOT(ISNUMBER(AE721)),"S belum ada","OK"))))))</f>
        <v/>
      </c>
    </row>
    <row r="722" customFormat="false" ht="15" hidden="false" customHeight="false" outlineLevel="0" collapsed="false">
      <c r="A722" s="16" t="str">
        <f aca="false">IF(B722="","",ROW()-4)</f>
        <v/>
      </c>
      <c r="B722" s="12"/>
      <c r="C722" s="16"/>
      <c r="D722" s="16"/>
      <c r="E722" s="16"/>
      <c r="F722" s="16"/>
      <c r="G722" s="16"/>
      <c r="H722" s="16"/>
      <c r="I722" s="16"/>
      <c r="J722" s="16"/>
      <c r="K722" s="16"/>
      <c r="L722" s="13"/>
      <c r="M722" s="13"/>
      <c r="N722" s="13"/>
      <c r="O722" s="13"/>
      <c r="P722" s="13"/>
      <c r="Q722" s="13"/>
      <c r="R722" s="13"/>
      <c r="S722" s="13"/>
      <c r="T722" s="13"/>
      <c r="U722" s="12"/>
      <c r="V722" s="14"/>
      <c r="W722" s="16"/>
      <c r="X722" s="16"/>
      <c r="Y722" s="16"/>
      <c r="Z722" s="16"/>
      <c r="AA722" s="15" t="str">
        <f aca="false">IF(AND(ISNUMBER(L722),ISNUMBER(M722)),M722-L722,"")</f>
        <v/>
      </c>
      <c r="AB722" s="15" t="str">
        <f aca="false">IF(AND(ISNUMBER(M722),ISNUMBER(P722)),P722-M722,"")</f>
        <v/>
      </c>
      <c r="AC722" s="15" t="str">
        <f aca="false">IF(AND(ISNUMBER(L722),ISNUMBER(P722)),P722-L722,"")</f>
        <v/>
      </c>
      <c r="AD722" s="15" t="str">
        <f aca="false">IF(AND(ISNUMBER(P722),ISNUMBER(Q722)),Q722-P722,"")</f>
        <v/>
      </c>
      <c r="AE722" s="15" t="str">
        <f aca="false">IF(AND(ISNUMBER(Q722),ISNUMBER(R722)),R722-Q722,IF(ISNUMBER(Y722),Y722,""))</f>
        <v/>
      </c>
      <c r="AF722" s="15" t="str">
        <f aca="false">IF(AND(ISNUMBER(R722),ISNUMBER(S722)),S722-R722,"")</f>
        <v/>
      </c>
      <c r="AG722" s="15" t="str">
        <f aca="false">IF(AND(ISNUMBER(S722),ISNUMBER(T722)),T722-S722,"")</f>
        <v/>
      </c>
      <c r="AH722" s="15" t="str">
        <f aca="false">IF(AND(ISNUMBER(L722),ISNUMBER(T722)),T722-L722,"")</f>
        <v/>
      </c>
      <c r="AI722" s="15" t="str">
        <f aca="false">IF(AND(ISNUMBER(O722),ISNUMBER(Q722)),Q722-O722,"")</f>
        <v/>
      </c>
      <c r="AJ722" s="15" t="str">
        <f aca="false">IF(B722="","",COUNT(L722:M722,P722:T722)&amp;"/7")</f>
        <v/>
      </c>
      <c r="AK722" s="15" t="str">
        <f aca="false">IF(B722="","",IF(OR(AND(ISNUMBER(L722),ISNUMBER(M722),M722&lt;L722),AND(ISNUMBER(M722),ISNUMBER(P722),P722&lt;M722),AND(ISNUMBER(P722),ISNUMBER(Q722),Q722&lt;P722),AND(ISNUMBER(Q722),ISNUMBER(R722),R722&lt;Q722),AND(ISNUMBER(R722),ISNUMBER(S722),S722&lt;R722),AND(ISNUMBER(S722),ISNUMBER(T722),T722&lt;S722),AND(ISNUMBER(N722),ISNUMBER(O722),O722&lt;N722)),"Urutan tanggal salah",IF(AND(ISNUMBER(Q722),ISNUMBER(R722),ISNUMBER(Y722),ABS(R722-Q722-Y722)&gt;2),"S tanggal ≠ Sailing tercatat",IF(AND(ISNUMBER(Q722),ISNUMBER(O722),ABS(Q722-O722)&gt;60),"Cek tahun laycan",IF(AND(ISNUMBER(Q722),ISNUMBER(N722),Q722&lt;N722),"Berangkat sebelum laycan",IF(NOT(ISNUMBER(AE722)),"S belum ada","OK"))))))</f>
        <v/>
      </c>
    </row>
    <row r="723" customFormat="false" ht="15" hidden="false" customHeight="false" outlineLevel="0" collapsed="false">
      <c r="A723" s="16" t="str">
        <f aca="false">IF(B723="","",ROW()-4)</f>
        <v/>
      </c>
      <c r="B723" s="12"/>
      <c r="C723" s="16"/>
      <c r="D723" s="16"/>
      <c r="E723" s="16"/>
      <c r="F723" s="16"/>
      <c r="G723" s="16"/>
      <c r="H723" s="16"/>
      <c r="I723" s="16"/>
      <c r="J723" s="16"/>
      <c r="K723" s="16"/>
      <c r="L723" s="13"/>
      <c r="M723" s="13"/>
      <c r="N723" s="13"/>
      <c r="O723" s="13"/>
      <c r="P723" s="13"/>
      <c r="Q723" s="13"/>
      <c r="R723" s="13"/>
      <c r="S723" s="13"/>
      <c r="T723" s="13"/>
      <c r="U723" s="12"/>
      <c r="V723" s="14"/>
      <c r="W723" s="16"/>
      <c r="X723" s="16"/>
      <c r="Y723" s="16"/>
      <c r="Z723" s="16"/>
      <c r="AA723" s="15" t="str">
        <f aca="false">IF(AND(ISNUMBER(L723),ISNUMBER(M723)),M723-L723,"")</f>
        <v/>
      </c>
      <c r="AB723" s="15" t="str">
        <f aca="false">IF(AND(ISNUMBER(M723),ISNUMBER(P723)),P723-M723,"")</f>
        <v/>
      </c>
      <c r="AC723" s="15" t="str">
        <f aca="false">IF(AND(ISNUMBER(L723),ISNUMBER(P723)),P723-L723,"")</f>
        <v/>
      </c>
      <c r="AD723" s="15" t="str">
        <f aca="false">IF(AND(ISNUMBER(P723),ISNUMBER(Q723)),Q723-P723,"")</f>
        <v/>
      </c>
      <c r="AE723" s="15" t="str">
        <f aca="false">IF(AND(ISNUMBER(Q723),ISNUMBER(R723)),R723-Q723,IF(ISNUMBER(Y723),Y723,""))</f>
        <v/>
      </c>
      <c r="AF723" s="15" t="str">
        <f aca="false">IF(AND(ISNUMBER(R723),ISNUMBER(S723)),S723-R723,"")</f>
        <v/>
      </c>
      <c r="AG723" s="15" t="str">
        <f aca="false">IF(AND(ISNUMBER(S723),ISNUMBER(T723)),T723-S723,"")</f>
        <v/>
      </c>
      <c r="AH723" s="15" t="str">
        <f aca="false">IF(AND(ISNUMBER(L723),ISNUMBER(T723)),T723-L723,"")</f>
        <v/>
      </c>
      <c r="AI723" s="15" t="str">
        <f aca="false">IF(AND(ISNUMBER(O723),ISNUMBER(Q723)),Q723-O723,"")</f>
        <v/>
      </c>
      <c r="AJ723" s="15" t="str">
        <f aca="false">IF(B723="","",COUNT(L723:M723,P723:T723)&amp;"/7")</f>
        <v/>
      </c>
      <c r="AK723" s="15" t="str">
        <f aca="false">IF(B723="","",IF(OR(AND(ISNUMBER(L723),ISNUMBER(M723),M723&lt;L723),AND(ISNUMBER(M723),ISNUMBER(P723),P723&lt;M723),AND(ISNUMBER(P723),ISNUMBER(Q723),Q723&lt;P723),AND(ISNUMBER(Q723),ISNUMBER(R723),R723&lt;Q723),AND(ISNUMBER(R723),ISNUMBER(S723),S723&lt;R723),AND(ISNUMBER(S723),ISNUMBER(T723),T723&lt;S723),AND(ISNUMBER(N723),ISNUMBER(O723),O723&lt;N723)),"Urutan tanggal salah",IF(AND(ISNUMBER(Q723),ISNUMBER(R723),ISNUMBER(Y723),ABS(R723-Q723-Y723)&gt;2),"S tanggal ≠ Sailing tercatat",IF(AND(ISNUMBER(Q723),ISNUMBER(O723),ABS(Q723-O723)&gt;60),"Cek tahun laycan",IF(AND(ISNUMBER(Q723),ISNUMBER(N723),Q723&lt;N723),"Berangkat sebelum laycan",IF(NOT(ISNUMBER(AE723)),"S belum ada","OK"))))))</f>
        <v/>
      </c>
    </row>
    <row r="724" customFormat="false" ht="15" hidden="false" customHeight="false" outlineLevel="0" collapsed="false">
      <c r="A724" s="16" t="str">
        <f aca="false">IF(B724="","",ROW()-4)</f>
        <v/>
      </c>
      <c r="B724" s="12"/>
      <c r="C724" s="16"/>
      <c r="D724" s="16"/>
      <c r="E724" s="16"/>
      <c r="F724" s="16"/>
      <c r="G724" s="16"/>
      <c r="H724" s="16"/>
      <c r="I724" s="16"/>
      <c r="J724" s="16"/>
      <c r="K724" s="16"/>
      <c r="L724" s="13"/>
      <c r="M724" s="13"/>
      <c r="N724" s="13"/>
      <c r="O724" s="13"/>
      <c r="P724" s="13"/>
      <c r="Q724" s="13"/>
      <c r="R724" s="13"/>
      <c r="S724" s="13"/>
      <c r="T724" s="13"/>
      <c r="U724" s="12"/>
      <c r="V724" s="14"/>
      <c r="W724" s="16"/>
      <c r="X724" s="16"/>
      <c r="Y724" s="16"/>
      <c r="Z724" s="16"/>
      <c r="AA724" s="15" t="str">
        <f aca="false">IF(AND(ISNUMBER(L724),ISNUMBER(M724)),M724-L724,"")</f>
        <v/>
      </c>
      <c r="AB724" s="15" t="str">
        <f aca="false">IF(AND(ISNUMBER(M724),ISNUMBER(P724)),P724-M724,"")</f>
        <v/>
      </c>
      <c r="AC724" s="15" t="str">
        <f aca="false">IF(AND(ISNUMBER(L724),ISNUMBER(P724)),P724-L724,"")</f>
        <v/>
      </c>
      <c r="AD724" s="15" t="str">
        <f aca="false">IF(AND(ISNUMBER(P724),ISNUMBER(Q724)),Q724-P724,"")</f>
        <v/>
      </c>
      <c r="AE724" s="15" t="str">
        <f aca="false">IF(AND(ISNUMBER(Q724),ISNUMBER(R724)),R724-Q724,IF(ISNUMBER(Y724),Y724,""))</f>
        <v/>
      </c>
      <c r="AF724" s="15" t="str">
        <f aca="false">IF(AND(ISNUMBER(R724),ISNUMBER(S724)),S724-R724,"")</f>
        <v/>
      </c>
      <c r="AG724" s="15" t="str">
        <f aca="false">IF(AND(ISNUMBER(S724),ISNUMBER(T724)),T724-S724,"")</f>
        <v/>
      </c>
      <c r="AH724" s="15" t="str">
        <f aca="false">IF(AND(ISNUMBER(L724),ISNUMBER(T724)),T724-L724,"")</f>
        <v/>
      </c>
      <c r="AI724" s="15" t="str">
        <f aca="false">IF(AND(ISNUMBER(O724),ISNUMBER(Q724)),Q724-O724,"")</f>
        <v/>
      </c>
      <c r="AJ724" s="15" t="str">
        <f aca="false">IF(B724="","",COUNT(L724:M724,P724:T724)&amp;"/7")</f>
        <v/>
      </c>
      <c r="AK724" s="15" t="str">
        <f aca="false">IF(B724="","",IF(OR(AND(ISNUMBER(L724),ISNUMBER(M724),M724&lt;L724),AND(ISNUMBER(M724),ISNUMBER(P724),P724&lt;M724),AND(ISNUMBER(P724),ISNUMBER(Q724),Q724&lt;P724),AND(ISNUMBER(Q724),ISNUMBER(R724),R724&lt;Q724),AND(ISNUMBER(R724),ISNUMBER(S724),S724&lt;R724),AND(ISNUMBER(S724),ISNUMBER(T724),T724&lt;S724),AND(ISNUMBER(N724),ISNUMBER(O724),O724&lt;N724)),"Urutan tanggal salah",IF(AND(ISNUMBER(Q724),ISNUMBER(R724),ISNUMBER(Y724),ABS(R724-Q724-Y724)&gt;2),"S tanggal ≠ Sailing tercatat",IF(AND(ISNUMBER(Q724),ISNUMBER(O724),ABS(Q724-O724)&gt;60),"Cek tahun laycan",IF(AND(ISNUMBER(Q724),ISNUMBER(N724),Q724&lt;N724),"Berangkat sebelum laycan",IF(NOT(ISNUMBER(AE724)),"S belum ada","OK"))))))</f>
        <v/>
      </c>
    </row>
    <row r="725" customFormat="false" ht="15" hidden="false" customHeight="false" outlineLevel="0" collapsed="false">
      <c r="A725" s="16" t="str">
        <f aca="false">IF(B725="","",ROW()-4)</f>
        <v/>
      </c>
      <c r="B725" s="12"/>
      <c r="C725" s="16"/>
      <c r="D725" s="16"/>
      <c r="E725" s="16"/>
      <c r="F725" s="16"/>
      <c r="G725" s="16"/>
      <c r="H725" s="16"/>
      <c r="I725" s="16"/>
      <c r="J725" s="16"/>
      <c r="K725" s="16"/>
      <c r="L725" s="13"/>
      <c r="M725" s="13"/>
      <c r="N725" s="13"/>
      <c r="O725" s="13"/>
      <c r="P725" s="13"/>
      <c r="Q725" s="13"/>
      <c r="R725" s="13"/>
      <c r="S725" s="13"/>
      <c r="T725" s="13"/>
      <c r="U725" s="12"/>
      <c r="V725" s="14"/>
      <c r="W725" s="16"/>
      <c r="X725" s="16"/>
      <c r="Y725" s="16"/>
      <c r="Z725" s="16"/>
      <c r="AA725" s="15" t="str">
        <f aca="false">IF(AND(ISNUMBER(L725),ISNUMBER(M725)),M725-L725,"")</f>
        <v/>
      </c>
      <c r="AB725" s="15" t="str">
        <f aca="false">IF(AND(ISNUMBER(M725),ISNUMBER(P725)),P725-M725,"")</f>
        <v/>
      </c>
      <c r="AC725" s="15" t="str">
        <f aca="false">IF(AND(ISNUMBER(L725),ISNUMBER(P725)),P725-L725,"")</f>
        <v/>
      </c>
      <c r="AD725" s="15" t="str">
        <f aca="false">IF(AND(ISNUMBER(P725),ISNUMBER(Q725)),Q725-P725,"")</f>
        <v/>
      </c>
      <c r="AE725" s="15" t="str">
        <f aca="false">IF(AND(ISNUMBER(Q725),ISNUMBER(R725)),R725-Q725,IF(ISNUMBER(Y725),Y725,""))</f>
        <v/>
      </c>
      <c r="AF725" s="15" t="str">
        <f aca="false">IF(AND(ISNUMBER(R725),ISNUMBER(S725)),S725-R725,"")</f>
        <v/>
      </c>
      <c r="AG725" s="15" t="str">
        <f aca="false">IF(AND(ISNUMBER(S725),ISNUMBER(T725)),T725-S725,"")</f>
        <v/>
      </c>
      <c r="AH725" s="15" t="str">
        <f aca="false">IF(AND(ISNUMBER(L725),ISNUMBER(T725)),T725-L725,"")</f>
        <v/>
      </c>
      <c r="AI725" s="15" t="str">
        <f aca="false">IF(AND(ISNUMBER(O725),ISNUMBER(Q725)),Q725-O725,"")</f>
        <v/>
      </c>
      <c r="AJ725" s="15" t="str">
        <f aca="false">IF(B725="","",COUNT(L725:M725,P725:T725)&amp;"/7")</f>
        <v/>
      </c>
      <c r="AK725" s="15" t="str">
        <f aca="false">IF(B725="","",IF(OR(AND(ISNUMBER(L725),ISNUMBER(M725),M725&lt;L725),AND(ISNUMBER(M725),ISNUMBER(P725),P725&lt;M725),AND(ISNUMBER(P725),ISNUMBER(Q725),Q725&lt;P725),AND(ISNUMBER(Q725),ISNUMBER(R725),R725&lt;Q725),AND(ISNUMBER(R725),ISNUMBER(S725),S725&lt;R725),AND(ISNUMBER(S725),ISNUMBER(T725),T725&lt;S725),AND(ISNUMBER(N725),ISNUMBER(O725),O725&lt;N725)),"Urutan tanggal salah",IF(AND(ISNUMBER(Q725),ISNUMBER(R725),ISNUMBER(Y725),ABS(R725-Q725-Y725)&gt;2),"S tanggal ≠ Sailing tercatat",IF(AND(ISNUMBER(Q725),ISNUMBER(O725),ABS(Q725-O725)&gt;60),"Cek tahun laycan",IF(AND(ISNUMBER(Q725),ISNUMBER(N725),Q725&lt;N725),"Berangkat sebelum laycan",IF(NOT(ISNUMBER(AE725)),"S belum ada","OK"))))))</f>
        <v/>
      </c>
    </row>
    <row r="726" customFormat="false" ht="15" hidden="false" customHeight="false" outlineLevel="0" collapsed="false">
      <c r="A726" s="16" t="str">
        <f aca="false">IF(B726="","",ROW()-4)</f>
        <v/>
      </c>
      <c r="B726" s="12"/>
      <c r="C726" s="16"/>
      <c r="D726" s="16"/>
      <c r="E726" s="16"/>
      <c r="F726" s="16"/>
      <c r="G726" s="16"/>
      <c r="H726" s="16"/>
      <c r="I726" s="16"/>
      <c r="J726" s="16"/>
      <c r="K726" s="16"/>
      <c r="L726" s="13"/>
      <c r="M726" s="13"/>
      <c r="N726" s="13"/>
      <c r="O726" s="13"/>
      <c r="P726" s="13"/>
      <c r="Q726" s="13"/>
      <c r="R726" s="13"/>
      <c r="S726" s="13"/>
      <c r="T726" s="13"/>
      <c r="U726" s="12"/>
      <c r="V726" s="14"/>
      <c r="W726" s="16"/>
      <c r="X726" s="16"/>
      <c r="Y726" s="16"/>
      <c r="Z726" s="16"/>
      <c r="AA726" s="15" t="str">
        <f aca="false">IF(AND(ISNUMBER(L726),ISNUMBER(M726)),M726-L726,"")</f>
        <v/>
      </c>
      <c r="AB726" s="15" t="str">
        <f aca="false">IF(AND(ISNUMBER(M726),ISNUMBER(P726)),P726-M726,"")</f>
        <v/>
      </c>
      <c r="AC726" s="15" t="str">
        <f aca="false">IF(AND(ISNUMBER(L726),ISNUMBER(P726)),P726-L726,"")</f>
        <v/>
      </c>
      <c r="AD726" s="15" t="str">
        <f aca="false">IF(AND(ISNUMBER(P726),ISNUMBER(Q726)),Q726-P726,"")</f>
        <v/>
      </c>
      <c r="AE726" s="15" t="str">
        <f aca="false">IF(AND(ISNUMBER(Q726),ISNUMBER(R726)),R726-Q726,IF(ISNUMBER(Y726),Y726,""))</f>
        <v/>
      </c>
      <c r="AF726" s="15" t="str">
        <f aca="false">IF(AND(ISNUMBER(R726),ISNUMBER(S726)),S726-R726,"")</f>
        <v/>
      </c>
      <c r="AG726" s="15" t="str">
        <f aca="false">IF(AND(ISNUMBER(S726),ISNUMBER(T726)),T726-S726,"")</f>
        <v/>
      </c>
      <c r="AH726" s="15" t="str">
        <f aca="false">IF(AND(ISNUMBER(L726),ISNUMBER(T726)),T726-L726,"")</f>
        <v/>
      </c>
      <c r="AI726" s="15" t="str">
        <f aca="false">IF(AND(ISNUMBER(O726),ISNUMBER(Q726)),Q726-O726,"")</f>
        <v/>
      </c>
      <c r="AJ726" s="15" t="str">
        <f aca="false">IF(B726="","",COUNT(L726:M726,P726:T726)&amp;"/7")</f>
        <v/>
      </c>
      <c r="AK726" s="15" t="str">
        <f aca="false">IF(B726="","",IF(OR(AND(ISNUMBER(L726),ISNUMBER(M726),M726&lt;L726),AND(ISNUMBER(M726),ISNUMBER(P726),P726&lt;M726),AND(ISNUMBER(P726),ISNUMBER(Q726),Q726&lt;P726),AND(ISNUMBER(Q726),ISNUMBER(R726),R726&lt;Q726),AND(ISNUMBER(R726),ISNUMBER(S726),S726&lt;R726),AND(ISNUMBER(S726),ISNUMBER(T726),T726&lt;S726),AND(ISNUMBER(N726),ISNUMBER(O726),O726&lt;N726)),"Urutan tanggal salah",IF(AND(ISNUMBER(Q726),ISNUMBER(R726),ISNUMBER(Y726),ABS(R726-Q726-Y726)&gt;2),"S tanggal ≠ Sailing tercatat",IF(AND(ISNUMBER(Q726),ISNUMBER(O726),ABS(Q726-O726)&gt;60),"Cek tahun laycan",IF(AND(ISNUMBER(Q726),ISNUMBER(N726),Q726&lt;N726),"Berangkat sebelum laycan",IF(NOT(ISNUMBER(AE726)),"S belum ada","OK"))))))</f>
        <v/>
      </c>
    </row>
    <row r="727" customFormat="false" ht="15" hidden="false" customHeight="false" outlineLevel="0" collapsed="false">
      <c r="A727" s="16" t="str">
        <f aca="false">IF(B727="","",ROW()-4)</f>
        <v/>
      </c>
      <c r="B727" s="12"/>
      <c r="C727" s="16"/>
      <c r="D727" s="16"/>
      <c r="E727" s="16"/>
      <c r="F727" s="16"/>
      <c r="G727" s="16"/>
      <c r="H727" s="16"/>
      <c r="I727" s="16"/>
      <c r="J727" s="16"/>
      <c r="K727" s="16"/>
      <c r="L727" s="13"/>
      <c r="M727" s="13"/>
      <c r="N727" s="13"/>
      <c r="O727" s="13"/>
      <c r="P727" s="13"/>
      <c r="Q727" s="13"/>
      <c r="R727" s="13"/>
      <c r="S727" s="13"/>
      <c r="T727" s="13"/>
      <c r="U727" s="12"/>
      <c r="V727" s="14"/>
      <c r="W727" s="16"/>
      <c r="X727" s="16"/>
      <c r="Y727" s="16"/>
      <c r="Z727" s="16"/>
      <c r="AA727" s="15" t="str">
        <f aca="false">IF(AND(ISNUMBER(L727),ISNUMBER(M727)),M727-L727,"")</f>
        <v/>
      </c>
      <c r="AB727" s="15" t="str">
        <f aca="false">IF(AND(ISNUMBER(M727),ISNUMBER(P727)),P727-M727,"")</f>
        <v/>
      </c>
      <c r="AC727" s="15" t="str">
        <f aca="false">IF(AND(ISNUMBER(L727),ISNUMBER(P727)),P727-L727,"")</f>
        <v/>
      </c>
      <c r="AD727" s="15" t="str">
        <f aca="false">IF(AND(ISNUMBER(P727),ISNUMBER(Q727)),Q727-P727,"")</f>
        <v/>
      </c>
      <c r="AE727" s="15" t="str">
        <f aca="false">IF(AND(ISNUMBER(Q727),ISNUMBER(R727)),R727-Q727,IF(ISNUMBER(Y727),Y727,""))</f>
        <v/>
      </c>
      <c r="AF727" s="15" t="str">
        <f aca="false">IF(AND(ISNUMBER(R727),ISNUMBER(S727)),S727-R727,"")</f>
        <v/>
      </c>
      <c r="AG727" s="15" t="str">
        <f aca="false">IF(AND(ISNUMBER(S727),ISNUMBER(T727)),T727-S727,"")</f>
        <v/>
      </c>
      <c r="AH727" s="15" t="str">
        <f aca="false">IF(AND(ISNUMBER(L727),ISNUMBER(T727)),T727-L727,"")</f>
        <v/>
      </c>
      <c r="AI727" s="15" t="str">
        <f aca="false">IF(AND(ISNUMBER(O727),ISNUMBER(Q727)),Q727-O727,"")</f>
        <v/>
      </c>
      <c r="AJ727" s="15" t="str">
        <f aca="false">IF(B727="","",COUNT(L727:M727,P727:T727)&amp;"/7")</f>
        <v/>
      </c>
      <c r="AK727" s="15" t="str">
        <f aca="false">IF(B727="","",IF(OR(AND(ISNUMBER(L727),ISNUMBER(M727),M727&lt;L727),AND(ISNUMBER(M727),ISNUMBER(P727),P727&lt;M727),AND(ISNUMBER(P727),ISNUMBER(Q727),Q727&lt;P727),AND(ISNUMBER(Q727),ISNUMBER(R727),R727&lt;Q727),AND(ISNUMBER(R727),ISNUMBER(S727),S727&lt;R727),AND(ISNUMBER(S727),ISNUMBER(T727),T727&lt;S727),AND(ISNUMBER(N727),ISNUMBER(O727),O727&lt;N727)),"Urutan tanggal salah",IF(AND(ISNUMBER(Q727),ISNUMBER(R727),ISNUMBER(Y727),ABS(R727-Q727-Y727)&gt;2),"S tanggal ≠ Sailing tercatat",IF(AND(ISNUMBER(Q727),ISNUMBER(O727),ABS(Q727-O727)&gt;60),"Cek tahun laycan",IF(AND(ISNUMBER(Q727),ISNUMBER(N727),Q727&lt;N727),"Berangkat sebelum laycan",IF(NOT(ISNUMBER(AE727)),"S belum ada","OK"))))))</f>
        <v/>
      </c>
    </row>
    <row r="728" customFormat="false" ht="15" hidden="false" customHeight="false" outlineLevel="0" collapsed="false">
      <c r="A728" s="16" t="str">
        <f aca="false">IF(B728="","",ROW()-4)</f>
        <v/>
      </c>
      <c r="B728" s="12"/>
      <c r="C728" s="16"/>
      <c r="D728" s="16"/>
      <c r="E728" s="16"/>
      <c r="F728" s="16"/>
      <c r="G728" s="16"/>
      <c r="H728" s="16"/>
      <c r="I728" s="16"/>
      <c r="J728" s="16"/>
      <c r="K728" s="16"/>
      <c r="L728" s="13"/>
      <c r="M728" s="13"/>
      <c r="N728" s="13"/>
      <c r="O728" s="13"/>
      <c r="P728" s="13"/>
      <c r="Q728" s="13"/>
      <c r="R728" s="13"/>
      <c r="S728" s="13"/>
      <c r="T728" s="13"/>
      <c r="U728" s="12"/>
      <c r="V728" s="14"/>
      <c r="W728" s="16"/>
      <c r="X728" s="16"/>
      <c r="Y728" s="16"/>
      <c r="Z728" s="16"/>
      <c r="AA728" s="15" t="str">
        <f aca="false">IF(AND(ISNUMBER(L728),ISNUMBER(M728)),M728-L728,"")</f>
        <v/>
      </c>
      <c r="AB728" s="15" t="str">
        <f aca="false">IF(AND(ISNUMBER(M728),ISNUMBER(P728)),P728-M728,"")</f>
        <v/>
      </c>
      <c r="AC728" s="15" t="str">
        <f aca="false">IF(AND(ISNUMBER(L728),ISNUMBER(P728)),P728-L728,"")</f>
        <v/>
      </c>
      <c r="AD728" s="15" t="str">
        <f aca="false">IF(AND(ISNUMBER(P728),ISNUMBER(Q728)),Q728-P728,"")</f>
        <v/>
      </c>
      <c r="AE728" s="15" t="str">
        <f aca="false">IF(AND(ISNUMBER(Q728),ISNUMBER(R728)),R728-Q728,IF(ISNUMBER(Y728),Y728,""))</f>
        <v/>
      </c>
      <c r="AF728" s="15" t="str">
        <f aca="false">IF(AND(ISNUMBER(R728),ISNUMBER(S728)),S728-R728,"")</f>
        <v/>
      </c>
      <c r="AG728" s="15" t="str">
        <f aca="false">IF(AND(ISNUMBER(S728),ISNUMBER(T728)),T728-S728,"")</f>
        <v/>
      </c>
      <c r="AH728" s="15" t="str">
        <f aca="false">IF(AND(ISNUMBER(L728),ISNUMBER(T728)),T728-L728,"")</f>
        <v/>
      </c>
      <c r="AI728" s="15" t="str">
        <f aca="false">IF(AND(ISNUMBER(O728),ISNUMBER(Q728)),Q728-O728,"")</f>
        <v/>
      </c>
      <c r="AJ728" s="15" t="str">
        <f aca="false">IF(B728="","",COUNT(L728:M728,P728:T728)&amp;"/7")</f>
        <v/>
      </c>
      <c r="AK728" s="15" t="str">
        <f aca="false">IF(B728="","",IF(OR(AND(ISNUMBER(L728),ISNUMBER(M728),M728&lt;L728),AND(ISNUMBER(M728),ISNUMBER(P728),P728&lt;M728),AND(ISNUMBER(P728),ISNUMBER(Q728),Q728&lt;P728),AND(ISNUMBER(Q728),ISNUMBER(R728),R728&lt;Q728),AND(ISNUMBER(R728),ISNUMBER(S728),S728&lt;R728),AND(ISNUMBER(S728),ISNUMBER(T728),T728&lt;S728),AND(ISNUMBER(N728),ISNUMBER(O728),O728&lt;N728)),"Urutan tanggal salah",IF(AND(ISNUMBER(Q728),ISNUMBER(R728),ISNUMBER(Y728),ABS(R728-Q728-Y728)&gt;2),"S tanggal ≠ Sailing tercatat",IF(AND(ISNUMBER(Q728),ISNUMBER(O728),ABS(Q728-O728)&gt;60),"Cek tahun laycan",IF(AND(ISNUMBER(Q728),ISNUMBER(N728),Q728&lt;N728),"Berangkat sebelum laycan",IF(NOT(ISNUMBER(AE728)),"S belum ada","OK"))))))</f>
        <v/>
      </c>
    </row>
    <row r="729" customFormat="false" ht="15" hidden="false" customHeight="false" outlineLevel="0" collapsed="false">
      <c r="A729" s="16" t="str">
        <f aca="false">IF(B729="","",ROW()-4)</f>
        <v/>
      </c>
      <c r="B729" s="12"/>
      <c r="C729" s="16"/>
      <c r="D729" s="16"/>
      <c r="E729" s="16"/>
      <c r="F729" s="16"/>
      <c r="G729" s="16"/>
      <c r="H729" s="16"/>
      <c r="I729" s="16"/>
      <c r="J729" s="16"/>
      <c r="K729" s="16"/>
      <c r="L729" s="13"/>
      <c r="M729" s="13"/>
      <c r="N729" s="13"/>
      <c r="O729" s="13"/>
      <c r="P729" s="13"/>
      <c r="Q729" s="13"/>
      <c r="R729" s="13"/>
      <c r="S729" s="13"/>
      <c r="T729" s="13"/>
      <c r="U729" s="12"/>
      <c r="V729" s="14"/>
      <c r="W729" s="16"/>
      <c r="X729" s="16"/>
      <c r="Y729" s="16"/>
      <c r="Z729" s="16"/>
      <c r="AA729" s="15" t="str">
        <f aca="false">IF(AND(ISNUMBER(L729),ISNUMBER(M729)),M729-L729,"")</f>
        <v/>
      </c>
      <c r="AB729" s="15" t="str">
        <f aca="false">IF(AND(ISNUMBER(M729),ISNUMBER(P729)),P729-M729,"")</f>
        <v/>
      </c>
      <c r="AC729" s="15" t="str">
        <f aca="false">IF(AND(ISNUMBER(L729),ISNUMBER(P729)),P729-L729,"")</f>
        <v/>
      </c>
      <c r="AD729" s="15" t="str">
        <f aca="false">IF(AND(ISNUMBER(P729),ISNUMBER(Q729)),Q729-P729,"")</f>
        <v/>
      </c>
      <c r="AE729" s="15" t="str">
        <f aca="false">IF(AND(ISNUMBER(Q729),ISNUMBER(R729)),R729-Q729,IF(ISNUMBER(Y729),Y729,""))</f>
        <v/>
      </c>
      <c r="AF729" s="15" t="str">
        <f aca="false">IF(AND(ISNUMBER(R729),ISNUMBER(S729)),S729-R729,"")</f>
        <v/>
      </c>
      <c r="AG729" s="15" t="str">
        <f aca="false">IF(AND(ISNUMBER(S729),ISNUMBER(T729)),T729-S729,"")</f>
        <v/>
      </c>
      <c r="AH729" s="15" t="str">
        <f aca="false">IF(AND(ISNUMBER(L729),ISNUMBER(T729)),T729-L729,"")</f>
        <v/>
      </c>
      <c r="AI729" s="15" t="str">
        <f aca="false">IF(AND(ISNUMBER(O729),ISNUMBER(Q729)),Q729-O729,"")</f>
        <v/>
      </c>
      <c r="AJ729" s="15" t="str">
        <f aca="false">IF(B729="","",COUNT(L729:M729,P729:T729)&amp;"/7")</f>
        <v/>
      </c>
      <c r="AK729" s="15" t="str">
        <f aca="false">IF(B729="","",IF(OR(AND(ISNUMBER(L729),ISNUMBER(M729),M729&lt;L729),AND(ISNUMBER(M729),ISNUMBER(P729),P729&lt;M729),AND(ISNUMBER(P729),ISNUMBER(Q729),Q729&lt;P729),AND(ISNUMBER(Q729),ISNUMBER(R729),R729&lt;Q729),AND(ISNUMBER(R729),ISNUMBER(S729),S729&lt;R729),AND(ISNUMBER(S729),ISNUMBER(T729),T729&lt;S729),AND(ISNUMBER(N729),ISNUMBER(O729),O729&lt;N729)),"Urutan tanggal salah",IF(AND(ISNUMBER(Q729),ISNUMBER(R729),ISNUMBER(Y729),ABS(R729-Q729-Y729)&gt;2),"S tanggal ≠ Sailing tercatat",IF(AND(ISNUMBER(Q729),ISNUMBER(O729),ABS(Q729-O729)&gt;60),"Cek tahun laycan",IF(AND(ISNUMBER(Q729),ISNUMBER(N729),Q729&lt;N729),"Berangkat sebelum laycan",IF(NOT(ISNUMBER(AE729)),"S belum ada","OK"))))))</f>
        <v/>
      </c>
    </row>
    <row r="730" customFormat="false" ht="15" hidden="false" customHeight="false" outlineLevel="0" collapsed="false">
      <c r="A730" s="16" t="str">
        <f aca="false">IF(B730="","",ROW()-4)</f>
        <v/>
      </c>
      <c r="B730" s="12"/>
      <c r="C730" s="16"/>
      <c r="D730" s="16"/>
      <c r="E730" s="16"/>
      <c r="F730" s="16"/>
      <c r="G730" s="16"/>
      <c r="H730" s="16"/>
      <c r="I730" s="16"/>
      <c r="J730" s="16"/>
      <c r="K730" s="16"/>
      <c r="L730" s="13"/>
      <c r="M730" s="13"/>
      <c r="N730" s="13"/>
      <c r="O730" s="13"/>
      <c r="P730" s="13"/>
      <c r="Q730" s="13"/>
      <c r="R730" s="13"/>
      <c r="S730" s="13"/>
      <c r="T730" s="13"/>
      <c r="U730" s="12"/>
      <c r="V730" s="14"/>
      <c r="W730" s="16"/>
      <c r="X730" s="16"/>
      <c r="Y730" s="16"/>
      <c r="Z730" s="16"/>
      <c r="AA730" s="15" t="str">
        <f aca="false">IF(AND(ISNUMBER(L730),ISNUMBER(M730)),M730-L730,"")</f>
        <v/>
      </c>
      <c r="AB730" s="15" t="str">
        <f aca="false">IF(AND(ISNUMBER(M730),ISNUMBER(P730)),P730-M730,"")</f>
        <v/>
      </c>
      <c r="AC730" s="15" t="str">
        <f aca="false">IF(AND(ISNUMBER(L730),ISNUMBER(P730)),P730-L730,"")</f>
        <v/>
      </c>
      <c r="AD730" s="15" t="str">
        <f aca="false">IF(AND(ISNUMBER(P730),ISNUMBER(Q730)),Q730-P730,"")</f>
        <v/>
      </c>
      <c r="AE730" s="15" t="str">
        <f aca="false">IF(AND(ISNUMBER(Q730),ISNUMBER(R730)),R730-Q730,IF(ISNUMBER(Y730),Y730,""))</f>
        <v/>
      </c>
      <c r="AF730" s="15" t="str">
        <f aca="false">IF(AND(ISNUMBER(R730),ISNUMBER(S730)),S730-R730,"")</f>
        <v/>
      </c>
      <c r="AG730" s="15" t="str">
        <f aca="false">IF(AND(ISNUMBER(S730),ISNUMBER(T730)),T730-S730,"")</f>
        <v/>
      </c>
      <c r="AH730" s="15" t="str">
        <f aca="false">IF(AND(ISNUMBER(L730),ISNUMBER(T730)),T730-L730,"")</f>
        <v/>
      </c>
      <c r="AI730" s="15" t="str">
        <f aca="false">IF(AND(ISNUMBER(O730),ISNUMBER(Q730)),Q730-O730,"")</f>
        <v/>
      </c>
      <c r="AJ730" s="15" t="str">
        <f aca="false">IF(B730="","",COUNT(L730:M730,P730:T730)&amp;"/7")</f>
        <v/>
      </c>
      <c r="AK730" s="15" t="str">
        <f aca="false">IF(B730="","",IF(OR(AND(ISNUMBER(L730),ISNUMBER(M730),M730&lt;L730),AND(ISNUMBER(M730),ISNUMBER(P730),P730&lt;M730),AND(ISNUMBER(P730),ISNUMBER(Q730),Q730&lt;P730),AND(ISNUMBER(Q730),ISNUMBER(R730),R730&lt;Q730),AND(ISNUMBER(R730),ISNUMBER(S730),S730&lt;R730),AND(ISNUMBER(S730),ISNUMBER(T730),T730&lt;S730),AND(ISNUMBER(N730),ISNUMBER(O730),O730&lt;N730)),"Urutan tanggal salah",IF(AND(ISNUMBER(Q730),ISNUMBER(R730),ISNUMBER(Y730),ABS(R730-Q730-Y730)&gt;2),"S tanggal ≠ Sailing tercatat",IF(AND(ISNUMBER(Q730),ISNUMBER(O730),ABS(Q730-O730)&gt;60),"Cek tahun laycan",IF(AND(ISNUMBER(Q730),ISNUMBER(N730),Q730&lt;N730),"Berangkat sebelum laycan",IF(NOT(ISNUMBER(AE730)),"S belum ada","OK"))))))</f>
        <v/>
      </c>
    </row>
    <row r="731" customFormat="false" ht="15" hidden="false" customHeight="false" outlineLevel="0" collapsed="false">
      <c r="A731" s="16" t="str">
        <f aca="false">IF(B731="","",ROW()-4)</f>
        <v/>
      </c>
      <c r="B731" s="12"/>
      <c r="C731" s="16"/>
      <c r="D731" s="16"/>
      <c r="E731" s="16"/>
      <c r="F731" s="16"/>
      <c r="G731" s="16"/>
      <c r="H731" s="16"/>
      <c r="I731" s="16"/>
      <c r="J731" s="16"/>
      <c r="K731" s="16"/>
      <c r="L731" s="13"/>
      <c r="M731" s="13"/>
      <c r="N731" s="13"/>
      <c r="O731" s="13"/>
      <c r="P731" s="13"/>
      <c r="Q731" s="13"/>
      <c r="R731" s="13"/>
      <c r="S731" s="13"/>
      <c r="T731" s="13"/>
      <c r="U731" s="12"/>
      <c r="V731" s="14"/>
      <c r="W731" s="16"/>
      <c r="X731" s="16"/>
      <c r="Y731" s="16"/>
      <c r="Z731" s="16"/>
      <c r="AA731" s="15" t="str">
        <f aca="false">IF(AND(ISNUMBER(L731),ISNUMBER(M731)),M731-L731,"")</f>
        <v/>
      </c>
      <c r="AB731" s="15" t="str">
        <f aca="false">IF(AND(ISNUMBER(M731),ISNUMBER(P731)),P731-M731,"")</f>
        <v/>
      </c>
      <c r="AC731" s="15" t="str">
        <f aca="false">IF(AND(ISNUMBER(L731),ISNUMBER(P731)),P731-L731,"")</f>
        <v/>
      </c>
      <c r="AD731" s="15" t="str">
        <f aca="false">IF(AND(ISNUMBER(P731),ISNUMBER(Q731)),Q731-P731,"")</f>
        <v/>
      </c>
      <c r="AE731" s="15" t="str">
        <f aca="false">IF(AND(ISNUMBER(Q731),ISNUMBER(R731)),R731-Q731,IF(ISNUMBER(Y731),Y731,""))</f>
        <v/>
      </c>
      <c r="AF731" s="15" t="str">
        <f aca="false">IF(AND(ISNUMBER(R731),ISNUMBER(S731)),S731-R731,"")</f>
        <v/>
      </c>
      <c r="AG731" s="15" t="str">
        <f aca="false">IF(AND(ISNUMBER(S731),ISNUMBER(T731)),T731-S731,"")</f>
        <v/>
      </c>
      <c r="AH731" s="15" t="str">
        <f aca="false">IF(AND(ISNUMBER(L731),ISNUMBER(T731)),T731-L731,"")</f>
        <v/>
      </c>
      <c r="AI731" s="15" t="str">
        <f aca="false">IF(AND(ISNUMBER(O731),ISNUMBER(Q731)),Q731-O731,"")</f>
        <v/>
      </c>
      <c r="AJ731" s="15" t="str">
        <f aca="false">IF(B731="","",COUNT(L731:M731,P731:T731)&amp;"/7")</f>
        <v/>
      </c>
      <c r="AK731" s="15" t="str">
        <f aca="false">IF(B731="","",IF(OR(AND(ISNUMBER(L731),ISNUMBER(M731),M731&lt;L731),AND(ISNUMBER(M731),ISNUMBER(P731),P731&lt;M731),AND(ISNUMBER(P731),ISNUMBER(Q731),Q731&lt;P731),AND(ISNUMBER(Q731),ISNUMBER(R731),R731&lt;Q731),AND(ISNUMBER(R731),ISNUMBER(S731),S731&lt;R731),AND(ISNUMBER(S731),ISNUMBER(T731),T731&lt;S731),AND(ISNUMBER(N731),ISNUMBER(O731),O731&lt;N731)),"Urutan tanggal salah",IF(AND(ISNUMBER(Q731),ISNUMBER(R731),ISNUMBER(Y731),ABS(R731-Q731-Y731)&gt;2),"S tanggal ≠ Sailing tercatat",IF(AND(ISNUMBER(Q731),ISNUMBER(O731),ABS(Q731-O731)&gt;60),"Cek tahun laycan",IF(AND(ISNUMBER(Q731),ISNUMBER(N731),Q731&lt;N731),"Berangkat sebelum laycan",IF(NOT(ISNUMBER(AE731)),"S belum ada","OK"))))))</f>
        <v/>
      </c>
    </row>
    <row r="732" customFormat="false" ht="15" hidden="false" customHeight="false" outlineLevel="0" collapsed="false">
      <c r="A732" s="16" t="str">
        <f aca="false">IF(B732="","",ROW()-4)</f>
        <v/>
      </c>
      <c r="B732" s="12"/>
      <c r="C732" s="16"/>
      <c r="D732" s="16"/>
      <c r="E732" s="16"/>
      <c r="F732" s="16"/>
      <c r="G732" s="16"/>
      <c r="H732" s="16"/>
      <c r="I732" s="16"/>
      <c r="J732" s="16"/>
      <c r="K732" s="16"/>
      <c r="L732" s="13"/>
      <c r="M732" s="13"/>
      <c r="N732" s="13"/>
      <c r="O732" s="13"/>
      <c r="P732" s="13"/>
      <c r="Q732" s="13"/>
      <c r="R732" s="13"/>
      <c r="S732" s="13"/>
      <c r="T732" s="13"/>
      <c r="U732" s="12"/>
      <c r="V732" s="14"/>
      <c r="W732" s="16"/>
      <c r="X732" s="16"/>
      <c r="Y732" s="16"/>
      <c r="Z732" s="16"/>
      <c r="AA732" s="15" t="str">
        <f aca="false">IF(AND(ISNUMBER(L732),ISNUMBER(M732)),M732-L732,"")</f>
        <v/>
      </c>
      <c r="AB732" s="15" t="str">
        <f aca="false">IF(AND(ISNUMBER(M732),ISNUMBER(P732)),P732-M732,"")</f>
        <v/>
      </c>
      <c r="AC732" s="15" t="str">
        <f aca="false">IF(AND(ISNUMBER(L732),ISNUMBER(P732)),P732-L732,"")</f>
        <v/>
      </c>
      <c r="AD732" s="15" t="str">
        <f aca="false">IF(AND(ISNUMBER(P732),ISNUMBER(Q732)),Q732-P732,"")</f>
        <v/>
      </c>
      <c r="AE732" s="15" t="str">
        <f aca="false">IF(AND(ISNUMBER(Q732),ISNUMBER(R732)),R732-Q732,IF(ISNUMBER(Y732),Y732,""))</f>
        <v/>
      </c>
      <c r="AF732" s="15" t="str">
        <f aca="false">IF(AND(ISNUMBER(R732),ISNUMBER(S732)),S732-R732,"")</f>
        <v/>
      </c>
      <c r="AG732" s="15" t="str">
        <f aca="false">IF(AND(ISNUMBER(S732),ISNUMBER(T732)),T732-S732,"")</f>
        <v/>
      </c>
      <c r="AH732" s="15" t="str">
        <f aca="false">IF(AND(ISNUMBER(L732),ISNUMBER(T732)),T732-L732,"")</f>
        <v/>
      </c>
      <c r="AI732" s="15" t="str">
        <f aca="false">IF(AND(ISNUMBER(O732),ISNUMBER(Q732)),Q732-O732,"")</f>
        <v/>
      </c>
      <c r="AJ732" s="15" t="str">
        <f aca="false">IF(B732="","",COUNT(L732:M732,P732:T732)&amp;"/7")</f>
        <v/>
      </c>
      <c r="AK732" s="15" t="str">
        <f aca="false">IF(B732="","",IF(OR(AND(ISNUMBER(L732),ISNUMBER(M732),M732&lt;L732),AND(ISNUMBER(M732),ISNUMBER(P732),P732&lt;M732),AND(ISNUMBER(P732),ISNUMBER(Q732),Q732&lt;P732),AND(ISNUMBER(Q732),ISNUMBER(R732),R732&lt;Q732),AND(ISNUMBER(R732),ISNUMBER(S732),S732&lt;R732),AND(ISNUMBER(S732),ISNUMBER(T732),T732&lt;S732),AND(ISNUMBER(N732),ISNUMBER(O732),O732&lt;N732)),"Urutan tanggal salah",IF(AND(ISNUMBER(Q732),ISNUMBER(R732),ISNUMBER(Y732),ABS(R732-Q732-Y732)&gt;2),"S tanggal ≠ Sailing tercatat",IF(AND(ISNUMBER(Q732),ISNUMBER(O732),ABS(Q732-O732)&gt;60),"Cek tahun laycan",IF(AND(ISNUMBER(Q732),ISNUMBER(N732),Q732&lt;N732),"Berangkat sebelum laycan",IF(NOT(ISNUMBER(AE732)),"S belum ada","OK"))))))</f>
        <v/>
      </c>
    </row>
    <row r="733" customFormat="false" ht="15" hidden="false" customHeight="false" outlineLevel="0" collapsed="false">
      <c r="A733" s="16" t="str">
        <f aca="false">IF(B733="","",ROW()-4)</f>
        <v/>
      </c>
      <c r="B733" s="12"/>
      <c r="C733" s="16"/>
      <c r="D733" s="16"/>
      <c r="E733" s="16"/>
      <c r="F733" s="16"/>
      <c r="G733" s="16"/>
      <c r="H733" s="16"/>
      <c r="I733" s="16"/>
      <c r="J733" s="16"/>
      <c r="K733" s="16"/>
      <c r="L733" s="13"/>
      <c r="M733" s="13"/>
      <c r="N733" s="13"/>
      <c r="O733" s="13"/>
      <c r="P733" s="13"/>
      <c r="Q733" s="13"/>
      <c r="R733" s="13"/>
      <c r="S733" s="13"/>
      <c r="T733" s="13"/>
      <c r="U733" s="12"/>
      <c r="V733" s="14"/>
      <c r="W733" s="16"/>
      <c r="X733" s="16"/>
      <c r="Y733" s="16"/>
      <c r="Z733" s="16"/>
      <c r="AA733" s="15" t="str">
        <f aca="false">IF(AND(ISNUMBER(L733),ISNUMBER(M733)),M733-L733,"")</f>
        <v/>
      </c>
      <c r="AB733" s="15" t="str">
        <f aca="false">IF(AND(ISNUMBER(M733),ISNUMBER(P733)),P733-M733,"")</f>
        <v/>
      </c>
      <c r="AC733" s="15" t="str">
        <f aca="false">IF(AND(ISNUMBER(L733),ISNUMBER(P733)),P733-L733,"")</f>
        <v/>
      </c>
      <c r="AD733" s="15" t="str">
        <f aca="false">IF(AND(ISNUMBER(P733),ISNUMBER(Q733)),Q733-P733,"")</f>
        <v/>
      </c>
      <c r="AE733" s="15" t="str">
        <f aca="false">IF(AND(ISNUMBER(Q733),ISNUMBER(R733)),R733-Q733,IF(ISNUMBER(Y733),Y733,""))</f>
        <v/>
      </c>
      <c r="AF733" s="15" t="str">
        <f aca="false">IF(AND(ISNUMBER(R733),ISNUMBER(S733)),S733-R733,"")</f>
        <v/>
      </c>
      <c r="AG733" s="15" t="str">
        <f aca="false">IF(AND(ISNUMBER(S733),ISNUMBER(T733)),T733-S733,"")</f>
        <v/>
      </c>
      <c r="AH733" s="15" t="str">
        <f aca="false">IF(AND(ISNUMBER(L733),ISNUMBER(T733)),T733-L733,"")</f>
        <v/>
      </c>
      <c r="AI733" s="15" t="str">
        <f aca="false">IF(AND(ISNUMBER(O733),ISNUMBER(Q733)),Q733-O733,"")</f>
        <v/>
      </c>
      <c r="AJ733" s="15" t="str">
        <f aca="false">IF(B733="","",COUNT(L733:M733,P733:T733)&amp;"/7")</f>
        <v/>
      </c>
      <c r="AK733" s="15" t="str">
        <f aca="false">IF(B733="","",IF(OR(AND(ISNUMBER(L733),ISNUMBER(M733),M733&lt;L733),AND(ISNUMBER(M733),ISNUMBER(P733),P733&lt;M733),AND(ISNUMBER(P733),ISNUMBER(Q733),Q733&lt;P733),AND(ISNUMBER(Q733),ISNUMBER(R733),R733&lt;Q733),AND(ISNUMBER(R733),ISNUMBER(S733),S733&lt;R733),AND(ISNUMBER(S733),ISNUMBER(T733),T733&lt;S733),AND(ISNUMBER(N733),ISNUMBER(O733),O733&lt;N733)),"Urutan tanggal salah",IF(AND(ISNUMBER(Q733),ISNUMBER(R733),ISNUMBER(Y733),ABS(R733-Q733-Y733)&gt;2),"S tanggal ≠ Sailing tercatat",IF(AND(ISNUMBER(Q733),ISNUMBER(O733),ABS(Q733-O733)&gt;60),"Cek tahun laycan",IF(AND(ISNUMBER(Q733),ISNUMBER(N733),Q733&lt;N733),"Berangkat sebelum laycan",IF(NOT(ISNUMBER(AE733)),"S belum ada","OK"))))))</f>
        <v/>
      </c>
    </row>
    <row r="734" customFormat="false" ht="15" hidden="false" customHeight="false" outlineLevel="0" collapsed="false">
      <c r="A734" s="16" t="str">
        <f aca="false">IF(B734="","",ROW()-4)</f>
        <v/>
      </c>
      <c r="B734" s="12"/>
      <c r="C734" s="16"/>
      <c r="D734" s="16"/>
      <c r="E734" s="16"/>
      <c r="F734" s="16"/>
      <c r="G734" s="16"/>
      <c r="H734" s="16"/>
      <c r="I734" s="16"/>
      <c r="J734" s="16"/>
      <c r="K734" s="16"/>
      <c r="L734" s="13"/>
      <c r="M734" s="13"/>
      <c r="N734" s="13"/>
      <c r="O734" s="13"/>
      <c r="P734" s="13"/>
      <c r="Q734" s="13"/>
      <c r="R734" s="13"/>
      <c r="S734" s="13"/>
      <c r="T734" s="13"/>
      <c r="U734" s="12"/>
      <c r="V734" s="14"/>
      <c r="W734" s="16"/>
      <c r="X734" s="16"/>
      <c r="Y734" s="16"/>
      <c r="Z734" s="16"/>
      <c r="AA734" s="15" t="str">
        <f aca="false">IF(AND(ISNUMBER(L734),ISNUMBER(M734)),M734-L734,"")</f>
        <v/>
      </c>
      <c r="AB734" s="15" t="str">
        <f aca="false">IF(AND(ISNUMBER(M734),ISNUMBER(P734)),P734-M734,"")</f>
        <v/>
      </c>
      <c r="AC734" s="15" t="str">
        <f aca="false">IF(AND(ISNUMBER(L734),ISNUMBER(P734)),P734-L734,"")</f>
        <v/>
      </c>
      <c r="AD734" s="15" t="str">
        <f aca="false">IF(AND(ISNUMBER(P734),ISNUMBER(Q734)),Q734-P734,"")</f>
        <v/>
      </c>
      <c r="AE734" s="15" t="str">
        <f aca="false">IF(AND(ISNUMBER(Q734),ISNUMBER(R734)),R734-Q734,IF(ISNUMBER(Y734),Y734,""))</f>
        <v/>
      </c>
      <c r="AF734" s="15" t="str">
        <f aca="false">IF(AND(ISNUMBER(R734),ISNUMBER(S734)),S734-R734,"")</f>
        <v/>
      </c>
      <c r="AG734" s="15" t="str">
        <f aca="false">IF(AND(ISNUMBER(S734),ISNUMBER(T734)),T734-S734,"")</f>
        <v/>
      </c>
      <c r="AH734" s="15" t="str">
        <f aca="false">IF(AND(ISNUMBER(L734),ISNUMBER(T734)),T734-L734,"")</f>
        <v/>
      </c>
      <c r="AI734" s="15" t="str">
        <f aca="false">IF(AND(ISNUMBER(O734),ISNUMBER(Q734)),Q734-O734,"")</f>
        <v/>
      </c>
      <c r="AJ734" s="15" t="str">
        <f aca="false">IF(B734="","",COUNT(L734:M734,P734:T734)&amp;"/7")</f>
        <v/>
      </c>
      <c r="AK734" s="15" t="str">
        <f aca="false">IF(B734="","",IF(OR(AND(ISNUMBER(L734),ISNUMBER(M734),M734&lt;L734),AND(ISNUMBER(M734),ISNUMBER(P734),P734&lt;M734),AND(ISNUMBER(P734),ISNUMBER(Q734),Q734&lt;P734),AND(ISNUMBER(Q734),ISNUMBER(R734),R734&lt;Q734),AND(ISNUMBER(R734),ISNUMBER(S734),S734&lt;R734),AND(ISNUMBER(S734),ISNUMBER(T734),T734&lt;S734),AND(ISNUMBER(N734),ISNUMBER(O734),O734&lt;N734)),"Urutan tanggal salah",IF(AND(ISNUMBER(Q734),ISNUMBER(R734),ISNUMBER(Y734),ABS(R734-Q734-Y734)&gt;2),"S tanggal ≠ Sailing tercatat",IF(AND(ISNUMBER(Q734),ISNUMBER(O734),ABS(Q734-O734)&gt;60),"Cek tahun laycan",IF(AND(ISNUMBER(Q734),ISNUMBER(N734),Q734&lt;N734),"Berangkat sebelum laycan",IF(NOT(ISNUMBER(AE734)),"S belum ada","OK"))))))</f>
        <v/>
      </c>
    </row>
    <row r="735" customFormat="false" ht="15" hidden="false" customHeight="false" outlineLevel="0" collapsed="false">
      <c r="A735" s="16" t="str">
        <f aca="false">IF(B735="","",ROW()-4)</f>
        <v/>
      </c>
      <c r="B735" s="12"/>
      <c r="C735" s="16"/>
      <c r="D735" s="16"/>
      <c r="E735" s="16"/>
      <c r="F735" s="16"/>
      <c r="G735" s="16"/>
      <c r="H735" s="16"/>
      <c r="I735" s="16"/>
      <c r="J735" s="16"/>
      <c r="K735" s="16"/>
      <c r="L735" s="13"/>
      <c r="M735" s="13"/>
      <c r="N735" s="13"/>
      <c r="O735" s="13"/>
      <c r="P735" s="13"/>
      <c r="Q735" s="13"/>
      <c r="R735" s="13"/>
      <c r="S735" s="13"/>
      <c r="T735" s="13"/>
      <c r="U735" s="12"/>
      <c r="V735" s="14"/>
      <c r="W735" s="16"/>
      <c r="X735" s="16"/>
      <c r="Y735" s="16"/>
      <c r="Z735" s="16"/>
      <c r="AA735" s="15" t="str">
        <f aca="false">IF(AND(ISNUMBER(L735),ISNUMBER(M735)),M735-L735,"")</f>
        <v/>
      </c>
      <c r="AB735" s="15" t="str">
        <f aca="false">IF(AND(ISNUMBER(M735),ISNUMBER(P735)),P735-M735,"")</f>
        <v/>
      </c>
      <c r="AC735" s="15" t="str">
        <f aca="false">IF(AND(ISNUMBER(L735),ISNUMBER(P735)),P735-L735,"")</f>
        <v/>
      </c>
      <c r="AD735" s="15" t="str">
        <f aca="false">IF(AND(ISNUMBER(P735),ISNUMBER(Q735)),Q735-P735,"")</f>
        <v/>
      </c>
      <c r="AE735" s="15" t="str">
        <f aca="false">IF(AND(ISNUMBER(Q735),ISNUMBER(R735)),R735-Q735,IF(ISNUMBER(Y735),Y735,""))</f>
        <v/>
      </c>
      <c r="AF735" s="15" t="str">
        <f aca="false">IF(AND(ISNUMBER(R735),ISNUMBER(S735)),S735-R735,"")</f>
        <v/>
      </c>
      <c r="AG735" s="15" t="str">
        <f aca="false">IF(AND(ISNUMBER(S735),ISNUMBER(T735)),T735-S735,"")</f>
        <v/>
      </c>
      <c r="AH735" s="15" t="str">
        <f aca="false">IF(AND(ISNUMBER(L735),ISNUMBER(T735)),T735-L735,"")</f>
        <v/>
      </c>
      <c r="AI735" s="15" t="str">
        <f aca="false">IF(AND(ISNUMBER(O735),ISNUMBER(Q735)),Q735-O735,"")</f>
        <v/>
      </c>
      <c r="AJ735" s="15" t="str">
        <f aca="false">IF(B735="","",COUNT(L735:M735,P735:T735)&amp;"/7")</f>
        <v/>
      </c>
      <c r="AK735" s="15" t="str">
        <f aca="false">IF(B735="","",IF(OR(AND(ISNUMBER(L735),ISNUMBER(M735),M735&lt;L735),AND(ISNUMBER(M735),ISNUMBER(P735),P735&lt;M735),AND(ISNUMBER(P735),ISNUMBER(Q735),Q735&lt;P735),AND(ISNUMBER(Q735),ISNUMBER(R735),R735&lt;Q735),AND(ISNUMBER(R735),ISNUMBER(S735),S735&lt;R735),AND(ISNUMBER(S735),ISNUMBER(T735),T735&lt;S735),AND(ISNUMBER(N735),ISNUMBER(O735),O735&lt;N735)),"Urutan tanggal salah",IF(AND(ISNUMBER(Q735),ISNUMBER(R735),ISNUMBER(Y735),ABS(R735-Q735-Y735)&gt;2),"S tanggal ≠ Sailing tercatat",IF(AND(ISNUMBER(Q735),ISNUMBER(O735),ABS(Q735-O735)&gt;60),"Cek tahun laycan",IF(AND(ISNUMBER(Q735),ISNUMBER(N735),Q735&lt;N735),"Berangkat sebelum laycan",IF(NOT(ISNUMBER(AE735)),"S belum ada","OK"))))))</f>
        <v/>
      </c>
    </row>
    <row r="736" customFormat="false" ht="15" hidden="false" customHeight="false" outlineLevel="0" collapsed="false">
      <c r="A736" s="16" t="str">
        <f aca="false">IF(B736="","",ROW()-4)</f>
        <v/>
      </c>
      <c r="B736" s="12"/>
      <c r="C736" s="16"/>
      <c r="D736" s="16"/>
      <c r="E736" s="16"/>
      <c r="F736" s="16"/>
      <c r="G736" s="16"/>
      <c r="H736" s="16"/>
      <c r="I736" s="16"/>
      <c r="J736" s="16"/>
      <c r="K736" s="16"/>
      <c r="L736" s="13"/>
      <c r="M736" s="13"/>
      <c r="N736" s="13"/>
      <c r="O736" s="13"/>
      <c r="P736" s="13"/>
      <c r="Q736" s="13"/>
      <c r="R736" s="13"/>
      <c r="S736" s="13"/>
      <c r="T736" s="13"/>
      <c r="U736" s="12"/>
      <c r="V736" s="14"/>
      <c r="W736" s="16"/>
      <c r="X736" s="16"/>
      <c r="Y736" s="16"/>
      <c r="Z736" s="16"/>
      <c r="AA736" s="15" t="str">
        <f aca="false">IF(AND(ISNUMBER(L736),ISNUMBER(M736)),M736-L736,"")</f>
        <v/>
      </c>
      <c r="AB736" s="15" t="str">
        <f aca="false">IF(AND(ISNUMBER(M736),ISNUMBER(P736)),P736-M736,"")</f>
        <v/>
      </c>
      <c r="AC736" s="15" t="str">
        <f aca="false">IF(AND(ISNUMBER(L736),ISNUMBER(P736)),P736-L736,"")</f>
        <v/>
      </c>
      <c r="AD736" s="15" t="str">
        <f aca="false">IF(AND(ISNUMBER(P736),ISNUMBER(Q736)),Q736-P736,"")</f>
        <v/>
      </c>
      <c r="AE736" s="15" t="str">
        <f aca="false">IF(AND(ISNUMBER(Q736),ISNUMBER(R736)),R736-Q736,IF(ISNUMBER(Y736),Y736,""))</f>
        <v/>
      </c>
      <c r="AF736" s="15" t="str">
        <f aca="false">IF(AND(ISNUMBER(R736),ISNUMBER(S736)),S736-R736,"")</f>
        <v/>
      </c>
      <c r="AG736" s="15" t="str">
        <f aca="false">IF(AND(ISNUMBER(S736),ISNUMBER(T736)),T736-S736,"")</f>
        <v/>
      </c>
      <c r="AH736" s="15" t="str">
        <f aca="false">IF(AND(ISNUMBER(L736),ISNUMBER(T736)),T736-L736,"")</f>
        <v/>
      </c>
      <c r="AI736" s="15" t="str">
        <f aca="false">IF(AND(ISNUMBER(O736),ISNUMBER(Q736)),Q736-O736,"")</f>
        <v/>
      </c>
      <c r="AJ736" s="15" t="str">
        <f aca="false">IF(B736="","",COUNT(L736:M736,P736:T736)&amp;"/7")</f>
        <v/>
      </c>
      <c r="AK736" s="15" t="str">
        <f aca="false">IF(B736="","",IF(OR(AND(ISNUMBER(L736),ISNUMBER(M736),M736&lt;L736),AND(ISNUMBER(M736),ISNUMBER(P736),P736&lt;M736),AND(ISNUMBER(P736),ISNUMBER(Q736),Q736&lt;P736),AND(ISNUMBER(Q736),ISNUMBER(R736),R736&lt;Q736),AND(ISNUMBER(R736),ISNUMBER(S736),S736&lt;R736),AND(ISNUMBER(S736),ISNUMBER(T736),T736&lt;S736),AND(ISNUMBER(N736),ISNUMBER(O736),O736&lt;N736)),"Urutan tanggal salah",IF(AND(ISNUMBER(Q736),ISNUMBER(R736),ISNUMBER(Y736),ABS(R736-Q736-Y736)&gt;2),"S tanggal ≠ Sailing tercatat",IF(AND(ISNUMBER(Q736),ISNUMBER(O736),ABS(Q736-O736)&gt;60),"Cek tahun laycan",IF(AND(ISNUMBER(Q736),ISNUMBER(N736),Q736&lt;N736),"Berangkat sebelum laycan",IF(NOT(ISNUMBER(AE736)),"S belum ada","OK"))))))</f>
        <v/>
      </c>
    </row>
    <row r="737" customFormat="false" ht="15" hidden="false" customHeight="false" outlineLevel="0" collapsed="false">
      <c r="A737" s="16" t="str">
        <f aca="false">IF(B737="","",ROW()-4)</f>
        <v/>
      </c>
      <c r="B737" s="12"/>
      <c r="C737" s="16"/>
      <c r="D737" s="16"/>
      <c r="E737" s="16"/>
      <c r="F737" s="16"/>
      <c r="G737" s="16"/>
      <c r="H737" s="16"/>
      <c r="I737" s="16"/>
      <c r="J737" s="16"/>
      <c r="K737" s="16"/>
      <c r="L737" s="13"/>
      <c r="M737" s="13"/>
      <c r="N737" s="13"/>
      <c r="O737" s="13"/>
      <c r="P737" s="13"/>
      <c r="Q737" s="13"/>
      <c r="R737" s="13"/>
      <c r="S737" s="13"/>
      <c r="T737" s="13"/>
      <c r="U737" s="12"/>
      <c r="V737" s="14"/>
      <c r="W737" s="16"/>
      <c r="X737" s="16"/>
      <c r="Y737" s="16"/>
      <c r="Z737" s="16"/>
      <c r="AA737" s="15" t="str">
        <f aca="false">IF(AND(ISNUMBER(L737),ISNUMBER(M737)),M737-L737,"")</f>
        <v/>
      </c>
      <c r="AB737" s="15" t="str">
        <f aca="false">IF(AND(ISNUMBER(M737),ISNUMBER(P737)),P737-M737,"")</f>
        <v/>
      </c>
      <c r="AC737" s="15" t="str">
        <f aca="false">IF(AND(ISNUMBER(L737),ISNUMBER(P737)),P737-L737,"")</f>
        <v/>
      </c>
      <c r="AD737" s="15" t="str">
        <f aca="false">IF(AND(ISNUMBER(P737),ISNUMBER(Q737)),Q737-P737,"")</f>
        <v/>
      </c>
      <c r="AE737" s="15" t="str">
        <f aca="false">IF(AND(ISNUMBER(Q737),ISNUMBER(R737)),R737-Q737,IF(ISNUMBER(Y737),Y737,""))</f>
        <v/>
      </c>
      <c r="AF737" s="15" t="str">
        <f aca="false">IF(AND(ISNUMBER(R737),ISNUMBER(S737)),S737-R737,"")</f>
        <v/>
      </c>
      <c r="AG737" s="15" t="str">
        <f aca="false">IF(AND(ISNUMBER(S737),ISNUMBER(T737)),T737-S737,"")</f>
        <v/>
      </c>
      <c r="AH737" s="15" t="str">
        <f aca="false">IF(AND(ISNUMBER(L737),ISNUMBER(T737)),T737-L737,"")</f>
        <v/>
      </c>
      <c r="AI737" s="15" t="str">
        <f aca="false">IF(AND(ISNUMBER(O737),ISNUMBER(Q737)),Q737-O737,"")</f>
        <v/>
      </c>
      <c r="AJ737" s="15" t="str">
        <f aca="false">IF(B737="","",COUNT(L737:M737,P737:T737)&amp;"/7")</f>
        <v/>
      </c>
      <c r="AK737" s="15" t="str">
        <f aca="false">IF(B737="","",IF(OR(AND(ISNUMBER(L737),ISNUMBER(M737),M737&lt;L737),AND(ISNUMBER(M737),ISNUMBER(P737),P737&lt;M737),AND(ISNUMBER(P737),ISNUMBER(Q737),Q737&lt;P737),AND(ISNUMBER(Q737),ISNUMBER(R737),R737&lt;Q737),AND(ISNUMBER(R737),ISNUMBER(S737),S737&lt;R737),AND(ISNUMBER(S737),ISNUMBER(T737),T737&lt;S737),AND(ISNUMBER(N737),ISNUMBER(O737),O737&lt;N737)),"Urutan tanggal salah",IF(AND(ISNUMBER(Q737),ISNUMBER(R737),ISNUMBER(Y737),ABS(R737-Q737-Y737)&gt;2),"S tanggal ≠ Sailing tercatat",IF(AND(ISNUMBER(Q737),ISNUMBER(O737),ABS(Q737-O737)&gt;60),"Cek tahun laycan",IF(AND(ISNUMBER(Q737),ISNUMBER(N737),Q737&lt;N737),"Berangkat sebelum laycan",IF(NOT(ISNUMBER(AE737)),"S belum ada","OK"))))))</f>
        <v/>
      </c>
    </row>
    <row r="738" customFormat="false" ht="15" hidden="false" customHeight="false" outlineLevel="0" collapsed="false">
      <c r="A738" s="16" t="str">
        <f aca="false">IF(B738="","",ROW()-4)</f>
        <v/>
      </c>
      <c r="B738" s="12"/>
      <c r="C738" s="16"/>
      <c r="D738" s="16"/>
      <c r="E738" s="16"/>
      <c r="F738" s="16"/>
      <c r="G738" s="16"/>
      <c r="H738" s="16"/>
      <c r="I738" s="16"/>
      <c r="J738" s="16"/>
      <c r="K738" s="16"/>
      <c r="L738" s="13"/>
      <c r="M738" s="13"/>
      <c r="N738" s="13"/>
      <c r="O738" s="13"/>
      <c r="P738" s="13"/>
      <c r="Q738" s="13"/>
      <c r="R738" s="13"/>
      <c r="S738" s="13"/>
      <c r="T738" s="13"/>
      <c r="U738" s="12"/>
      <c r="V738" s="14"/>
      <c r="W738" s="16"/>
      <c r="X738" s="16"/>
      <c r="Y738" s="16"/>
      <c r="Z738" s="16"/>
      <c r="AA738" s="15" t="str">
        <f aca="false">IF(AND(ISNUMBER(L738),ISNUMBER(M738)),M738-L738,"")</f>
        <v/>
      </c>
      <c r="AB738" s="15" t="str">
        <f aca="false">IF(AND(ISNUMBER(M738),ISNUMBER(P738)),P738-M738,"")</f>
        <v/>
      </c>
      <c r="AC738" s="15" t="str">
        <f aca="false">IF(AND(ISNUMBER(L738),ISNUMBER(P738)),P738-L738,"")</f>
        <v/>
      </c>
      <c r="AD738" s="15" t="str">
        <f aca="false">IF(AND(ISNUMBER(P738),ISNUMBER(Q738)),Q738-P738,"")</f>
        <v/>
      </c>
      <c r="AE738" s="15" t="str">
        <f aca="false">IF(AND(ISNUMBER(Q738),ISNUMBER(R738)),R738-Q738,IF(ISNUMBER(Y738),Y738,""))</f>
        <v/>
      </c>
      <c r="AF738" s="15" t="str">
        <f aca="false">IF(AND(ISNUMBER(R738),ISNUMBER(S738)),S738-R738,"")</f>
        <v/>
      </c>
      <c r="AG738" s="15" t="str">
        <f aca="false">IF(AND(ISNUMBER(S738),ISNUMBER(T738)),T738-S738,"")</f>
        <v/>
      </c>
      <c r="AH738" s="15" t="str">
        <f aca="false">IF(AND(ISNUMBER(L738),ISNUMBER(T738)),T738-L738,"")</f>
        <v/>
      </c>
      <c r="AI738" s="15" t="str">
        <f aca="false">IF(AND(ISNUMBER(O738),ISNUMBER(Q738)),Q738-O738,"")</f>
        <v/>
      </c>
      <c r="AJ738" s="15" t="str">
        <f aca="false">IF(B738="","",COUNT(L738:M738,P738:T738)&amp;"/7")</f>
        <v/>
      </c>
      <c r="AK738" s="15" t="str">
        <f aca="false">IF(B738="","",IF(OR(AND(ISNUMBER(L738),ISNUMBER(M738),M738&lt;L738),AND(ISNUMBER(M738),ISNUMBER(P738),P738&lt;M738),AND(ISNUMBER(P738),ISNUMBER(Q738),Q738&lt;P738),AND(ISNUMBER(Q738),ISNUMBER(R738),R738&lt;Q738),AND(ISNUMBER(R738),ISNUMBER(S738),S738&lt;R738),AND(ISNUMBER(S738),ISNUMBER(T738),T738&lt;S738),AND(ISNUMBER(N738),ISNUMBER(O738),O738&lt;N738)),"Urutan tanggal salah",IF(AND(ISNUMBER(Q738),ISNUMBER(R738),ISNUMBER(Y738),ABS(R738-Q738-Y738)&gt;2),"S tanggal ≠ Sailing tercatat",IF(AND(ISNUMBER(Q738),ISNUMBER(O738),ABS(Q738-O738)&gt;60),"Cek tahun laycan",IF(AND(ISNUMBER(Q738),ISNUMBER(N738),Q738&lt;N738),"Berangkat sebelum laycan",IF(NOT(ISNUMBER(AE738)),"S belum ada","OK"))))))</f>
        <v/>
      </c>
    </row>
    <row r="739" customFormat="false" ht="15" hidden="false" customHeight="false" outlineLevel="0" collapsed="false">
      <c r="A739" s="16" t="str">
        <f aca="false">IF(B739="","",ROW()-4)</f>
        <v/>
      </c>
      <c r="B739" s="12"/>
      <c r="C739" s="16"/>
      <c r="D739" s="16"/>
      <c r="E739" s="16"/>
      <c r="F739" s="16"/>
      <c r="G739" s="16"/>
      <c r="H739" s="16"/>
      <c r="I739" s="16"/>
      <c r="J739" s="16"/>
      <c r="K739" s="16"/>
      <c r="L739" s="13"/>
      <c r="M739" s="13"/>
      <c r="N739" s="13"/>
      <c r="O739" s="13"/>
      <c r="P739" s="13"/>
      <c r="Q739" s="13"/>
      <c r="R739" s="13"/>
      <c r="S739" s="13"/>
      <c r="T739" s="13"/>
      <c r="U739" s="12"/>
      <c r="V739" s="14"/>
      <c r="W739" s="16"/>
      <c r="X739" s="16"/>
      <c r="Y739" s="16"/>
      <c r="Z739" s="16"/>
      <c r="AA739" s="15" t="str">
        <f aca="false">IF(AND(ISNUMBER(L739),ISNUMBER(M739)),M739-L739,"")</f>
        <v/>
      </c>
      <c r="AB739" s="15" t="str">
        <f aca="false">IF(AND(ISNUMBER(M739),ISNUMBER(P739)),P739-M739,"")</f>
        <v/>
      </c>
      <c r="AC739" s="15" t="str">
        <f aca="false">IF(AND(ISNUMBER(L739),ISNUMBER(P739)),P739-L739,"")</f>
        <v/>
      </c>
      <c r="AD739" s="15" t="str">
        <f aca="false">IF(AND(ISNUMBER(P739),ISNUMBER(Q739)),Q739-P739,"")</f>
        <v/>
      </c>
      <c r="AE739" s="15" t="str">
        <f aca="false">IF(AND(ISNUMBER(Q739),ISNUMBER(R739)),R739-Q739,IF(ISNUMBER(Y739),Y739,""))</f>
        <v/>
      </c>
      <c r="AF739" s="15" t="str">
        <f aca="false">IF(AND(ISNUMBER(R739),ISNUMBER(S739)),S739-R739,"")</f>
        <v/>
      </c>
      <c r="AG739" s="15" t="str">
        <f aca="false">IF(AND(ISNUMBER(S739),ISNUMBER(T739)),T739-S739,"")</f>
        <v/>
      </c>
      <c r="AH739" s="15" t="str">
        <f aca="false">IF(AND(ISNUMBER(L739),ISNUMBER(T739)),T739-L739,"")</f>
        <v/>
      </c>
      <c r="AI739" s="15" t="str">
        <f aca="false">IF(AND(ISNUMBER(O739),ISNUMBER(Q739)),Q739-O739,"")</f>
        <v/>
      </c>
      <c r="AJ739" s="15" t="str">
        <f aca="false">IF(B739="","",COUNT(L739:M739,P739:T739)&amp;"/7")</f>
        <v/>
      </c>
      <c r="AK739" s="15" t="str">
        <f aca="false">IF(B739="","",IF(OR(AND(ISNUMBER(L739),ISNUMBER(M739),M739&lt;L739),AND(ISNUMBER(M739),ISNUMBER(P739),P739&lt;M739),AND(ISNUMBER(P739),ISNUMBER(Q739),Q739&lt;P739),AND(ISNUMBER(Q739),ISNUMBER(R739),R739&lt;Q739),AND(ISNUMBER(R739),ISNUMBER(S739),S739&lt;R739),AND(ISNUMBER(S739),ISNUMBER(T739),T739&lt;S739),AND(ISNUMBER(N739),ISNUMBER(O739),O739&lt;N739)),"Urutan tanggal salah",IF(AND(ISNUMBER(Q739),ISNUMBER(R739),ISNUMBER(Y739),ABS(R739-Q739-Y739)&gt;2),"S tanggal ≠ Sailing tercatat",IF(AND(ISNUMBER(Q739),ISNUMBER(O739),ABS(Q739-O739)&gt;60),"Cek tahun laycan",IF(AND(ISNUMBER(Q739),ISNUMBER(N739),Q739&lt;N739),"Berangkat sebelum laycan",IF(NOT(ISNUMBER(AE739)),"S belum ada","OK"))))))</f>
        <v/>
      </c>
    </row>
    <row r="740" customFormat="false" ht="15" hidden="false" customHeight="false" outlineLevel="0" collapsed="false">
      <c r="A740" s="16" t="str">
        <f aca="false">IF(B740="","",ROW()-4)</f>
        <v/>
      </c>
      <c r="B740" s="12"/>
      <c r="C740" s="16"/>
      <c r="D740" s="16"/>
      <c r="E740" s="16"/>
      <c r="F740" s="16"/>
      <c r="G740" s="16"/>
      <c r="H740" s="16"/>
      <c r="I740" s="16"/>
      <c r="J740" s="16"/>
      <c r="K740" s="16"/>
      <c r="L740" s="13"/>
      <c r="M740" s="13"/>
      <c r="N740" s="13"/>
      <c r="O740" s="13"/>
      <c r="P740" s="13"/>
      <c r="Q740" s="13"/>
      <c r="R740" s="13"/>
      <c r="S740" s="13"/>
      <c r="T740" s="13"/>
      <c r="U740" s="12"/>
      <c r="V740" s="14"/>
      <c r="W740" s="16"/>
      <c r="X740" s="16"/>
      <c r="Y740" s="16"/>
      <c r="Z740" s="16"/>
      <c r="AA740" s="15" t="str">
        <f aca="false">IF(AND(ISNUMBER(L740),ISNUMBER(M740)),M740-L740,"")</f>
        <v/>
      </c>
      <c r="AB740" s="15" t="str">
        <f aca="false">IF(AND(ISNUMBER(M740),ISNUMBER(P740)),P740-M740,"")</f>
        <v/>
      </c>
      <c r="AC740" s="15" t="str">
        <f aca="false">IF(AND(ISNUMBER(L740),ISNUMBER(P740)),P740-L740,"")</f>
        <v/>
      </c>
      <c r="AD740" s="15" t="str">
        <f aca="false">IF(AND(ISNUMBER(P740),ISNUMBER(Q740)),Q740-P740,"")</f>
        <v/>
      </c>
      <c r="AE740" s="15" t="str">
        <f aca="false">IF(AND(ISNUMBER(Q740),ISNUMBER(R740)),R740-Q740,IF(ISNUMBER(Y740),Y740,""))</f>
        <v/>
      </c>
      <c r="AF740" s="15" t="str">
        <f aca="false">IF(AND(ISNUMBER(R740),ISNUMBER(S740)),S740-R740,"")</f>
        <v/>
      </c>
      <c r="AG740" s="15" t="str">
        <f aca="false">IF(AND(ISNUMBER(S740),ISNUMBER(T740)),T740-S740,"")</f>
        <v/>
      </c>
      <c r="AH740" s="15" t="str">
        <f aca="false">IF(AND(ISNUMBER(L740),ISNUMBER(T740)),T740-L740,"")</f>
        <v/>
      </c>
      <c r="AI740" s="15" t="str">
        <f aca="false">IF(AND(ISNUMBER(O740),ISNUMBER(Q740)),Q740-O740,"")</f>
        <v/>
      </c>
      <c r="AJ740" s="15" t="str">
        <f aca="false">IF(B740="","",COUNT(L740:M740,P740:T740)&amp;"/7")</f>
        <v/>
      </c>
      <c r="AK740" s="15" t="str">
        <f aca="false">IF(B740="","",IF(OR(AND(ISNUMBER(L740),ISNUMBER(M740),M740&lt;L740),AND(ISNUMBER(M740),ISNUMBER(P740),P740&lt;M740),AND(ISNUMBER(P740),ISNUMBER(Q740),Q740&lt;P740),AND(ISNUMBER(Q740),ISNUMBER(R740),R740&lt;Q740),AND(ISNUMBER(R740),ISNUMBER(S740),S740&lt;R740),AND(ISNUMBER(S740),ISNUMBER(T740),T740&lt;S740),AND(ISNUMBER(N740),ISNUMBER(O740),O740&lt;N740)),"Urutan tanggal salah",IF(AND(ISNUMBER(Q740),ISNUMBER(R740),ISNUMBER(Y740),ABS(R740-Q740-Y740)&gt;2),"S tanggal ≠ Sailing tercatat",IF(AND(ISNUMBER(Q740),ISNUMBER(O740),ABS(Q740-O740)&gt;60),"Cek tahun laycan",IF(AND(ISNUMBER(Q740),ISNUMBER(N740),Q740&lt;N740),"Berangkat sebelum laycan",IF(NOT(ISNUMBER(AE740)),"S belum ada","OK"))))))</f>
        <v/>
      </c>
    </row>
    <row r="741" customFormat="false" ht="15" hidden="false" customHeight="false" outlineLevel="0" collapsed="false">
      <c r="A741" s="16" t="str">
        <f aca="false">IF(B741="","",ROW()-4)</f>
        <v/>
      </c>
      <c r="B741" s="12"/>
      <c r="C741" s="16"/>
      <c r="D741" s="16"/>
      <c r="E741" s="16"/>
      <c r="F741" s="16"/>
      <c r="G741" s="16"/>
      <c r="H741" s="16"/>
      <c r="I741" s="16"/>
      <c r="J741" s="16"/>
      <c r="K741" s="16"/>
      <c r="L741" s="13"/>
      <c r="M741" s="13"/>
      <c r="N741" s="13"/>
      <c r="O741" s="13"/>
      <c r="P741" s="13"/>
      <c r="Q741" s="13"/>
      <c r="R741" s="13"/>
      <c r="S741" s="13"/>
      <c r="T741" s="13"/>
      <c r="U741" s="12"/>
      <c r="V741" s="14"/>
      <c r="W741" s="16"/>
      <c r="X741" s="16"/>
      <c r="Y741" s="16"/>
      <c r="Z741" s="16"/>
      <c r="AA741" s="15" t="str">
        <f aca="false">IF(AND(ISNUMBER(L741),ISNUMBER(M741)),M741-L741,"")</f>
        <v/>
      </c>
      <c r="AB741" s="15" t="str">
        <f aca="false">IF(AND(ISNUMBER(M741),ISNUMBER(P741)),P741-M741,"")</f>
        <v/>
      </c>
      <c r="AC741" s="15" t="str">
        <f aca="false">IF(AND(ISNUMBER(L741),ISNUMBER(P741)),P741-L741,"")</f>
        <v/>
      </c>
      <c r="AD741" s="15" t="str">
        <f aca="false">IF(AND(ISNUMBER(P741),ISNUMBER(Q741)),Q741-P741,"")</f>
        <v/>
      </c>
      <c r="AE741" s="15" t="str">
        <f aca="false">IF(AND(ISNUMBER(Q741),ISNUMBER(R741)),R741-Q741,IF(ISNUMBER(Y741),Y741,""))</f>
        <v/>
      </c>
      <c r="AF741" s="15" t="str">
        <f aca="false">IF(AND(ISNUMBER(R741),ISNUMBER(S741)),S741-R741,"")</f>
        <v/>
      </c>
      <c r="AG741" s="15" t="str">
        <f aca="false">IF(AND(ISNUMBER(S741),ISNUMBER(T741)),T741-S741,"")</f>
        <v/>
      </c>
      <c r="AH741" s="15" t="str">
        <f aca="false">IF(AND(ISNUMBER(L741),ISNUMBER(T741)),T741-L741,"")</f>
        <v/>
      </c>
      <c r="AI741" s="15" t="str">
        <f aca="false">IF(AND(ISNUMBER(O741),ISNUMBER(Q741)),Q741-O741,"")</f>
        <v/>
      </c>
      <c r="AJ741" s="15" t="str">
        <f aca="false">IF(B741="","",COUNT(L741:M741,P741:T741)&amp;"/7")</f>
        <v/>
      </c>
      <c r="AK741" s="15" t="str">
        <f aca="false">IF(B741="","",IF(OR(AND(ISNUMBER(L741),ISNUMBER(M741),M741&lt;L741),AND(ISNUMBER(M741),ISNUMBER(P741),P741&lt;M741),AND(ISNUMBER(P741),ISNUMBER(Q741),Q741&lt;P741),AND(ISNUMBER(Q741),ISNUMBER(R741),R741&lt;Q741),AND(ISNUMBER(R741),ISNUMBER(S741),S741&lt;R741),AND(ISNUMBER(S741),ISNUMBER(T741),T741&lt;S741),AND(ISNUMBER(N741),ISNUMBER(O741),O741&lt;N741)),"Urutan tanggal salah",IF(AND(ISNUMBER(Q741),ISNUMBER(R741),ISNUMBER(Y741),ABS(R741-Q741-Y741)&gt;2),"S tanggal ≠ Sailing tercatat",IF(AND(ISNUMBER(Q741),ISNUMBER(O741),ABS(Q741-O741)&gt;60),"Cek tahun laycan",IF(AND(ISNUMBER(Q741),ISNUMBER(N741),Q741&lt;N741),"Berangkat sebelum laycan",IF(NOT(ISNUMBER(AE741)),"S belum ada","OK"))))))</f>
        <v/>
      </c>
    </row>
    <row r="742" customFormat="false" ht="15" hidden="false" customHeight="false" outlineLevel="0" collapsed="false">
      <c r="A742" s="16" t="str">
        <f aca="false">IF(B742="","",ROW()-4)</f>
        <v/>
      </c>
      <c r="B742" s="12"/>
      <c r="C742" s="16"/>
      <c r="D742" s="16"/>
      <c r="E742" s="16"/>
      <c r="F742" s="16"/>
      <c r="G742" s="16"/>
      <c r="H742" s="16"/>
      <c r="I742" s="16"/>
      <c r="J742" s="16"/>
      <c r="K742" s="16"/>
      <c r="L742" s="13"/>
      <c r="M742" s="13"/>
      <c r="N742" s="13"/>
      <c r="O742" s="13"/>
      <c r="P742" s="13"/>
      <c r="Q742" s="13"/>
      <c r="R742" s="13"/>
      <c r="S742" s="13"/>
      <c r="T742" s="13"/>
      <c r="U742" s="12"/>
      <c r="V742" s="14"/>
      <c r="W742" s="16"/>
      <c r="X742" s="16"/>
      <c r="Y742" s="16"/>
      <c r="Z742" s="16"/>
      <c r="AA742" s="15" t="str">
        <f aca="false">IF(AND(ISNUMBER(L742),ISNUMBER(M742)),M742-L742,"")</f>
        <v/>
      </c>
      <c r="AB742" s="15" t="str">
        <f aca="false">IF(AND(ISNUMBER(M742),ISNUMBER(P742)),P742-M742,"")</f>
        <v/>
      </c>
      <c r="AC742" s="15" t="str">
        <f aca="false">IF(AND(ISNUMBER(L742),ISNUMBER(P742)),P742-L742,"")</f>
        <v/>
      </c>
      <c r="AD742" s="15" t="str">
        <f aca="false">IF(AND(ISNUMBER(P742),ISNUMBER(Q742)),Q742-P742,"")</f>
        <v/>
      </c>
      <c r="AE742" s="15" t="str">
        <f aca="false">IF(AND(ISNUMBER(Q742),ISNUMBER(R742)),R742-Q742,IF(ISNUMBER(Y742),Y742,""))</f>
        <v/>
      </c>
      <c r="AF742" s="15" t="str">
        <f aca="false">IF(AND(ISNUMBER(R742),ISNUMBER(S742)),S742-R742,"")</f>
        <v/>
      </c>
      <c r="AG742" s="15" t="str">
        <f aca="false">IF(AND(ISNUMBER(S742),ISNUMBER(T742)),T742-S742,"")</f>
        <v/>
      </c>
      <c r="AH742" s="15" t="str">
        <f aca="false">IF(AND(ISNUMBER(L742),ISNUMBER(T742)),T742-L742,"")</f>
        <v/>
      </c>
      <c r="AI742" s="15" t="str">
        <f aca="false">IF(AND(ISNUMBER(O742),ISNUMBER(Q742)),Q742-O742,"")</f>
        <v/>
      </c>
      <c r="AJ742" s="15" t="str">
        <f aca="false">IF(B742="","",COUNT(L742:M742,P742:T742)&amp;"/7")</f>
        <v/>
      </c>
      <c r="AK742" s="15" t="str">
        <f aca="false">IF(B742="","",IF(OR(AND(ISNUMBER(L742),ISNUMBER(M742),M742&lt;L742),AND(ISNUMBER(M742),ISNUMBER(P742),P742&lt;M742),AND(ISNUMBER(P742),ISNUMBER(Q742),Q742&lt;P742),AND(ISNUMBER(Q742),ISNUMBER(R742),R742&lt;Q742),AND(ISNUMBER(R742),ISNUMBER(S742),S742&lt;R742),AND(ISNUMBER(S742),ISNUMBER(T742),T742&lt;S742),AND(ISNUMBER(N742),ISNUMBER(O742),O742&lt;N742)),"Urutan tanggal salah",IF(AND(ISNUMBER(Q742),ISNUMBER(R742),ISNUMBER(Y742),ABS(R742-Q742-Y742)&gt;2),"S tanggal ≠ Sailing tercatat",IF(AND(ISNUMBER(Q742),ISNUMBER(O742),ABS(Q742-O742)&gt;60),"Cek tahun laycan",IF(AND(ISNUMBER(Q742),ISNUMBER(N742),Q742&lt;N742),"Berangkat sebelum laycan",IF(NOT(ISNUMBER(AE742)),"S belum ada","OK"))))))</f>
        <v/>
      </c>
    </row>
    <row r="743" customFormat="false" ht="15" hidden="false" customHeight="false" outlineLevel="0" collapsed="false">
      <c r="A743" s="16" t="str">
        <f aca="false">IF(B743="","",ROW()-4)</f>
        <v/>
      </c>
      <c r="B743" s="12"/>
      <c r="C743" s="16"/>
      <c r="D743" s="16"/>
      <c r="E743" s="16"/>
      <c r="F743" s="16"/>
      <c r="G743" s="16"/>
      <c r="H743" s="16"/>
      <c r="I743" s="16"/>
      <c r="J743" s="16"/>
      <c r="K743" s="16"/>
      <c r="L743" s="13"/>
      <c r="M743" s="13"/>
      <c r="N743" s="13"/>
      <c r="O743" s="13"/>
      <c r="P743" s="13"/>
      <c r="Q743" s="13"/>
      <c r="R743" s="13"/>
      <c r="S743" s="13"/>
      <c r="T743" s="13"/>
      <c r="U743" s="12"/>
      <c r="V743" s="14"/>
      <c r="W743" s="16"/>
      <c r="X743" s="16"/>
      <c r="Y743" s="16"/>
      <c r="Z743" s="16"/>
      <c r="AA743" s="15" t="str">
        <f aca="false">IF(AND(ISNUMBER(L743),ISNUMBER(M743)),M743-L743,"")</f>
        <v/>
      </c>
      <c r="AB743" s="15" t="str">
        <f aca="false">IF(AND(ISNUMBER(M743),ISNUMBER(P743)),P743-M743,"")</f>
        <v/>
      </c>
      <c r="AC743" s="15" t="str">
        <f aca="false">IF(AND(ISNUMBER(L743),ISNUMBER(P743)),P743-L743,"")</f>
        <v/>
      </c>
      <c r="AD743" s="15" t="str">
        <f aca="false">IF(AND(ISNUMBER(P743),ISNUMBER(Q743)),Q743-P743,"")</f>
        <v/>
      </c>
      <c r="AE743" s="15" t="str">
        <f aca="false">IF(AND(ISNUMBER(Q743),ISNUMBER(R743)),R743-Q743,IF(ISNUMBER(Y743),Y743,""))</f>
        <v/>
      </c>
      <c r="AF743" s="15" t="str">
        <f aca="false">IF(AND(ISNUMBER(R743),ISNUMBER(S743)),S743-R743,"")</f>
        <v/>
      </c>
      <c r="AG743" s="15" t="str">
        <f aca="false">IF(AND(ISNUMBER(S743),ISNUMBER(T743)),T743-S743,"")</f>
        <v/>
      </c>
      <c r="AH743" s="15" t="str">
        <f aca="false">IF(AND(ISNUMBER(L743),ISNUMBER(T743)),T743-L743,"")</f>
        <v/>
      </c>
      <c r="AI743" s="15" t="str">
        <f aca="false">IF(AND(ISNUMBER(O743),ISNUMBER(Q743)),Q743-O743,"")</f>
        <v/>
      </c>
      <c r="AJ743" s="15" t="str">
        <f aca="false">IF(B743="","",COUNT(L743:M743,P743:T743)&amp;"/7")</f>
        <v/>
      </c>
      <c r="AK743" s="15" t="str">
        <f aca="false">IF(B743="","",IF(OR(AND(ISNUMBER(L743),ISNUMBER(M743),M743&lt;L743),AND(ISNUMBER(M743),ISNUMBER(P743),P743&lt;M743),AND(ISNUMBER(P743),ISNUMBER(Q743),Q743&lt;P743),AND(ISNUMBER(Q743),ISNUMBER(R743),R743&lt;Q743),AND(ISNUMBER(R743),ISNUMBER(S743),S743&lt;R743),AND(ISNUMBER(S743),ISNUMBER(T743),T743&lt;S743),AND(ISNUMBER(N743),ISNUMBER(O743),O743&lt;N743)),"Urutan tanggal salah",IF(AND(ISNUMBER(Q743),ISNUMBER(R743),ISNUMBER(Y743),ABS(R743-Q743-Y743)&gt;2),"S tanggal ≠ Sailing tercatat",IF(AND(ISNUMBER(Q743),ISNUMBER(O743),ABS(Q743-O743)&gt;60),"Cek tahun laycan",IF(AND(ISNUMBER(Q743),ISNUMBER(N743),Q743&lt;N743),"Berangkat sebelum laycan",IF(NOT(ISNUMBER(AE743)),"S belum ada","OK"))))))</f>
        <v/>
      </c>
    </row>
    <row r="744" customFormat="false" ht="15" hidden="false" customHeight="false" outlineLevel="0" collapsed="false">
      <c r="A744" s="16" t="str">
        <f aca="false">IF(B744="","",ROW()-4)</f>
        <v/>
      </c>
      <c r="B744" s="12"/>
      <c r="C744" s="16"/>
      <c r="D744" s="16"/>
      <c r="E744" s="16"/>
      <c r="F744" s="16"/>
      <c r="G744" s="16"/>
      <c r="H744" s="16"/>
      <c r="I744" s="16"/>
      <c r="J744" s="16"/>
      <c r="K744" s="16"/>
      <c r="L744" s="13"/>
      <c r="M744" s="13"/>
      <c r="N744" s="13"/>
      <c r="O744" s="13"/>
      <c r="P744" s="13"/>
      <c r="Q744" s="13"/>
      <c r="R744" s="13"/>
      <c r="S744" s="13"/>
      <c r="T744" s="13"/>
      <c r="U744" s="12"/>
      <c r="V744" s="14"/>
      <c r="W744" s="16"/>
      <c r="X744" s="16"/>
      <c r="Y744" s="16"/>
      <c r="Z744" s="16"/>
      <c r="AA744" s="15" t="str">
        <f aca="false">IF(AND(ISNUMBER(L744),ISNUMBER(M744)),M744-L744,"")</f>
        <v/>
      </c>
      <c r="AB744" s="15" t="str">
        <f aca="false">IF(AND(ISNUMBER(M744),ISNUMBER(P744)),P744-M744,"")</f>
        <v/>
      </c>
      <c r="AC744" s="15" t="str">
        <f aca="false">IF(AND(ISNUMBER(L744),ISNUMBER(P744)),P744-L744,"")</f>
        <v/>
      </c>
      <c r="AD744" s="15" t="str">
        <f aca="false">IF(AND(ISNUMBER(P744),ISNUMBER(Q744)),Q744-P744,"")</f>
        <v/>
      </c>
      <c r="AE744" s="15" t="str">
        <f aca="false">IF(AND(ISNUMBER(Q744),ISNUMBER(R744)),R744-Q744,IF(ISNUMBER(Y744),Y744,""))</f>
        <v/>
      </c>
      <c r="AF744" s="15" t="str">
        <f aca="false">IF(AND(ISNUMBER(R744),ISNUMBER(S744)),S744-R744,"")</f>
        <v/>
      </c>
      <c r="AG744" s="15" t="str">
        <f aca="false">IF(AND(ISNUMBER(S744),ISNUMBER(T744)),T744-S744,"")</f>
        <v/>
      </c>
      <c r="AH744" s="15" t="str">
        <f aca="false">IF(AND(ISNUMBER(L744),ISNUMBER(T744)),T744-L744,"")</f>
        <v/>
      </c>
      <c r="AI744" s="15" t="str">
        <f aca="false">IF(AND(ISNUMBER(O744),ISNUMBER(Q744)),Q744-O744,"")</f>
        <v/>
      </c>
      <c r="AJ744" s="15" t="str">
        <f aca="false">IF(B744="","",COUNT(L744:M744,P744:T744)&amp;"/7")</f>
        <v/>
      </c>
      <c r="AK744" s="15" t="str">
        <f aca="false">IF(B744="","",IF(OR(AND(ISNUMBER(L744),ISNUMBER(M744),M744&lt;L744),AND(ISNUMBER(M744),ISNUMBER(P744),P744&lt;M744),AND(ISNUMBER(P744),ISNUMBER(Q744),Q744&lt;P744),AND(ISNUMBER(Q744),ISNUMBER(R744),R744&lt;Q744),AND(ISNUMBER(R744),ISNUMBER(S744),S744&lt;R744),AND(ISNUMBER(S744),ISNUMBER(T744),T744&lt;S744),AND(ISNUMBER(N744),ISNUMBER(O744),O744&lt;N744)),"Urutan tanggal salah",IF(AND(ISNUMBER(Q744),ISNUMBER(R744),ISNUMBER(Y744),ABS(R744-Q744-Y744)&gt;2),"S tanggal ≠ Sailing tercatat",IF(AND(ISNUMBER(Q744),ISNUMBER(O744),ABS(Q744-O744)&gt;60),"Cek tahun laycan",IF(AND(ISNUMBER(Q744),ISNUMBER(N744),Q744&lt;N744),"Berangkat sebelum laycan",IF(NOT(ISNUMBER(AE744)),"S belum ada","OK"))))))</f>
        <v/>
      </c>
    </row>
    <row r="745" customFormat="false" ht="15" hidden="false" customHeight="false" outlineLevel="0" collapsed="false">
      <c r="A745" s="16" t="str">
        <f aca="false">IF(B745="","",ROW()-4)</f>
        <v/>
      </c>
      <c r="B745" s="12"/>
      <c r="C745" s="16"/>
      <c r="D745" s="16"/>
      <c r="E745" s="16"/>
      <c r="F745" s="16"/>
      <c r="G745" s="16"/>
      <c r="H745" s="16"/>
      <c r="I745" s="16"/>
      <c r="J745" s="16"/>
      <c r="K745" s="16"/>
      <c r="L745" s="13"/>
      <c r="M745" s="13"/>
      <c r="N745" s="13"/>
      <c r="O745" s="13"/>
      <c r="P745" s="13"/>
      <c r="Q745" s="13"/>
      <c r="R745" s="13"/>
      <c r="S745" s="13"/>
      <c r="T745" s="13"/>
      <c r="U745" s="12"/>
      <c r="V745" s="14"/>
      <c r="W745" s="16"/>
      <c r="X745" s="16"/>
      <c r="Y745" s="16"/>
      <c r="Z745" s="16"/>
      <c r="AA745" s="15" t="str">
        <f aca="false">IF(AND(ISNUMBER(L745),ISNUMBER(M745)),M745-L745,"")</f>
        <v/>
      </c>
      <c r="AB745" s="15" t="str">
        <f aca="false">IF(AND(ISNUMBER(M745),ISNUMBER(P745)),P745-M745,"")</f>
        <v/>
      </c>
      <c r="AC745" s="15" t="str">
        <f aca="false">IF(AND(ISNUMBER(L745),ISNUMBER(P745)),P745-L745,"")</f>
        <v/>
      </c>
      <c r="AD745" s="15" t="str">
        <f aca="false">IF(AND(ISNUMBER(P745),ISNUMBER(Q745)),Q745-P745,"")</f>
        <v/>
      </c>
      <c r="AE745" s="15" t="str">
        <f aca="false">IF(AND(ISNUMBER(Q745),ISNUMBER(R745)),R745-Q745,IF(ISNUMBER(Y745),Y745,""))</f>
        <v/>
      </c>
      <c r="AF745" s="15" t="str">
        <f aca="false">IF(AND(ISNUMBER(R745),ISNUMBER(S745)),S745-R745,"")</f>
        <v/>
      </c>
      <c r="AG745" s="15" t="str">
        <f aca="false">IF(AND(ISNUMBER(S745),ISNUMBER(T745)),T745-S745,"")</f>
        <v/>
      </c>
      <c r="AH745" s="15" t="str">
        <f aca="false">IF(AND(ISNUMBER(L745),ISNUMBER(T745)),T745-L745,"")</f>
        <v/>
      </c>
      <c r="AI745" s="15" t="str">
        <f aca="false">IF(AND(ISNUMBER(O745),ISNUMBER(Q745)),Q745-O745,"")</f>
        <v/>
      </c>
      <c r="AJ745" s="15" t="str">
        <f aca="false">IF(B745="","",COUNT(L745:M745,P745:T745)&amp;"/7")</f>
        <v/>
      </c>
      <c r="AK745" s="15" t="str">
        <f aca="false">IF(B745="","",IF(OR(AND(ISNUMBER(L745),ISNUMBER(M745),M745&lt;L745),AND(ISNUMBER(M745),ISNUMBER(P745),P745&lt;M745),AND(ISNUMBER(P745),ISNUMBER(Q745),Q745&lt;P745),AND(ISNUMBER(Q745),ISNUMBER(R745),R745&lt;Q745),AND(ISNUMBER(R745),ISNUMBER(S745),S745&lt;R745),AND(ISNUMBER(S745),ISNUMBER(T745),T745&lt;S745),AND(ISNUMBER(N745),ISNUMBER(O745),O745&lt;N745)),"Urutan tanggal salah",IF(AND(ISNUMBER(Q745),ISNUMBER(R745),ISNUMBER(Y745),ABS(R745-Q745-Y745)&gt;2),"S tanggal ≠ Sailing tercatat",IF(AND(ISNUMBER(Q745),ISNUMBER(O745),ABS(Q745-O745)&gt;60),"Cek tahun laycan",IF(AND(ISNUMBER(Q745),ISNUMBER(N745),Q745&lt;N745),"Berangkat sebelum laycan",IF(NOT(ISNUMBER(AE745)),"S belum ada","OK"))))))</f>
        <v/>
      </c>
    </row>
    <row r="746" customFormat="false" ht="15" hidden="false" customHeight="false" outlineLevel="0" collapsed="false">
      <c r="A746" s="16" t="str">
        <f aca="false">IF(B746="","",ROW()-4)</f>
        <v/>
      </c>
      <c r="B746" s="12"/>
      <c r="C746" s="16"/>
      <c r="D746" s="16"/>
      <c r="E746" s="16"/>
      <c r="F746" s="16"/>
      <c r="G746" s="16"/>
      <c r="H746" s="16"/>
      <c r="I746" s="16"/>
      <c r="J746" s="16"/>
      <c r="K746" s="16"/>
      <c r="L746" s="13"/>
      <c r="M746" s="13"/>
      <c r="N746" s="13"/>
      <c r="O746" s="13"/>
      <c r="P746" s="13"/>
      <c r="Q746" s="13"/>
      <c r="R746" s="13"/>
      <c r="S746" s="13"/>
      <c r="T746" s="13"/>
      <c r="U746" s="12"/>
      <c r="V746" s="14"/>
      <c r="W746" s="16"/>
      <c r="X746" s="16"/>
      <c r="Y746" s="16"/>
      <c r="Z746" s="16"/>
      <c r="AA746" s="15" t="str">
        <f aca="false">IF(AND(ISNUMBER(L746),ISNUMBER(M746)),M746-L746,"")</f>
        <v/>
      </c>
      <c r="AB746" s="15" t="str">
        <f aca="false">IF(AND(ISNUMBER(M746),ISNUMBER(P746)),P746-M746,"")</f>
        <v/>
      </c>
      <c r="AC746" s="15" t="str">
        <f aca="false">IF(AND(ISNUMBER(L746),ISNUMBER(P746)),P746-L746,"")</f>
        <v/>
      </c>
      <c r="AD746" s="15" t="str">
        <f aca="false">IF(AND(ISNUMBER(P746),ISNUMBER(Q746)),Q746-P746,"")</f>
        <v/>
      </c>
      <c r="AE746" s="15" t="str">
        <f aca="false">IF(AND(ISNUMBER(Q746),ISNUMBER(R746)),R746-Q746,IF(ISNUMBER(Y746),Y746,""))</f>
        <v/>
      </c>
      <c r="AF746" s="15" t="str">
        <f aca="false">IF(AND(ISNUMBER(R746),ISNUMBER(S746)),S746-R746,"")</f>
        <v/>
      </c>
      <c r="AG746" s="15" t="str">
        <f aca="false">IF(AND(ISNUMBER(S746),ISNUMBER(T746)),T746-S746,"")</f>
        <v/>
      </c>
      <c r="AH746" s="15" t="str">
        <f aca="false">IF(AND(ISNUMBER(L746),ISNUMBER(T746)),T746-L746,"")</f>
        <v/>
      </c>
      <c r="AI746" s="15" t="str">
        <f aca="false">IF(AND(ISNUMBER(O746),ISNUMBER(Q746)),Q746-O746,"")</f>
        <v/>
      </c>
      <c r="AJ746" s="15" t="str">
        <f aca="false">IF(B746="","",COUNT(L746:M746,P746:T746)&amp;"/7")</f>
        <v/>
      </c>
      <c r="AK746" s="15" t="str">
        <f aca="false">IF(B746="","",IF(OR(AND(ISNUMBER(L746),ISNUMBER(M746),M746&lt;L746),AND(ISNUMBER(M746),ISNUMBER(P746),P746&lt;M746),AND(ISNUMBER(P746),ISNUMBER(Q746),Q746&lt;P746),AND(ISNUMBER(Q746),ISNUMBER(R746),R746&lt;Q746),AND(ISNUMBER(R746),ISNUMBER(S746),S746&lt;R746),AND(ISNUMBER(S746),ISNUMBER(T746),T746&lt;S746),AND(ISNUMBER(N746),ISNUMBER(O746),O746&lt;N746)),"Urutan tanggal salah",IF(AND(ISNUMBER(Q746),ISNUMBER(R746),ISNUMBER(Y746),ABS(R746-Q746-Y746)&gt;2),"S tanggal ≠ Sailing tercatat",IF(AND(ISNUMBER(Q746),ISNUMBER(O746),ABS(Q746-O746)&gt;60),"Cek tahun laycan",IF(AND(ISNUMBER(Q746),ISNUMBER(N746),Q746&lt;N746),"Berangkat sebelum laycan",IF(NOT(ISNUMBER(AE746)),"S belum ada","OK"))))))</f>
        <v/>
      </c>
    </row>
    <row r="747" customFormat="false" ht="15" hidden="false" customHeight="false" outlineLevel="0" collapsed="false">
      <c r="A747" s="16" t="str">
        <f aca="false">IF(B747="","",ROW()-4)</f>
        <v/>
      </c>
      <c r="B747" s="12"/>
      <c r="C747" s="16"/>
      <c r="D747" s="16"/>
      <c r="E747" s="16"/>
      <c r="F747" s="16"/>
      <c r="G747" s="16"/>
      <c r="H747" s="16"/>
      <c r="I747" s="16"/>
      <c r="J747" s="16"/>
      <c r="K747" s="16"/>
      <c r="L747" s="13"/>
      <c r="M747" s="13"/>
      <c r="N747" s="13"/>
      <c r="O747" s="13"/>
      <c r="P747" s="13"/>
      <c r="Q747" s="13"/>
      <c r="R747" s="13"/>
      <c r="S747" s="13"/>
      <c r="T747" s="13"/>
      <c r="U747" s="12"/>
      <c r="V747" s="14"/>
      <c r="W747" s="16"/>
      <c r="X747" s="16"/>
      <c r="Y747" s="16"/>
      <c r="Z747" s="16"/>
      <c r="AA747" s="15" t="str">
        <f aca="false">IF(AND(ISNUMBER(L747),ISNUMBER(M747)),M747-L747,"")</f>
        <v/>
      </c>
      <c r="AB747" s="15" t="str">
        <f aca="false">IF(AND(ISNUMBER(M747),ISNUMBER(P747)),P747-M747,"")</f>
        <v/>
      </c>
      <c r="AC747" s="15" t="str">
        <f aca="false">IF(AND(ISNUMBER(L747),ISNUMBER(P747)),P747-L747,"")</f>
        <v/>
      </c>
      <c r="AD747" s="15" t="str">
        <f aca="false">IF(AND(ISNUMBER(P747),ISNUMBER(Q747)),Q747-P747,"")</f>
        <v/>
      </c>
      <c r="AE747" s="15" t="str">
        <f aca="false">IF(AND(ISNUMBER(Q747),ISNUMBER(R747)),R747-Q747,IF(ISNUMBER(Y747),Y747,""))</f>
        <v/>
      </c>
      <c r="AF747" s="15" t="str">
        <f aca="false">IF(AND(ISNUMBER(R747),ISNUMBER(S747)),S747-R747,"")</f>
        <v/>
      </c>
      <c r="AG747" s="15" t="str">
        <f aca="false">IF(AND(ISNUMBER(S747),ISNUMBER(T747)),T747-S747,"")</f>
        <v/>
      </c>
      <c r="AH747" s="15" t="str">
        <f aca="false">IF(AND(ISNUMBER(L747),ISNUMBER(T747)),T747-L747,"")</f>
        <v/>
      </c>
      <c r="AI747" s="15" t="str">
        <f aca="false">IF(AND(ISNUMBER(O747),ISNUMBER(Q747)),Q747-O747,"")</f>
        <v/>
      </c>
      <c r="AJ747" s="15" t="str">
        <f aca="false">IF(B747="","",COUNT(L747:M747,P747:T747)&amp;"/7")</f>
        <v/>
      </c>
      <c r="AK747" s="15" t="str">
        <f aca="false">IF(B747="","",IF(OR(AND(ISNUMBER(L747),ISNUMBER(M747),M747&lt;L747),AND(ISNUMBER(M747),ISNUMBER(P747),P747&lt;M747),AND(ISNUMBER(P747),ISNUMBER(Q747),Q747&lt;P747),AND(ISNUMBER(Q747),ISNUMBER(R747),R747&lt;Q747),AND(ISNUMBER(R747),ISNUMBER(S747),S747&lt;R747),AND(ISNUMBER(S747),ISNUMBER(T747),T747&lt;S747),AND(ISNUMBER(N747),ISNUMBER(O747),O747&lt;N747)),"Urutan tanggal salah",IF(AND(ISNUMBER(Q747),ISNUMBER(R747),ISNUMBER(Y747),ABS(R747-Q747-Y747)&gt;2),"S tanggal ≠ Sailing tercatat",IF(AND(ISNUMBER(Q747),ISNUMBER(O747),ABS(Q747-O747)&gt;60),"Cek tahun laycan",IF(AND(ISNUMBER(Q747),ISNUMBER(N747),Q747&lt;N747),"Berangkat sebelum laycan",IF(NOT(ISNUMBER(AE747)),"S belum ada","OK"))))))</f>
        <v/>
      </c>
    </row>
    <row r="748" customFormat="false" ht="15" hidden="false" customHeight="false" outlineLevel="0" collapsed="false">
      <c r="A748" s="16" t="str">
        <f aca="false">IF(B748="","",ROW()-4)</f>
        <v/>
      </c>
      <c r="B748" s="12"/>
      <c r="C748" s="16"/>
      <c r="D748" s="16"/>
      <c r="E748" s="16"/>
      <c r="F748" s="16"/>
      <c r="G748" s="16"/>
      <c r="H748" s="16"/>
      <c r="I748" s="16"/>
      <c r="J748" s="16"/>
      <c r="K748" s="16"/>
      <c r="L748" s="13"/>
      <c r="M748" s="13"/>
      <c r="N748" s="13"/>
      <c r="O748" s="13"/>
      <c r="P748" s="13"/>
      <c r="Q748" s="13"/>
      <c r="R748" s="13"/>
      <c r="S748" s="13"/>
      <c r="T748" s="13"/>
      <c r="U748" s="12"/>
      <c r="V748" s="14"/>
      <c r="W748" s="16"/>
      <c r="X748" s="16"/>
      <c r="Y748" s="16"/>
      <c r="Z748" s="16"/>
      <c r="AA748" s="15" t="str">
        <f aca="false">IF(AND(ISNUMBER(L748),ISNUMBER(M748)),M748-L748,"")</f>
        <v/>
      </c>
      <c r="AB748" s="15" t="str">
        <f aca="false">IF(AND(ISNUMBER(M748),ISNUMBER(P748)),P748-M748,"")</f>
        <v/>
      </c>
      <c r="AC748" s="15" t="str">
        <f aca="false">IF(AND(ISNUMBER(L748),ISNUMBER(P748)),P748-L748,"")</f>
        <v/>
      </c>
      <c r="AD748" s="15" t="str">
        <f aca="false">IF(AND(ISNUMBER(P748),ISNUMBER(Q748)),Q748-P748,"")</f>
        <v/>
      </c>
      <c r="AE748" s="15" t="str">
        <f aca="false">IF(AND(ISNUMBER(Q748),ISNUMBER(R748)),R748-Q748,IF(ISNUMBER(Y748),Y748,""))</f>
        <v/>
      </c>
      <c r="AF748" s="15" t="str">
        <f aca="false">IF(AND(ISNUMBER(R748),ISNUMBER(S748)),S748-R748,"")</f>
        <v/>
      </c>
      <c r="AG748" s="15" t="str">
        <f aca="false">IF(AND(ISNUMBER(S748),ISNUMBER(T748)),T748-S748,"")</f>
        <v/>
      </c>
      <c r="AH748" s="15" t="str">
        <f aca="false">IF(AND(ISNUMBER(L748),ISNUMBER(T748)),T748-L748,"")</f>
        <v/>
      </c>
      <c r="AI748" s="15" t="str">
        <f aca="false">IF(AND(ISNUMBER(O748),ISNUMBER(Q748)),Q748-O748,"")</f>
        <v/>
      </c>
      <c r="AJ748" s="15" t="str">
        <f aca="false">IF(B748="","",COUNT(L748:M748,P748:T748)&amp;"/7")</f>
        <v/>
      </c>
      <c r="AK748" s="15" t="str">
        <f aca="false">IF(B748="","",IF(OR(AND(ISNUMBER(L748),ISNUMBER(M748),M748&lt;L748),AND(ISNUMBER(M748),ISNUMBER(P748),P748&lt;M748),AND(ISNUMBER(P748),ISNUMBER(Q748),Q748&lt;P748),AND(ISNUMBER(Q748),ISNUMBER(R748),R748&lt;Q748),AND(ISNUMBER(R748),ISNUMBER(S748),S748&lt;R748),AND(ISNUMBER(S748),ISNUMBER(T748),T748&lt;S748),AND(ISNUMBER(N748),ISNUMBER(O748),O748&lt;N748)),"Urutan tanggal salah",IF(AND(ISNUMBER(Q748),ISNUMBER(R748),ISNUMBER(Y748),ABS(R748-Q748-Y748)&gt;2),"S tanggal ≠ Sailing tercatat",IF(AND(ISNUMBER(Q748),ISNUMBER(O748),ABS(Q748-O748)&gt;60),"Cek tahun laycan",IF(AND(ISNUMBER(Q748),ISNUMBER(N748),Q748&lt;N748),"Berangkat sebelum laycan",IF(NOT(ISNUMBER(AE748)),"S belum ada","OK"))))))</f>
        <v/>
      </c>
    </row>
    <row r="749" customFormat="false" ht="15" hidden="false" customHeight="false" outlineLevel="0" collapsed="false">
      <c r="A749" s="16" t="str">
        <f aca="false">IF(B749="","",ROW()-4)</f>
        <v/>
      </c>
      <c r="B749" s="12"/>
      <c r="C749" s="16"/>
      <c r="D749" s="16"/>
      <c r="E749" s="16"/>
      <c r="F749" s="16"/>
      <c r="G749" s="16"/>
      <c r="H749" s="16"/>
      <c r="I749" s="16"/>
      <c r="J749" s="16"/>
      <c r="K749" s="16"/>
      <c r="L749" s="13"/>
      <c r="M749" s="13"/>
      <c r="N749" s="13"/>
      <c r="O749" s="13"/>
      <c r="P749" s="13"/>
      <c r="Q749" s="13"/>
      <c r="R749" s="13"/>
      <c r="S749" s="13"/>
      <c r="T749" s="13"/>
      <c r="U749" s="12"/>
      <c r="V749" s="14"/>
      <c r="W749" s="16"/>
      <c r="X749" s="16"/>
      <c r="Y749" s="16"/>
      <c r="Z749" s="16"/>
      <c r="AA749" s="15" t="str">
        <f aca="false">IF(AND(ISNUMBER(L749),ISNUMBER(M749)),M749-L749,"")</f>
        <v/>
      </c>
      <c r="AB749" s="15" t="str">
        <f aca="false">IF(AND(ISNUMBER(M749),ISNUMBER(P749)),P749-M749,"")</f>
        <v/>
      </c>
      <c r="AC749" s="15" t="str">
        <f aca="false">IF(AND(ISNUMBER(L749),ISNUMBER(P749)),P749-L749,"")</f>
        <v/>
      </c>
      <c r="AD749" s="15" t="str">
        <f aca="false">IF(AND(ISNUMBER(P749),ISNUMBER(Q749)),Q749-P749,"")</f>
        <v/>
      </c>
      <c r="AE749" s="15" t="str">
        <f aca="false">IF(AND(ISNUMBER(Q749),ISNUMBER(R749)),R749-Q749,IF(ISNUMBER(Y749),Y749,""))</f>
        <v/>
      </c>
      <c r="AF749" s="15" t="str">
        <f aca="false">IF(AND(ISNUMBER(R749),ISNUMBER(S749)),S749-R749,"")</f>
        <v/>
      </c>
      <c r="AG749" s="15" t="str">
        <f aca="false">IF(AND(ISNUMBER(S749),ISNUMBER(T749)),T749-S749,"")</f>
        <v/>
      </c>
      <c r="AH749" s="15" t="str">
        <f aca="false">IF(AND(ISNUMBER(L749),ISNUMBER(T749)),T749-L749,"")</f>
        <v/>
      </c>
      <c r="AI749" s="15" t="str">
        <f aca="false">IF(AND(ISNUMBER(O749),ISNUMBER(Q749)),Q749-O749,"")</f>
        <v/>
      </c>
      <c r="AJ749" s="15" t="str">
        <f aca="false">IF(B749="","",COUNT(L749:M749,P749:T749)&amp;"/7")</f>
        <v/>
      </c>
      <c r="AK749" s="15" t="str">
        <f aca="false">IF(B749="","",IF(OR(AND(ISNUMBER(L749),ISNUMBER(M749),M749&lt;L749),AND(ISNUMBER(M749),ISNUMBER(P749),P749&lt;M749),AND(ISNUMBER(P749),ISNUMBER(Q749),Q749&lt;P749),AND(ISNUMBER(Q749),ISNUMBER(R749),R749&lt;Q749),AND(ISNUMBER(R749),ISNUMBER(S749),S749&lt;R749),AND(ISNUMBER(S749),ISNUMBER(T749),T749&lt;S749),AND(ISNUMBER(N749),ISNUMBER(O749),O749&lt;N749)),"Urutan tanggal salah",IF(AND(ISNUMBER(Q749),ISNUMBER(R749),ISNUMBER(Y749),ABS(R749-Q749-Y749)&gt;2),"S tanggal ≠ Sailing tercatat",IF(AND(ISNUMBER(Q749),ISNUMBER(O749),ABS(Q749-O749)&gt;60),"Cek tahun laycan",IF(AND(ISNUMBER(Q749),ISNUMBER(N749),Q749&lt;N749),"Berangkat sebelum laycan",IF(NOT(ISNUMBER(AE749)),"S belum ada","OK"))))))</f>
        <v/>
      </c>
    </row>
    <row r="750" customFormat="false" ht="15" hidden="false" customHeight="false" outlineLevel="0" collapsed="false">
      <c r="A750" s="16" t="str">
        <f aca="false">IF(B750="","",ROW()-4)</f>
        <v/>
      </c>
      <c r="B750" s="12"/>
      <c r="C750" s="16"/>
      <c r="D750" s="16"/>
      <c r="E750" s="16"/>
      <c r="F750" s="16"/>
      <c r="G750" s="16"/>
      <c r="H750" s="16"/>
      <c r="I750" s="16"/>
      <c r="J750" s="16"/>
      <c r="K750" s="16"/>
      <c r="L750" s="13"/>
      <c r="M750" s="13"/>
      <c r="N750" s="13"/>
      <c r="O750" s="13"/>
      <c r="P750" s="13"/>
      <c r="Q750" s="13"/>
      <c r="R750" s="13"/>
      <c r="S750" s="13"/>
      <c r="T750" s="13"/>
      <c r="U750" s="12"/>
      <c r="V750" s="14"/>
      <c r="W750" s="16"/>
      <c r="X750" s="16"/>
      <c r="Y750" s="16"/>
      <c r="Z750" s="16"/>
      <c r="AA750" s="15" t="str">
        <f aca="false">IF(AND(ISNUMBER(L750),ISNUMBER(M750)),M750-L750,"")</f>
        <v/>
      </c>
      <c r="AB750" s="15" t="str">
        <f aca="false">IF(AND(ISNUMBER(M750),ISNUMBER(P750)),P750-M750,"")</f>
        <v/>
      </c>
      <c r="AC750" s="15" t="str">
        <f aca="false">IF(AND(ISNUMBER(L750),ISNUMBER(P750)),P750-L750,"")</f>
        <v/>
      </c>
      <c r="AD750" s="15" t="str">
        <f aca="false">IF(AND(ISNUMBER(P750),ISNUMBER(Q750)),Q750-P750,"")</f>
        <v/>
      </c>
      <c r="AE750" s="15" t="str">
        <f aca="false">IF(AND(ISNUMBER(Q750),ISNUMBER(R750)),R750-Q750,IF(ISNUMBER(Y750),Y750,""))</f>
        <v/>
      </c>
      <c r="AF750" s="15" t="str">
        <f aca="false">IF(AND(ISNUMBER(R750),ISNUMBER(S750)),S750-R750,"")</f>
        <v/>
      </c>
      <c r="AG750" s="15" t="str">
        <f aca="false">IF(AND(ISNUMBER(S750),ISNUMBER(T750)),T750-S750,"")</f>
        <v/>
      </c>
      <c r="AH750" s="15" t="str">
        <f aca="false">IF(AND(ISNUMBER(L750),ISNUMBER(T750)),T750-L750,"")</f>
        <v/>
      </c>
      <c r="AI750" s="15" t="str">
        <f aca="false">IF(AND(ISNUMBER(O750),ISNUMBER(Q750)),Q750-O750,"")</f>
        <v/>
      </c>
      <c r="AJ750" s="15" t="str">
        <f aca="false">IF(B750="","",COUNT(L750:M750,P750:T750)&amp;"/7")</f>
        <v/>
      </c>
      <c r="AK750" s="15" t="str">
        <f aca="false">IF(B750="","",IF(OR(AND(ISNUMBER(L750),ISNUMBER(M750),M750&lt;L750),AND(ISNUMBER(M750),ISNUMBER(P750),P750&lt;M750),AND(ISNUMBER(P750),ISNUMBER(Q750),Q750&lt;P750),AND(ISNUMBER(Q750),ISNUMBER(R750),R750&lt;Q750),AND(ISNUMBER(R750),ISNUMBER(S750),S750&lt;R750),AND(ISNUMBER(S750),ISNUMBER(T750),T750&lt;S750),AND(ISNUMBER(N750),ISNUMBER(O750),O750&lt;N750)),"Urutan tanggal salah",IF(AND(ISNUMBER(Q750),ISNUMBER(R750),ISNUMBER(Y750),ABS(R750-Q750-Y750)&gt;2),"S tanggal ≠ Sailing tercatat",IF(AND(ISNUMBER(Q750),ISNUMBER(O750),ABS(Q750-O750)&gt;60),"Cek tahun laycan",IF(AND(ISNUMBER(Q750),ISNUMBER(N750),Q750&lt;N750),"Berangkat sebelum laycan",IF(NOT(ISNUMBER(AE750)),"S belum ada","OK"))))))</f>
        <v/>
      </c>
    </row>
    <row r="751" customFormat="false" ht="15" hidden="false" customHeight="false" outlineLevel="0" collapsed="false">
      <c r="A751" s="16" t="str">
        <f aca="false">IF(B751="","",ROW()-4)</f>
        <v/>
      </c>
      <c r="B751" s="12"/>
      <c r="C751" s="16"/>
      <c r="D751" s="16"/>
      <c r="E751" s="16"/>
      <c r="F751" s="16"/>
      <c r="G751" s="16"/>
      <c r="H751" s="16"/>
      <c r="I751" s="16"/>
      <c r="J751" s="16"/>
      <c r="K751" s="16"/>
      <c r="L751" s="13"/>
      <c r="M751" s="13"/>
      <c r="N751" s="13"/>
      <c r="O751" s="13"/>
      <c r="P751" s="13"/>
      <c r="Q751" s="13"/>
      <c r="R751" s="13"/>
      <c r="S751" s="13"/>
      <c r="T751" s="13"/>
      <c r="U751" s="12"/>
      <c r="V751" s="14"/>
      <c r="W751" s="16"/>
      <c r="X751" s="16"/>
      <c r="Y751" s="16"/>
      <c r="Z751" s="16"/>
      <c r="AA751" s="15" t="str">
        <f aca="false">IF(AND(ISNUMBER(L751),ISNUMBER(M751)),M751-L751,"")</f>
        <v/>
      </c>
      <c r="AB751" s="15" t="str">
        <f aca="false">IF(AND(ISNUMBER(M751),ISNUMBER(P751)),P751-M751,"")</f>
        <v/>
      </c>
      <c r="AC751" s="15" t="str">
        <f aca="false">IF(AND(ISNUMBER(L751),ISNUMBER(P751)),P751-L751,"")</f>
        <v/>
      </c>
      <c r="AD751" s="15" t="str">
        <f aca="false">IF(AND(ISNUMBER(P751),ISNUMBER(Q751)),Q751-P751,"")</f>
        <v/>
      </c>
      <c r="AE751" s="15" t="str">
        <f aca="false">IF(AND(ISNUMBER(Q751),ISNUMBER(R751)),R751-Q751,IF(ISNUMBER(Y751),Y751,""))</f>
        <v/>
      </c>
      <c r="AF751" s="15" t="str">
        <f aca="false">IF(AND(ISNUMBER(R751),ISNUMBER(S751)),S751-R751,"")</f>
        <v/>
      </c>
      <c r="AG751" s="15" t="str">
        <f aca="false">IF(AND(ISNUMBER(S751),ISNUMBER(T751)),T751-S751,"")</f>
        <v/>
      </c>
      <c r="AH751" s="15" t="str">
        <f aca="false">IF(AND(ISNUMBER(L751),ISNUMBER(T751)),T751-L751,"")</f>
        <v/>
      </c>
      <c r="AI751" s="15" t="str">
        <f aca="false">IF(AND(ISNUMBER(O751),ISNUMBER(Q751)),Q751-O751,"")</f>
        <v/>
      </c>
      <c r="AJ751" s="15" t="str">
        <f aca="false">IF(B751="","",COUNT(L751:M751,P751:T751)&amp;"/7")</f>
        <v/>
      </c>
      <c r="AK751" s="15" t="str">
        <f aca="false">IF(B751="","",IF(OR(AND(ISNUMBER(L751),ISNUMBER(M751),M751&lt;L751),AND(ISNUMBER(M751),ISNUMBER(P751),P751&lt;M751),AND(ISNUMBER(P751),ISNUMBER(Q751),Q751&lt;P751),AND(ISNUMBER(Q751),ISNUMBER(R751),R751&lt;Q751),AND(ISNUMBER(R751),ISNUMBER(S751),S751&lt;R751),AND(ISNUMBER(S751),ISNUMBER(T751),T751&lt;S751),AND(ISNUMBER(N751),ISNUMBER(O751),O751&lt;N751)),"Urutan tanggal salah",IF(AND(ISNUMBER(Q751),ISNUMBER(R751),ISNUMBER(Y751),ABS(R751-Q751-Y751)&gt;2),"S tanggal ≠ Sailing tercatat",IF(AND(ISNUMBER(Q751),ISNUMBER(O751),ABS(Q751-O751)&gt;60),"Cek tahun laycan",IF(AND(ISNUMBER(Q751),ISNUMBER(N751),Q751&lt;N751),"Berangkat sebelum laycan",IF(NOT(ISNUMBER(AE751)),"S belum ada","OK"))))))</f>
        <v/>
      </c>
    </row>
    <row r="752" customFormat="false" ht="15" hidden="false" customHeight="false" outlineLevel="0" collapsed="false">
      <c r="A752" s="16" t="str">
        <f aca="false">IF(B752="","",ROW()-4)</f>
        <v/>
      </c>
      <c r="B752" s="12"/>
      <c r="C752" s="16"/>
      <c r="D752" s="16"/>
      <c r="E752" s="16"/>
      <c r="F752" s="16"/>
      <c r="G752" s="16"/>
      <c r="H752" s="16"/>
      <c r="I752" s="16"/>
      <c r="J752" s="16"/>
      <c r="K752" s="16"/>
      <c r="L752" s="13"/>
      <c r="M752" s="13"/>
      <c r="N752" s="13"/>
      <c r="O752" s="13"/>
      <c r="P752" s="13"/>
      <c r="Q752" s="13"/>
      <c r="R752" s="13"/>
      <c r="S752" s="13"/>
      <c r="T752" s="13"/>
      <c r="U752" s="12"/>
      <c r="V752" s="14"/>
      <c r="W752" s="16"/>
      <c r="X752" s="16"/>
      <c r="Y752" s="16"/>
      <c r="Z752" s="16"/>
      <c r="AA752" s="15" t="str">
        <f aca="false">IF(AND(ISNUMBER(L752),ISNUMBER(M752)),M752-L752,"")</f>
        <v/>
      </c>
      <c r="AB752" s="15" t="str">
        <f aca="false">IF(AND(ISNUMBER(M752),ISNUMBER(P752)),P752-M752,"")</f>
        <v/>
      </c>
      <c r="AC752" s="15" t="str">
        <f aca="false">IF(AND(ISNUMBER(L752),ISNUMBER(P752)),P752-L752,"")</f>
        <v/>
      </c>
      <c r="AD752" s="15" t="str">
        <f aca="false">IF(AND(ISNUMBER(P752),ISNUMBER(Q752)),Q752-P752,"")</f>
        <v/>
      </c>
      <c r="AE752" s="15" t="str">
        <f aca="false">IF(AND(ISNUMBER(Q752),ISNUMBER(R752)),R752-Q752,IF(ISNUMBER(Y752),Y752,""))</f>
        <v/>
      </c>
      <c r="AF752" s="15" t="str">
        <f aca="false">IF(AND(ISNUMBER(R752),ISNUMBER(S752)),S752-R752,"")</f>
        <v/>
      </c>
      <c r="AG752" s="15" t="str">
        <f aca="false">IF(AND(ISNUMBER(S752),ISNUMBER(T752)),T752-S752,"")</f>
        <v/>
      </c>
      <c r="AH752" s="15" t="str">
        <f aca="false">IF(AND(ISNUMBER(L752),ISNUMBER(T752)),T752-L752,"")</f>
        <v/>
      </c>
      <c r="AI752" s="15" t="str">
        <f aca="false">IF(AND(ISNUMBER(O752),ISNUMBER(Q752)),Q752-O752,"")</f>
        <v/>
      </c>
      <c r="AJ752" s="15" t="str">
        <f aca="false">IF(B752="","",COUNT(L752:M752,P752:T752)&amp;"/7")</f>
        <v/>
      </c>
      <c r="AK752" s="15" t="str">
        <f aca="false">IF(B752="","",IF(OR(AND(ISNUMBER(L752),ISNUMBER(M752),M752&lt;L752),AND(ISNUMBER(M752),ISNUMBER(P752),P752&lt;M752),AND(ISNUMBER(P752),ISNUMBER(Q752),Q752&lt;P752),AND(ISNUMBER(Q752),ISNUMBER(R752),R752&lt;Q752),AND(ISNUMBER(R752),ISNUMBER(S752),S752&lt;R752),AND(ISNUMBER(S752),ISNUMBER(T752),T752&lt;S752),AND(ISNUMBER(N752),ISNUMBER(O752),O752&lt;N752)),"Urutan tanggal salah",IF(AND(ISNUMBER(Q752),ISNUMBER(R752),ISNUMBER(Y752),ABS(R752-Q752-Y752)&gt;2),"S tanggal ≠ Sailing tercatat",IF(AND(ISNUMBER(Q752),ISNUMBER(O752),ABS(Q752-O752)&gt;60),"Cek tahun laycan",IF(AND(ISNUMBER(Q752),ISNUMBER(N752),Q752&lt;N752),"Berangkat sebelum laycan",IF(NOT(ISNUMBER(AE752)),"S belum ada","OK"))))))</f>
        <v/>
      </c>
    </row>
    <row r="753" customFormat="false" ht="15" hidden="false" customHeight="false" outlineLevel="0" collapsed="false">
      <c r="A753" s="16" t="str">
        <f aca="false">IF(B753="","",ROW()-4)</f>
        <v/>
      </c>
      <c r="B753" s="12"/>
      <c r="C753" s="16"/>
      <c r="D753" s="16"/>
      <c r="E753" s="16"/>
      <c r="F753" s="16"/>
      <c r="G753" s="16"/>
      <c r="H753" s="16"/>
      <c r="I753" s="16"/>
      <c r="J753" s="16"/>
      <c r="K753" s="16"/>
      <c r="L753" s="13"/>
      <c r="M753" s="13"/>
      <c r="N753" s="13"/>
      <c r="O753" s="13"/>
      <c r="P753" s="13"/>
      <c r="Q753" s="13"/>
      <c r="R753" s="13"/>
      <c r="S753" s="13"/>
      <c r="T753" s="13"/>
      <c r="U753" s="12"/>
      <c r="V753" s="14"/>
      <c r="W753" s="16"/>
      <c r="X753" s="16"/>
      <c r="Y753" s="16"/>
      <c r="Z753" s="16"/>
      <c r="AA753" s="15" t="str">
        <f aca="false">IF(AND(ISNUMBER(L753),ISNUMBER(M753)),M753-L753,"")</f>
        <v/>
      </c>
      <c r="AB753" s="15" t="str">
        <f aca="false">IF(AND(ISNUMBER(M753),ISNUMBER(P753)),P753-M753,"")</f>
        <v/>
      </c>
      <c r="AC753" s="15" t="str">
        <f aca="false">IF(AND(ISNUMBER(L753),ISNUMBER(P753)),P753-L753,"")</f>
        <v/>
      </c>
      <c r="AD753" s="15" t="str">
        <f aca="false">IF(AND(ISNUMBER(P753),ISNUMBER(Q753)),Q753-P753,"")</f>
        <v/>
      </c>
      <c r="AE753" s="15" t="str">
        <f aca="false">IF(AND(ISNUMBER(Q753),ISNUMBER(R753)),R753-Q753,IF(ISNUMBER(Y753),Y753,""))</f>
        <v/>
      </c>
      <c r="AF753" s="15" t="str">
        <f aca="false">IF(AND(ISNUMBER(R753),ISNUMBER(S753)),S753-R753,"")</f>
        <v/>
      </c>
      <c r="AG753" s="15" t="str">
        <f aca="false">IF(AND(ISNUMBER(S753),ISNUMBER(T753)),T753-S753,"")</f>
        <v/>
      </c>
      <c r="AH753" s="15" t="str">
        <f aca="false">IF(AND(ISNUMBER(L753),ISNUMBER(T753)),T753-L753,"")</f>
        <v/>
      </c>
      <c r="AI753" s="15" t="str">
        <f aca="false">IF(AND(ISNUMBER(O753),ISNUMBER(Q753)),Q753-O753,"")</f>
        <v/>
      </c>
      <c r="AJ753" s="15" t="str">
        <f aca="false">IF(B753="","",COUNT(L753:M753,P753:T753)&amp;"/7")</f>
        <v/>
      </c>
      <c r="AK753" s="15" t="str">
        <f aca="false">IF(B753="","",IF(OR(AND(ISNUMBER(L753),ISNUMBER(M753),M753&lt;L753),AND(ISNUMBER(M753),ISNUMBER(P753),P753&lt;M753),AND(ISNUMBER(P753),ISNUMBER(Q753),Q753&lt;P753),AND(ISNUMBER(Q753),ISNUMBER(R753),R753&lt;Q753),AND(ISNUMBER(R753),ISNUMBER(S753),S753&lt;R753),AND(ISNUMBER(S753),ISNUMBER(T753),T753&lt;S753),AND(ISNUMBER(N753),ISNUMBER(O753),O753&lt;N753)),"Urutan tanggal salah",IF(AND(ISNUMBER(Q753),ISNUMBER(R753),ISNUMBER(Y753),ABS(R753-Q753-Y753)&gt;2),"S tanggal ≠ Sailing tercatat",IF(AND(ISNUMBER(Q753),ISNUMBER(O753),ABS(Q753-O753)&gt;60),"Cek tahun laycan",IF(AND(ISNUMBER(Q753),ISNUMBER(N753),Q753&lt;N753),"Berangkat sebelum laycan",IF(NOT(ISNUMBER(AE753)),"S belum ada","OK"))))))</f>
        <v/>
      </c>
    </row>
    <row r="754" customFormat="false" ht="15" hidden="false" customHeight="false" outlineLevel="0" collapsed="false">
      <c r="A754" s="16" t="str">
        <f aca="false">IF(B754="","",ROW()-4)</f>
        <v/>
      </c>
      <c r="B754" s="12"/>
      <c r="C754" s="16"/>
      <c r="D754" s="16"/>
      <c r="E754" s="16"/>
      <c r="F754" s="16"/>
      <c r="G754" s="16"/>
      <c r="H754" s="16"/>
      <c r="I754" s="16"/>
      <c r="J754" s="16"/>
      <c r="K754" s="16"/>
      <c r="L754" s="13"/>
      <c r="M754" s="13"/>
      <c r="N754" s="13"/>
      <c r="O754" s="13"/>
      <c r="P754" s="13"/>
      <c r="Q754" s="13"/>
      <c r="R754" s="13"/>
      <c r="S754" s="13"/>
      <c r="T754" s="13"/>
      <c r="U754" s="12"/>
      <c r="V754" s="14"/>
      <c r="W754" s="16"/>
      <c r="X754" s="16"/>
      <c r="Y754" s="16"/>
      <c r="Z754" s="16"/>
      <c r="AA754" s="15" t="str">
        <f aca="false">IF(AND(ISNUMBER(L754),ISNUMBER(M754)),M754-L754,"")</f>
        <v/>
      </c>
      <c r="AB754" s="15" t="str">
        <f aca="false">IF(AND(ISNUMBER(M754),ISNUMBER(P754)),P754-M754,"")</f>
        <v/>
      </c>
      <c r="AC754" s="15" t="str">
        <f aca="false">IF(AND(ISNUMBER(L754),ISNUMBER(P754)),P754-L754,"")</f>
        <v/>
      </c>
      <c r="AD754" s="15" t="str">
        <f aca="false">IF(AND(ISNUMBER(P754),ISNUMBER(Q754)),Q754-P754,"")</f>
        <v/>
      </c>
      <c r="AE754" s="15" t="str">
        <f aca="false">IF(AND(ISNUMBER(Q754),ISNUMBER(R754)),R754-Q754,IF(ISNUMBER(Y754),Y754,""))</f>
        <v/>
      </c>
      <c r="AF754" s="15" t="str">
        <f aca="false">IF(AND(ISNUMBER(R754),ISNUMBER(S754)),S754-R754,"")</f>
        <v/>
      </c>
      <c r="AG754" s="15" t="str">
        <f aca="false">IF(AND(ISNUMBER(S754),ISNUMBER(T754)),T754-S754,"")</f>
        <v/>
      </c>
      <c r="AH754" s="15" t="str">
        <f aca="false">IF(AND(ISNUMBER(L754),ISNUMBER(T754)),T754-L754,"")</f>
        <v/>
      </c>
      <c r="AI754" s="15" t="str">
        <f aca="false">IF(AND(ISNUMBER(O754),ISNUMBER(Q754)),Q754-O754,"")</f>
        <v/>
      </c>
      <c r="AJ754" s="15" t="str">
        <f aca="false">IF(B754="","",COUNT(L754:M754,P754:T754)&amp;"/7")</f>
        <v/>
      </c>
      <c r="AK754" s="15" t="str">
        <f aca="false">IF(B754="","",IF(OR(AND(ISNUMBER(L754),ISNUMBER(M754),M754&lt;L754),AND(ISNUMBER(M754),ISNUMBER(P754),P754&lt;M754),AND(ISNUMBER(P754),ISNUMBER(Q754),Q754&lt;P754),AND(ISNUMBER(Q754),ISNUMBER(R754),R754&lt;Q754),AND(ISNUMBER(R754),ISNUMBER(S754),S754&lt;R754),AND(ISNUMBER(S754),ISNUMBER(T754),T754&lt;S754),AND(ISNUMBER(N754),ISNUMBER(O754),O754&lt;N754)),"Urutan tanggal salah",IF(AND(ISNUMBER(Q754),ISNUMBER(R754),ISNUMBER(Y754),ABS(R754-Q754-Y754)&gt;2),"S tanggal ≠ Sailing tercatat",IF(AND(ISNUMBER(Q754),ISNUMBER(O754),ABS(Q754-O754)&gt;60),"Cek tahun laycan",IF(AND(ISNUMBER(Q754),ISNUMBER(N754),Q754&lt;N754),"Berangkat sebelum laycan",IF(NOT(ISNUMBER(AE754)),"S belum ada","OK"))))))</f>
        <v/>
      </c>
    </row>
    <row r="755" customFormat="false" ht="15" hidden="false" customHeight="false" outlineLevel="0" collapsed="false">
      <c r="A755" s="16" t="str">
        <f aca="false">IF(B755="","",ROW()-4)</f>
        <v/>
      </c>
      <c r="B755" s="12"/>
      <c r="C755" s="16"/>
      <c r="D755" s="16"/>
      <c r="E755" s="16"/>
      <c r="F755" s="16"/>
      <c r="G755" s="16"/>
      <c r="H755" s="16"/>
      <c r="I755" s="16"/>
      <c r="J755" s="16"/>
      <c r="K755" s="16"/>
      <c r="L755" s="13"/>
      <c r="M755" s="13"/>
      <c r="N755" s="13"/>
      <c r="O755" s="13"/>
      <c r="P755" s="13"/>
      <c r="Q755" s="13"/>
      <c r="R755" s="13"/>
      <c r="S755" s="13"/>
      <c r="T755" s="13"/>
      <c r="U755" s="12"/>
      <c r="V755" s="14"/>
      <c r="W755" s="16"/>
      <c r="X755" s="16"/>
      <c r="Y755" s="16"/>
      <c r="Z755" s="16"/>
      <c r="AA755" s="15" t="str">
        <f aca="false">IF(AND(ISNUMBER(L755),ISNUMBER(M755)),M755-L755,"")</f>
        <v/>
      </c>
      <c r="AB755" s="15" t="str">
        <f aca="false">IF(AND(ISNUMBER(M755),ISNUMBER(P755)),P755-M755,"")</f>
        <v/>
      </c>
      <c r="AC755" s="15" t="str">
        <f aca="false">IF(AND(ISNUMBER(L755),ISNUMBER(P755)),P755-L755,"")</f>
        <v/>
      </c>
      <c r="AD755" s="15" t="str">
        <f aca="false">IF(AND(ISNUMBER(P755),ISNUMBER(Q755)),Q755-P755,"")</f>
        <v/>
      </c>
      <c r="AE755" s="15" t="str">
        <f aca="false">IF(AND(ISNUMBER(Q755),ISNUMBER(R755)),R755-Q755,IF(ISNUMBER(Y755),Y755,""))</f>
        <v/>
      </c>
      <c r="AF755" s="15" t="str">
        <f aca="false">IF(AND(ISNUMBER(R755),ISNUMBER(S755)),S755-R755,"")</f>
        <v/>
      </c>
      <c r="AG755" s="15" t="str">
        <f aca="false">IF(AND(ISNUMBER(S755),ISNUMBER(T755)),T755-S755,"")</f>
        <v/>
      </c>
      <c r="AH755" s="15" t="str">
        <f aca="false">IF(AND(ISNUMBER(L755),ISNUMBER(T755)),T755-L755,"")</f>
        <v/>
      </c>
      <c r="AI755" s="15" t="str">
        <f aca="false">IF(AND(ISNUMBER(O755),ISNUMBER(Q755)),Q755-O755,"")</f>
        <v/>
      </c>
      <c r="AJ755" s="15" t="str">
        <f aca="false">IF(B755="","",COUNT(L755:M755,P755:T755)&amp;"/7")</f>
        <v/>
      </c>
      <c r="AK755" s="15" t="str">
        <f aca="false">IF(B755="","",IF(OR(AND(ISNUMBER(L755),ISNUMBER(M755),M755&lt;L755),AND(ISNUMBER(M755),ISNUMBER(P755),P755&lt;M755),AND(ISNUMBER(P755),ISNUMBER(Q755),Q755&lt;P755),AND(ISNUMBER(Q755),ISNUMBER(R755),R755&lt;Q755),AND(ISNUMBER(R755),ISNUMBER(S755),S755&lt;R755),AND(ISNUMBER(S755),ISNUMBER(T755),T755&lt;S755),AND(ISNUMBER(N755),ISNUMBER(O755),O755&lt;N755)),"Urutan tanggal salah",IF(AND(ISNUMBER(Q755),ISNUMBER(R755),ISNUMBER(Y755),ABS(R755-Q755-Y755)&gt;2),"S tanggal ≠ Sailing tercatat",IF(AND(ISNUMBER(Q755),ISNUMBER(O755),ABS(Q755-O755)&gt;60),"Cek tahun laycan",IF(AND(ISNUMBER(Q755),ISNUMBER(N755),Q755&lt;N755),"Berangkat sebelum laycan",IF(NOT(ISNUMBER(AE755)),"S belum ada","OK"))))))</f>
        <v/>
      </c>
    </row>
    <row r="756" customFormat="false" ht="15" hidden="false" customHeight="false" outlineLevel="0" collapsed="false">
      <c r="A756" s="16" t="str">
        <f aca="false">IF(B756="","",ROW()-4)</f>
        <v/>
      </c>
      <c r="B756" s="12"/>
      <c r="C756" s="16"/>
      <c r="D756" s="16"/>
      <c r="E756" s="16"/>
      <c r="F756" s="16"/>
      <c r="G756" s="16"/>
      <c r="H756" s="16"/>
      <c r="I756" s="16"/>
      <c r="J756" s="16"/>
      <c r="K756" s="16"/>
      <c r="L756" s="13"/>
      <c r="M756" s="13"/>
      <c r="N756" s="13"/>
      <c r="O756" s="13"/>
      <c r="P756" s="13"/>
      <c r="Q756" s="13"/>
      <c r="R756" s="13"/>
      <c r="S756" s="13"/>
      <c r="T756" s="13"/>
      <c r="U756" s="12"/>
      <c r="V756" s="14"/>
      <c r="W756" s="16"/>
      <c r="X756" s="16"/>
      <c r="Y756" s="16"/>
      <c r="Z756" s="16"/>
      <c r="AA756" s="15" t="str">
        <f aca="false">IF(AND(ISNUMBER(L756),ISNUMBER(M756)),M756-L756,"")</f>
        <v/>
      </c>
      <c r="AB756" s="15" t="str">
        <f aca="false">IF(AND(ISNUMBER(M756),ISNUMBER(P756)),P756-M756,"")</f>
        <v/>
      </c>
      <c r="AC756" s="15" t="str">
        <f aca="false">IF(AND(ISNUMBER(L756),ISNUMBER(P756)),P756-L756,"")</f>
        <v/>
      </c>
      <c r="AD756" s="15" t="str">
        <f aca="false">IF(AND(ISNUMBER(P756),ISNUMBER(Q756)),Q756-P756,"")</f>
        <v/>
      </c>
      <c r="AE756" s="15" t="str">
        <f aca="false">IF(AND(ISNUMBER(Q756),ISNUMBER(R756)),R756-Q756,IF(ISNUMBER(Y756),Y756,""))</f>
        <v/>
      </c>
      <c r="AF756" s="15" t="str">
        <f aca="false">IF(AND(ISNUMBER(R756),ISNUMBER(S756)),S756-R756,"")</f>
        <v/>
      </c>
      <c r="AG756" s="15" t="str">
        <f aca="false">IF(AND(ISNUMBER(S756),ISNUMBER(T756)),T756-S756,"")</f>
        <v/>
      </c>
      <c r="AH756" s="15" t="str">
        <f aca="false">IF(AND(ISNUMBER(L756),ISNUMBER(T756)),T756-L756,"")</f>
        <v/>
      </c>
      <c r="AI756" s="15" t="str">
        <f aca="false">IF(AND(ISNUMBER(O756),ISNUMBER(Q756)),Q756-O756,"")</f>
        <v/>
      </c>
      <c r="AJ756" s="15" t="str">
        <f aca="false">IF(B756="","",COUNT(L756:M756,P756:T756)&amp;"/7")</f>
        <v/>
      </c>
      <c r="AK756" s="15" t="str">
        <f aca="false">IF(B756="","",IF(OR(AND(ISNUMBER(L756),ISNUMBER(M756),M756&lt;L756),AND(ISNUMBER(M756),ISNUMBER(P756),P756&lt;M756),AND(ISNUMBER(P756),ISNUMBER(Q756),Q756&lt;P756),AND(ISNUMBER(Q756),ISNUMBER(R756),R756&lt;Q756),AND(ISNUMBER(R756),ISNUMBER(S756),S756&lt;R756),AND(ISNUMBER(S756),ISNUMBER(T756),T756&lt;S756),AND(ISNUMBER(N756),ISNUMBER(O756),O756&lt;N756)),"Urutan tanggal salah",IF(AND(ISNUMBER(Q756),ISNUMBER(R756),ISNUMBER(Y756),ABS(R756-Q756-Y756)&gt;2),"S tanggal ≠ Sailing tercatat",IF(AND(ISNUMBER(Q756),ISNUMBER(O756),ABS(Q756-O756)&gt;60),"Cek tahun laycan",IF(AND(ISNUMBER(Q756),ISNUMBER(N756),Q756&lt;N756),"Berangkat sebelum laycan",IF(NOT(ISNUMBER(AE756)),"S belum ada","OK"))))))</f>
        <v/>
      </c>
    </row>
    <row r="757" customFormat="false" ht="15" hidden="false" customHeight="false" outlineLevel="0" collapsed="false">
      <c r="A757" s="16" t="str">
        <f aca="false">IF(B757="","",ROW()-4)</f>
        <v/>
      </c>
      <c r="B757" s="12"/>
      <c r="C757" s="16"/>
      <c r="D757" s="16"/>
      <c r="E757" s="16"/>
      <c r="F757" s="16"/>
      <c r="G757" s="16"/>
      <c r="H757" s="16"/>
      <c r="I757" s="16"/>
      <c r="J757" s="16"/>
      <c r="K757" s="16"/>
      <c r="L757" s="13"/>
      <c r="M757" s="13"/>
      <c r="N757" s="13"/>
      <c r="O757" s="13"/>
      <c r="P757" s="13"/>
      <c r="Q757" s="13"/>
      <c r="R757" s="13"/>
      <c r="S757" s="13"/>
      <c r="T757" s="13"/>
      <c r="U757" s="12"/>
      <c r="V757" s="14"/>
      <c r="W757" s="16"/>
      <c r="X757" s="16"/>
      <c r="Y757" s="16"/>
      <c r="Z757" s="16"/>
      <c r="AA757" s="15" t="str">
        <f aca="false">IF(AND(ISNUMBER(L757),ISNUMBER(M757)),M757-L757,"")</f>
        <v/>
      </c>
      <c r="AB757" s="15" t="str">
        <f aca="false">IF(AND(ISNUMBER(M757),ISNUMBER(P757)),P757-M757,"")</f>
        <v/>
      </c>
      <c r="AC757" s="15" t="str">
        <f aca="false">IF(AND(ISNUMBER(L757),ISNUMBER(P757)),P757-L757,"")</f>
        <v/>
      </c>
      <c r="AD757" s="15" t="str">
        <f aca="false">IF(AND(ISNUMBER(P757),ISNUMBER(Q757)),Q757-P757,"")</f>
        <v/>
      </c>
      <c r="AE757" s="15" t="str">
        <f aca="false">IF(AND(ISNUMBER(Q757),ISNUMBER(R757)),R757-Q757,IF(ISNUMBER(Y757),Y757,""))</f>
        <v/>
      </c>
      <c r="AF757" s="15" t="str">
        <f aca="false">IF(AND(ISNUMBER(R757),ISNUMBER(S757)),S757-R757,"")</f>
        <v/>
      </c>
      <c r="AG757" s="15" t="str">
        <f aca="false">IF(AND(ISNUMBER(S757),ISNUMBER(T757)),T757-S757,"")</f>
        <v/>
      </c>
      <c r="AH757" s="15" t="str">
        <f aca="false">IF(AND(ISNUMBER(L757),ISNUMBER(T757)),T757-L757,"")</f>
        <v/>
      </c>
      <c r="AI757" s="15" t="str">
        <f aca="false">IF(AND(ISNUMBER(O757),ISNUMBER(Q757)),Q757-O757,"")</f>
        <v/>
      </c>
      <c r="AJ757" s="15" t="str">
        <f aca="false">IF(B757="","",COUNT(L757:M757,P757:T757)&amp;"/7")</f>
        <v/>
      </c>
      <c r="AK757" s="15" t="str">
        <f aca="false">IF(B757="","",IF(OR(AND(ISNUMBER(L757),ISNUMBER(M757),M757&lt;L757),AND(ISNUMBER(M757),ISNUMBER(P757),P757&lt;M757),AND(ISNUMBER(P757),ISNUMBER(Q757),Q757&lt;P757),AND(ISNUMBER(Q757),ISNUMBER(R757),R757&lt;Q757),AND(ISNUMBER(R757),ISNUMBER(S757),S757&lt;R757),AND(ISNUMBER(S757),ISNUMBER(T757),T757&lt;S757),AND(ISNUMBER(N757),ISNUMBER(O757),O757&lt;N757)),"Urutan tanggal salah",IF(AND(ISNUMBER(Q757),ISNUMBER(R757),ISNUMBER(Y757),ABS(R757-Q757-Y757)&gt;2),"S tanggal ≠ Sailing tercatat",IF(AND(ISNUMBER(Q757),ISNUMBER(O757),ABS(Q757-O757)&gt;60),"Cek tahun laycan",IF(AND(ISNUMBER(Q757),ISNUMBER(N757),Q757&lt;N757),"Berangkat sebelum laycan",IF(NOT(ISNUMBER(AE757)),"S belum ada","OK"))))))</f>
        <v/>
      </c>
    </row>
    <row r="758" customFormat="false" ht="15" hidden="false" customHeight="false" outlineLevel="0" collapsed="false">
      <c r="A758" s="16" t="str">
        <f aca="false">IF(B758="","",ROW()-4)</f>
        <v/>
      </c>
      <c r="B758" s="12"/>
      <c r="C758" s="16"/>
      <c r="D758" s="16"/>
      <c r="E758" s="16"/>
      <c r="F758" s="16"/>
      <c r="G758" s="16"/>
      <c r="H758" s="16"/>
      <c r="I758" s="16"/>
      <c r="J758" s="16"/>
      <c r="K758" s="16"/>
      <c r="L758" s="13"/>
      <c r="M758" s="13"/>
      <c r="N758" s="13"/>
      <c r="O758" s="13"/>
      <c r="P758" s="13"/>
      <c r="Q758" s="13"/>
      <c r="R758" s="13"/>
      <c r="S758" s="13"/>
      <c r="T758" s="13"/>
      <c r="U758" s="12"/>
      <c r="V758" s="14"/>
      <c r="W758" s="16"/>
      <c r="X758" s="16"/>
      <c r="Y758" s="16"/>
      <c r="Z758" s="16"/>
      <c r="AA758" s="15" t="str">
        <f aca="false">IF(AND(ISNUMBER(L758),ISNUMBER(M758)),M758-L758,"")</f>
        <v/>
      </c>
      <c r="AB758" s="15" t="str">
        <f aca="false">IF(AND(ISNUMBER(M758),ISNUMBER(P758)),P758-M758,"")</f>
        <v/>
      </c>
      <c r="AC758" s="15" t="str">
        <f aca="false">IF(AND(ISNUMBER(L758),ISNUMBER(P758)),P758-L758,"")</f>
        <v/>
      </c>
      <c r="AD758" s="15" t="str">
        <f aca="false">IF(AND(ISNUMBER(P758),ISNUMBER(Q758)),Q758-P758,"")</f>
        <v/>
      </c>
      <c r="AE758" s="15" t="str">
        <f aca="false">IF(AND(ISNUMBER(Q758),ISNUMBER(R758)),R758-Q758,IF(ISNUMBER(Y758),Y758,""))</f>
        <v/>
      </c>
      <c r="AF758" s="15" t="str">
        <f aca="false">IF(AND(ISNUMBER(R758),ISNUMBER(S758)),S758-R758,"")</f>
        <v/>
      </c>
      <c r="AG758" s="15" t="str">
        <f aca="false">IF(AND(ISNUMBER(S758),ISNUMBER(T758)),T758-S758,"")</f>
        <v/>
      </c>
      <c r="AH758" s="15" t="str">
        <f aca="false">IF(AND(ISNUMBER(L758),ISNUMBER(T758)),T758-L758,"")</f>
        <v/>
      </c>
      <c r="AI758" s="15" t="str">
        <f aca="false">IF(AND(ISNUMBER(O758),ISNUMBER(Q758)),Q758-O758,"")</f>
        <v/>
      </c>
      <c r="AJ758" s="15" t="str">
        <f aca="false">IF(B758="","",COUNT(L758:M758,P758:T758)&amp;"/7")</f>
        <v/>
      </c>
      <c r="AK758" s="15" t="str">
        <f aca="false">IF(B758="","",IF(OR(AND(ISNUMBER(L758),ISNUMBER(M758),M758&lt;L758),AND(ISNUMBER(M758),ISNUMBER(P758),P758&lt;M758),AND(ISNUMBER(P758),ISNUMBER(Q758),Q758&lt;P758),AND(ISNUMBER(Q758),ISNUMBER(R758),R758&lt;Q758),AND(ISNUMBER(R758),ISNUMBER(S758),S758&lt;R758),AND(ISNUMBER(S758),ISNUMBER(T758),T758&lt;S758),AND(ISNUMBER(N758),ISNUMBER(O758),O758&lt;N758)),"Urutan tanggal salah",IF(AND(ISNUMBER(Q758),ISNUMBER(R758),ISNUMBER(Y758),ABS(R758-Q758-Y758)&gt;2),"S tanggal ≠ Sailing tercatat",IF(AND(ISNUMBER(Q758),ISNUMBER(O758),ABS(Q758-O758)&gt;60),"Cek tahun laycan",IF(AND(ISNUMBER(Q758),ISNUMBER(N758),Q758&lt;N758),"Berangkat sebelum laycan",IF(NOT(ISNUMBER(AE758)),"S belum ada","OK"))))))</f>
        <v/>
      </c>
    </row>
    <row r="759" customFormat="false" ht="15" hidden="false" customHeight="false" outlineLevel="0" collapsed="false">
      <c r="A759" s="16" t="str">
        <f aca="false">IF(B759="","",ROW()-4)</f>
        <v/>
      </c>
      <c r="B759" s="12"/>
      <c r="C759" s="16"/>
      <c r="D759" s="16"/>
      <c r="E759" s="16"/>
      <c r="F759" s="16"/>
      <c r="G759" s="16"/>
      <c r="H759" s="16"/>
      <c r="I759" s="16"/>
      <c r="J759" s="16"/>
      <c r="K759" s="16"/>
      <c r="L759" s="13"/>
      <c r="M759" s="13"/>
      <c r="N759" s="13"/>
      <c r="O759" s="13"/>
      <c r="P759" s="13"/>
      <c r="Q759" s="13"/>
      <c r="R759" s="13"/>
      <c r="S759" s="13"/>
      <c r="T759" s="13"/>
      <c r="U759" s="12"/>
      <c r="V759" s="14"/>
      <c r="W759" s="16"/>
      <c r="X759" s="16"/>
      <c r="Y759" s="16"/>
      <c r="Z759" s="16"/>
      <c r="AA759" s="15" t="str">
        <f aca="false">IF(AND(ISNUMBER(L759),ISNUMBER(M759)),M759-L759,"")</f>
        <v/>
      </c>
      <c r="AB759" s="15" t="str">
        <f aca="false">IF(AND(ISNUMBER(M759),ISNUMBER(P759)),P759-M759,"")</f>
        <v/>
      </c>
      <c r="AC759" s="15" t="str">
        <f aca="false">IF(AND(ISNUMBER(L759),ISNUMBER(P759)),P759-L759,"")</f>
        <v/>
      </c>
      <c r="AD759" s="15" t="str">
        <f aca="false">IF(AND(ISNUMBER(P759),ISNUMBER(Q759)),Q759-P759,"")</f>
        <v/>
      </c>
      <c r="AE759" s="15" t="str">
        <f aca="false">IF(AND(ISNUMBER(Q759),ISNUMBER(R759)),R759-Q759,IF(ISNUMBER(Y759),Y759,""))</f>
        <v/>
      </c>
      <c r="AF759" s="15" t="str">
        <f aca="false">IF(AND(ISNUMBER(R759),ISNUMBER(S759)),S759-R759,"")</f>
        <v/>
      </c>
      <c r="AG759" s="15" t="str">
        <f aca="false">IF(AND(ISNUMBER(S759),ISNUMBER(T759)),T759-S759,"")</f>
        <v/>
      </c>
      <c r="AH759" s="15" t="str">
        <f aca="false">IF(AND(ISNUMBER(L759),ISNUMBER(T759)),T759-L759,"")</f>
        <v/>
      </c>
      <c r="AI759" s="15" t="str">
        <f aca="false">IF(AND(ISNUMBER(O759),ISNUMBER(Q759)),Q759-O759,"")</f>
        <v/>
      </c>
      <c r="AJ759" s="15" t="str">
        <f aca="false">IF(B759="","",COUNT(L759:M759,P759:T759)&amp;"/7")</f>
        <v/>
      </c>
      <c r="AK759" s="15" t="str">
        <f aca="false">IF(B759="","",IF(OR(AND(ISNUMBER(L759),ISNUMBER(M759),M759&lt;L759),AND(ISNUMBER(M759),ISNUMBER(P759),P759&lt;M759),AND(ISNUMBER(P759),ISNUMBER(Q759),Q759&lt;P759),AND(ISNUMBER(Q759),ISNUMBER(R759),R759&lt;Q759),AND(ISNUMBER(R759),ISNUMBER(S759),S759&lt;R759),AND(ISNUMBER(S759),ISNUMBER(T759),T759&lt;S759),AND(ISNUMBER(N759),ISNUMBER(O759),O759&lt;N759)),"Urutan tanggal salah",IF(AND(ISNUMBER(Q759),ISNUMBER(R759),ISNUMBER(Y759),ABS(R759-Q759-Y759)&gt;2),"S tanggal ≠ Sailing tercatat",IF(AND(ISNUMBER(Q759),ISNUMBER(O759),ABS(Q759-O759)&gt;60),"Cek tahun laycan",IF(AND(ISNUMBER(Q759),ISNUMBER(N759),Q759&lt;N759),"Berangkat sebelum laycan",IF(NOT(ISNUMBER(AE759)),"S belum ada","OK"))))))</f>
        <v/>
      </c>
    </row>
    <row r="760" customFormat="false" ht="15" hidden="false" customHeight="false" outlineLevel="0" collapsed="false">
      <c r="A760" s="16" t="str">
        <f aca="false">IF(B760="","",ROW()-4)</f>
        <v/>
      </c>
      <c r="B760" s="12"/>
      <c r="C760" s="16"/>
      <c r="D760" s="16"/>
      <c r="E760" s="16"/>
      <c r="F760" s="16"/>
      <c r="G760" s="16"/>
      <c r="H760" s="16"/>
      <c r="I760" s="16"/>
      <c r="J760" s="16"/>
      <c r="K760" s="16"/>
      <c r="L760" s="13"/>
      <c r="M760" s="13"/>
      <c r="N760" s="13"/>
      <c r="O760" s="13"/>
      <c r="P760" s="13"/>
      <c r="Q760" s="13"/>
      <c r="R760" s="13"/>
      <c r="S760" s="13"/>
      <c r="T760" s="13"/>
      <c r="U760" s="12"/>
      <c r="V760" s="14"/>
      <c r="W760" s="16"/>
      <c r="X760" s="16"/>
      <c r="Y760" s="16"/>
      <c r="Z760" s="16"/>
      <c r="AA760" s="15" t="str">
        <f aca="false">IF(AND(ISNUMBER(L760),ISNUMBER(M760)),M760-L760,"")</f>
        <v/>
      </c>
      <c r="AB760" s="15" t="str">
        <f aca="false">IF(AND(ISNUMBER(M760),ISNUMBER(P760)),P760-M760,"")</f>
        <v/>
      </c>
      <c r="AC760" s="15" t="str">
        <f aca="false">IF(AND(ISNUMBER(L760),ISNUMBER(P760)),P760-L760,"")</f>
        <v/>
      </c>
      <c r="AD760" s="15" t="str">
        <f aca="false">IF(AND(ISNUMBER(P760),ISNUMBER(Q760)),Q760-P760,"")</f>
        <v/>
      </c>
      <c r="AE760" s="15" t="str">
        <f aca="false">IF(AND(ISNUMBER(Q760),ISNUMBER(R760)),R760-Q760,IF(ISNUMBER(Y760),Y760,""))</f>
        <v/>
      </c>
      <c r="AF760" s="15" t="str">
        <f aca="false">IF(AND(ISNUMBER(R760),ISNUMBER(S760)),S760-R760,"")</f>
        <v/>
      </c>
      <c r="AG760" s="15" t="str">
        <f aca="false">IF(AND(ISNUMBER(S760),ISNUMBER(T760)),T760-S760,"")</f>
        <v/>
      </c>
      <c r="AH760" s="15" t="str">
        <f aca="false">IF(AND(ISNUMBER(L760),ISNUMBER(T760)),T760-L760,"")</f>
        <v/>
      </c>
      <c r="AI760" s="15" t="str">
        <f aca="false">IF(AND(ISNUMBER(O760),ISNUMBER(Q760)),Q760-O760,"")</f>
        <v/>
      </c>
      <c r="AJ760" s="15" t="str">
        <f aca="false">IF(B760="","",COUNT(L760:M760,P760:T760)&amp;"/7")</f>
        <v/>
      </c>
      <c r="AK760" s="15" t="str">
        <f aca="false">IF(B760="","",IF(OR(AND(ISNUMBER(L760),ISNUMBER(M760),M760&lt;L760),AND(ISNUMBER(M760),ISNUMBER(P760),P760&lt;M760),AND(ISNUMBER(P760),ISNUMBER(Q760),Q760&lt;P760),AND(ISNUMBER(Q760),ISNUMBER(R760),R760&lt;Q760),AND(ISNUMBER(R760),ISNUMBER(S760),S760&lt;R760),AND(ISNUMBER(S760),ISNUMBER(T760),T760&lt;S760),AND(ISNUMBER(N760),ISNUMBER(O760),O760&lt;N760)),"Urutan tanggal salah",IF(AND(ISNUMBER(Q760),ISNUMBER(R760),ISNUMBER(Y760),ABS(R760-Q760-Y760)&gt;2),"S tanggal ≠ Sailing tercatat",IF(AND(ISNUMBER(Q760),ISNUMBER(O760),ABS(Q760-O760)&gt;60),"Cek tahun laycan",IF(AND(ISNUMBER(Q760),ISNUMBER(N760),Q760&lt;N760),"Berangkat sebelum laycan",IF(NOT(ISNUMBER(AE760)),"S belum ada","OK"))))))</f>
        <v/>
      </c>
    </row>
    <row r="761" customFormat="false" ht="15" hidden="false" customHeight="false" outlineLevel="0" collapsed="false">
      <c r="A761" s="16" t="str">
        <f aca="false">IF(B761="","",ROW()-4)</f>
        <v/>
      </c>
      <c r="B761" s="12"/>
      <c r="C761" s="16"/>
      <c r="D761" s="16"/>
      <c r="E761" s="16"/>
      <c r="F761" s="16"/>
      <c r="G761" s="16"/>
      <c r="H761" s="16"/>
      <c r="I761" s="16"/>
      <c r="J761" s="16"/>
      <c r="K761" s="16"/>
      <c r="L761" s="13"/>
      <c r="M761" s="13"/>
      <c r="N761" s="13"/>
      <c r="O761" s="13"/>
      <c r="P761" s="13"/>
      <c r="Q761" s="13"/>
      <c r="R761" s="13"/>
      <c r="S761" s="13"/>
      <c r="T761" s="13"/>
      <c r="U761" s="12"/>
      <c r="V761" s="14"/>
      <c r="W761" s="16"/>
      <c r="X761" s="16"/>
      <c r="Y761" s="16"/>
      <c r="Z761" s="16"/>
      <c r="AA761" s="15" t="str">
        <f aca="false">IF(AND(ISNUMBER(L761),ISNUMBER(M761)),M761-L761,"")</f>
        <v/>
      </c>
      <c r="AB761" s="15" t="str">
        <f aca="false">IF(AND(ISNUMBER(M761),ISNUMBER(P761)),P761-M761,"")</f>
        <v/>
      </c>
      <c r="AC761" s="15" t="str">
        <f aca="false">IF(AND(ISNUMBER(L761),ISNUMBER(P761)),P761-L761,"")</f>
        <v/>
      </c>
      <c r="AD761" s="15" t="str">
        <f aca="false">IF(AND(ISNUMBER(P761),ISNUMBER(Q761)),Q761-P761,"")</f>
        <v/>
      </c>
      <c r="AE761" s="15" t="str">
        <f aca="false">IF(AND(ISNUMBER(Q761),ISNUMBER(R761)),R761-Q761,IF(ISNUMBER(Y761),Y761,""))</f>
        <v/>
      </c>
      <c r="AF761" s="15" t="str">
        <f aca="false">IF(AND(ISNUMBER(R761),ISNUMBER(S761)),S761-R761,"")</f>
        <v/>
      </c>
      <c r="AG761" s="15" t="str">
        <f aca="false">IF(AND(ISNUMBER(S761),ISNUMBER(T761)),T761-S761,"")</f>
        <v/>
      </c>
      <c r="AH761" s="15" t="str">
        <f aca="false">IF(AND(ISNUMBER(L761),ISNUMBER(T761)),T761-L761,"")</f>
        <v/>
      </c>
      <c r="AI761" s="15" t="str">
        <f aca="false">IF(AND(ISNUMBER(O761),ISNUMBER(Q761)),Q761-O761,"")</f>
        <v/>
      </c>
      <c r="AJ761" s="15" t="str">
        <f aca="false">IF(B761="","",COUNT(L761:M761,P761:T761)&amp;"/7")</f>
        <v/>
      </c>
      <c r="AK761" s="15" t="str">
        <f aca="false">IF(B761="","",IF(OR(AND(ISNUMBER(L761),ISNUMBER(M761),M761&lt;L761),AND(ISNUMBER(M761),ISNUMBER(P761),P761&lt;M761),AND(ISNUMBER(P761),ISNUMBER(Q761),Q761&lt;P761),AND(ISNUMBER(Q761),ISNUMBER(R761),R761&lt;Q761),AND(ISNUMBER(R761),ISNUMBER(S761),S761&lt;R761),AND(ISNUMBER(S761),ISNUMBER(T761),T761&lt;S761),AND(ISNUMBER(N761),ISNUMBER(O761),O761&lt;N761)),"Urutan tanggal salah",IF(AND(ISNUMBER(Q761),ISNUMBER(R761),ISNUMBER(Y761),ABS(R761-Q761-Y761)&gt;2),"S tanggal ≠ Sailing tercatat",IF(AND(ISNUMBER(Q761),ISNUMBER(O761),ABS(Q761-O761)&gt;60),"Cek tahun laycan",IF(AND(ISNUMBER(Q761),ISNUMBER(N761),Q761&lt;N761),"Berangkat sebelum laycan",IF(NOT(ISNUMBER(AE761)),"S belum ada","OK"))))))</f>
        <v/>
      </c>
    </row>
    <row r="762" customFormat="false" ht="15" hidden="false" customHeight="false" outlineLevel="0" collapsed="false">
      <c r="A762" s="16" t="str">
        <f aca="false">IF(B762="","",ROW()-4)</f>
        <v/>
      </c>
      <c r="B762" s="12"/>
      <c r="C762" s="16"/>
      <c r="D762" s="16"/>
      <c r="E762" s="16"/>
      <c r="F762" s="16"/>
      <c r="G762" s="16"/>
      <c r="H762" s="16"/>
      <c r="I762" s="16"/>
      <c r="J762" s="16"/>
      <c r="K762" s="16"/>
      <c r="L762" s="13"/>
      <c r="M762" s="13"/>
      <c r="N762" s="13"/>
      <c r="O762" s="13"/>
      <c r="P762" s="13"/>
      <c r="Q762" s="13"/>
      <c r="R762" s="13"/>
      <c r="S762" s="13"/>
      <c r="T762" s="13"/>
      <c r="U762" s="12"/>
      <c r="V762" s="14"/>
      <c r="W762" s="16"/>
      <c r="X762" s="16"/>
      <c r="Y762" s="16"/>
      <c r="Z762" s="16"/>
      <c r="AA762" s="15" t="str">
        <f aca="false">IF(AND(ISNUMBER(L762),ISNUMBER(M762)),M762-L762,"")</f>
        <v/>
      </c>
      <c r="AB762" s="15" t="str">
        <f aca="false">IF(AND(ISNUMBER(M762),ISNUMBER(P762)),P762-M762,"")</f>
        <v/>
      </c>
      <c r="AC762" s="15" t="str">
        <f aca="false">IF(AND(ISNUMBER(L762),ISNUMBER(P762)),P762-L762,"")</f>
        <v/>
      </c>
      <c r="AD762" s="15" t="str">
        <f aca="false">IF(AND(ISNUMBER(P762),ISNUMBER(Q762)),Q762-P762,"")</f>
        <v/>
      </c>
      <c r="AE762" s="15" t="str">
        <f aca="false">IF(AND(ISNUMBER(Q762),ISNUMBER(R762)),R762-Q762,IF(ISNUMBER(Y762),Y762,""))</f>
        <v/>
      </c>
      <c r="AF762" s="15" t="str">
        <f aca="false">IF(AND(ISNUMBER(R762),ISNUMBER(S762)),S762-R762,"")</f>
        <v/>
      </c>
      <c r="AG762" s="15" t="str">
        <f aca="false">IF(AND(ISNUMBER(S762),ISNUMBER(T762)),T762-S762,"")</f>
        <v/>
      </c>
      <c r="AH762" s="15" t="str">
        <f aca="false">IF(AND(ISNUMBER(L762),ISNUMBER(T762)),T762-L762,"")</f>
        <v/>
      </c>
      <c r="AI762" s="15" t="str">
        <f aca="false">IF(AND(ISNUMBER(O762),ISNUMBER(Q762)),Q762-O762,"")</f>
        <v/>
      </c>
      <c r="AJ762" s="15" t="str">
        <f aca="false">IF(B762="","",COUNT(L762:M762,P762:T762)&amp;"/7")</f>
        <v/>
      </c>
      <c r="AK762" s="15" t="str">
        <f aca="false">IF(B762="","",IF(OR(AND(ISNUMBER(L762),ISNUMBER(M762),M762&lt;L762),AND(ISNUMBER(M762),ISNUMBER(P762),P762&lt;M762),AND(ISNUMBER(P762),ISNUMBER(Q762),Q762&lt;P762),AND(ISNUMBER(Q762),ISNUMBER(R762),R762&lt;Q762),AND(ISNUMBER(R762),ISNUMBER(S762),S762&lt;R762),AND(ISNUMBER(S762),ISNUMBER(T762),T762&lt;S762),AND(ISNUMBER(N762),ISNUMBER(O762),O762&lt;N762)),"Urutan tanggal salah",IF(AND(ISNUMBER(Q762),ISNUMBER(R762),ISNUMBER(Y762),ABS(R762-Q762-Y762)&gt;2),"S tanggal ≠ Sailing tercatat",IF(AND(ISNUMBER(Q762),ISNUMBER(O762),ABS(Q762-O762)&gt;60),"Cek tahun laycan",IF(AND(ISNUMBER(Q762),ISNUMBER(N762),Q762&lt;N762),"Berangkat sebelum laycan",IF(NOT(ISNUMBER(AE762)),"S belum ada","OK"))))))</f>
        <v/>
      </c>
    </row>
    <row r="763" customFormat="false" ht="15" hidden="false" customHeight="false" outlineLevel="0" collapsed="false">
      <c r="A763" s="16" t="str">
        <f aca="false">IF(B763="","",ROW()-4)</f>
        <v/>
      </c>
      <c r="B763" s="12"/>
      <c r="C763" s="16"/>
      <c r="D763" s="16"/>
      <c r="E763" s="16"/>
      <c r="F763" s="16"/>
      <c r="G763" s="16"/>
      <c r="H763" s="16"/>
      <c r="I763" s="16"/>
      <c r="J763" s="16"/>
      <c r="K763" s="16"/>
      <c r="L763" s="13"/>
      <c r="M763" s="13"/>
      <c r="N763" s="13"/>
      <c r="O763" s="13"/>
      <c r="P763" s="13"/>
      <c r="Q763" s="13"/>
      <c r="R763" s="13"/>
      <c r="S763" s="13"/>
      <c r="T763" s="13"/>
      <c r="U763" s="12"/>
      <c r="V763" s="14"/>
      <c r="W763" s="16"/>
      <c r="X763" s="16"/>
      <c r="Y763" s="16"/>
      <c r="Z763" s="16"/>
      <c r="AA763" s="15" t="str">
        <f aca="false">IF(AND(ISNUMBER(L763),ISNUMBER(M763)),M763-L763,"")</f>
        <v/>
      </c>
      <c r="AB763" s="15" t="str">
        <f aca="false">IF(AND(ISNUMBER(M763),ISNUMBER(P763)),P763-M763,"")</f>
        <v/>
      </c>
      <c r="AC763" s="15" t="str">
        <f aca="false">IF(AND(ISNUMBER(L763),ISNUMBER(P763)),P763-L763,"")</f>
        <v/>
      </c>
      <c r="AD763" s="15" t="str">
        <f aca="false">IF(AND(ISNUMBER(P763),ISNUMBER(Q763)),Q763-P763,"")</f>
        <v/>
      </c>
      <c r="AE763" s="15" t="str">
        <f aca="false">IF(AND(ISNUMBER(Q763),ISNUMBER(R763)),R763-Q763,IF(ISNUMBER(Y763),Y763,""))</f>
        <v/>
      </c>
      <c r="AF763" s="15" t="str">
        <f aca="false">IF(AND(ISNUMBER(R763),ISNUMBER(S763)),S763-R763,"")</f>
        <v/>
      </c>
      <c r="AG763" s="15" t="str">
        <f aca="false">IF(AND(ISNUMBER(S763),ISNUMBER(T763)),T763-S763,"")</f>
        <v/>
      </c>
      <c r="AH763" s="15" t="str">
        <f aca="false">IF(AND(ISNUMBER(L763),ISNUMBER(T763)),T763-L763,"")</f>
        <v/>
      </c>
      <c r="AI763" s="15" t="str">
        <f aca="false">IF(AND(ISNUMBER(O763),ISNUMBER(Q763)),Q763-O763,"")</f>
        <v/>
      </c>
      <c r="AJ763" s="15" t="str">
        <f aca="false">IF(B763="","",COUNT(L763:M763,P763:T763)&amp;"/7")</f>
        <v/>
      </c>
      <c r="AK763" s="15" t="str">
        <f aca="false">IF(B763="","",IF(OR(AND(ISNUMBER(L763),ISNUMBER(M763),M763&lt;L763),AND(ISNUMBER(M763),ISNUMBER(P763),P763&lt;M763),AND(ISNUMBER(P763),ISNUMBER(Q763),Q763&lt;P763),AND(ISNUMBER(Q763),ISNUMBER(R763),R763&lt;Q763),AND(ISNUMBER(R763),ISNUMBER(S763),S763&lt;R763),AND(ISNUMBER(S763),ISNUMBER(T763),T763&lt;S763),AND(ISNUMBER(N763),ISNUMBER(O763),O763&lt;N763)),"Urutan tanggal salah",IF(AND(ISNUMBER(Q763),ISNUMBER(R763),ISNUMBER(Y763),ABS(R763-Q763-Y763)&gt;2),"S tanggal ≠ Sailing tercatat",IF(AND(ISNUMBER(Q763),ISNUMBER(O763),ABS(Q763-O763)&gt;60),"Cek tahun laycan",IF(AND(ISNUMBER(Q763),ISNUMBER(N763),Q763&lt;N763),"Berangkat sebelum laycan",IF(NOT(ISNUMBER(AE763)),"S belum ada","OK"))))))</f>
        <v/>
      </c>
    </row>
    <row r="764" customFormat="false" ht="15" hidden="false" customHeight="false" outlineLevel="0" collapsed="false">
      <c r="A764" s="16" t="str">
        <f aca="false">IF(B764="","",ROW()-4)</f>
        <v/>
      </c>
      <c r="B764" s="12"/>
      <c r="C764" s="16"/>
      <c r="D764" s="16"/>
      <c r="E764" s="16"/>
      <c r="F764" s="16"/>
      <c r="G764" s="16"/>
      <c r="H764" s="16"/>
      <c r="I764" s="16"/>
      <c r="J764" s="16"/>
      <c r="K764" s="16"/>
      <c r="L764" s="13"/>
      <c r="M764" s="13"/>
      <c r="N764" s="13"/>
      <c r="O764" s="13"/>
      <c r="P764" s="13"/>
      <c r="Q764" s="13"/>
      <c r="R764" s="13"/>
      <c r="S764" s="13"/>
      <c r="T764" s="13"/>
      <c r="U764" s="12"/>
      <c r="V764" s="14"/>
      <c r="W764" s="16"/>
      <c r="X764" s="16"/>
      <c r="Y764" s="16"/>
      <c r="Z764" s="16"/>
      <c r="AA764" s="15" t="str">
        <f aca="false">IF(AND(ISNUMBER(L764),ISNUMBER(M764)),M764-L764,"")</f>
        <v/>
      </c>
      <c r="AB764" s="15" t="str">
        <f aca="false">IF(AND(ISNUMBER(M764),ISNUMBER(P764)),P764-M764,"")</f>
        <v/>
      </c>
      <c r="AC764" s="15" t="str">
        <f aca="false">IF(AND(ISNUMBER(L764),ISNUMBER(P764)),P764-L764,"")</f>
        <v/>
      </c>
      <c r="AD764" s="15" t="str">
        <f aca="false">IF(AND(ISNUMBER(P764),ISNUMBER(Q764)),Q764-P764,"")</f>
        <v/>
      </c>
      <c r="AE764" s="15" t="str">
        <f aca="false">IF(AND(ISNUMBER(Q764),ISNUMBER(R764)),R764-Q764,IF(ISNUMBER(Y764),Y764,""))</f>
        <v/>
      </c>
      <c r="AF764" s="15" t="str">
        <f aca="false">IF(AND(ISNUMBER(R764),ISNUMBER(S764)),S764-R764,"")</f>
        <v/>
      </c>
      <c r="AG764" s="15" t="str">
        <f aca="false">IF(AND(ISNUMBER(S764),ISNUMBER(T764)),T764-S764,"")</f>
        <v/>
      </c>
      <c r="AH764" s="15" t="str">
        <f aca="false">IF(AND(ISNUMBER(L764),ISNUMBER(T764)),T764-L764,"")</f>
        <v/>
      </c>
      <c r="AI764" s="15" t="str">
        <f aca="false">IF(AND(ISNUMBER(O764),ISNUMBER(Q764)),Q764-O764,"")</f>
        <v/>
      </c>
      <c r="AJ764" s="15" t="str">
        <f aca="false">IF(B764="","",COUNT(L764:M764,P764:T764)&amp;"/7")</f>
        <v/>
      </c>
      <c r="AK764" s="15" t="str">
        <f aca="false">IF(B764="","",IF(OR(AND(ISNUMBER(L764),ISNUMBER(M764),M764&lt;L764),AND(ISNUMBER(M764),ISNUMBER(P764),P764&lt;M764),AND(ISNUMBER(P764),ISNUMBER(Q764),Q764&lt;P764),AND(ISNUMBER(Q764),ISNUMBER(R764),R764&lt;Q764),AND(ISNUMBER(R764),ISNUMBER(S764),S764&lt;R764),AND(ISNUMBER(S764),ISNUMBER(T764),T764&lt;S764),AND(ISNUMBER(N764),ISNUMBER(O764),O764&lt;N764)),"Urutan tanggal salah",IF(AND(ISNUMBER(Q764),ISNUMBER(R764),ISNUMBER(Y764),ABS(R764-Q764-Y764)&gt;2),"S tanggal ≠ Sailing tercatat",IF(AND(ISNUMBER(Q764),ISNUMBER(O764),ABS(Q764-O764)&gt;60),"Cek tahun laycan",IF(AND(ISNUMBER(Q764),ISNUMBER(N764),Q764&lt;N764),"Berangkat sebelum laycan",IF(NOT(ISNUMBER(AE764)),"S belum ada","OK"))))))</f>
        <v/>
      </c>
    </row>
    <row r="765" customFormat="false" ht="15" hidden="false" customHeight="false" outlineLevel="0" collapsed="false">
      <c r="A765" s="16" t="str">
        <f aca="false">IF(B765="","",ROW()-4)</f>
        <v/>
      </c>
      <c r="B765" s="12"/>
      <c r="C765" s="16"/>
      <c r="D765" s="16"/>
      <c r="E765" s="16"/>
      <c r="F765" s="16"/>
      <c r="G765" s="16"/>
      <c r="H765" s="16"/>
      <c r="I765" s="16"/>
      <c r="J765" s="16"/>
      <c r="K765" s="16"/>
      <c r="L765" s="13"/>
      <c r="M765" s="13"/>
      <c r="N765" s="13"/>
      <c r="O765" s="13"/>
      <c r="P765" s="13"/>
      <c r="Q765" s="13"/>
      <c r="R765" s="13"/>
      <c r="S765" s="13"/>
      <c r="T765" s="13"/>
      <c r="U765" s="12"/>
      <c r="V765" s="14"/>
      <c r="W765" s="16"/>
      <c r="X765" s="16"/>
      <c r="Y765" s="16"/>
      <c r="Z765" s="16"/>
      <c r="AA765" s="15" t="str">
        <f aca="false">IF(AND(ISNUMBER(L765),ISNUMBER(M765)),M765-L765,"")</f>
        <v/>
      </c>
      <c r="AB765" s="15" t="str">
        <f aca="false">IF(AND(ISNUMBER(M765),ISNUMBER(P765)),P765-M765,"")</f>
        <v/>
      </c>
      <c r="AC765" s="15" t="str">
        <f aca="false">IF(AND(ISNUMBER(L765),ISNUMBER(P765)),P765-L765,"")</f>
        <v/>
      </c>
      <c r="AD765" s="15" t="str">
        <f aca="false">IF(AND(ISNUMBER(P765),ISNUMBER(Q765)),Q765-P765,"")</f>
        <v/>
      </c>
      <c r="AE765" s="15" t="str">
        <f aca="false">IF(AND(ISNUMBER(Q765),ISNUMBER(R765)),R765-Q765,IF(ISNUMBER(Y765),Y765,""))</f>
        <v/>
      </c>
      <c r="AF765" s="15" t="str">
        <f aca="false">IF(AND(ISNUMBER(R765),ISNUMBER(S765)),S765-R765,"")</f>
        <v/>
      </c>
      <c r="AG765" s="15" t="str">
        <f aca="false">IF(AND(ISNUMBER(S765),ISNUMBER(T765)),T765-S765,"")</f>
        <v/>
      </c>
      <c r="AH765" s="15" t="str">
        <f aca="false">IF(AND(ISNUMBER(L765),ISNUMBER(T765)),T765-L765,"")</f>
        <v/>
      </c>
      <c r="AI765" s="15" t="str">
        <f aca="false">IF(AND(ISNUMBER(O765),ISNUMBER(Q765)),Q765-O765,"")</f>
        <v/>
      </c>
      <c r="AJ765" s="15" t="str">
        <f aca="false">IF(B765="","",COUNT(L765:M765,P765:T765)&amp;"/7")</f>
        <v/>
      </c>
      <c r="AK765" s="15" t="str">
        <f aca="false">IF(B765="","",IF(OR(AND(ISNUMBER(L765),ISNUMBER(M765),M765&lt;L765),AND(ISNUMBER(M765),ISNUMBER(P765),P765&lt;M765),AND(ISNUMBER(P765),ISNUMBER(Q765),Q765&lt;P765),AND(ISNUMBER(Q765),ISNUMBER(R765),R765&lt;Q765),AND(ISNUMBER(R765),ISNUMBER(S765),S765&lt;R765),AND(ISNUMBER(S765),ISNUMBER(T765),T765&lt;S765),AND(ISNUMBER(N765),ISNUMBER(O765),O765&lt;N765)),"Urutan tanggal salah",IF(AND(ISNUMBER(Q765),ISNUMBER(R765),ISNUMBER(Y765),ABS(R765-Q765-Y765)&gt;2),"S tanggal ≠ Sailing tercatat",IF(AND(ISNUMBER(Q765),ISNUMBER(O765),ABS(Q765-O765)&gt;60),"Cek tahun laycan",IF(AND(ISNUMBER(Q765),ISNUMBER(N765),Q765&lt;N765),"Berangkat sebelum laycan",IF(NOT(ISNUMBER(AE765)),"S belum ada","OK"))))))</f>
        <v/>
      </c>
    </row>
    <row r="766" customFormat="false" ht="15" hidden="false" customHeight="false" outlineLevel="0" collapsed="false">
      <c r="A766" s="16" t="str">
        <f aca="false">IF(B766="","",ROW()-4)</f>
        <v/>
      </c>
      <c r="B766" s="12"/>
      <c r="C766" s="16"/>
      <c r="D766" s="16"/>
      <c r="E766" s="16"/>
      <c r="F766" s="16"/>
      <c r="G766" s="16"/>
      <c r="H766" s="16"/>
      <c r="I766" s="16"/>
      <c r="J766" s="16"/>
      <c r="K766" s="16"/>
      <c r="L766" s="13"/>
      <c r="M766" s="13"/>
      <c r="N766" s="13"/>
      <c r="O766" s="13"/>
      <c r="P766" s="13"/>
      <c r="Q766" s="13"/>
      <c r="R766" s="13"/>
      <c r="S766" s="13"/>
      <c r="T766" s="13"/>
      <c r="U766" s="12"/>
      <c r="V766" s="14"/>
      <c r="W766" s="16"/>
      <c r="X766" s="16"/>
      <c r="Y766" s="16"/>
      <c r="Z766" s="16"/>
      <c r="AA766" s="15" t="str">
        <f aca="false">IF(AND(ISNUMBER(L766),ISNUMBER(M766)),M766-L766,"")</f>
        <v/>
      </c>
      <c r="AB766" s="15" t="str">
        <f aca="false">IF(AND(ISNUMBER(M766),ISNUMBER(P766)),P766-M766,"")</f>
        <v/>
      </c>
      <c r="AC766" s="15" t="str">
        <f aca="false">IF(AND(ISNUMBER(L766),ISNUMBER(P766)),P766-L766,"")</f>
        <v/>
      </c>
      <c r="AD766" s="15" t="str">
        <f aca="false">IF(AND(ISNUMBER(P766),ISNUMBER(Q766)),Q766-P766,"")</f>
        <v/>
      </c>
      <c r="AE766" s="15" t="str">
        <f aca="false">IF(AND(ISNUMBER(Q766),ISNUMBER(R766)),R766-Q766,IF(ISNUMBER(Y766),Y766,""))</f>
        <v/>
      </c>
      <c r="AF766" s="15" t="str">
        <f aca="false">IF(AND(ISNUMBER(R766),ISNUMBER(S766)),S766-R766,"")</f>
        <v/>
      </c>
      <c r="AG766" s="15" t="str">
        <f aca="false">IF(AND(ISNUMBER(S766),ISNUMBER(T766)),T766-S766,"")</f>
        <v/>
      </c>
      <c r="AH766" s="15" t="str">
        <f aca="false">IF(AND(ISNUMBER(L766),ISNUMBER(T766)),T766-L766,"")</f>
        <v/>
      </c>
      <c r="AI766" s="15" t="str">
        <f aca="false">IF(AND(ISNUMBER(O766),ISNUMBER(Q766)),Q766-O766,"")</f>
        <v/>
      </c>
      <c r="AJ766" s="15" t="str">
        <f aca="false">IF(B766="","",COUNT(L766:M766,P766:T766)&amp;"/7")</f>
        <v/>
      </c>
      <c r="AK766" s="15" t="str">
        <f aca="false">IF(B766="","",IF(OR(AND(ISNUMBER(L766),ISNUMBER(M766),M766&lt;L766),AND(ISNUMBER(M766),ISNUMBER(P766),P766&lt;M766),AND(ISNUMBER(P766),ISNUMBER(Q766),Q766&lt;P766),AND(ISNUMBER(Q766),ISNUMBER(R766),R766&lt;Q766),AND(ISNUMBER(R766),ISNUMBER(S766),S766&lt;R766),AND(ISNUMBER(S766),ISNUMBER(T766),T766&lt;S766),AND(ISNUMBER(N766),ISNUMBER(O766),O766&lt;N766)),"Urutan tanggal salah",IF(AND(ISNUMBER(Q766),ISNUMBER(R766),ISNUMBER(Y766),ABS(R766-Q766-Y766)&gt;2),"S tanggal ≠ Sailing tercatat",IF(AND(ISNUMBER(Q766),ISNUMBER(O766),ABS(Q766-O766)&gt;60),"Cek tahun laycan",IF(AND(ISNUMBER(Q766),ISNUMBER(N766),Q766&lt;N766),"Berangkat sebelum laycan",IF(NOT(ISNUMBER(AE766)),"S belum ada","OK"))))))</f>
        <v/>
      </c>
    </row>
    <row r="767" customFormat="false" ht="15" hidden="false" customHeight="false" outlineLevel="0" collapsed="false">
      <c r="A767" s="16" t="str">
        <f aca="false">IF(B767="","",ROW()-4)</f>
        <v/>
      </c>
      <c r="B767" s="12"/>
      <c r="C767" s="16"/>
      <c r="D767" s="16"/>
      <c r="E767" s="16"/>
      <c r="F767" s="16"/>
      <c r="G767" s="16"/>
      <c r="H767" s="16"/>
      <c r="I767" s="16"/>
      <c r="J767" s="16"/>
      <c r="K767" s="16"/>
      <c r="L767" s="13"/>
      <c r="M767" s="13"/>
      <c r="N767" s="13"/>
      <c r="O767" s="13"/>
      <c r="P767" s="13"/>
      <c r="Q767" s="13"/>
      <c r="R767" s="13"/>
      <c r="S767" s="13"/>
      <c r="T767" s="13"/>
      <c r="U767" s="12"/>
      <c r="V767" s="14"/>
      <c r="W767" s="16"/>
      <c r="X767" s="16"/>
      <c r="Y767" s="16"/>
      <c r="Z767" s="16"/>
      <c r="AA767" s="15" t="str">
        <f aca="false">IF(AND(ISNUMBER(L767),ISNUMBER(M767)),M767-L767,"")</f>
        <v/>
      </c>
      <c r="AB767" s="15" t="str">
        <f aca="false">IF(AND(ISNUMBER(M767),ISNUMBER(P767)),P767-M767,"")</f>
        <v/>
      </c>
      <c r="AC767" s="15" t="str">
        <f aca="false">IF(AND(ISNUMBER(L767),ISNUMBER(P767)),P767-L767,"")</f>
        <v/>
      </c>
      <c r="AD767" s="15" t="str">
        <f aca="false">IF(AND(ISNUMBER(P767),ISNUMBER(Q767)),Q767-P767,"")</f>
        <v/>
      </c>
      <c r="AE767" s="15" t="str">
        <f aca="false">IF(AND(ISNUMBER(Q767),ISNUMBER(R767)),R767-Q767,IF(ISNUMBER(Y767),Y767,""))</f>
        <v/>
      </c>
      <c r="AF767" s="15" t="str">
        <f aca="false">IF(AND(ISNUMBER(R767),ISNUMBER(S767)),S767-R767,"")</f>
        <v/>
      </c>
      <c r="AG767" s="15" t="str">
        <f aca="false">IF(AND(ISNUMBER(S767),ISNUMBER(T767)),T767-S767,"")</f>
        <v/>
      </c>
      <c r="AH767" s="15" t="str">
        <f aca="false">IF(AND(ISNUMBER(L767),ISNUMBER(T767)),T767-L767,"")</f>
        <v/>
      </c>
      <c r="AI767" s="15" t="str">
        <f aca="false">IF(AND(ISNUMBER(O767),ISNUMBER(Q767)),Q767-O767,"")</f>
        <v/>
      </c>
      <c r="AJ767" s="15" t="str">
        <f aca="false">IF(B767="","",COUNT(L767:M767,P767:T767)&amp;"/7")</f>
        <v/>
      </c>
      <c r="AK767" s="15" t="str">
        <f aca="false">IF(B767="","",IF(OR(AND(ISNUMBER(L767),ISNUMBER(M767),M767&lt;L767),AND(ISNUMBER(M767),ISNUMBER(P767),P767&lt;M767),AND(ISNUMBER(P767),ISNUMBER(Q767),Q767&lt;P767),AND(ISNUMBER(Q767),ISNUMBER(R767),R767&lt;Q767),AND(ISNUMBER(R767),ISNUMBER(S767),S767&lt;R767),AND(ISNUMBER(S767),ISNUMBER(T767),T767&lt;S767),AND(ISNUMBER(N767),ISNUMBER(O767),O767&lt;N767)),"Urutan tanggal salah",IF(AND(ISNUMBER(Q767),ISNUMBER(R767),ISNUMBER(Y767),ABS(R767-Q767-Y767)&gt;2),"S tanggal ≠ Sailing tercatat",IF(AND(ISNUMBER(Q767),ISNUMBER(O767),ABS(Q767-O767)&gt;60),"Cek tahun laycan",IF(AND(ISNUMBER(Q767),ISNUMBER(N767),Q767&lt;N767),"Berangkat sebelum laycan",IF(NOT(ISNUMBER(AE767)),"S belum ada","OK"))))))</f>
        <v/>
      </c>
    </row>
    <row r="768" customFormat="false" ht="15" hidden="false" customHeight="false" outlineLevel="0" collapsed="false">
      <c r="A768" s="16" t="str">
        <f aca="false">IF(B768="","",ROW()-4)</f>
        <v/>
      </c>
      <c r="B768" s="12"/>
      <c r="C768" s="16"/>
      <c r="D768" s="16"/>
      <c r="E768" s="16"/>
      <c r="F768" s="16"/>
      <c r="G768" s="16"/>
      <c r="H768" s="16"/>
      <c r="I768" s="16"/>
      <c r="J768" s="16"/>
      <c r="K768" s="16"/>
      <c r="L768" s="13"/>
      <c r="M768" s="13"/>
      <c r="N768" s="13"/>
      <c r="O768" s="13"/>
      <c r="P768" s="13"/>
      <c r="Q768" s="13"/>
      <c r="R768" s="13"/>
      <c r="S768" s="13"/>
      <c r="T768" s="13"/>
      <c r="U768" s="12"/>
      <c r="V768" s="14"/>
      <c r="W768" s="16"/>
      <c r="X768" s="16"/>
      <c r="Y768" s="16"/>
      <c r="Z768" s="16"/>
      <c r="AA768" s="15" t="str">
        <f aca="false">IF(AND(ISNUMBER(L768),ISNUMBER(M768)),M768-L768,"")</f>
        <v/>
      </c>
      <c r="AB768" s="15" t="str">
        <f aca="false">IF(AND(ISNUMBER(M768),ISNUMBER(P768)),P768-M768,"")</f>
        <v/>
      </c>
      <c r="AC768" s="15" t="str">
        <f aca="false">IF(AND(ISNUMBER(L768),ISNUMBER(P768)),P768-L768,"")</f>
        <v/>
      </c>
      <c r="AD768" s="15" t="str">
        <f aca="false">IF(AND(ISNUMBER(P768),ISNUMBER(Q768)),Q768-P768,"")</f>
        <v/>
      </c>
      <c r="AE768" s="15" t="str">
        <f aca="false">IF(AND(ISNUMBER(Q768),ISNUMBER(R768)),R768-Q768,IF(ISNUMBER(Y768),Y768,""))</f>
        <v/>
      </c>
      <c r="AF768" s="15" t="str">
        <f aca="false">IF(AND(ISNUMBER(R768),ISNUMBER(S768)),S768-R768,"")</f>
        <v/>
      </c>
      <c r="AG768" s="15" t="str">
        <f aca="false">IF(AND(ISNUMBER(S768),ISNUMBER(T768)),T768-S768,"")</f>
        <v/>
      </c>
      <c r="AH768" s="15" t="str">
        <f aca="false">IF(AND(ISNUMBER(L768),ISNUMBER(T768)),T768-L768,"")</f>
        <v/>
      </c>
      <c r="AI768" s="15" t="str">
        <f aca="false">IF(AND(ISNUMBER(O768),ISNUMBER(Q768)),Q768-O768,"")</f>
        <v/>
      </c>
      <c r="AJ768" s="15" t="str">
        <f aca="false">IF(B768="","",COUNT(L768:M768,P768:T768)&amp;"/7")</f>
        <v/>
      </c>
      <c r="AK768" s="15" t="str">
        <f aca="false">IF(B768="","",IF(OR(AND(ISNUMBER(L768),ISNUMBER(M768),M768&lt;L768),AND(ISNUMBER(M768),ISNUMBER(P768),P768&lt;M768),AND(ISNUMBER(P768),ISNUMBER(Q768),Q768&lt;P768),AND(ISNUMBER(Q768),ISNUMBER(R768),R768&lt;Q768),AND(ISNUMBER(R768),ISNUMBER(S768),S768&lt;R768),AND(ISNUMBER(S768),ISNUMBER(T768),T768&lt;S768),AND(ISNUMBER(N768),ISNUMBER(O768),O768&lt;N768)),"Urutan tanggal salah",IF(AND(ISNUMBER(Q768),ISNUMBER(R768),ISNUMBER(Y768),ABS(R768-Q768-Y768)&gt;2),"S tanggal ≠ Sailing tercatat",IF(AND(ISNUMBER(Q768),ISNUMBER(O768),ABS(Q768-O768)&gt;60),"Cek tahun laycan",IF(AND(ISNUMBER(Q768),ISNUMBER(N768),Q768&lt;N768),"Berangkat sebelum laycan",IF(NOT(ISNUMBER(AE768)),"S belum ada","OK"))))))</f>
        <v/>
      </c>
    </row>
    <row r="769" customFormat="false" ht="15" hidden="false" customHeight="false" outlineLevel="0" collapsed="false">
      <c r="A769" s="16" t="str">
        <f aca="false">IF(B769="","",ROW()-4)</f>
        <v/>
      </c>
      <c r="B769" s="12"/>
      <c r="C769" s="16"/>
      <c r="D769" s="16"/>
      <c r="E769" s="16"/>
      <c r="F769" s="16"/>
      <c r="G769" s="16"/>
      <c r="H769" s="16"/>
      <c r="I769" s="16"/>
      <c r="J769" s="16"/>
      <c r="K769" s="16"/>
      <c r="L769" s="13"/>
      <c r="M769" s="13"/>
      <c r="N769" s="13"/>
      <c r="O769" s="13"/>
      <c r="P769" s="13"/>
      <c r="Q769" s="13"/>
      <c r="R769" s="13"/>
      <c r="S769" s="13"/>
      <c r="T769" s="13"/>
      <c r="U769" s="12"/>
      <c r="V769" s="14"/>
      <c r="W769" s="16"/>
      <c r="X769" s="16"/>
      <c r="Y769" s="16"/>
      <c r="Z769" s="16"/>
      <c r="AA769" s="15" t="str">
        <f aca="false">IF(AND(ISNUMBER(L769),ISNUMBER(M769)),M769-L769,"")</f>
        <v/>
      </c>
      <c r="AB769" s="15" t="str">
        <f aca="false">IF(AND(ISNUMBER(M769),ISNUMBER(P769)),P769-M769,"")</f>
        <v/>
      </c>
      <c r="AC769" s="15" t="str">
        <f aca="false">IF(AND(ISNUMBER(L769),ISNUMBER(P769)),P769-L769,"")</f>
        <v/>
      </c>
      <c r="AD769" s="15" t="str">
        <f aca="false">IF(AND(ISNUMBER(P769),ISNUMBER(Q769)),Q769-P769,"")</f>
        <v/>
      </c>
      <c r="AE769" s="15" t="str">
        <f aca="false">IF(AND(ISNUMBER(Q769),ISNUMBER(R769)),R769-Q769,IF(ISNUMBER(Y769),Y769,""))</f>
        <v/>
      </c>
      <c r="AF769" s="15" t="str">
        <f aca="false">IF(AND(ISNUMBER(R769),ISNUMBER(S769)),S769-R769,"")</f>
        <v/>
      </c>
      <c r="AG769" s="15" t="str">
        <f aca="false">IF(AND(ISNUMBER(S769),ISNUMBER(T769)),T769-S769,"")</f>
        <v/>
      </c>
      <c r="AH769" s="15" t="str">
        <f aca="false">IF(AND(ISNUMBER(L769),ISNUMBER(T769)),T769-L769,"")</f>
        <v/>
      </c>
      <c r="AI769" s="15" t="str">
        <f aca="false">IF(AND(ISNUMBER(O769),ISNUMBER(Q769)),Q769-O769,"")</f>
        <v/>
      </c>
      <c r="AJ769" s="15" t="str">
        <f aca="false">IF(B769="","",COUNT(L769:M769,P769:T769)&amp;"/7")</f>
        <v/>
      </c>
      <c r="AK769" s="15" t="str">
        <f aca="false">IF(B769="","",IF(OR(AND(ISNUMBER(L769),ISNUMBER(M769),M769&lt;L769),AND(ISNUMBER(M769),ISNUMBER(P769),P769&lt;M769),AND(ISNUMBER(P769),ISNUMBER(Q769),Q769&lt;P769),AND(ISNUMBER(Q769),ISNUMBER(R769),R769&lt;Q769),AND(ISNUMBER(R769),ISNUMBER(S769),S769&lt;R769),AND(ISNUMBER(S769),ISNUMBER(T769),T769&lt;S769),AND(ISNUMBER(N769),ISNUMBER(O769),O769&lt;N769)),"Urutan tanggal salah",IF(AND(ISNUMBER(Q769),ISNUMBER(R769),ISNUMBER(Y769),ABS(R769-Q769-Y769)&gt;2),"S tanggal ≠ Sailing tercatat",IF(AND(ISNUMBER(Q769),ISNUMBER(O769),ABS(Q769-O769)&gt;60),"Cek tahun laycan",IF(AND(ISNUMBER(Q769),ISNUMBER(N769),Q769&lt;N769),"Berangkat sebelum laycan",IF(NOT(ISNUMBER(AE769)),"S belum ada","OK"))))))</f>
        <v/>
      </c>
    </row>
    <row r="770" customFormat="false" ht="15" hidden="false" customHeight="false" outlineLevel="0" collapsed="false">
      <c r="A770" s="16" t="str">
        <f aca="false">IF(B770="","",ROW()-4)</f>
        <v/>
      </c>
      <c r="B770" s="12"/>
      <c r="C770" s="16"/>
      <c r="D770" s="16"/>
      <c r="E770" s="16"/>
      <c r="F770" s="16"/>
      <c r="G770" s="16"/>
      <c r="H770" s="16"/>
      <c r="I770" s="16"/>
      <c r="J770" s="16"/>
      <c r="K770" s="16"/>
      <c r="L770" s="13"/>
      <c r="M770" s="13"/>
      <c r="N770" s="13"/>
      <c r="O770" s="13"/>
      <c r="P770" s="13"/>
      <c r="Q770" s="13"/>
      <c r="R770" s="13"/>
      <c r="S770" s="13"/>
      <c r="T770" s="13"/>
      <c r="U770" s="12"/>
      <c r="V770" s="14"/>
      <c r="W770" s="16"/>
      <c r="X770" s="16"/>
      <c r="Y770" s="16"/>
      <c r="Z770" s="16"/>
      <c r="AA770" s="15" t="str">
        <f aca="false">IF(AND(ISNUMBER(L770),ISNUMBER(M770)),M770-L770,"")</f>
        <v/>
      </c>
      <c r="AB770" s="15" t="str">
        <f aca="false">IF(AND(ISNUMBER(M770),ISNUMBER(P770)),P770-M770,"")</f>
        <v/>
      </c>
      <c r="AC770" s="15" t="str">
        <f aca="false">IF(AND(ISNUMBER(L770),ISNUMBER(P770)),P770-L770,"")</f>
        <v/>
      </c>
      <c r="AD770" s="15" t="str">
        <f aca="false">IF(AND(ISNUMBER(P770),ISNUMBER(Q770)),Q770-P770,"")</f>
        <v/>
      </c>
      <c r="AE770" s="15" t="str">
        <f aca="false">IF(AND(ISNUMBER(Q770),ISNUMBER(R770)),R770-Q770,IF(ISNUMBER(Y770),Y770,""))</f>
        <v/>
      </c>
      <c r="AF770" s="15" t="str">
        <f aca="false">IF(AND(ISNUMBER(R770),ISNUMBER(S770)),S770-R770,"")</f>
        <v/>
      </c>
      <c r="AG770" s="15" t="str">
        <f aca="false">IF(AND(ISNUMBER(S770),ISNUMBER(T770)),T770-S770,"")</f>
        <v/>
      </c>
      <c r="AH770" s="15" t="str">
        <f aca="false">IF(AND(ISNUMBER(L770),ISNUMBER(T770)),T770-L770,"")</f>
        <v/>
      </c>
      <c r="AI770" s="15" t="str">
        <f aca="false">IF(AND(ISNUMBER(O770),ISNUMBER(Q770)),Q770-O770,"")</f>
        <v/>
      </c>
      <c r="AJ770" s="15" t="str">
        <f aca="false">IF(B770="","",COUNT(L770:M770,P770:T770)&amp;"/7")</f>
        <v/>
      </c>
      <c r="AK770" s="15" t="str">
        <f aca="false">IF(B770="","",IF(OR(AND(ISNUMBER(L770),ISNUMBER(M770),M770&lt;L770),AND(ISNUMBER(M770),ISNUMBER(P770),P770&lt;M770),AND(ISNUMBER(P770),ISNUMBER(Q770),Q770&lt;P770),AND(ISNUMBER(Q770),ISNUMBER(R770),R770&lt;Q770),AND(ISNUMBER(R770),ISNUMBER(S770),S770&lt;R770),AND(ISNUMBER(S770),ISNUMBER(T770),T770&lt;S770),AND(ISNUMBER(N770),ISNUMBER(O770),O770&lt;N770)),"Urutan tanggal salah",IF(AND(ISNUMBER(Q770),ISNUMBER(R770),ISNUMBER(Y770),ABS(R770-Q770-Y770)&gt;2),"S tanggal ≠ Sailing tercatat",IF(AND(ISNUMBER(Q770),ISNUMBER(O770),ABS(Q770-O770)&gt;60),"Cek tahun laycan",IF(AND(ISNUMBER(Q770),ISNUMBER(N770),Q770&lt;N770),"Berangkat sebelum laycan",IF(NOT(ISNUMBER(AE770)),"S belum ada","OK"))))))</f>
        <v/>
      </c>
    </row>
    <row r="771" customFormat="false" ht="15" hidden="false" customHeight="false" outlineLevel="0" collapsed="false">
      <c r="A771" s="16" t="str">
        <f aca="false">IF(B771="","",ROW()-4)</f>
        <v/>
      </c>
      <c r="B771" s="12"/>
      <c r="C771" s="16"/>
      <c r="D771" s="16"/>
      <c r="E771" s="16"/>
      <c r="F771" s="16"/>
      <c r="G771" s="16"/>
      <c r="H771" s="16"/>
      <c r="I771" s="16"/>
      <c r="J771" s="16"/>
      <c r="K771" s="16"/>
      <c r="L771" s="13"/>
      <c r="M771" s="13"/>
      <c r="N771" s="13"/>
      <c r="O771" s="13"/>
      <c r="P771" s="13"/>
      <c r="Q771" s="13"/>
      <c r="R771" s="13"/>
      <c r="S771" s="13"/>
      <c r="T771" s="13"/>
      <c r="U771" s="12"/>
      <c r="V771" s="14"/>
      <c r="W771" s="16"/>
      <c r="X771" s="16"/>
      <c r="Y771" s="16"/>
      <c r="Z771" s="16"/>
      <c r="AA771" s="15" t="str">
        <f aca="false">IF(AND(ISNUMBER(L771),ISNUMBER(M771)),M771-L771,"")</f>
        <v/>
      </c>
      <c r="AB771" s="15" t="str">
        <f aca="false">IF(AND(ISNUMBER(M771),ISNUMBER(P771)),P771-M771,"")</f>
        <v/>
      </c>
      <c r="AC771" s="15" t="str">
        <f aca="false">IF(AND(ISNUMBER(L771),ISNUMBER(P771)),P771-L771,"")</f>
        <v/>
      </c>
      <c r="AD771" s="15" t="str">
        <f aca="false">IF(AND(ISNUMBER(P771),ISNUMBER(Q771)),Q771-P771,"")</f>
        <v/>
      </c>
      <c r="AE771" s="15" t="str">
        <f aca="false">IF(AND(ISNUMBER(Q771),ISNUMBER(R771)),R771-Q771,IF(ISNUMBER(Y771),Y771,""))</f>
        <v/>
      </c>
      <c r="AF771" s="15" t="str">
        <f aca="false">IF(AND(ISNUMBER(R771),ISNUMBER(S771)),S771-R771,"")</f>
        <v/>
      </c>
      <c r="AG771" s="15" t="str">
        <f aca="false">IF(AND(ISNUMBER(S771),ISNUMBER(T771)),T771-S771,"")</f>
        <v/>
      </c>
      <c r="AH771" s="15" t="str">
        <f aca="false">IF(AND(ISNUMBER(L771),ISNUMBER(T771)),T771-L771,"")</f>
        <v/>
      </c>
      <c r="AI771" s="15" t="str">
        <f aca="false">IF(AND(ISNUMBER(O771),ISNUMBER(Q771)),Q771-O771,"")</f>
        <v/>
      </c>
      <c r="AJ771" s="15" t="str">
        <f aca="false">IF(B771="","",COUNT(L771:M771,P771:T771)&amp;"/7")</f>
        <v/>
      </c>
      <c r="AK771" s="15" t="str">
        <f aca="false">IF(B771="","",IF(OR(AND(ISNUMBER(L771),ISNUMBER(M771),M771&lt;L771),AND(ISNUMBER(M771),ISNUMBER(P771),P771&lt;M771),AND(ISNUMBER(P771),ISNUMBER(Q771),Q771&lt;P771),AND(ISNUMBER(Q771),ISNUMBER(R771),R771&lt;Q771),AND(ISNUMBER(R771),ISNUMBER(S771),S771&lt;R771),AND(ISNUMBER(S771),ISNUMBER(T771),T771&lt;S771),AND(ISNUMBER(N771),ISNUMBER(O771),O771&lt;N771)),"Urutan tanggal salah",IF(AND(ISNUMBER(Q771),ISNUMBER(R771),ISNUMBER(Y771),ABS(R771-Q771-Y771)&gt;2),"S tanggal ≠ Sailing tercatat",IF(AND(ISNUMBER(Q771),ISNUMBER(O771),ABS(Q771-O771)&gt;60),"Cek tahun laycan",IF(AND(ISNUMBER(Q771),ISNUMBER(N771),Q771&lt;N771),"Berangkat sebelum laycan",IF(NOT(ISNUMBER(AE771)),"S belum ada","OK"))))))</f>
        <v/>
      </c>
    </row>
    <row r="772" customFormat="false" ht="15" hidden="false" customHeight="false" outlineLevel="0" collapsed="false">
      <c r="A772" s="16" t="str">
        <f aca="false">IF(B772="","",ROW()-4)</f>
        <v/>
      </c>
      <c r="B772" s="12"/>
      <c r="C772" s="16"/>
      <c r="D772" s="16"/>
      <c r="E772" s="16"/>
      <c r="F772" s="16"/>
      <c r="G772" s="16"/>
      <c r="H772" s="16"/>
      <c r="I772" s="16"/>
      <c r="J772" s="16"/>
      <c r="K772" s="16"/>
      <c r="L772" s="13"/>
      <c r="M772" s="13"/>
      <c r="N772" s="13"/>
      <c r="O772" s="13"/>
      <c r="P772" s="13"/>
      <c r="Q772" s="13"/>
      <c r="R772" s="13"/>
      <c r="S772" s="13"/>
      <c r="T772" s="13"/>
      <c r="U772" s="12"/>
      <c r="V772" s="14"/>
      <c r="W772" s="16"/>
      <c r="X772" s="16"/>
      <c r="Y772" s="16"/>
      <c r="Z772" s="16"/>
      <c r="AA772" s="15" t="str">
        <f aca="false">IF(AND(ISNUMBER(L772),ISNUMBER(M772)),M772-L772,"")</f>
        <v/>
      </c>
      <c r="AB772" s="15" t="str">
        <f aca="false">IF(AND(ISNUMBER(M772),ISNUMBER(P772)),P772-M772,"")</f>
        <v/>
      </c>
      <c r="AC772" s="15" t="str">
        <f aca="false">IF(AND(ISNUMBER(L772),ISNUMBER(P772)),P772-L772,"")</f>
        <v/>
      </c>
      <c r="AD772" s="15" t="str">
        <f aca="false">IF(AND(ISNUMBER(P772),ISNUMBER(Q772)),Q772-P772,"")</f>
        <v/>
      </c>
      <c r="AE772" s="15" t="str">
        <f aca="false">IF(AND(ISNUMBER(Q772),ISNUMBER(R772)),R772-Q772,IF(ISNUMBER(Y772),Y772,""))</f>
        <v/>
      </c>
      <c r="AF772" s="15" t="str">
        <f aca="false">IF(AND(ISNUMBER(R772),ISNUMBER(S772)),S772-R772,"")</f>
        <v/>
      </c>
      <c r="AG772" s="15" t="str">
        <f aca="false">IF(AND(ISNUMBER(S772),ISNUMBER(T772)),T772-S772,"")</f>
        <v/>
      </c>
      <c r="AH772" s="15" t="str">
        <f aca="false">IF(AND(ISNUMBER(L772),ISNUMBER(T772)),T772-L772,"")</f>
        <v/>
      </c>
      <c r="AI772" s="15" t="str">
        <f aca="false">IF(AND(ISNUMBER(O772),ISNUMBER(Q772)),Q772-O772,"")</f>
        <v/>
      </c>
      <c r="AJ772" s="15" t="str">
        <f aca="false">IF(B772="","",COUNT(L772:M772,P772:T772)&amp;"/7")</f>
        <v/>
      </c>
      <c r="AK772" s="15" t="str">
        <f aca="false">IF(B772="","",IF(OR(AND(ISNUMBER(L772),ISNUMBER(M772),M772&lt;L772),AND(ISNUMBER(M772),ISNUMBER(P772),P772&lt;M772),AND(ISNUMBER(P772),ISNUMBER(Q772),Q772&lt;P772),AND(ISNUMBER(Q772),ISNUMBER(R772),R772&lt;Q772),AND(ISNUMBER(R772),ISNUMBER(S772),S772&lt;R772),AND(ISNUMBER(S772),ISNUMBER(T772),T772&lt;S772),AND(ISNUMBER(N772),ISNUMBER(O772),O772&lt;N772)),"Urutan tanggal salah",IF(AND(ISNUMBER(Q772),ISNUMBER(R772),ISNUMBER(Y772),ABS(R772-Q772-Y772)&gt;2),"S tanggal ≠ Sailing tercatat",IF(AND(ISNUMBER(Q772),ISNUMBER(O772),ABS(Q772-O772)&gt;60),"Cek tahun laycan",IF(AND(ISNUMBER(Q772),ISNUMBER(N772),Q772&lt;N772),"Berangkat sebelum laycan",IF(NOT(ISNUMBER(AE772)),"S belum ada","OK"))))))</f>
        <v/>
      </c>
    </row>
    <row r="773" customFormat="false" ht="15" hidden="false" customHeight="false" outlineLevel="0" collapsed="false">
      <c r="A773" s="16" t="str">
        <f aca="false">IF(B773="","",ROW()-4)</f>
        <v/>
      </c>
      <c r="B773" s="12"/>
      <c r="C773" s="16"/>
      <c r="D773" s="16"/>
      <c r="E773" s="16"/>
      <c r="F773" s="16"/>
      <c r="G773" s="16"/>
      <c r="H773" s="16"/>
      <c r="I773" s="16"/>
      <c r="J773" s="16"/>
      <c r="K773" s="16"/>
      <c r="L773" s="13"/>
      <c r="M773" s="13"/>
      <c r="N773" s="13"/>
      <c r="O773" s="13"/>
      <c r="P773" s="13"/>
      <c r="Q773" s="13"/>
      <c r="R773" s="13"/>
      <c r="S773" s="13"/>
      <c r="T773" s="13"/>
      <c r="U773" s="12"/>
      <c r="V773" s="14"/>
      <c r="W773" s="16"/>
      <c r="X773" s="16"/>
      <c r="Y773" s="16"/>
      <c r="Z773" s="16"/>
      <c r="AA773" s="15" t="str">
        <f aca="false">IF(AND(ISNUMBER(L773),ISNUMBER(M773)),M773-L773,"")</f>
        <v/>
      </c>
      <c r="AB773" s="15" t="str">
        <f aca="false">IF(AND(ISNUMBER(M773),ISNUMBER(P773)),P773-M773,"")</f>
        <v/>
      </c>
      <c r="AC773" s="15" t="str">
        <f aca="false">IF(AND(ISNUMBER(L773),ISNUMBER(P773)),P773-L773,"")</f>
        <v/>
      </c>
      <c r="AD773" s="15" t="str">
        <f aca="false">IF(AND(ISNUMBER(P773),ISNUMBER(Q773)),Q773-P773,"")</f>
        <v/>
      </c>
      <c r="AE773" s="15" t="str">
        <f aca="false">IF(AND(ISNUMBER(Q773),ISNUMBER(R773)),R773-Q773,IF(ISNUMBER(Y773),Y773,""))</f>
        <v/>
      </c>
      <c r="AF773" s="15" t="str">
        <f aca="false">IF(AND(ISNUMBER(R773),ISNUMBER(S773)),S773-R773,"")</f>
        <v/>
      </c>
      <c r="AG773" s="15" t="str">
        <f aca="false">IF(AND(ISNUMBER(S773),ISNUMBER(T773)),T773-S773,"")</f>
        <v/>
      </c>
      <c r="AH773" s="15" t="str">
        <f aca="false">IF(AND(ISNUMBER(L773),ISNUMBER(T773)),T773-L773,"")</f>
        <v/>
      </c>
      <c r="AI773" s="15" t="str">
        <f aca="false">IF(AND(ISNUMBER(O773),ISNUMBER(Q773)),Q773-O773,"")</f>
        <v/>
      </c>
      <c r="AJ773" s="15" t="str">
        <f aca="false">IF(B773="","",COUNT(L773:M773,P773:T773)&amp;"/7")</f>
        <v/>
      </c>
      <c r="AK773" s="15" t="str">
        <f aca="false">IF(B773="","",IF(OR(AND(ISNUMBER(L773),ISNUMBER(M773),M773&lt;L773),AND(ISNUMBER(M773),ISNUMBER(P773),P773&lt;M773),AND(ISNUMBER(P773),ISNUMBER(Q773),Q773&lt;P773),AND(ISNUMBER(Q773),ISNUMBER(R773),R773&lt;Q773),AND(ISNUMBER(R773),ISNUMBER(S773),S773&lt;R773),AND(ISNUMBER(S773),ISNUMBER(T773),T773&lt;S773),AND(ISNUMBER(N773),ISNUMBER(O773),O773&lt;N773)),"Urutan tanggal salah",IF(AND(ISNUMBER(Q773),ISNUMBER(R773),ISNUMBER(Y773),ABS(R773-Q773-Y773)&gt;2),"S tanggal ≠ Sailing tercatat",IF(AND(ISNUMBER(Q773),ISNUMBER(O773),ABS(Q773-O773)&gt;60),"Cek tahun laycan",IF(AND(ISNUMBER(Q773),ISNUMBER(N773),Q773&lt;N773),"Berangkat sebelum laycan",IF(NOT(ISNUMBER(AE773)),"S belum ada","OK"))))))</f>
        <v/>
      </c>
    </row>
    <row r="774" customFormat="false" ht="15" hidden="false" customHeight="false" outlineLevel="0" collapsed="false">
      <c r="A774" s="16" t="str">
        <f aca="false">IF(B774="","",ROW()-4)</f>
        <v/>
      </c>
      <c r="B774" s="12"/>
      <c r="C774" s="16"/>
      <c r="D774" s="16"/>
      <c r="E774" s="16"/>
      <c r="F774" s="16"/>
      <c r="G774" s="16"/>
      <c r="H774" s="16"/>
      <c r="I774" s="16"/>
      <c r="J774" s="16"/>
      <c r="K774" s="16"/>
      <c r="L774" s="13"/>
      <c r="M774" s="13"/>
      <c r="N774" s="13"/>
      <c r="O774" s="13"/>
      <c r="P774" s="13"/>
      <c r="Q774" s="13"/>
      <c r="R774" s="13"/>
      <c r="S774" s="13"/>
      <c r="T774" s="13"/>
      <c r="U774" s="12"/>
      <c r="V774" s="14"/>
      <c r="W774" s="16"/>
      <c r="X774" s="16"/>
      <c r="Y774" s="16"/>
      <c r="Z774" s="16"/>
      <c r="AA774" s="15" t="str">
        <f aca="false">IF(AND(ISNUMBER(L774),ISNUMBER(M774)),M774-L774,"")</f>
        <v/>
      </c>
      <c r="AB774" s="15" t="str">
        <f aca="false">IF(AND(ISNUMBER(M774),ISNUMBER(P774)),P774-M774,"")</f>
        <v/>
      </c>
      <c r="AC774" s="15" t="str">
        <f aca="false">IF(AND(ISNUMBER(L774),ISNUMBER(P774)),P774-L774,"")</f>
        <v/>
      </c>
      <c r="AD774" s="15" t="str">
        <f aca="false">IF(AND(ISNUMBER(P774),ISNUMBER(Q774)),Q774-P774,"")</f>
        <v/>
      </c>
      <c r="AE774" s="15" t="str">
        <f aca="false">IF(AND(ISNUMBER(Q774),ISNUMBER(R774)),R774-Q774,IF(ISNUMBER(Y774),Y774,""))</f>
        <v/>
      </c>
      <c r="AF774" s="15" t="str">
        <f aca="false">IF(AND(ISNUMBER(R774),ISNUMBER(S774)),S774-R774,"")</f>
        <v/>
      </c>
      <c r="AG774" s="15" t="str">
        <f aca="false">IF(AND(ISNUMBER(S774),ISNUMBER(T774)),T774-S774,"")</f>
        <v/>
      </c>
      <c r="AH774" s="15" t="str">
        <f aca="false">IF(AND(ISNUMBER(L774),ISNUMBER(T774)),T774-L774,"")</f>
        <v/>
      </c>
      <c r="AI774" s="15" t="str">
        <f aca="false">IF(AND(ISNUMBER(O774),ISNUMBER(Q774)),Q774-O774,"")</f>
        <v/>
      </c>
      <c r="AJ774" s="15" t="str">
        <f aca="false">IF(B774="","",COUNT(L774:M774,P774:T774)&amp;"/7")</f>
        <v/>
      </c>
      <c r="AK774" s="15" t="str">
        <f aca="false">IF(B774="","",IF(OR(AND(ISNUMBER(L774),ISNUMBER(M774),M774&lt;L774),AND(ISNUMBER(M774),ISNUMBER(P774),P774&lt;M774),AND(ISNUMBER(P774),ISNUMBER(Q774),Q774&lt;P774),AND(ISNUMBER(Q774),ISNUMBER(R774),R774&lt;Q774),AND(ISNUMBER(R774),ISNUMBER(S774),S774&lt;R774),AND(ISNUMBER(S774),ISNUMBER(T774),T774&lt;S774),AND(ISNUMBER(N774),ISNUMBER(O774),O774&lt;N774)),"Urutan tanggal salah",IF(AND(ISNUMBER(Q774),ISNUMBER(R774),ISNUMBER(Y774),ABS(R774-Q774-Y774)&gt;2),"S tanggal ≠ Sailing tercatat",IF(AND(ISNUMBER(Q774),ISNUMBER(O774),ABS(Q774-O774)&gt;60),"Cek tahun laycan",IF(AND(ISNUMBER(Q774),ISNUMBER(N774),Q774&lt;N774),"Berangkat sebelum laycan",IF(NOT(ISNUMBER(AE774)),"S belum ada","OK"))))))</f>
        <v/>
      </c>
    </row>
    <row r="775" customFormat="false" ht="15" hidden="false" customHeight="false" outlineLevel="0" collapsed="false">
      <c r="A775" s="16" t="str">
        <f aca="false">IF(B775="","",ROW()-4)</f>
        <v/>
      </c>
      <c r="B775" s="12"/>
      <c r="C775" s="16"/>
      <c r="D775" s="16"/>
      <c r="E775" s="16"/>
      <c r="F775" s="16"/>
      <c r="G775" s="16"/>
      <c r="H775" s="16"/>
      <c r="I775" s="16"/>
      <c r="J775" s="16"/>
      <c r="K775" s="16"/>
      <c r="L775" s="13"/>
      <c r="M775" s="13"/>
      <c r="N775" s="13"/>
      <c r="O775" s="13"/>
      <c r="P775" s="13"/>
      <c r="Q775" s="13"/>
      <c r="R775" s="13"/>
      <c r="S775" s="13"/>
      <c r="T775" s="13"/>
      <c r="U775" s="12"/>
      <c r="V775" s="14"/>
      <c r="W775" s="16"/>
      <c r="X775" s="16"/>
      <c r="Y775" s="16"/>
      <c r="Z775" s="16"/>
      <c r="AA775" s="15" t="str">
        <f aca="false">IF(AND(ISNUMBER(L775),ISNUMBER(M775)),M775-L775,"")</f>
        <v/>
      </c>
      <c r="AB775" s="15" t="str">
        <f aca="false">IF(AND(ISNUMBER(M775),ISNUMBER(P775)),P775-M775,"")</f>
        <v/>
      </c>
      <c r="AC775" s="15" t="str">
        <f aca="false">IF(AND(ISNUMBER(L775),ISNUMBER(P775)),P775-L775,"")</f>
        <v/>
      </c>
      <c r="AD775" s="15" t="str">
        <f aca="false">IF(AND(ISNUMBER(P775),ISNUMBER(Q775)),Q775-P775,"")</f>
        <v/>
      </c>
      <c r="AE775" s="15" t="str">
        <f aca="false">IF(AND(ISNUMBER(Q775),ISNUMBER(R775)),R775-Q775,IF(ISNUMBER(Y775),Y775,""))</f>
        <v/>
      </c>
      <c r="AF775" s="15" t="str">
        <f aca="false">IF(AND(ISNUMBER(R775),ISNUMBER(S775)),S775-R775,"")</f>
        <v/>
      </c>
      <c r="AG775" s="15" t="str">
        <f aca="false">IF(AND(ISNUMBER(S775),ISNUMBER(T775)),T775-S775,"")</f>
        <v/>
      </c>
      <c r="AH775" s="15" t="str">
        <f aca="false">IF(AND(ISNUMBER(L775),ISNUMBER(T775)),T775-L775,"")</f>
        <v/>
      </c>
      <c r="AI775" s="15" t="str">
        <f aca="false">IF(AND(ISNUMBER(O775),ISNUMBER(Q775)),Q775-O775,"")</f>
        <v/>
      </c>
      <c r="AJ775" s="15" t="str">
        <f aca="false">IF(B775="","",COUNT(L775:M775,P775:T775)&amp;"/7")</f>
        <v/>
      </c>
      <c r="AK775" s="15" t="str">
        <f aca="false">IF(B775="","",IF(OR(AND(ISNUMBER(L775),ISNUMBER(M775),M775&lt;L775),AND(ISNUMBER(M775),ISNUMBER(P775),P775&lt;M775),AND(ISNUMBER(P775),ISNUMBER(Q775),Q775&lt;P775),AND(ISNUMBER(Q775),ISNUMBER(R775),R775&lt;Q775),AND(ISNUMBER(R775),ISNUMBER(S775),S775&lt;R775),AND(ISNUMBER(S775),ISNUMBER(T775),T775&lt;S775),AND(ISNUMBER(N775),ISNUMBER(O775),O775&lt;N775)),"Urutan tanggal salah",IF(AND(ISNUMBER(Q775),ISNUMBER(R775),ISNUMBER(Y775),ABS(R775-Q775-Y775)&gt;2),"S tanggal ≠ Sailing tercatat",IF(AND(ISNUMBER(Q775),ISNUMBER(O775),ABS(Q775-O775)&gt;60),"Cek tahun laycan",IF(AND(ISNUMBER(Q775),ISNUMBER(N775),Q775&lt;N775),"Berangkat sebelum laycan",IF(NOT(ISNUMBER(AE775)),"S belum ada","OK"))))))</f>
        <v/>
      </c>
    </row>
    <row r="776" customFormat="false" ht="15" hidden="false" customHeight="false" outlineLevel="0" collapsed="false">
      <c r="A776" s="16" t="str">
        <f aca="false">IF(B776="","",ROW()-4)</f>
        <v/>
      </c>
      <c r="B776" s="12"/>
      <c r="C776" s="16"/>
      <c r="D776" s="16"/>
      <c r="E776" s="16"/>
      <c r="F776" s="16"/>
      <c r="G776" s="16"/>
      <c r="H776" s="16"/>
      <c r="I776" s="16"/>
      <c r="J776" s="16"/>
      <c r="K776" s="16"/>
      <c r="L776" s="13"/>
      <c r="M776" s="13"/>
      <c r="N776" s="13"/>
      <c r="O776" s="13"/>
      <c r="P776" s="13"/>
      <c r="Q776" s="13"/>
      <c r="R776" s="13"/>
      <c r="S776" s="13"/>
      <c r="T776" s="13"/>
      <c r="U776" s="12"/>
      <c r="V776" s="14"/>
      <c r="W776" s="16"/>
      <c r="X776" s="16"/>
      <c r="Y776" s="16"/>
      <c r="Z776" s="16"/>
      <c r="AA776" s="15" t="str">
        <f aca="false">IF(AND(ISNUMBER(L776),ISNUMBER(M776)),M776-L776,"")</f>
        <v/>
      </c>
      <c r="AB776" s="15" t="str">
        <f aca="false">IF(AND(ISNUMBER(M776),ISNUMBER(P776)),P776-M776,"")</f>
        <v/>
      </c>
      <c r="AC776" s="15" t="str">
        <f aca="false">IF(AND(ISNUMBER(L776),ISNUMBER(P776)),P776-L776,"")</f>
        <v/>
      </c>
      <c r="AD776" s="15" t="str">
        <f aca="false">IF(AND(ISNUMBER(P776),ISNUMBER(Q776)),Q776-P776,"")</f>
        <v/>
      </c>
      <c r="AE776" s="15" t="str">
        <f aca="false">IF(AND(ISNUMBER(Q776),ISNUMBER(R776)),R776-Q776,IF(ISNUMBER(Y776),Y776,""))</f>
        <v/>
      </c>
      <c r="AF776" s="15" t="str">
        <f aca="false">IF(AND(ISNUMBER(R776),ISNUMBER(S776)),S776-R776,"")</f>
        <v/>
      </c>
      <c r="AG776" s="15" t="str">
        <f aca="false">IF(AND(ISNUMBER(S776),ISNUMBER(T776)),T776-S776,"")</f>
        <v/>
      </c>
      <c r="AH776" s="15" t="str">
        <f aca="false">IF(AND(ISNUMBER(L776),ISNUMBER(T776)),T776-L776,"")</f>
        <v/>
      </c>
      <c r="AI776" s="15" t="str">
        <f aca="false">IF(AND(ISNUMBER(O776),ISNUMBER(Q776)),Q776-O776,"")</f>
        <v/>
      </c>
      <c r="AJ776" s="15" t="str">
        <f aca="false">IF(B776="","",COUNT(L776:M776,P776:T776)&amp;"/7")</f>
        <v/>
      </c>
      <c r="AK776" s="15" t="str">
        <f aca="false">IF(B776="","",IF(OR(AND(ISNUMBER(L776),ISNUMBER(M776),M776&lt;L776),AND(ISNUMBER(M776),ISNUMBER(P776),P776&lt;M776),AND(ISNUMBER(P776),ISNUMBER(Q776),Q776&lt;P776),AND(ISNUMBER(Q776),ISNUMBER(R776),R776&lt;Q776),AND(ISNUMBER(R776),ISNUMBER(S776),S776&lt;R776),AND(ISNUMBER(S776),ISNUMBER(T776),T776&lt;S776),AND(ISNUMBER(N776),ISNUMBER(O776),O776&lt;N776)),"Urutan tanggal salah",IF(AND(ISNUMBER(Q776),ISNUMBER(R776),ISNUMBER(Y776),ABS(R776-Q776-Y776)&gt;2),"S tanggal ≠ Sailing tercatat",IF(AND(ISNUMBER(Q776),ISNUMBER(O776),ABS(Q776-O776)&gt;60),"Cek tahun laycan",IF(AND(ISNUMBER(Q776),ISNUMBER(N776),Q776&lt;N776),"Berangkat sebelum laycan",IF(NOT(ISNUMBER(AE776)),"S belum ada","OK"))))))</f>
        <v/>
      </c>
    </row>
    <row r="777" customFormat="false" ht="15" hidden="false" customHeight="false" outlineLevel="0" collapsed="false">
      <c r="A777" s="16" t="str">
        <f aca="false">IF(B777="","",ROW()-4)</f>
        <v/>
      </c>
      <c r="B777" s="12"/>
      <c r="C777" s="16"/>
      <c r="D777" s="16"/>
      <c r="E777" s="16"/>
      <c r="F777" s="16"/>
      <c r="G777" s="16"/>
      <c r="H777" s="16"/>
      <c r="I777" s="16"/>
      <c r="J777" s="16"/>
      <c r="K777" s="16"/>
      <c r="L777" s="13"/>
      <c r="M777" s="13"/>
      <c r="N777" s="13"/>
      <c r="O777" s="13"/>
      <c r="P777" s="13"/>
      <c r="Q777" s="13"/>
      <c r="R777" s="13"/>
      <c r="S777" s="13"/>
      <c r="T777" s="13"/>
      <c r="U777" s="12"/>
      <c r="V777" s="14"/>
      <c r="W777" s="16"/>
      <c r="X777" s="16"/>
      <c r="Y777" s="16"/>
      <c r="Z777" s="16"/>
      <c r="AA777" s="15" t="str">
        <f aca="false">IF(AND(ISNUMBER(L777),ISNUMBER(M777)),M777-L777,"")</f>
        <v/>
      </c>
      <c r="AB777" s="15" t="str">
        <f aca="false">IF(AND(ISNUMBER(M777),ISNUMBER(P777)),P777-M777,"")</f>
        <v/>
      </c>
      <c r="AC777" s="15" t="str">
        <f aca="false">IF(AND(ISNUMBER(L777),ISNUMBER(P777)),P777-L777,"")</f>
        <v/>
      </c>
      <c r="AD777" s="15" t="str">
        <f aca="false">IF(AND(ISNUMBER(P777),ISNUMBER(Q777)),Q777-P777,"")</f>
        <v/>
      </c>
      <c r="AE777" s="15" t="str">
        <f aca="false">IF(AND(ISNUMBER(Q777),ISNUMBER(R777)),R777-Q777,IF(ISNUMBER(Y777),Y777,""))</f>
        <v/>
      </c>
      <c r="AF777" s="15" t="str">
        <f aca="false">IF(AND(ISNUMBER(R777),ISNUMBER(S777)),S777-R777,"")</f>
        <v/>
      </c>
      <c r="AG777" s="15" t="str">
        <f aca="false">IF(AND(ISNUMBER(S777),ISNUMBER(T777)),T777-S777,"")</f>
        <v/>
      </c>
      <c r="AH777" s="15" t="str">
        <f aca="false">IF(AND(ISNUMBER(L777),ISNUMBER(T777)),T777-L777,"")</f>
        <v/>
      </c>
      <c r="AI777" s="15" t="str">
        <f aca="false">IF(AND(ISNUMBER(O777),ISNUMBER(Q777)),Q777-O777,"")</f>
        <v/>
      </c>
      <c r="AJ777" s="15" t="str">
        <f aca="false">IF(B777="","",COUNT(L777:M777,P777:T777)&amp;"/7")</f>
        <v/>
      </c>
      <c r="AK777" s="15" t="str">
        <f aca="false">IF(B777="","",IF(OR(AND(ISNUMBER(L777),ISNUMBER(M777),M777&lt;L777),AND(ISNUMBER(M777),ISNUMBER(P777),P777&lt;M777),AND(ISNUMBER(P777),ISNUMBER(Q777),Q777&lt;P777),AND(ISNUMBER(Q777),ISNUMBER(R777),R777&lt;Q777),AND(ISNUMBER(R777),ISNUMBER(S777),S777&lt;R777),AND(ISNUMBER(S777),ISNUMBER(T777),T777&lt;S777),AND(ISNUMBER(N777),ISNUMBER(O777),O777&lt;N777)),"Urutan tanggal salah",IF(AND(ISNUMBER(Q777),ISNUMBER(R777),ISNUMBER(Y777),ABS(R777-Q777-Y777)&gt;2),"S tanggal ≠ Sailing tercatat",IF(AND(ISNUMBER(Q777),ISNUMBER(O777),ABS(Q777-O777)&gt;60),"Cek tahun laycan",IF(AND(ISNUMBER(Q777),ISNUMBER(N777),Q777&lt;N777),"Berangkat sebelum laycan",IF(NOT(ISNUMBER(AE777)),"S belum ada","OK"))))))</f>
        <v/>
      </c>
    </row>
    <row r="778" customFormat="false" ht="15" hidden="false" customHeight="false" outlineLevel="0" collapsed="false">
      <c r="A778" s="16" t="str">
        <f aca="false">IF(B778="","",ROW()-4)</f>
        <v/>
      </c>
      <c r="B778" s="12"/>
      <c r="C778" s="16"/>
      <c r="D778" s="16"/>
      <c r="E778" s="16"/>
      <c r="F778" s="16"/>
      <c r="G778" s="16"/>
      <c r="H778" s="16"/>
      <c r="I778" s="16"/>
      <c r="J778" s="16"/>
      <c r="K778" s="16"/>
      <c r="L778" s="13"/>
      <c r="M778" s="13"/>
      <c r="N778" s="13"/>
      <c r="O778" s="13"/>
      <c r="P778" s="13"/>
      <c r="Q778" s="13"/>
      <c r="R778" s="13"/>
      <c r="S778" s="13"/>
      <c r="T778" s="13"/>
      <c r="U778" s="12"/>
      <c r="V778" s="14"/>
      <c r="W778" s="16"/>
      <c r="X778" s="16"/>
      <c r="Y778" s="16"/>
      <c r="Z778" s="16"/>
      <c r="AA778" s="15" t="str">
        <f aca="false">IF(AND(ISNUMBER(L778),ISNUMBER(M778)),M778-L778,"")</f>
        <v/>
      </c>
      <c r="AB778" s="15" t="str">
        <f aca="false">IF(AND(ISNUMBER(M778),ISNUMBER(P778)),P778-M778,"")</f>
        <v/>
      </c>
      <c r="AC778" s="15" t="str">
        <f aca="false">IF(AND(ISNUMBER(L778),ISNUMBER(P778)),P778-L778,"")</f>
        <v/>
      </c>
      <c r="AD778" s="15" t="str">
        <f aca="false">IF(AND(ISNUMBER(P778),ISNUMBER(Q778)),Q778-P778,"")</f>
        <v/>
      </c>
      <c r="AE778" s="15" t="str">
        <f aca="false">IF(AND(ISNUMBER(Q778),ISNUMBER(R778)),R778-Q778,IF(ISNUMBER(Y778),Y778,""))</f>
        <v/>
      </c>
      <c r="AF778" s="15" t="str">
        <f aca="false">IF(AND(ISNUMBER(R778),ISNUMBER(S778)),S778-R778,"")</f>
        <v/>
      </c>
      <c r="AG778" s="15" t="str">
        <f aca="false">IF(AND(ISNUMBER(S778),ISNUMBER(T778)),T778-S778,"")</f>
        <v/>
      </c>
      <c r="AH778" s="15" t="str">
        <f aca="false">IF(AND(ISNUMBER(L778),ISNUMBER(T778)),T778-L778,"")</f>
        <v/>
      </c>
      <c r="AI778" s="15" t="str">
        <f aca="false">IF(AND(ISNUMBER(O778),ISNUMBER(Q778)),Q778-O778,"")</f>
        <v/>
      </c>
      <c r="AJ778" s="15" t="str">
        <f aca="false">IF(B778="","",COUNT(L778:M778,P778:T778)&amp;"/7")</f>
        <v/>
      </c>
      <c r="AK778" s="15" t="str">
        <f aca="false">IF(B778="","",IF(OR(AND(ISNUMBER(L778),ISNUMBER(M778),M778&lt;L778),AND(ISNUMBER(M778),ISNUMBER(P778),P778&lt;M778),AND(ISNUMBER(P778),ISNUMBER(Q778),Q778&lt;P778),AND(ISNUMBER(Q778),ISNUMBER(R778),R778&lt;Q778),AND(ISNUMBER(R778),ISNUMBER(S778),S778&lt;R778),AND(ISNUMBER(S778),ISNUMBER(T778),T778&lt;S778),AND(ISNUMBER(N778),ISNUMBER(O778),O778&lt;N778)),"Urutan tanggal salah",IF(AND(ISNUMBER(Q778),ISNUMBER(R778),ISNUMBER(Y778),ABS(R778-Q778-Y778)&gt;2),"S tanggal ≠ Sailing tercatat",IF(AND(ISNUMBER(Q778),ISNUMBER(O778),ABS(Q778-O778)&gt;60),"Cek tahun laycan",IF(AND(ISNUMBER(Q778),ISNUMBER(N778),Q778&lt;N778),"Berangkat sebelum laycan",IF(NOT(ISNUMBER(AE778)),"S belum ada","OK"))))))</f>
        <v/>
      </c>
    </row>
    <row r="779" customFormat="false" ht="15" hidden="false" customHeight="false" outlineLevel="0" collapsed="false">
      <c r="A779" s="16" t="str">
        <f aca="false">IF(B779="","",ROW()-4)</f>
        <v/>
      </c>
      <c r="B779" s="12"/>
      <c r="C779" s="16"/>
      <c r="D779" s="16"/>
      <c r="E779" s="16"/>
      <c r="F779" s="16"/>
      <c r="G779" s="16"/>
      <c r="H779" s="16"/>
      <c r="I779" s="16"/>
      <c r="J779" s="16"/>
      <c r="K779" s="16"/>
      <c r="L779" s="13"/>
      <c r="M779" s="13"/>
      <c r="N779" s="13"/>
      <c r="O779" s="13"/>
      <c r="P779" s="13"/>
      <c r="Q779" s="13"/>
      <c r="R779" s="13"/>
      <c r="S779" s="13"/>
      <c r="T779" s="13"/>
      <c r="U779" s="12"/>
      <c r="V779" s="14"/>
      <c r="W779" s="16"/>
      <c r="X779" s="16"/>
      <c r="Y779" s="16"/>
      <c r="Z779" s="16"/>
      <c r="AA779" s="15" t="str">
        <f aca="false">IF(AND(ISNUMBER(L779),ISNUMBER(M779)),M779-L779,"")</f>
        <v/>
      </c>
      <c r="AB779" s="15" t="str">
        <f aca="false">IF(AND(ISNUMBER(M779),ISNUMBER(P779)),P779-M779,"")</f>
        <v/>
      </c>
      <c r="AC779" s="15" t="str">
        <f aca="false">IF(AND(ISNUMBER(L779),ISNUMBER(P779)),P779-L779,"")</f>
        <v/>
      </c>
      <c r="AD779" s="15" t="str">
        <f aca="false">IF(AND(ISNUMBER(P779),ISNUMBER(Q779)),Q779-P779,"")</f>
        <v/>
      </c>
      <c r="AE779" s="15" t="str">
        <f aca="false">IF(AND(ISNUMBER(Q779),ISNUMBER(R779)),R779-Q779,IF(ISNUMBER(Y779),Y779,""))</f>
        <v/>
      </c>
      <c r="AF779" s="15" t="str">
        <f aca="false">IF(AND(ISNUMBER(R779),ISNUMBER(S779)),S779-R779,"")</f>
        <v/>
      </c>
      <c r="AG779" s="15" t="str">
        <f aca="false">IF(AND(ISNUMBER(S779),ISNUMBER(T779)),T779-S779,"")</f>
        <v/>
      </c>
      <c r="AH779" s="15" t="str">
        <f aca="false">IF(AND(ISNUMBER(L779),ISNUMBER(T779)),T779-L779,"")</f>
        <v/>
      </c>
      <c r="AI779" s="15" t="str">
        <f aca="false">IF(AND(ISNUMBER(O779),ISNUMBER(Q779)),Q779-O779,"")</f>
        <v/>
      </c>
      <c r="AJ779" s="15" t="str">
        <f aca="false">IF(B779="","",COUNT(L779:M779,P779:T779)&amp;"/7")</f>
        <v/>
      </c>
      <c r="AK779" s="15" t="str">
        <f aca="false">IF(B779="","",IF(OR(AND(ISNUMBER(L779),ISNUMBER(M779),M779&lt;L779),AND(ISNUMBER(M779),ISNUMBER(P779),P779&lt;M779),AND(ISNUMBER(P779),ISNUMBER(Q779),Q779&lt;P779),AND(ISNUMBER(Q779),ISNUMBER(R779),R779&lt;Q779),AND(ISNUMBER(R779),ISNUMBER(S779),S779&lt;R779),AND(ISNUMBER(S779),ISNUMBER(T779),T779&lt;S779),AND(ISNUMBER(N779),ISNUMBER(O779),O779&lt;N779)),"Urutan tanggal salah",IF(AND(ISNUMBER(Q779),ISNUMBER(R779),ISNUMBER(Y779),ABS(R779-Q779-Y779)&gt;2),"S tanggal ≠ Sailing tercatat",IF(AND(ISNUMBER(Q779),ISNUMBER(O779),ABS(Q779-O779)&gt;60),"Cek tahun laycan",IF(AND(ISNUMBER(Q779),ISNUMBER(N779),Q779&lt;N779),"Berangkat sebelum laycan",IF(NOT(ISNUMBER(AE779)),"S belum ada","OK"))))))</f>
        <v/>
      </c>
    </row>
    <row r="780" customFormat="false" ht="15" hidden="false" customHeight="false" outlineLevel="0" collapsed="false">
      <c r="A780" s="16" t="str">
        <f aca="false">IF(B780="","",ROW()-4)</f>
        <v/>
      </c>
      <c r="B780" s="12"/>
      <c r="C780" s="16"/>
      <c r="D780" s="16"/>
      <c r="E780" s="16"/>
      <c r="F780" s="16"/>
      <c r="G780" s="16"/>
      <c r="H780" s="16"/>
      <c r="I780" s="16"/>
      <c r="J780" s="16"/>
      <c r="K780" s="16"/>
      <c r="L780" s="13"/>
      <c r="M780" s="13"/>
      <c r="N780" s="13"/>
      <c r="O780" s="13"/>
      <c r="P780" s="13"/>
      <c r="Q780" s="13"/>
      <c r="R780" s="13"/>
      <c r="S780" s="13"/>
      <c r="T780" s="13"/>
      <c r="U780" s="12"/>
      <c r="V780" s="14"/>
      <c r="W780" s="16"/>
      <c r="X780" s="16"/>
      <c r="Y780" s="16"/>
      <c r="Z780" s="16"/>
      <c r="AA780" s="15" t="str">
        <f aca="false">IF(AND(ISNUMBER(L780),ISNUMBER(M780)),M780-L780,"")</f>
        <v/>
      </c>
      <c r="AB780" s="15" t="str">
        <f aca="false">IF(AND(ISNUMBER(M780),ISNUMBER(P780)),P780-M780,"")</f>
        <v/>
      </c>
      <c r="AC780" s="15" t="str">
        <f aca="false">IF(AND(ISNUMBER(L780),ISNUMBER(P780)),P780-L780,"")</f>
        <v/>
      </c>
      <c r="AD780" s="15" t="str">
        <f aca="false">IF(AND(ISNUMBER(P780),ISNUMBER(Q780)),Q780-P780,"")</f>
        <v/>
      </c>
      <c r="AE780" s="15" t="str">
        <f aca="false">IF(AND(ISNUMBER(Q780),ISNUMBER(R780)),R780-Q780,IF(ISNUMBER(Y780),Y780,""))</f>
        <v/>
      </c>
      <c r="AF780" s="15" t="str">
        <f aca="false">IF(AND(ISNUMBER(R780),ISNUMBER(S780)),S780-R780,"")</f>
        <v/>
      </c>
      <c r="AG780" s="15" t="str">
        <f aca="false">IF(AND(ISNUMBER(S780),ISNUMBER(T780)),T780-S780,"")</f>
        <v/>
      </c>
      <c r="AH780" s="15" t="str">
        <f aca="false">IF(AND(ISNUMBER(L780),ISNUMBER(T780)),T780-L780,"")</f>
        <v/>
      </c>
      <c r="AI780" s="15" t="str">
        <f aca="false">IF(AND(ISNUMBER(O780),ISNUMBER(Q780)),Q780-O780,"")</f>
        <v/>
      </c>
      <c r="AJ780" s="15" t="str">
        <f aca="false">IF(B780="","",COUNT(L780:M780,P780:T780)&amp;"/7")</f>
        <v/>
      </c>
      <c r="AK780" s="15" t="str">
        <f aca="false">IF(B780="","",IF(OR(AND(ISNUMBER(L780),ISNUMBER(M780),M780&lt;L780),AND(ISNUMBER(M780),ISNUMBER(P780),P780&lt;M780),AND(ISNUMBER(P780),ISNUMBER(Q780),Q780&lt;P780),AND(ISNUMBER(Q780),ISNUMBER(R780),R780&lt;Q780),AND(ISNUMBER(R780),ISNUMBER(S780),S780&lt;R780),AND(ISNUMBER(S780),ISNUMBER(T780),T780&lt;S780),AND(ISNUMBER(N780),ISNUMBER(O780),O780&lt;N780)),"Urutan tanggal salah",IF(AND(ISNUMBER(Q780),ISNUMBER(R780),ISNUMBER(Y780),ABS(R780-Q780-Y780)&gt;2),"S tanggal ≠ Sailing tercatat",IF(AND(ISNUMBER(Q780),ISNUMBER(O780),ABS(Q780-O780)&gt;60),"Cek tahun laycan",IF(AND(ISNUMBER(Q780),ISNUMBER(N780),Q780&lt;N780),"Berangkat sebelum laycan",IF(NOT(ISNUMBER(AE780)),"S belum ada","OK"))))))</f>
        <v/>
      </c>
    </row>
    <row r="781" customFormat="false" ht="15" hidden="false" customHeight="false" outlineLevel="0" collapsed="false">
      <c r="A781" s="16" t="str">
        <f aca="false">IF(B781="","",ROW()-4)</f>
        <v/>
      </c>
      <c r="B781" s="12"/>
      <c r="C781" s="16"/>
      <c r="D781" s="16"/>
      <c r="E781" s="16"/>
      <c r="F781" s="16"/>
      <c r="G781" s="16"/>
      <c r="H781" s="16"/>
      <c r="I781" s="16"/>
      <c r="J781" s="16"/>
      <c r="K781" s="16"/>
      <c r="L781" s="13"/>
      <c r="M781" s="13"/>
      <c r="N781" s="13"/>
      <c r="O781" s="13"/>
      <c r="P781" s="13"/>
      <c r="Q781" s="13"/>
      <c r="R781" s="13"/>
      <c r="S781" s="13"/>
      <c r="T781" s="13"/>
      <c r="U781" s="12"/>
      <c r="V781" s="14"/>
      <c r="W781" s="16"/>
      <c r="X781" s="16"/>
      <c r="Y781" s="16"/>
      <c r="Z781" s="16"/>
      <c r="AA781" s="15" t="str">
        <f aca="false">IF(AND(ISNUMBER(L781),ISNUMBER(M781)),M781-L781,"")</f>
        <v/>
      </c>
      <c r="AB781" s="15" t="str">
        <f aca="false">IF(AND(ISNUMBER(M781),ISNUMBER(P781)),P781-M781,"")</f>
        <v/>
      </c>
      <c r="AC781" s="15" t="str">
        <f aca="false">IF(AND(ISNUMBER(L781),ISNUMBER(P781)),P781-L781,"")</f>
        <v/>
      </c>
      <c r="AD781" s="15" t="str">
        <f aca="false">IF(AND(ISNUMBER(P781),ISNUMBER(Q781)),Q781-P781,"")</f>
        <v/>
      </c>
      <c r="AE781" s="15" t="str">
        <f aca="false">IF(AND(ISNUMBER(Q781),ISNUMBER(R781)),R781-Q781,IF(ISNUMBER(Y781),Y781,""))</f>
        <v/>
      </c>
      <c r="AF781" s="15" t="str">
        <f aca="false">IF(AND(ISNUMBER(R781),ISNUMBER(S781)),S781-R781,"")</f>
        <v/>
      </c>
      <c r="AG781" s="15" t="str">
        <f aca="false">IF(AND(ISNUMBER(S781),ISNUMBER(T781)),T781-S781,"")</f>
        <v/>
      </c>
      <c r="AH781" s="15" t="str">
        <f aca="false">IF(AND(ISNUMBER(L781),ISNUMBER(T781)),T781-L781,"")</f>
        <v/>
      </c>
      <c r="AI781" s="15" t="str">
        <f aca="false">IF(AND(ISNUMBER(O781),ISNUMBER(Q781)),Q781-O781,"")</f>
        <v/>
      </c>
      <c r="AJ781" s="15" t="str">
        <f aca="false">IF(B781="","",COUNT(L781:M781,P781:T781)&amp;"/7")</f>
        <v/>
      </c>
      <c r="AK781" s="15" t="str">
        <f aca="false">IF(B781="","",IF(OR(AND(ISNUMBER(L781),ISNUMBER(M781),M781&lt;L781),AND(ISNUMBER(M781),ISNUMBER(P781),P781&lt;M781),AND(ISNUMBER(P781),ISNUMBER(Q781),Q781&lt;P781),AND(ISNUMBER(Q781),ISNUMBER(R781),R781&lt;Q781),AND(ISNUMBER(R781),ISNUMBER(S781),S781&lt;R781),AND(ISNUMBER(S781),ISNUMBER(T781),T781&lt;S781),AND(ISNUMBER(N781),ISNUMBER(O781),O781&lt;N781)),"Urutan tanggal salah",IF(AND(ISNUMBER(Q781),ISNUMBER(R781),ISNUMBER(Y781),ABS(R781-Q781-Y781)&gt;2),"S tanggal ≠ Sailing tercatat",IF(AND(ISNUMBER(Q781),ISNUMBER(O781),ABS(Q781-O781)&gt;60),"Cek tahun laycan",IF(AND(ISNUMBER(Q781),ISNUMBER(N781),Q781&lt;N781),"Berangkat sebelum laycan",IF(NOT(ISNUMBER(AE781)),"S belum ada","OK"))))))</f>
        <v/>
      </c>
    </row>
    <row r="782" customFormat="false" ht="15" hidden="false" customHeight="false" outlineLevel="0" collapsed="false">
      <c r="A782" s="16" t="str">
        <f aca="false">IF(B782="","",ROW()-4)</f>
        <v/>
      </c>
      <c r="B782" s="12"/>
      <c r="C782" s="16"/>
      <c r="D782" s="16"/>
      <c r="E782" s="16"/>
      <c r="F782" s="16"/>
      <c r="G782" s="16"/>
      <c r="H782" s="16"/>
      <c r="I782" s="16"/>
      <c r="J782" s="16"/>
      <c r="K782" s="16"/>
      <c r="L782" s="13"/>
      <c r="M782" s="13"/>
      <c r="N782" s="13"/>
      <c r="O782" s="13"/>
      <c r="P782" s="13"/>
      <c r="Q782" s="13"/>
      <c r="R782" s="13"/>
      <c r="S782" s="13"/>
      <c r="T782" s="13"/>
      <c r="U782" s="12"/>
      <c r="V782" s="14"/>
      <c r="W782" s="16"/>
      <c r="X782" s="16"/>
      <c r="Y782" s="16"/>
      <c r="Z782" s="16"/>
      <c r="AA782" s="15" t="str">
        <f aca="false">IF(AND(ISNUMBER(L782),ISNUMBER(M782)),M782-L782,"")</f>
        <v/>
      </c>
      <c r="AB782" s="15" t="str">
        <f aca="false">IF(AND(ISNUMBER(M782),ISNUMBER(P782)),P782-M782,"")</f>
        <v/>
      </c>
      <c r="AC782" s="15" t="str">
        <f aca="false">IF(AND(ISNUMBER(L782),ISNUMBER(P782)),P782-L782,"")</f>
        <v/>
      </c>
      <c r="AD782" s="15" t="str">
        <f aca="false">IF(AND(ISNUMBER(P782),ISNUMBER(Q782)),Q782-P782,"")</f>
        <v/>
      </c>
      <c r="AE782" s="15" t="str">
        <f aca="false">IF(AND(ISNUMBER(Q782),ISNUMBER(R782)),R782-Q782,IF(ISNUMBER(Y782),Y782,""))</f>
        <v/>
      </c>
      <c r="AF782" s="15" t="str">
        <f aca="false">IF(AND(ISNUMBER(R782),ISNUMBER(S782)),S782-R782,"")</f>
        <v/>
      </c>
      <c r="AG782" s="15" t="str">
        <f aca="false">IF(AND(ISNUMBER(S782),ISNUMBER(T782)),T782-S782,"")</f>
        <v/>
      </c>
      <c r="AH782" s="15" t="str">
        <f aca="false">IF(AND(ISNUMBER(L782),ISNUMBER(T782)),T782-L782,"")</f>
        <v/>
      </c>
      <c r="AI782" s="15" t="str">
        <f aca="false">IF(AND(ISNUMBER(O782),ISNUMBER(Q782)),Q782-O782,"")</f>
        <v/>
      </c>
      <c r="AJ782" s="15" t="str">
        <f aca="false">IF(B782="","",COUNT(L782:M782,P782:T782)&amp;"/7")</f>
        <v/>
      </c>
      <c r="AK782" s="15" t="str">
        <f aca="false">IF(B782="","",IF(OR(AND(ISNUMBER(L782),ISNUMBER(M782),M782&lt;L782),AND(ISNUMBER(M782),ISNUMBER(P782),P782&lt;M782),AND(ISNUMBER(P782),ISNUMBER(Q782),Q782&lt;P782),AND(ISNUMBER(Q782),ISNUMBER(R782),R782&lt;Q782),AND(ISNUMBER(R782),ISNUMBER(S782),S782&lt;R782),AND(ISNUMBER(S782),ISNUMBER(T782),T782&lt;S782),AND(ISNUMBER(N782),ISNUMBER(O782),O782&lt;N782)),"Urutan tanggal salah",IF(AND(ISNUMBER(Q782),ISNUMBER(R782),ISNUMBER(Y782),ABS(R782-Q782-Y782)&gt;2),"S tanggal ≠ Sailing tercatat",IF(AND(ISNUMBER(Q782),ISNUMBER(O782),ABS(Q782-O782)&gt;60),"Cek tahun laycan",IF(AND(ISNUMBER(Q782),ISNUMBER(N782),Q782&lt;N782),"Berangkat sebelum laycan",IF(NOT(ISNUMBER(AE782)),"S belum ada","OK"))))))</f>
        <v/>
      </c>
    </row>
    <row r="783" customFormat="false" ht="15" hidden="false" customHeight="false" outlineLevel="0" collapsed="false">
      <c r="A783" s="16" t="str">
        <f aca="false">IF(B783="","",ROW()-4)</f>
        <v/>
      </c>
      <c r="B783" s="12"/>
      <c r="C783" s="16"/>
      <c r="D783" s="16"/>
      <c r="E783" s="16"/>
      <c r="F783" s="16"/>
      <c r="G783" s="16"/>
      <c r="H783" s="16"/>
      <c r="I783" s="16"/>
      <c r="J783" s="16"/>
      <c r="K783" s="16"/>
      <c r="L783" s="13"/>
      <c r="M783" s="13"/>
      <c r="N783" s="13"/>
      <c r="O783" s="13"/>
      <c r="P783" s="13"/>
      <c r="Q783" s="13"/>
      <c r="R783" s="13"/>
      <c r="S783" s="13"/>
      <c r="T783" s="13"/>
      <c r="U783" s="12"/>
      <c r="V783" s="14"/>
      <c r="W783" s="16"/>
      <c r="X783" s="16"/>
      <c r="Y783" s="16"/>
      <c r="Z783" s="16"/>
      <c r="AA783" s="15" t="str">
        <f aca="false">IF(AND(ISNUMBER(L783),ISNUMBER(M783)),M783-L783,"")</f>
        <v/>
      </c>
      <c r="AB783" s="15" t="str">
        <f aca="false">IF(AND(ISNUMBER(M783),ISNUMBER(P783)),P783-M783,"")</f>
        <v/>
      </c>
      <c r="AC783" s="15" t="str">
        <f aca="false">IF(AND(ISNUMBER(L783),ISNUMBER(P783)),P783-L783,"")</f>
        <v/>
      </c>
      <c r="AD783" s="15" t="str">
        <f aca="false">IF(AND(ISNUMBER(P783),ISNUMBER(Q783)),Q783-P783,"")</f>
        <v/>
      </c>
      <c r="AE783" s="15" t="str">
        <f aca="false">IF(AND(ISNUMBER(Q783),ISNUMBER(R783)),R783-Q783,IF(ISNUMBER(Y783),Y783,""))</f>
        <v/>
      </c>
      <c r="AF783" s="15" t="str">
        <f aca="false">IF(AND(ISNUMBER(R783),ISNUMBER(S783)),S783-R783,"")</f>
        <v/>
      </c>
      <c r="AG783" s="15" t="str">
        <f aca="false">IF(AND(ISNUMBER(S783),ISNUMBER(T783)),T783-S783,"")</f>
        <v/>
      </c>
      <c r="AH783" s="15" t="str">
        <f aca="false">IF(AND(ISNUMBER(L783),ISNUMBER(T783)),T783-L783,"")</f>
        <v/>
      </c>
      <c r="AI783" s="15" t="str">
        <f aca="false">IF(AND(ISNUMBER(O783),ISNUMBER(Q783)),Q783-O783,"")</f>
        <v/>
      </c>
      <c r="AJ783" s="15" t="str">
        <f aca="false">IF(B783="","",COUNT(L783:M783,P783:T783)&amp;"/7")</f>
        <v/>
      </c>
      <c r="AK783" s="15" t="str">
        <f aca="false">IF(B783="","",IF(OR(AND(ISNUMBER(L783),ISNUMBER(M783),M783&lt;L783),AND(ISNUMBER(M783),ISNUMBER(P783),P783&lt;M783),AND(ISNUMBER(P783),ISNUMBER(Q783),Q783&lt;P783),AND(ISNUMBER(Q783),ISNUMBER(R783),R783&lt;Q783),AND(ISNUMBER(R783),ISNUMBER(S783),S783&lt;R783),AND(ISNUMBER(S783),ISNUMBER(T783),T783&lt;S783),AND(ISNUMBER(N783),ISNUMBER(O783),O783&lt;N783)),"Urutan tanggal salah",IF(AND(ISNUMBER(Q783),ISNUMBER(R783),ISNUMBER(Y783),ABS(R783-Q783-Y783)&gt;2),"S tanggal ≠ Sailing tercatat",IF(AND(ISNUMBER(Q783),ISNUMBER(O783),ABS(Q783-O783)&gt;60),"Cek tahun laycan",IF(AND(ISNUMBER(Q783),ISNUMBER(N783),Q783&lt;N783),"Berangkat sebelum laycan",IF(NOT(ISNUMBER(AE783)),"S belum ada","OK"))))))</f>
        <v/>
      </c>
    </row>
    <row r="784" customFormat="false" ht="15" hidden="false" customHeight="false" outlineLevel="0" collapsed="false">
      <c r="A784" s="16" t="str">
        <f aca="false">IF(B784="","",ROW()-4)</f>
        <v/>
      </c>
      <c r="B784" s="12"/>
      <c r="C784" s="16"/>
      <c r="D784" s="16"/>
      <c r="E784" s="16"/>
      <c r="F784" s="16"/>
      <c r="G784" s="16"/>
      <c r="H784" s="16"/>
      <c r="I784" s="16"/>
      <c r="J784" s="16"/>
      <c r="K784" s="16"/>
      <c r="L784" s="13"/>
      <c r="M784" s="13"/>
      <c r="N784" s="13"/>
      <c r="O784" s="13"/>
      <c r="P784" s="13"/>
      <c r="Q784" s="13"/>
      <c r="R784" s="13"/>
      <c r="S784" s="13"/>
      <c r="T784" s="13"/>
      <c r="U784" s="12"/>
      <c r="V784" s="14"/>
      <c r="W784" s="16"/>
      <c r="X784" s="16"/>
      <c r="Y784" s="16"/>
      <c r="Z784" s="16"/>
      <c r="AA784" s="15" t="str">
        <f aca="false">IF(AND(ISNUMBER(L784),ISNUMBER(M784)),M784-L784,"")</f>
        <v/>
      </c>
      <c r="AB784" s="15" t="str">
        <f aca="false">IF(AND(ISNUMBER(M784),ISNUMBER(P784)),P784-M784,"")</f>
        <v/>
      </c>
      <c r="AC784" s="15" t="str">
        <f aca="false">IF(AND(ISNUMBER(L784),ISNUMBER(P784)),P784-L784,"")</f>
        <v/>
      </c>
      <c r="AD784" s="15" t="str">
        <f aca="false">IF(AND(ISNUMBER(P784),ISNUMBER(Q784)),Q784-P784,"")</f>
        <v/>
      </c>
      <c r="AE784" s="15" t="str">
        <f aca="false">IF(AND(ISNUMBER(Q784),ISNUMBER(R784)),R784-Q784,IF(ISNUMBER(Y784),Y784,""))</f>
        <v/>
      </c>
      <c r="AF784" s="15" t="str">
        <f aca="false">IF(AND(ISNUMBER(R784),ISNUMBER(S784)),S784-R784,"")</f>
        <v/>
      </c>
      <c r="AG784" s="15" t="str">
        <f aca="false">IF(AND(ISNUMBER(S784),ISNUMBER(T784)),T784-S784,"")</f>
        <v/>
      </c>
      <c r="AH784" s="15" t="str">
        <f aca="false">IF(AND(ISNUMBER(L784),ISNUMBER(T784)),T784-L784,"")</f>
        <v/>
      </c>
      <c r="AI784" s="15" t="str">
        <f aca="false">IF(AND(ISNUMBER(O784),ISNUMBER(Q784)),Q784-O784,"")</f>
        <v/>
      </c>
      <c r="AJ784" s="15" t="str">
        <f aca="false">IF(B784="","",COUNT(L784:M784,P784:T784)&amp;"/7")</f>
        <v/>
      </c>
      <c r="AK784" s="15" t="str">
        <f aca="false">IF(B784="","",IF(OR(AND(ISNUMBER(L784),ISNUMBER(M784),M784&lt;L784),AND(ISNUMBER(M784),ISNUMBER(P784),P784&lt;M784),AND(ISNUMBER(P784),ISNUMBER(Q784),Q784&lt;P784),AND(ISNUMBER(Q784),ISNUMBER(R784),R784&lt;Q784),AND(ISNUMBER(R784),ISNUMBER(S784),S784&lt;R784),AND(ISNUMBER(S784),ISNUMBER(T784),T784&lt;S784),AND(ISNUMBER(N784),ISNUMBER(O784),O784&lt;N784)),"Urutan tanggal salah",IF(AND(ISNUMBER(Q784),ISNUMBER(R784),ISNUMBER(Y784),ABS(R784-Q784-Y784)&gt;2),"S tanggal ≠ Sailing tercatat",IF(AND(ISNUMBER(Q784),ISNUMBER(O784),ABS(Q784-O784)&gt;60),"Cek tahun laycan",IF(AND(ISNUMBER(Q784),ISNUMBER(N784),Q784&lt;N784),"Berangkat sebelum laycan",IF(NOT(ISNUMBER(AE784)),"S belum ada","OK"))))))</f>
        <v/>
      </c>
    </row>
    <row r="785" customFormat="false" ht="15" hidden="false" customHeight="false" outlineLevel="0" collapsed="false">
      <c r="A785" s="16" t="str">
        <f aca="false">IF(B785="","",ROW()-4)</f>
        <v/>
      </c>
      <c r="B785" s="12"/>
      <c r="C785" s="16"/>
      <c r="D785" s="16"/>
      <c r="E785" s="16"/>
      <c r="F785" s="16"/>
      <c r="G785" s="16"/>
      <c r="H785" s="16"/>
      <c r="I785" s="16"/>
      <c r="J785" s="16"/>
      <c r="K785" s="16"/>
      <c r="L785" s="13"/>
      <c r="M785" s="13"/>
      <c r="N785" s="13"/>
      <c r="O785" s="13"/>
      <c r="P785" s="13"/>
      <c r="Q785" s="13"/>
      <c r="R785" s="13"/>
      <c r="S785" s="13"/>
      <c r="T785" s="13"/>
      <c r="U785" s="12"/>
      <c r="V785" s="14"/>
      <c r="W785" s="16"/>
      <c r="X785" s="16"/>
      <c r="Y785" s="16"/>
      <c r="Z785" s="16"/>
      <c r="AA785" s="15" t="str">
        <f aca="false">IF(AND(ISNUMBER(L785),ISNUMBER(M785)),M785-L785,"")</f>
        <v/>
      </c>
      <c r="AB785" s="15" t="str">
        <f aca="false">IF(AND(ISNUMBER(M785),ISNUMBER(P785)),P785-M785,"")</f>
        <v/>
      </c>
      <c r="AC785" s="15" t="str">
        <f aca="false">IF(AND(ISNUMBER(L785),ISNUMBER(P785)),P785-L785,"")</f>
        <v/>
      </c>
      <c r="AD785" s="15" t="str">
        <f aca="false">IF(AND(ISNUMBER(P785),ISNUMBER(Q785)),Q785-P785,"")</f>
        <v/>
      </c>
      <c r="AE785" s="15" t="str">
        <f aca="false">IF(AND(ISNUMBER(Q785),ISNUMBER(R785)),R785-Q785,IF(ISNUMBER(Y785),Y785,""))</f>
        <v/>
      </c>
      <c r="AF785" s="15" t="str">
        <f aca="false">IF(AND(ISNUMBER(R785),ISNUMBER(S785)),S785-R785,"")</f>
        <v/>
      </c>
      <c r="AG785" s="15" t="str">
        <f aca="false">IF(AND(ISNUMBER(S785),ISNUMBER(T785)),T785-S785,"")</f>
        <v/>
      </c>
      <c r="AH785" s="15" t="str">
        <f aca="false">IF(AND(ISNUMBER(L785),ISNUMBER(T785)),T785-L785,"")</f>
        <v/>
      </c>
      <c r="AI785" s="15" t="str">
        <f aca="false">IF(AND(ISNUMBER(O785),ISNUMBER(Q785)),Q785-O785,"")</f>
        <v/>
      </c>
      <c r="AJ785" s="15" t="str">
        <f aca="false">IF(B785="","",COUNT(L785:M785,P785:T785)&amp;"/7")</f>
        <v/>
      </c>
      <c r="AK785" s="15" t="str">
        <f aca="false">IF(B785="","",IF(OR(AND(ISNUMBER(L785),ISNUMBER(M785),M785&lt;L785),AND(ISNUMBER(M785),ISNUMBER(P785),P785&lt;M785),AND(ISNUMBER(P785),ISNUMBER(Q785),Q785&lt;P785),AND(ISNUMBER(Q785),ISNUMBER(R785),R785&lt;Q785),AND(ISNUMBER(R785),ISNUMBER(S785),S785&lt;R785),AND(ISNUMBER(S785),ISNUMBER(T785),T785&lt;S785),AND(ISNUMBER(N785),ISNUMBER(O785),O785&lt;N785)),"Urutan tanggal salah",IF(AND(ISNUMBER(Q785),ISNUMBER(R785),ISNUMBER(Y785),ABS(R785-Q785-Y785)&gt;2),"S tanggal ≠ Sailing tercatat",IF(AND(ISNUMBER(Q785),ISNUMBER(O785),ABS(Q785-O785)&gt;60),"Cek tahun laycan",IF(AND(ISNUMBER(Q785),ISNUMBER(N785),Q785&lt;N785),"Berangkat sebelum laycan",IF(NOT(ISNUMBER(AE785)),"S belum ada","OK"))))))</f>
        <v/>
      </c>
    </row>
    <row r="786" customFormat="false" ht="15" hidden="false" customHeight="false" outlineLevel="0" collapsed="false">
      <c r="A786" s="16" t="str">
        <f aca="false">IF(B786="","",ROW()-4)</f>
        <v/>
      </c>
      <c r="B786" s="12"/>
      <c r="C786" s="16"/>
      <c r="D786" s="16"/>
      <c r="E786" s="16"/>
      <c r="F786" s="16"/>
      <c r="G786" s="16"/>
      <c r="H786" s="16"/>
      <c r="I786" s="16"/>
      <c r="J786" s="16"/>
      <c r="K786" s="16"/>
      <c r="L786" s="13"/>
      <c r="M786" s="13"/>
      <c r="N786" s="13"/>
      <c r="O786" s="13"/>
      <c r="P786" s="13"/>
      <c r="Q786" s="13"/>
      <c r="R786" s="13"/>
      <c r="S786" s="13"/>
      <c r="T786" s="13"/>
      <c r="U786" s="12"/>
      <c r="V786" s="14"/>
      <c r="W786" s="16"/>
      <c r="X786" s="16"/>
      <c r="Y786" s="16"/>
      <c r="Z786" s="16"/>
      <c r="AA786" s="15" t="str">
        <f aca="false">IF(AND(ISNUMBER(L786),ISNUMBER(M786)),M786-L786,"")</f>
        <v/>
      </c>
      <c r="AB786" s="15" t="str">
        <f aca="false">IF(AND(ISNUMBER(M786),ISNUMBER(P786)),P786-M786,"")</f>
        <v/>
      </c>
      <c r="AC786" s="15" t="str">
        <f aca="false">IF(AND(ISNUMBER(L786),ISNUMBER(P786)),P786-L786,"")</f>
        <v/>
      </c>
      <c r="AD786" s="15" t="str">
        <f aca="false">IF(AND(ISNUMBER(P786),ISNUMBER(Q786)),Q786-P786,"")</f>
        <v/>
      </c>
      <c r="AE786" s="15" t="str">
        <f aca="false">IF(AND(ISNUMBER(Q786),ISNUMBER(R786)),R786-Q786,IF(ISNUMBER(Y786),Y786,""))</f>
        <v/>
      </c>
      <c r="AF786" s="15" t="str">
        <f aca="false">IF(AND(ISNUMBER(R786),ISNUMBER(S786)),S786-R786,"")</f>
        <v/>
      </c>
      <c r="AG786" s="15" t="str">
        <f aca="false">IF(AND(ISNUMBER(S786),ISNUMBER(T786)),T786-S786,"")</f>
        <v/>
      </c>
      <c r="AH786" s="15" t="str">
        <f aca="false">IF(AND(ISNUMBER(L786),ISNUMBER(T786)),T786-L786,"")</f>
        <v/>
      </c>
      <c r="AI786" s="15" t="str">
        <f aca="false">IF(AND(ISNUMBER(O786),ISNUMBER(Q786)),Q786-O786,"")</f>
        <v/>
      </c>
      <c r="AJ786" s="15" t="str">
        <f aca="false">IF(B786="","",COUNT(L786:M786,P786:T786)&amp;"/7")</f>
        <v/>
      </c>
      <c r="AK786" s="15" t="str">
        <f aca="false">IF(B786="","",IF(OR(AND(ISNUMBER(L786),ISNUMBER(M786),M786&lt;L786),AND(ISNUMBER(M786),ISNUMBER(P786),P786&lt;M786),AND(ISNUMBER(P786),ISNUMBER(Q786),Q786&lt;P786),AND(ISNUMBER(Q786),ISNUMBER(R786),R786&lt;Q786),AND(ISNUMBER(R786),ISNUMBER(S786),S786&lt;R786),AND(ISNUMBER(S786),ISNUMBER(T786),T786&lt;S786),AND(ISNUMBER(N786),ISNUMBER(O786),O786&lt;N786)),"Urutan tanggal salah",IF(AND(ISNUMBER(Q786),ISNUMBER(R786),ISNUMBER(Y786),ABS(R786-Q786-Y786)&gt;2),"S tanggal ≠ Sailing tercatat",IF(AND(ISNUMBER(Q786),ISNUMBER(O786),ABS(Q786-O786)&gt;60),"Cek tahun laycan",IF(AND(ISNUMBER(Q786),ISNUMBER(N786),Q786&lt;N786),"Berangkat sebelum laycan",IF(NOT(ISNUMBER(AE786)),"S belum ada","OK"))))))</f>
        <v/>
      </c>
    </row>
    <row r="787" customFormat="false" ht="15" hidden="false" customHeight="false" outlineLevel="0" collapsed="false">
      <c r="A787" s="16" t="str">
        <f aca="false">IF(B787="","",ROW()-4)</f>
        <v/>
      </c>
      <c r="B787" s="12"/>
      <c r="C787" s="16"/>
      <c r="D787" s="16"/>
      <c r="E787" s="16"/>
      <c r="F787" s="16"/>
      <c r="G787" s="16"/>
      <c r="H787" s="16"/>
      <c r="I787" s="16"/>
      <c r="J787" s="16"/>
      <c r="K787" s="16"/>
      <c r="L787" s="13"/>
      <c r="M787" s="13"/>
      <c r="N787" s="13"/>
      <c r="O787" s="13"/>
      <c r="P787" s="13"/>
      <c r="Q787" s="13"/>
      <c r="R787" s="13"/>
      <c r="S787" s="13"/>
      <c r="T787" s="13"/>
      <c r="U787" s="12"/>
      <c r="V787" s="14"/>
      <c r="W787" s="16"/>
      <c r="X787" s="16"/>
      <c r="Y787" s="16"/>
      <c r="Z787" s="16"/>
      <c r="AA787" s="15" t="str">
        <f aca="false">IF(AND(ISNUMBER(L787),ISNUMBER(M787)),M787-L787,"")</f>
        <v/>
      </c>
      <c r="AB787" s="15" t="str">
        <f aca="false">IF(AND(ISNUMBER(M787),ISNUMBER(P787)),P787-M787,"")</f>
        <v/>
      </c>
      <c r="AC787" s="15" t="str">
        <f aca="false">IF(AND(ISNUMBER(L787),ISNUMBER(P787)),P787-L787,"")</f>
        <v/>
      </c>
      <c r="AD787" s="15" t="str">
        <f aca="false">IF(AND(ISNUMBER(P787),ISNUMBER(Q787)),Q787-P787,"")</f>
        <v/>
      </c>
      <c r="AE787" s="15" t="str">
        <f aca="false">IF(AND(ISNUMBER(Q787),ISNUMBER(R787)),R787-Q787,IF(ISNUMBER(Y787),Y787,""))</f>
        <v/>
      </c>
      <c r="AF787" s="15" t="str">
        <f aca="false">IF(AND(ISNUMBER(R787),ISNUMBER(S787)),S787-R787,"")</f>
        <v/>
      </c>
      <c r="AG787" s="15" t="str">
        <f aca="false">IF(AND(ISNUMBER(S787),ISNUMBER(T787)),T787-S787,"")</f>
        <v/>
      </c>
      <c r="AH787" s="15" t="str">
        <f aca="false">IF(AND(ISNUMBER(L787),ISNUMBER(T787)),T787-L787,"")</f>
        <v/>
      </c>
      <c r="AI787" s="15" t="str">
        <f aca="false">IF(AND(ISNUMBER(O787),ISNUMBER(Q787)),Q787-O787,"")</f>
        <v/>
      </c>
      <c r="AJ787" s="15" t="str">
        <f aca="false">IF(B787="","",COUNT(L787:M787,P787:T787)&amp;"/7")</f>
        <v/>
      </c>
      <c r="AK787" s="15" t="str">
        <f aca="false">IF(B787="","",IF(OR(AND(ISNUMBER(L787),ISNUMBER(M787),M787&lt;L787),AND(ISNUMBER(M787),ISNUMBER(P787),P787&lt;M787),AND(ISNUMBER(P787),ISNUMBER(Q787),Q787&lt;P787),AND(ISNUMBER(Q787),ISNUMBER(R787),R787&lt;Q787),AND(ISNUMBER(R787),ISNUMBER(S787),S787&lt;R787),AND(ISNUMBER(S787),ISNUMBER(T787),T787&lt;S787),AND(ISNUMBER(N787),ISNUMBER(O787),O787&lt;N787)),"Urutan tanggal salah",IF(AND(ISNUMBER(Q787),ISNUMBER(R787),ISNUMBER(Y787),ABS(R787-Q787-Y787)&gt;2),"S tanggal ≠ Sailing tercatat",IF(AND(ISNUMBER(Q787),ISNUMBER(O787),ABS(Q787-O787)&gt;60),"Cek tahun laycan",IF(AND(ISNUMBER(Q787),ISNUMBER(N787),Q787&lt;N787),"Berangkat sebelum laycan",IF(NOT(ISNUMBER(AE787)),"S belum ada","OK"))))))</f>
        <v/>
      </c>
    </row>
    <row r="788" customFormat="false" ht="15" hidden="false" customHeight="false" outlineLevel="0" collapsed="false">
      <c r="A788" s="16" t="str">
        <f aca="false">IF(B788="","",ROW()-4)</f>
        <v/>
      </c>
      <c r="B788" s="12"/>
      <c r="C788" s="16"/>
      <c r="D788" s="16"/>
      <c r="E788" s="16"/>
      <c r="F788" s="16"/>
      <c r="G788" s="16"/>
      <c r="H788" s="16"/>
      <c r="I788" s="16"/>
      <c r="J788" s="16"/>
      <c r="K788" s="16"/>
      <c r="L788" s="13"/>
      <c r="M788" s="13"/>
      <c r="N788" s="13"/>
      <c r="O788" s="13"/>
      <c r="P788" s="13"/>
      <c r="Q788" s="13"/>
      <c r="R788" s="13"/>
      <c r="S788" s="13"/>
      <c r="T788" s="13"/>
      <c r="U788" s="12"/>
      <c r="V788" s="14"/>
      <c r="W788" s="16"/>
      <c r="X788" s="16"/>
      <c r="Y788" s="16"/>
      <c r="Z788" s="16"/>
      <c r="AA788" s="15" t="str">
        <f aca="false">IF(AND(ISNUMBER(L788),ISNUMBER(M788)),M788-L788,"")</f>
        <v/>
      </c>
      <c r="AB788" s="15" t="str">
        <f aca="false">IF(AND(ISNUMBER(M788),ISNUMBER(P788)),P788-M788,"")</f>
        <v/>
      </c>
      <c r="AC788" s="15" t="str">
        <f aca="false">IF(AND(ISNUMBER(L788),ISNUMBER(P788)),P788-L788,"")</f>
        <v/>
      </c>
      <c r="AD788" s="15" t="str">
        <f aca="false">IF(AND(ISNUMBER(P788),ISNUMBER(Q788)),Q788-P788,"")</f>
        <v/>
      </c>
      <c r="AE788" s="15" t="str">
        <f aca="false">IF(AND(ISNUMBER(Q788),ISNUMBER(R788)),R788-Q788,IF(ISNUMBER(Y788),Y788,""))</f>
        <v/>
      </c>
      <c r="AF788" s="15" t="str">
        <f aca="false">IF(AND(ISNUMBER(R788),ISNUMBER(S788)),S788-R788,"")</f>
        <v/>
      </c>
      <c r="AG788" s="15" t="str">
        <f aca="false">IF(AND(ISNUMBER(S788),ISNUMBER(T788)),T788-S788,"")</f>
        <v/>
      </c>
      <c r="AH788" s="15" t="str">
        <f aca="false">IF(AND(ISNUMBER(L788),ISNUMBER(T788)),T788-L788,"")</f>
        <v/>
      </c>
      <c r="AI788" s="15" t="str">
        <f aca="false">IF(AND(ISNUMBER(O788),ISNUMBER(Q788)),Q788-O788,"")</f>
        <v/>
      </c>
      <c r="AJ788" s="15" t="str">
        <f aca="false">IF(B788="","",COUNT(L788:M788,P788:T788)&amp;"/7")</f>
        <v/>
      </c>
      <c r="AK788" s="15" t="str">
        <f aca="false">IF(B788="","",IF(OR(AND(ISNUMBER(L788),ISNUMBER(M788),M788&lt;L788),AND(ISNUMBER(M788),ISNUMBER(P788),P788&lt;M788),AND(ISNUMBER(P788),ISNUMBER(Q788),Q788&lt;P788),AND(ISNUMBER(Q788),ISNUMBER(R788),R788&lt;Q788),AND(ISNUMBER(R788),ISNUMBER(S788),S788&lt;R788),AND(ISNUMBER(S788),ISNUMBER(T788),T788&lt;S788),AND(ISNUMBER(N788),ISNUMBER(O788),O788&lt;N788)),"Urutan tanggal salah",IF(AND(ISNUMBER(Q788),ISNUMBER(R788),ISNUMBER(Y788),ABS(R788-Q788-Y788)&gt;2),"S tanggal ≠ Sailing tercatat",IF(AND(ISNUMBER(Q788),ISNUMBER(O788),ABS(Q788-O788)&gt;60),"Cek tahun laycan",IF(AND(ISNUMBER(Q788),ISNUMBER(N788),Q788&lt;N788),"Berangkat sebelum laycan",IF(NOT(ISNUMBER(AE788)),"S belum ada","OK"))))))</f>
        <v/>
      </c>
    </row>
    <row r="789" customFormat="false" ht="15" hidden="false" customHeight="false" outlineLevel="0" collapsed="false">
      <c r="A789" s="16" t="str">
        <f aca="false">IF(B789="","",ROW()-4)</f>
        <v/>
      </c>
      <c r="B789" s="12"/>
      <c r="C789" s="16"/>
      <c r="D789" s="16"/>
      <c r="E789" s="16"/>
      <c r="F789" s="16"/>
      <c r="G789" s="16"/>
      <c r="H789" s="16"/>
      <c r="I789" s="16"/>
      <c r="J789" s="16"/>
      <c r="K789" s="16"/>
      <c r="L789" s="13"/>
      <c r="M789" s="13"/>
      <c r="N789" s="13"/>
      <c r="O789" s="13"/>
      <c r="P789" s="13"/>
      <c r="Q789" s="13"/>
      <c r="R789" s="13"/>
      <c r="S789" s="13"/>
      <c r="T789" s="13"/>
      <c r="U789" s="12"/>
      <c r="V789" s="14"/>
      <c r="W789" s="16"/>
      <c r="X789" s="16"/>
      <c r="Y789" s="16"/>
      <c r="Z789" s="16"/>
      <c r="AA789" s="15" t="str">
        <f aca="false">IF(AND(ISNUMBER(L789),ISNUMBER(M789)),M789-L789,"")</f>
        <v/>
      </c>
      <c r="AB789" s="15" t="str">
        <f aca="false">IF(AND(ISNUMBER(M789),ISNUMBER(P789)),P789-M789,"")</f>
        <v/>
      </c>
      <c r="AC789" s="15" t="str">
        <f aca="false">IF(AND(ISNUMBER(L789),ISNUMBER(P789)),P789-L789,"")</f>
        <v/>
      </c>
      <c r="AD789" s="15" t="str">
        <f aca="false">IF(AND(ISNUMBER(P789),ISNUMBER(Q789)),Q789-P789,"")</f>
        <v/>
      </c>
      <c r="AE789" s="15" t="str">
        <f aca="false">IF(AND(ISNUMBER(Q789),ISNUMBER(R789)),R789-Q789,IF(ISNUMBER(Y789),Y789,""))</f>
        <v/>
      </c>
      <c r="AF789" s="15" t="str">
        <f aca="false">IF(AND(ISNUMBER(R789),ISNUMBER(S789)),S789-R789,"")</f>
        <v/>
      </c>
      <c r="AG789" s="15" t="str">
        <f aca="false">IF(AND(ISNUMBER(S789),ISNUMBER(T789)),T789-S789,"")</f>
        <v/>
      </c>
      <c r="AH789" s="15" t="str">
        <f aca="false">IF(AND(ISNUMBER(L789),ISNUMBER(T789)),T789-L789,"")</f>
        <v/>
      </c>
      <c r="AI789" s="15" t="str">
        <f aca="false">IF(AND(ISNUMBER(O789),ISNUMBER(Q789)),Q789-O789,"")</f>
        <v/>
      </c>
      <c r="AJ789" s="15" t="str">
        <f aca="false">IF(B789="","",COUNT(L789:M789,P789:T789)&amp;"/7")</f>
        <v/>
      </c>
      <c r="AK789" s="15" t="str">
        <f aca="false">IF(B789="","",IF(OR(AND(ISNUMBER(L789),ISNUMBER(M789),M789&lt;L789),AND(ISNUMBER(M789),ISNUMBER(P789),P789&lt;M789),AND(ISNUMBER(P789),ISNUMBER(Q789),Q789&lt;P789),AND(ISNUMBER(Q789),ISNUMBER(R789),R789&lt;Q789),AND(ISNUMBER(R789),ISNUMBER(S789),S789&lt;R789),AND(ISNUMBER(S789),ISNUMBER(T789),T789&lt;S789),AND(ISNUMBER(N789),ISNUMBER(O789),O789&lt;N789)),"Urutan tanggal salah",IF(AND(ISNUMBER(Q789),ISNUMBER(R789),ISNUMBER(Y789),ABS(R789-Q789-Y789)&gt;2),"S tanggal ≠ Sailing tercatat",IF(AND(ISNUMBER(Q789),ISNUMBER(O789),ABS(Q789-O789)&gt;60),"Cek tahun laycan",IF(AND(ISNUMBER(Q789),ISNUMBER(N789),Q789&lt;N789),"Berangkat sebelum laycan",IF(NOT(ISNUMBER(AE789)),"S belum ada","OK"))))))</f>
        <v/>
      </c>
    </row>
    <row r="790" customFormat="false" ht="15" hidden="false" customHeight="false" outlineLevel="0" collapsed="false">
      <c r="A790" s="16" t="str">
        <f aca="false">IF(B790="","",ROW()-4)</f>
        <v/>
      </c>
      <c r="B790" s="12"/>
      <c r="C790" s="16"/>
      <c r="D790" s="16"/>
      <c r="E790" s="16"/>
      <c r="F790" s="16"/>
      <c r="G790" s="16"/>
      <c r="H790" s="16"/>
      <c r="I790" s="16"/>
      <c r="J790" s="16"/>
      <c r="K790" s="16"/>
      <c r="L790" s="13"/>
      <c r="M790" s="13"/>
      <c r="N790" s="13"/>
      <c r="O790" s="13"/>
      <c r="P790" s="13"/>
      <c r="Q790" s="13"/>
      <c r="R790" s="13"/>
      <c r="S790" s="13"/>
      <c r="T790" s="13"/>
      <c r="U790" s="12"/>
      <c r="V790" s="14"/>
      <c r="W790" s="16"/>
      <c r="X790" s="16"/>
      <c r="Y790" s="16"/>
      <c r="Z790" s="16"/>
      <c r="AA790" s="15" t="str">
        <f aca="false">IF(AND(ISNUMBER(L790),ISNUMBER(M790)),M790-L790,"")</f>
        <v/>
      </c>
      <c r="AB790" s="15" t="str">
        <f aca="false">IF(AND(ISNUMBER(M790),ISNUMBER(P790)),P790-M790,"")</f>
        <v/>
      </c>
      <c r="AC790" s="15" t="str">
        <f aca="false">IF(AND(ISNUMBER(L790),ISNUMBER(P790)),P790-L790,"")</f>
        <v/>
      </c>
      <c r="AD790" s="15" t="str">
        <f aca="false">IF(AND(ISNUMBER(P790),ISNUMBER(Q790)),Q790-P790,"")</f>
        <v/>
      </c>
      <c r="AE790" s="15" t="str">
        <f aca="false">IF(AND(ISNUMBER(Q790),ISNUMBER(R790)),R790-Q790,IF(ISNUMBER(Y790),Y790,""))</f>
        <v/>
      </c>
      <c r="AF790" s="15" t="str">
        <f aca="false">IF(AND(ISNUMBER(R790),ISNUMBER(S790)),S790-R790,"")</f>
        <v/>
      </c>
      <c r="AG790" s="15" t="str">
        <f aca="false">IF(AND(ISNUMBER(S790),ISNUMBER(T790)),T790-S790,"")</f>
        <v/>
      </c>
      <c r="AH790" s="15" t="str">
        <f aca="false">IF(AND(ISNUMBER(L790),ISNUMBER(T790)),T790-L790,"")</f>
        <v/>
      </c>
      <c r="AI790" s="15" t="str">
        <f aca="false">IF(AND(ISNUMBER(O790),ISNUMBER(Q790)),Q790-O790,"")</f>
        <v/>
      </c>
      <c r="AJ790" s="15" t="str">
        <f aca="false">IF(B790="","",COUNT(L790:M790,P790:T790)&amp;"/7")</f>
        <v/>
      </c>
      <c r="AK790" s="15" t="str">
        <f aca="false">IF(B790="","",IF(OR(AND(ISNUMBER(L790),ISNUMBER(M790),M790&lt;L790),AND(ISNUMBER(M790),ISNUMBER(P790),P790&lt;M790),AND(ISNUMBER(P790),ISNUMBER(Q790),Q790&lt;P790),AND(ISNUMBER(Q790),ISNUMBER(R790),R790&lt;Q790),AND(ISNUMBER(R790),ISNUMBER(S790),S790&lt;R790),AND(ISNUMBER(S790),ISNUMBER(T790),T790&lt;S790),AND(ISNUMBER(N790),ISNUMBER(O790),O790&lt;N790)),"Urutan tanggal salah",IF(AND(ISNUMBER(Q790),ISNUMBER(R790),ISNUMBER(Y790),ABS(R790-Q790-Y790)&gt;2),"S tanggal ≠ Sailing tercatat",IF(AND(ISNUMBER(Q790),ISNUMBER(O790),ABS(Q790-O790)&gt;60),"Cek tahun laycan",IF(AND(ISNUMBER(Q790),ISNUMBER(N790),Q790&lt;N790),"Berangkat sebelum laycan",IF(NOT(ISNUMBER(AE790)),"S belum ada","OK"))))))</f>
        <v/>
      </c>
    </row>
    <row r="791" customFormat="false" ht="15" hidden="false" customHeight="false" outlineLevel="0" collapsed="false">
      <c r="A791" s="16" t="str">
        <f aca="false">IF(B791="","",ROW()-4)</f>
        <v/>
      </c>
      <c r="B791" s="12"/>
      <c r="C791" s="16"/>
      <c r="D791" s="16"/>
      <c r="E791" s="16"/>
      <c r="F791" s="16"/>
      <c r="G791" s="16"/>
      <c r="H791" s="16"/>
      <c r="I791" s="16"/>
      <c r="J791" s="16"/>
      <c r="K791" s="16"/>
      <c r="L791" s="13"/>
      <c r="M791" s="13"/>
      <c r="N791" s="13"/>
      <c r="O791" s="13"/>
      <c r="P791" s="13"/>
      <c r="Q791" s="13"/>
      <c r="R791" s="13"/>
      <c r="S791" s="13"/>
      <c r="T791" s="13"/>
      <c r="U791" s="12"/>
      <c r="V791" s="14"/>
      <c r="W791" s="16"/>
      <c r="X791" s="16"/>
      <c r="Y791" s="16"/>
      <c r="Z791" s="16"/>
      <c r="AA791" s="15" t="str">
        <f aca="false">IF(AND(ISNUMBER(L791),ISNUMBER(M791)),M791-L791,"")</f>
        <v/>
      </c>
      <c r="AB791" s="15" t="str">
        <f aca="false">IF(AND(ISNUMBER(M791),ISNUMBER(P791)),P791-M791,"")</f>
        <v/>
      </c>
      <c r="AC791" s="15" t="str">
        <f aca="false">IF(AND(ISNUMBER(L791),ISNUMBER(P791)),P791-L791,"")</f>
        <v/>
      </c>
      <c r="AD791" s="15" t="str">
        <f aca="false">IF(AND(ISNUMBER(P791),ISNUMBER(Q791)),Q791-P791,"")</f>
        <v/>
      </c>
      <c r="AE791" s="15" t="str">
        <f aca="false">IF(AND(ISNUMBER(Q791),ISNUMBER(R791)),R791-Q791,IF(ISNUMBER(Y791),Y791,""))</f>
        <v/>
      </c>
      <c r="AF791" s="15" t="str">
        <f aca="false">IF(AND(ISNUMBER(R791),ISNUMBER(S791)),S791-R791,"")</f>
        <v/>
      </c>
      <c r="AG791" s="15" t="str">
        <f aca="false">IF(AND(ISNUMBER(S791),ISNUMBER(T791)),T791-S791,"")</f>
        <v/>
      </c>
      <c r="AH791" s="15" t="str">
        <f aca="false">IF(AND(ISNUMBER(L791),ISNUMBER(T791)),T791-L791,"")</f>
        <v/>
      </c>
      <c r="AI791" s="15" t="str">
        <f aca="false">IF(AND(ISNUMBER(O791),ISNUMBER(Q791)),Q791-O791,"")</f>
        <v/>
      </c>
      <c r="AJ791" s="15" t="str">
        <f aca="false">IF(B791="","",COUNT(L791:M791,P791:T791)&amp;"/7")</f>
        <v/>
      </c>
      <c r="AK791" s="15" t="str">
        <f aca="false">IF(B791="","",IF(OR(AND(ISNUMBER(L791),ISNUMBER(M791),M791&lt;L791),AND(ISNUMBER(M791),ISNUMBER(P791),P791&lt;M791),AND(ISNUMBER(P791),ISNUMBER(Q791),Q791&lt;P791),AND(ISNUMBER(Q791),ISNUMBER(R791),R791&lt;Q791),AND(ISNUMBER(R791),ISNUMBER(S791),S791&lt;R791),AND(ISNUMBER(S791),ISNUMBER(T791),T791&lt;S791),AND(ISNUMBER(N791),ISNUMBER(O791),O791&lt;N791)),"Urutan tanggal salah",IF(AND(ISNUMBER(Q791),ISNUMBER(R791),ISNUMBER(Y791),ABS(R791-Q791-Y791)&gt;2),"S tanggal ≠ Sailing tercatat",IF(AND(ISNUMBER(Q791),ISNUMBER(O791),ABS(Q791-O791)&gt;60),"Cek tahun laycan",IF(AND(ISNUMBER(Q791),ISNUMBER(N791),Q791&lt;N791),"Berangkat sebelum laycan",IF(NOT(ISNUMBER(AE791)),"S belum ada","OK"))))))</f>
        <v/>
      </c>
    </row>
    <row r="792" customFormat="false" ht="15" hidden="false" customHeight="false" outlineLevel="0" collapsed="false">
      <c r="A792" s="16" t="str">
        <f aca="false">IF(B792="","",ROW()-4)</f>
        <v/>
      </c>
      <c r="B792" s="12"/>
      <c r="C792" s="16"/>
      <c r="D792" s="16"/>
      <c r="E792" s="16"/>
      <c r="F792" s="16"/>
      <c r="G792" s="16"/>
      <c r="H792" s="16"/>
      <c r="I792" s="16"/>
      <c r="J792" s="16"/>
      <c r="K792" s="16"/>
      <c r="L792" s="13"/>
      <c r="M792" s="13"/>
      <c r="N792" s="13"/>
      <c r="O792" s="13"/>
      <c r="P792" s="13"/>
      <c r="Q792" s="13"/>
      <c r="R792" s="13"/>
      <c r="S792" s="13"/>
      <c r="T792" s="13"/>
      <c r="U792" s="12"/>
      <c r="V792" s="14"/>
      <c r="W792" s="16"/>
      <c r="X792" s="16"/>
      <c r="Y792" s="16"/>
      <c r="Z792" s="16"/>
      <c r="AA792" s="15" t="str">
        <f aca="false">IF(AND(ISNUMBER(L792),ISNUMBER(M792)),M792-L792,"")</f>
        <v/>
      </c>
      <c r="AB792" s="15" t="str">
        <f aca="false">IF(AND(ISNUMBER(M792),ISNUMBER(P792)),P792-M792,"")</f>
        <v/>
      </c>
      <c r="AC792" s="15" t="str">
        <f aca="false">IF(AND(ISNUMBER(L792),ISNUMBER(P792)),P792-L792,"")</f>
        <v/>
      </c>
      <c r="AD792" s="15" t="str">
        <f aca="false">IF(AND(ISNUMBER(P792),ISNUMBER(Q792)),Q792-P792,"")</f>
        <v/>
      </c>
      <c r="AE792" s="15" t="str">
        <f aca="false">IF(AND(ISNUMBER(Q792),ISNUMBER(R792)),R792-Q792,IF(ISNUMBER(Y792),Y792,""))</f>
        <v/>
      </c>
      <c r="AF792" s="15" t="str">
        <f aca="false">IF(AND(ISNUMBER(R792),ISNUMBER(S792)),S792-R792,"")</f>
        <v/>
      </c>
      <c r="AG792" s="15" t="str">
        <f aca="false">IF(AND(ISNUMBER(S792),ISNUMBER(T792)),T792-S792,"")</f>
        <v/>
      </c>
      <c r="AH792" s="15" t="str">
        <f aca="false">IF(AND(ISNUMBER(L792),ISNUMBER(T792)),T792-L792,"")</f>
        <v/>
      </c>
      <c r="AI792" s="15" t="str">
        <f aca="false">IF(AND(ISNUMBER(O792),ISNUMBER(Q792)),Q792-O792,"")</f>
        <v/>
      </c>
      <c r="AJ792" s="15" t="str">
        <f aca="false">IF(B792="","",COUNT(L792:M792,P792:T792)&amp;"/7")</f>
        <v/>
      </c>
      <c r="AK792" s="15" t="str">
        <f aca="false">IF(B792="","",IF(OR(AND(ISNUMBER(L792),ISNUMBER(M792),M792&lt;L792),AND(ISNUMBER(M792),ISNUMBER(P792),P792&lt;M792),AND(ISNUMBER(P792),ISNUMBER(Q792),Q792&lt;P792),AND(ISNUMBER(Q792),ISNUMBER(R792),R792&lt;Q792),AND(ISNUMBER(R792),ISNUMBER(S792),S792&lt;R792),AND(ISNUMBER(S792),ISNUMBER(T792),T792&lt;S792),AND(ISNUMBER(N792),ISNUMBER(O792),O792&lt;N792)),"Urutan tanggal salah",IF(AND(ISNUMBER(Q792),ISNUMBER(R792),ISNUMBER(Y792),ABS(R792-Q792-Y792)&gt;2),"S tanggal ≠ Sailing tercatat",IF(AND(ISNUMBER(Q792),ISNUMBER(O792),ABS(Q792-O792)&gt;60),"Cek tahun laycan",IF(AND(ISNUMBER(Q792),ISNUMBER(N792),Q792&lt;N792),"Berangkat sebelum laycan",IF(NOT(ISNUMBER(AE792)),"S belum ada","OK"))))))</f>
        <v/>
      </c>
    </row>
    <row r="793" customFormat="false" ht="15" hidden="false" customHeight="false" outlineLevel="0" collapsed="false">
      <c r="A793" s="16" t="str">
        <f aca="false">IF(B793="","",ROW()-4)</f>
        <v/>
      </c>
      <c r="B793" s="12"/>
      <c r="C793" s="16"/>
      <c r="D793" s="16"/>
      <c r="E793" s="16"/>
      <c r="F793" s="16"/>
      <c r="G793" s="16"/>
      <c r="H793" s="16"/>
      <c r="I793" s="16"/>
      <c r="J793" s="16"/>
      <c r="K793" s="16"/>
      <c r="L793" s="13"/>
      <c r="M793" s="13"/>
      <c r="N793" s="13"/>
      <c r="O793" s="13"/>
      <c r="P793" s="13"/>
      <c r="Q793" s="13"/>
      <c r="R793" s="13"/>
      <c r="S793" s="13"/>
      <c r="T793" s="13"/>
      <c r="U793" s="12"/>
      <c r="V793" s="14"/>
      <c r="W793" s="16"/>
      <c r="X793" s="16"/>
      <c r="Y793" s="16"/>
      <c r="Z793" s="16"/>
      <c r="AA793" s="15" t="str">
        <f aca="false">IF(AND(ISNUMBER(L793),ISNUMBER(M793)),M793-L793,"")</f>
        <v/>
      </c>
      <c r="AB793" s="15" t="str">
        <f aca="false">IF(AND(ISNUMBER(M793),ISNUMBER(P793)),P793-M793,"")</f>
        <v/>
      </c>
      <c r="AC793" s="15" t="str">
        <f aca="false">IF(AND(ISNUMBER(L793),ISNUMBER(P793)),P793-L793,"")</f>
        <v/>
      </c>
      <c r="AD793" s="15" t="str">
        <f aca="false">IF(AND(ISNUMBER(P793),ISNUMBER(Q793)),Q793-P793,"")</f>
        <v/>
      </c>
      <c r="AE793" s="15" t="str">
        <f aca="false">IF(AND(ISNUMBER(Q793),ISNUMBER(R793)),R793-Q793,IF(ISNUMBER(Y793),Y793,""))</f>
        <v/>
      </c>
      <c r="AF793" s="15" t="str">
        <f aca="false">IF(AND(ISNUMBER(R793),ISNUMBER(S793)),S793-R793,"")</f>
        <v/>
      </c>
      <c r="AG793" s="15" t="str">
        <f aca="false">IF(AND(ISNUMBER(S793),ISNUMBER(T793)),T793-S793,"")</f>
        <v/>
      </c>
      <c r="AH793" s="15" t="str">
        <f aca="false">IF(AND(ISNUMBER(L793),ISNUMBER(T793)),T793-L793,"")</f>
        <v/>
      </c>
      <c r="AI793" s="15" t="str">
        <f aca="false">IF(AND(ISNUMBER(O793),ISNUMBER(Q793)),Q793-O793,"")</f>
        <v/>
      </c>
      <c r="AJ793" s="15" t="str">
        <f aca="false">IF(B793="","",COUNT(L793:M793,P793:T793)&amp;"/7")</f>
        <v/>
      </c>
      <c r="AK793" s="15" t="str">
        <f aca="false">IF(B793="","",IF(OR(AND(ISNUMBER(L793),ISNUMBER(M793),M793&lt;L793),AND(ISNUMBER(M793),ISNUMBER(P793),P793&lt;M793),AND(ISNUMBER(P793),ISNUMBER(Q793),Q793&lt;P793),AND(ISNUMBER(Q793),ISNUMBER(R793),R793&lt;Q793),AND(ISNUMBER(R793),ISNUMBER(S793),S793&lt;R793),AND(ISNUMBER(S793),ISNUMBER(T793),T793&lt;S793),AND(ISNUMBER(N793),ISNUMBER(O793),O793&lt;N793)),"Urutan tanggal salah",IF(AND(ISNUMBER(Q793),ISNUMBER(R793),ISNUMBER(Y793),ABS(R793-Q793-Y793)&gt;2),"S tanggal ≠ Sailing tercatat",IF(AND(ISNUMBER(Q793),ISNUMBER(O793),ABS(Q793-O793)&gt;60),"Cek tahun laycan",IF(AND(ISNUMBER(Q793),ISNUMBER(N793),Q793&lt;N793),"Berangkat sebelum laycan",IF(NOT(ISNUMBER(AE793)),"S belum ada","OK"))))))</f>
        <v/>
      </c>
    </row>
    <row r="794" customFormat="false" ht="15" hidden="false" customHeight="false" outlineLevel="0" collapsed="false">
      <c r="A794" s="16" t="str">
        <f aca="false">IF(B794="","",ROW()-4)</f>
        <v/>
      </c>
      <c r="B794" s="12"/>
      <c r="C794" s="16"/>
      <c r="D794" s="16"/>
      <c r="E794" s="16"/>
      <c r="F794" s="16"/>
      <c r="G794" s="16"/>
      <c r="H794" s="16"/>
      <c r="I794" s="16"/>
      <c r="J794" s="16"/>
      <c r="K794" s="16"/>
      <c r="L794" s="13"/>
      <c r="M794" s="13"/>
      <c r="N794" s="13"/>
      <c r="O794" s="13"/>
      <c r="P794" s="13"/>
      <c r="Q794" s="13"/>
      <c r="R794" s="13"/>
      <c r="S794" s="13"/>
      <c r="T794" s="13"/>
      <c r="U794" s="12"/>
      <c r="V794" s="14"/>
      <c r="W794" s="16"/>
      <c r="X794" s="16"/>
      <c r="Y794" s="16"/>
      <c r="Z794" s="16"/>
      <c r="AA794" s="15" t="str">
        <f aca="false">IF(AND(ISNUMBER(L794),ISNUMBER(M794)),M794-L794,"")</f>
        <v/>
      </c>
      <c r="AB794" s="15" t="str">
        <f aca="false">IF(AND(ISNUMBER(M794),ISNUMBER(P794)),P794-M794,"")</f>
        <v/>
      </c>
      <c r="AC794" s="15" t="str">
        <f aca="false">IF(AND(ISNUMBER(L794),ISNUMBER(P794)),P794-L794,"")</f>
        <v/>
      </c>
      <c r="AD794" s="15" t="str">
        <f aca="false">IF(AND(ISNUMBER(P794),ISNUMBER(Q794)),Q794-P794,"")</f>
        <v/>
      </c>
      <c r="AE794" s="15" t="str">
        <f aca="false">IF(AND(ISNUMBER(Q794),ISNUMBER(R794)),R794-Q794,IF(ISNUMBER(Y794),Y794,""))</f>
        <v/>
      </c>
      <c r="AF794" s="15" t="str">
        <f aca="false">IF(AND(ISNUMBER(R794),ISNUMBER(S794)),S794-R794,"")</f>
        <v/>
      </c>
      <c r="AG794" s="15" t="str">
        <f aca="false">IF(AND(ISNUMBER(S794),ISNUMBER(T794)),T794-S794,"")</f>
        <v/>
      </c>
      <c r="AH794" s="15" t="str">
        <f aca="false">IF(AND(ISNUMBER(L794),ISNUMBER(T794)),T794-L794,"")</f>
        <v/>
      </c>
      <c r="AI794" s="15" t="str">
        <f aca="false">IF(AND(ISNUMBER(O794),ISNUMBER(Q794)),Q794-O794,"")</f>
        <v/>
      </c>
      <c r="AJ794" s="15" t="str">
        <f aca="false">IF(B794="","",COUNT(L794:M794,P794:T794)&amp;"/7")</f>
        <v/>
      </c>
      <c r="AK794" s="15" t="str">
        <f aca="false">IF(B794="","",IF(OR(AND(ISNUMBER(L794),ISNUMBER(M794),M794&lt;L794),AND(ISNUMBER(M794),ISNUMBER(P794),P794&lt;M794),AND(ISNUMBER(P794),ISNUMBER(Q794),Q794&lt;P794),AND(ISNUMBER(Q794),ISNUMBER(R794),R794&lt;Q794),AND(ISNUMBER(R794),ISNUMBER(S794),S794&lt;R794),AND(ISNUMBER(S794),ISNUMBER(T794),T794&lt;S794),AND(ISNUMBER(N794),ISNUMBER(O794),O794&lt;N794)),"Urutan tanggal salah",IF(AND(ISNUMBER(Q794),ISNUMBER(R794),ISNUMBER(Y794),ABS(R794-Q794-Y794)&gt;2),"S tanggal ≠ Sailing tercatat",IF(AND(ISNUMBER(Q794),ISNUMBER(O794),ABS(Q794-O794)&gt;60),"Cek tahun laycan",IF(AND(ISNUMBER(Q794),ISNUMBER(N794),Q794&lt;N794),"Berangkat sebelum laycan",IF(NOT(ISNUMBER(AE794)),"S belum ada","OK"))))))</f>
        <v/>
      </c>
    </row>
    <row r="795" customFormat="false" ht="15" hidden="false" customHeight="false" outlineLevel="0" collapsed="false">
      <c r="A795" s="16" t="str">
        <f aca="false">IF(B795="","",ROW()-4)</f>
        <v/>
      </c>
      <c r="B795" s="12"/>
      <c r="C795" s="16"/>
      <c r="D795" s="16"/>
      <c r="E795" s="16"/>
      <c r="F795" s="16"/>
      <c r="G795" s="16"/>
      <c r="H795" s="16"/>
      <c r="I795" s="16"/>
      <c r="J795" s="16"/>
      <c r="K795" s="16"/>
      <c r="L795" s="13"/>
      <c r="M795" s="13"/>
      <c r="N795" s="13"/>
      <c r="O795" s="13"/>
      <c r="P795" s="13"/>
      <c r="Q795" s="13"/>
      <c r="R795" s="13"/>
      <c r="S795" s="13"/>
      <c r="T795" s="13"/>
      <c r="U795" s="12"/>
      <c r="V795" s="14"/>
      <c r="W795" s="16"/>
      <c r="X795" s="16"/>
      <c r="Y795" s="16"/>
      <c r="Z795" s="16"/>
      <c r="AA795" s="15" t="str">
        <f aca="false">IF(AND(ISNUMBER(L795),ISNUMBER(M795)),M795-L795,"")</f>
        <v/>
      </c>
      <c r="AB795" s="15" t="str">
        <f aca="false">IF(AND(ISNUMBER(M795),ISNUMBER(P795)),P795-M795,"")</f>
        <v/>
      </c>
      <c r="AC795" s="15" t="str">
        <f aca="false">IF(AND(ISNUMBER(L795),ISNUMBER(P795)),P795-L795,"")</f>
        <v/>
      </c>
      <c r="AD795" s="15" t="str">
        <f aca="false">IF(AND(ISNUMBER(P795),ISNUMBER(Q795)),Q795-P795,"")</f>
        <v/>
      </c>
      <c r="AE795" s="15" t="str">
        <f aca="false">IF(AND(ISNUMBER(Q795),ISNUMBER(R795)),R795-Q795,IF(ISNUMBER(Y795),Y795,""))</f>
        <v/>
      </c>
      <c r="AF795" s="15" t="str">
        <f aca="false">IF(AND(ISNUMBER(R795),ISNUMBER(S795)),S795-R795,"")</f>
        <v/>
      </c>
      <c r="AG795" s="15" t="str">
        <f aca="false">IF(AND(ISNUMBER(S795),ISNUMBER(T795)),T795-S795,"")</f>
        <v/>
      </c>
      <c r="AH795" s="15" t="str">
        <f aca="false">IF(AND(ISNUMBER(L795),ISNUMBER(T795)),T795-L795,"")</f>
        <v/>
      </c>
      <c r="AI795" s="15" t="str">
        <f aca="false">IF(AND(ISNUMBER(O795),ISNUMBER(Q795)),Q795-O795,"")</f>
        <v/>
      </c>
      <c r="AJ795" s="15" t="str">
        <f aca="false">IF(B795="","",COUNT(L795:M795,P795:T795)&amp;"/7")</f>
        <v/>
      </c>
      <c r="AK795" s="15" t="str">
        <f aca="false">IF(B795="","",IF(OR(AND(ISNUMBER(L795),ISNUMBER(M795),M795&lt;L795),AND(ISNUMBER(M795),ISNUMBER(P795),P795&lt;M795),AND(ISNUMBER(P795),ISNUMBER(Q795),Q795&lt;P795),AND(ISNUMBER(Q795),ISNUMBER(R795),R795&lt;Q795),AND(ISNUMBER(R795),ISNUMBER(S795),S795&lt;R795),AND(ISNUMBER(S795),ISNUMBER(T795),T795&lt;S795),AND(ISNUMBER(N795),ISNUMBER(O795),O795&lt;N795)),"Urutan tanggal salah",IF(AND(ISNUMBER(Q795),ISNUMBER(R795),ISNUMBER(Y795),ABS(R795-Q795-Y795)&gt;2),"S tanggal ≠ Sailing tercatat",IF(AND(ISNUMBER(Q795),ISNUMBER(O795),ABS(Q795-O795)&gt;60),"Cek tahun laycan",IF(AND(ISNUMBER(Q795),ISNUMBER(N795),Q795&lt;N795),"Berangkat sebelum laycan",IF(NOT(ISNUMBER(AE795)),"S belum ada","OK"))))))</f>
        <v/>
      </c>
    </row>
    <row r="796" customFormat="false" ht="15" hidden="false" customHeight="false" outlineLevel="0" collapsed="false">
      <c r="A796" s="16" t="str">
        <f aca="false">IF(B796="","",ROW()-4)</f>
        <v/>
      </c>
      <c r="B796" s="12"/>
      <c r="C796" s="16"/>
      <c r="D796" s="16"/>
      <c r="E796" s="16"/>
      <c r="F796" s="16"/>
      <c r="G796" s="16"/>
      <c r="H796" s="16"/>
      <c r="I796" s="16"/>
      <c r="J796" s="16"/>
      <c r="K796" s="16"/>
      <c r="L796" s="13"/>
      <c r="M796" s="13"/>
      <c r="N796" s="13"/>
      <c r="O796" s="13"/>
      <c r="P796" s="13"/>
      <c r="Q796" s="13"/>
      <c r="R796" s="13"/>
      <c r="S796" s="13"/>
      <c r="T796" s="13"/>
      <c r="U796" s="12"/>
      <c r="V796" s="14"/>
      <c r="W796" s="16"/>
      <c r="X796" s="16"/>
      <c r="Y796" s="16"/>
      <c r="Z796" s="16"/>
      <c r="AA796" s="15" t="str">
        <f aca="false">IF(AND(ISNUMBER(L796),ISNUMBER(M796)),M796-L796,"")</f>
        <v/>
      </c>
      <c r="AB796" s="15" t="str">
        <f aca="false">IF(AND(ISNUMBER(M796),ISNUMBER(P796)),P796-M796,"")</f>
        <v/>
      </c>
      <c r="AC796" s="15" t="str">
        <f aca="false">IF(AND(ISNUMBER(L796),ISNUMBER(P796)),P796-L796,"")</f>
        <v/>
      </c>
      <c r="AD796" s="15" t="str">
        <f aca="false">IF(AND(ISNUMBER(P796),ISNUMBER(Q796)),Q796-P796,"")</f>
        <v/>
      </c>
      <c r="AE796" s="15" t="str">
        <f aca="false">IF(AND(ISNUMBER(Q796),ISNUMBER(R796)),R796-Q796,IF(ISNUMBER(Y796),Y796,""))</f>
        <v/>
      </c>
      <c r="AF796" s="15" t="str">
        <f aca="false">IF(AND(ISNUMBER(R796),ISNUMBER(S796)),S796-R796,"")</f>
        <v/>
      </c>
      <c r="AG796" s="15" t="str">
        <f aca="false">IF(AND(ISNUMBER(S796),ISNUMBER(T796)),T796-S796,"")</f>
        <v/>
      </c>
      <c r="AH796" s="15" t="str">
        <f aca="false">IF(AND(ISNUMBER(L796),ISNUMBER(T796)),T796-L796,"")</f>
        <v/>
      </c>
      <c r="AI796" s="15" t="str">
        <f aca="false">IF(AND(ISNUMBER(O796),ISNUMBER(Q796)),Q796-O796,"")</f>
        <v/>
      </c>
      <c r="AJ796" s="15" t="str">
        <f aca="false">IF(B796="","",COUNT(L796:M796,P796:T796)&amp;"/7")</f>
        <v/>
      </c>
      <c r="AK796" s="15" t="str">
        <f aca="false">IF(B796="","",IF(OR(AND(ISNUMBER(L796),ISNUMBER(M796),M796&lt;L796),AND(ISNUMBER(M796),ISNUMBER(P796),P796&lt;M796),AND(ISNUMBER(P796),ISNUMBER(Q796),Q796&lt;P796),AND(ISNUMBER(Q796),ISNUMBER(R796),R796&lt;Q796),AND(ISNUMBER(R796),ISNUMBER(S796),S796&lt;R796),AND(ISNUMBER(S796),ISNUMBER(T796),T796&lt;S796),AND(ISNUMBER(N796),ISNUMBER(O796),O796&lt;N796)),"Urutan tanggal salah",IF(AND(ISNUMBER(Q796),ISNUMBER(R796),ISNUMBER(Y796),ABS(R796-Q796-Y796)&gt;2),"S tanggal ≠ Sailing tercatat",IF(AND(ISNUMBER(Q796),ISNUMBER(O796),ABS(Q796-O796)&gt;60),"Cek tahun laycan",IF(AND(ISNUMBER(Q796),ISNUMBER(N796),Q796&lt;N796),"Berangkat sebelum laycan",IF(NOT(ISNUMBER(AE796)),"S belum ada","OK"))))))</f>
        <v/>
      </c>
    </row>
    <row r="797" customFormat="false" ht="15" hidden="false" customHeight="false" outlineLevel="0" collapsed="false">
      <c r="A797" s="16" t="str">
        <f aca="false">IF(B797="","",ROW()-4)</f>
        <v/>
      </c>
      <c r="B797" s="12"/>
      <c r="C797" s="16"/>
      <c r="D797" s="16"/>
      <c r="E797" s="16"/>
      <c r="F797" s="16"/>
      <c r="G797" s="16"/>
      <c r="H797" s="16"/>
      <c r="I797" s="16"/>
      <c r="J797" s="16"/>
      <c r="K797" s="16"/>
      <c r="L797" s="13"/>
      <c r="M797" s="13"/>
      <c r="N797" s="13"/>
      <c r="O797" s="13"/>
      <c r="P797" s="13"/>
      <c r="Q797" s="13"/>
      <c r="R797" s="13"/>
      <c r="S797" s="13"/>
      <c r="T797" s="13"/>
      <c r="U797" s="12"/>
      <c r="V797" s="14"/>
      <c r="W797" s="16"/>
      <c r="X797" s="16"/>
      <c r="Y797" s="16"/>
      <c r="Z797" s="16"/>
      <c r="AA797" s="15" t="str">
        <f aca="false">IF(AND(ISNUMBER(L797),ISNUMBER(M797)),M797-L797,"")</f>
        <v/>
      </c>
      <c r="AB797" s="15" t="str">
        <f aca="false">IF(AND(ISNUMBER(M797),ISNUMBER(P797)),P797-M797,"")</f>
        <v/>
      </c>
      <c r="AC797" s="15" t="str">
        <f aca="false">IF(AND(ISNUMBER(L797),ISNUMBER(P797)),P797-L797,"")</f>
        <v/>
      </c>
      <c r="AD797" s="15" t="str">
        <f aca="false">IF(AND(ISNUMBER(P797),ISNUMBER(Q797)),Q797-P797,"")</f>
        <v/>
      </c>
      <c r="AE797" s="15" t="str">
        <f aca="false">IF(AND(ISNUMBER(Q797),ISNUMBER(R797)),R797-Q797,IF(ISNUMBER(Y797),Y797,""))</f>
        <v/>
      </c>
      <c r="AF797" s="15" t="str">
        <f aca="false">IF(AND(ISNUMBER(R797),ISNUMBER(S797)),S797-R797,"")</f>
        <v/>
      </c>
      <c r="AG797" s="15" t="str">
        <f aca="false">IF(AND(ISNUMBER(S797),ISNUMBER(T797)),T797-S797,"")</f>
        <v/>
      </c>
      <c r="AH797" s="15" t="str">
        <f aca="false">IF(AND(ISNUMBER(L797),ISNUMBER(T797)),T797-L797,"")</f>
        <v/>
      </c>
      <c r="AI797" s="15" t="str">
        <f aca="false">IF(AND(ISNUMBER(O797),ISNUMBER(Q797)),Q797-O797,"")</f>
        <v/>
      </c>
      <c r="AJ797" s="15" t="str">
        <f aca="false">IF(B797="","",COUNT(L797:M797,P797:T797)&amp;"/7")</f>
        <v/>
      </c>
      <c r="AK797" s="15" t="str">
        <f aca="false">IF(B797="","",IF(OR(AND(ISNUMBER(L797),ISNUMBER(M797),M797&lt;L797),AND(ISNUMBER(M797),ISNUMBER(P797),P797&lt;M797),AND(ISNUMBER(P797),ISNUMBER(Q797),Q797&lt;P797),AND(ISNUMBER(Q797),ISNUMBER(R797),R797&lt;Q797),AND(ISNUMBER(R797),ISNUMBER(S797),S797&lt;R797),AND(ISNUMBER(S797),ISNUMBER(T797),T797&lt;S797),AND(ISNUMBER(N797),ISNUMBER(O797),O797&lt;N797)),"Urutan tanggal salah",IF(AND(ISNUMBER(Q797),ISNUMBER(R797),ISNUMBER(Y797),ABS(R797-Q797-Y797)&gt;2),"S tanggal ≠ Sailing tercatat",IF(AND(ISNUMBER(Q797),ISNUMBER(O797),ABS(Q797-O797)&gt;60),"Cek tahun laycan",IF(AND(ISNUMBER(Q797),ISNUMBER(N797),Q797&lt;N797),"Berangkat sebelum laycan",IF(NOT(ISNUMBER(AE797)),"S belum ada","OK"))))))</f>
        <v/>
      </c>
    </row>
    <row r="798" customFormat="false" ht="15" hidden="false" customHeight="false" outlineLevel="0" collapsed="false">
      <c r="A798" s="16" t="str">
        <f aca="false">IF(B798="","",ROW()-4)</f>
        <v/>
      </c>
      <c r="B798" s="12"/>
      <c r="C798" s="16"/>
      <c r="D798" s="16"/>
      <c r="E798" s="16"/>
      <c r="F798" s="16"/>
      <c r="G798" s="16"/>
      <c r="H798" s="16"/>
      <c r="I798" s="16"/>
      <c r="J798" s="16"/>
      <c r="K798" s="16"/>
      <c r="L798" s="13"/>
      <c r="M798" s="13"/>
      <c r="N798" s="13"/>
      <c r="O798" s="13"/>
      <c r="P798" s="13"/>
      <c r="Q798" s="13"/>
      <c r="R798" s="13"/>
      <c r="S798" s="13"/>
      <c r="T798" s="13"/>
      <c r="U798" s="12"/>
      <c r="V798" s="14"/>
      <c r="W798" s="16"/>
      <c r="X798" s="16"/>
      <c r="Y798" s="16"/>
      <c r="Z798" s="16"/>
      <c r="AA798" s="15" t="str">
        <f aca="false">IF(AND(ISNUMBER(L798),ISNUMBER(M798)),M798-L798,"")</f>
        <v/>
      </c>
      <c r="AB798" s="15" t="str">
        <f aca="false">IF(AND(ISNUMBER(M798),ISNUMBER(P798)),P798-M798,"")</f>
        <v/>
      </c>
      <c r="AC798" s="15" t="str">
        <f aca="false">IF(AND(ISNUMBER(L798),ISNUMBER(P798)),P798-L798,"")</f>
        <v/>
      </c>
      <c r="AD798" s="15" t="str">
        <f aca="false">IF(AND(ISNUMBER(P798),ISNUMBER(Q798)),Q798-P798,"")</f>
        <v/>
      </c>
      <c r="AE798" s="15" t="str">
        <f aca="false">IF(AND(ISNUMBER(Q798),ISNUMBER(R798)),R798-Q798,IF(ISNUMBER(Y798),Y798,""))</f>
        <v/>
      </c>
      <c r="AF798" s="15" t="str">
        <f aca="false">IF(AND(ISNUMBER(R798),ISNUMBER(S798)),S798-R798,"")</f>
        <v/>
      </c>
      <c r="AG798" s="15" t="str">
        <f aca="false">IF(AND(ISNUMBER(S798),ISNUMBER(T798)),T798-S798,"")</f>
        <v/>
      </c>
      <c r="AH798" s="15" t="str">
        <f aca="false">IF(AND(ISNUMBER(L798),ISNUMBER(T798)),T798-L798,"")</f>
        <v/>
      </c>
      <c r="AI798" s="15" t="str">
        <f aca="false">IF(AND(ISNUMBER(O798),ISNUMBER(Q798)),Q798-O798,"")</f>
        <v/>
      </c>
      <c r="AJ798" s="15" t="str">
        <f aca="false">IF(B798="","",COUNT(L798:M798,P798:T798)&amp;"/7")</f>
        <v/>
      </c>
      <c r="AK798" s="15" t="str">
        <f aca="false">IF(B798="","",IF(OR(AND(ISNUMBER(L798),ISNUMBER(M798),M798&lt;L798),AND(ISNUMBER(M798),ISNUMBER(P798),P798&lt;M798),AND(ISNUMBER(P798),ISNUMBER(Q798),Q798&lt;P798),AND(ISNUMBER(Q798),ISNUMBER(R798),R798&lt;Q798),AND(ISNUMBER(R798),ISNUMBER(S798),S798&lt;R798),AND(ISNUMBER(S798),ISNUMBER(T798),T798&lt;S798),AND(ISNUMBER(N798),ISNUMBER(O798),O798&lt;N798)),"Urutan tanggal salah",IF(AND(ISNUMBER(Q798),ISNUMBER(R798),ISNUMBER(Y798),ABS(R798-Q798-Y798)&gt;2),"S tanggal ≠ Sailing tercatat",IF(AND(ISNUMBER(Q798),ISNUMBER(O798),ABS(Q798-O798)&gt;60),"Cek tahun laycan",IF(AND(ISNUMBER(Q798),ISNUMBER(N798),Q798&lt;N798),"Berangkat sebelum laycan",IF(NOT(ISNUMBER(AE798)),"S belum ada","OK"))))))</f>
        <v/>
      </c>
    </row>
    <row r="799" customFormat="false" ht="15" hidden="false" customHeight="false" outlineLevel="0" collapsed="false">
      <c r="A799" s="16" t="str">
        <f aca="false">IF(B799="","",ROW()-4)</f>
        <v/>
      </c>
      <c r="B799" s="12"/>
      <c r="C799" s="16"/>
      <c r="D799" s="16"/>
      <c r="E799" s="16"/>
      <c r="F799" s="16"/>
      <c r="G799" s="16"/>
      <c r="H799" s="16"/>
      <c r="I799" s="16"/>
      <c r="J799" s="16"/>
      <c r="K799" s="16"/>
      <c r="L799" s="13"/>
      <c r="M799" s="13"/>
      <c r="N799" s="13"/>
      <c r="O799" s="13"/>
      <c r="P799" s="13"/>
      <c r="Q799" s="13"/>
      <c r="R799" s="13"/>
      <c r="S799" s="13"/>
      <c r="T799" s="13"/>
      <c r="U799" s="12"/>
      <c r="V799" s="14"/>
      <c r="W799" s="16"/>
      <c r="X799" s="16"/>
      <c r="Y799" s="16"/>
      <c r="Z799" s="16"/>
      <c r="AA799" s="15" t="str">
        <f aca="false">IF(AND(ISNUMBER(L799),ISNUMBER(M799)),M799-L799,"")</f>
        <v/>
      </c>
      <c r="AB799" s="15" t="str">
        <f aca="false">IF(AND(ISNUMBER(M799),ISNUMBER(P799)),P799-M799,"")</f>
        <v/>
      </c>
      <c r="AC799" s="15" t="str">
        <f aca="false">IF(AND(ISNUMBER(L799),ISNUMBER(P799)),P799-L799,"")</f>
        <v/>
      </c>
      <c r="AD799" s="15" t="str">
        <f aca="false">IF(AND(ISNUMBER(P799),ISNUMBER(Q799)),Q799-P799,"")</f>
        <v/>
      </c>
      <c r="AE799" s="15" t="str">
        <f aca="false">IF(AND(ISNUMBER(Q799),ISNUMBER(R799)),R799-Q799,IF(ISNUMBER(Y799),Y799,""))</f>
        <v/>
      </c>
      <c r="AF799" s="15" t="str">
        <f aca="false">IF(AND(ISNUMBER(R799),ISNUMBER(S799)),S799-R799,"")</f>
        <v/>
      </c>
      <c r="AG799" s="15" t="str">
        <f aca="false">IF(AND(ISNUMBER(S799),ISNUMBER(T799)),T799-S799,"")</f>
        <v/>
      </c>
      <c r="AH799" s="15" t="str">
        <f aca="false">IF(AND(ISNUMBER(L799),ISNUMBER(T799)),T799-L799,"")</f>
        <v/>
      </c>
      <c r="AI799" s="15" t="str">
        <f aca="false">IF(AND(ISNUMBER(O799),ISNUMBER(Q799)),Q799-O799,"")</f>
        <v/>
      </c>
      <c r="AJ799" s="15" t="str">
        <f aca="false">IF(B799="","",COUNT(L799:M799,P799:T799)&amp;"/7")</f>
        <v/>
      </c>
      <c r="AK799" s="15" t="str">
        <f aca="false">IF(B799="","",IF(OR(AND(ISNUMBER(L799),ISNUMBER(M799),M799&lt;L799),AND(ISNUMBER(M799),ISNUMBER(P799),P799&lt;M799),AND(ISNUMBER(P799),ISNUMBER(Q799),Q799&lt;P799),AND(ISNUMBER(Q799),ISNUMBER(R799),R799&lt;Q799),AND(ISNUMBER(R799),ISNUMBER(S799),S799&lt;R799),AND(ISNUMBER(S799),ISNUMBER(T799),T799&lt;S799),AND(ISNUMBER(N799),ISNUMBER(O799),O799&lt;N799)),"Urutan tanggal salah",IF(AND(ISNUMBER(Q799),ISNUMBER(R799),ISNUMBER(Y799),ABS(R799-Q799-Y799)&gt;2),"S tanggal ≠ Sailing tercatat",IF(AND(ISNUMBER(Q799),ISNUMBER(O799),ABS(Q799-O799)&gt;60),"Cek tahun laycan",IF(AND(ISNUMBER(Q799),ISNUMBER(N799),Q799&lt;N799),"Berangkat sebelum laycan",IF(NOT(ISNUMBER(AE799)),"S belum ada","OK"))))))</f>
        <v/>
      </c>
    </row>
    <row r="800" customFormat="false" ht="15" hidden="false" customHeight="false" outlineLevel="0" collapsed="false">
      <c r="A800" s="16" t="str">
        <f aca="false">IF(B800="","",ROW()-4)</f>
        <v/>
      </c>
      <c r="B800" s="12"/>
      <c r="C800" s="16"/>
      <c r="D800" s="16"/>
      <c r="E800" s="16"/>
      <c r="F800" s="16"/>
      <c r="G800" s="16"/>
      <c r="H800" s="16"/>
      <c r="I800" s="16"/>
      <c r="J800" s="16"/>
      <c r="K800" s="16"/>
      <c r="L800" s="13"/>
      <c r="M800" s="13"/>
      <c r="N800" s="13"/>
      <c r="O800" s="13"/>
      <c r="P800" s="13"/>
      <c r="Q800" s="13"/>
      <c r="R800" s="13"/>
      <c r="S800" s="13"/>
      <c r="T800" s="13"/>
      <c r="U800" s="12"/>
      <c r="V800" s="14"/>
      <c r="W800" s="16"/>
      <c r="X800" s="16"/>
      <c r="Y800" s="16"/>
      <c r="Z800" s="16"/>
      <c r="AA800" s="15" t="str">
        <f aca="false">IF(AND(ISNUMBER(L800),ISNUMBER(M800)),M800-L800,"")</f>
        <v/>
      </c>
      <c r="AB800" s="15" t="str">
        <f aca="false">IF(AND(ISNUMBER(M800),ISNUMBER(P800)),P800-M800,"")</f>
        <v/>
      </c>
      <c r="AC800" s="15" t="str">
        <f aca="false">IF(AND(ISNUMBER(L800),ISNUMBER(P800)),P800-L800,"")</f>
        <v/>
      </c>
      <c r="AD800" s="15" t="str">
        <f aca="false">IF(AND(ISNUMBER(P800),ISNUMBER(Q800)),Q800-P800,"")</f>
        <v/>
      </c>
      <c r="AE800" s="15" t="str">
        <f aca="false">IF(AND(ISNUMBER(Q800),ISNUMBER(R800)),R800-Q800,IF(ISNUMBER(Y800),Y800,""))</f>
        <v/>
      </c>
      <c r="AF800" s="15" t="str">
        <f aca="false">IF(AND(ISNUMBER(R800),ISNUMBER(S800)),S800-R800,"")</f>
        <v/>
      </c>
      <c r="AG800" s="15" t="str">
        <f aca="false">IF(AND(ISNUMBER(S800),ISNUMBER(T800)),T800-S800,"")</f>
        <v/>
      </c>
      <c r="AH800" s="15" t="str">
        <f aca="false">IF(AND(ISNUMBER(L800),ISNUMBER(T800)),T800-L800,"")</f>
        <v/>
      </c>
      <c r="AI800" s="15" t="str">
        <f aca="false">IF(AND(ISNUMBER(O800),ISNUMBER(Q800)),Q800-O800,"")</f>
        <v/>
      </c>
      <c r="AJ800" s="15" t="str">
        <f aca="false">IF(B800="","",COUNT(L800:M800,P800:T800)&amp;"/7")</f>
        <v/>
      </c>
      <c r="AK800" s="15" t="str">
        <f aca="false">IF(B800="","",IF(OR(AND(ISNUMBER(L800),ISNUMBER(M800),M800&lt;L800),AND(ISNUMBER(M800),ISNUMBER(P800),P800&lt;M800),AND(ISNUMBER(P800),ISNUMBER(Q800),Q800&lt;P800),AND(ISNUMBER(Q800),ISNUMBER(R800),R800&lt;Q800),AND(ISNUMBER(R800),ISNUMBER(S800),S800&lt;R800),AND(ISNUMBER(S800),ISNUMBER(T800),T800&lt;S800),AND(ISNUMBER(N800),ISNUMBER(O800),O800&lt;N800)),"Urutan tanggal salah",IF(AND(ISNUMBER(Q800),ISNUMBER(R800),ISNUMBER(Y800),ABS(R800-Q800-Y800)&gt;2),"S tanggal ≠ Sailing tercatat",IF(AND(ISNUMBER(Q800),ISNUMBER(O800),ABS(Q800-O800)&gt;60),"Cek tahun laycan",IF(AND(ISNUMBER(Q800),ISNUMBER(N800),Q800&lt;N800),"Berangkat sebelum laycan",IF(NOT(ISNUMBER(AE800)),"S belum ada","OK"))))))</f>
        <v/>
      </c>
    </row>
    <row r="801" customFormat="false" ht="15" hidden="false" customHeight="false" outlineLevel="0" collapsed="false">
      <c r="A801" s="16" t="str">
        <f aca="false">IF(B801="","",ROW()-4)</f>
        <v/>
      </c>
      <c r="B801" s="12"/>
      <c r="C801" s="16"/>
      <c r="D801" s="16"/>
      <c r="E801" s="16"/>
      <c r="F801" s="16"/>
      <c r="G801" s="16"/>
      <c r="H801" s="16"/>
      <c r="I801" s="16"/>
      <c r="J801" s="16"/>
      <c r="K801" s="16"/>
      <c r="L801" s="13"/>
      <c r="M801" s="13"/>
      <c r="N801" s="13"/>
      <c r="O801" s="13"/>
      <c r="P801" s="13"/>
      <c r="Q801" s="13"/>
      <c r="R801" s="13"/>
      <c r="S801" s="13"/>
      <c r="T801" s="13"/>
      <c r="U801" s="12"/>
      <c r="V801" s="14"/>
      <c r="W801" s="16"/>
      <c r="X801" s="16"/>
      <c r="Y801" s="16"/>
      <c r="Z801" s="16"/>
      <c r="AA801" s="15" t="str">
        <f aca="false">IF(AND(ISNUMBER(L801),ISNUMBER(M801)),M801-L801,"")</f>
        <v/>
      </c>
      <c r="AB801" s="15" t="str">
        <f aca="false">IF(AND(ISNUMBER(M801),ISNUMBER(P801)),P801-M801,"")</f>
        <v/>
      </c>
      <c r="AC801" s="15" t="str">
        <f aca="false">IF(AND(ISNUMBER(L801),ISNUMBER(P801)),P801-L801,"")</f>
        <v/>
      </c>
      <c r="AD801" s="15" t="str">
        <f aca="false">IF(AND(ISNUMBER(P801),ISNUMBER(Q801)),Q801-P801,"")</f>
        <v/>
      </c>
      <c r="AE801" s="15" t="str">
        <f aca="false">IF(AND(ISNUMBER(Q801),ISNUMBER(R801)),R801-Q801,IF(ISNUMBER(Y801),Y801,""))</f>
        <v/>
      </c>
      <c r="AF801" s="15" t="str">
        <f aca="false">IF(AND(ISNUMBER(R801),ISNUMBER(S801)),S801-R801,"")</f>
        <v/>
      </c>
      <c r="AG801" s="15" t="str">
        <f aca="false">IF(AND(ISNUMBER(S801),ISNUMBER(T801)),T801-S801,"")</f>
        <v/>
      </c>
      <c r="AH801" s="15" t="str">
        <f aca="false">IF(AND(ISNUMBER(L801),ISNUMBER(T801)),T801-L801,"")</f>
        <v/>
      </c>
      <c r="AI801" s="15" t="str">
        <f aca="false">IF(AND(ISNUMBER(O801),ISNUMBER(Q801)),Q801-O801,"")</f>
        <v/>
      </c>
      <c r="AJ801" s="15" t="str">
        <f aca="false">IF(B801="","",COUNT(L801:M801,P801:T801)&amp;"/7")</f>
        <v/>
      </c>
      <c r="AK801" s="15" t="str">
        <f aca="false">IF(B801="","",IF(OR(AND(ISNUMBER(L801),ISNUMBER(M801),M801&lt;L801),AND(ISNUMBER(M801),ISNUMBER(P801),P801&lt;M801),AND(ISNUMBER(P801),ISNUMBER(Q801),Q801&lt;P801),AND(ISNUMBER(Q801),ISNUMBER(R801),R801&lt;Q801),AND(ISNUMBER(R801),ISNUMBER(S801),S801&lt;R801),AND(ISNUMBER(S801),ISNUMBER(T801),T801&lt;S801),AND(ISNUMBER(N801),ISNUMBER(O801),O801&lt;N801)),"Urutan tanggal salah",IF(AND(ISNUMBER(Q801),ISNUMBER(R801),ISNUMBER(Y801),ABS(R801-Q801-Y801)&gt;2),"S tanggal ≠ Sailing tercatat",IF(AND(ISNUMBER(Q801),ISNUMBER(O801),ABS(Q801-O801)&gt;60),"Cek tahun laycan",IF(AND(ISNUMBER(Q801),ISNUMBER(N801),Q801&lt;N801),"Berangkat sebelum laycan",IF(NOT(ISNUMBER(AE801)),"S belum ada","OK"))))))</f>
        <v/>
      </c>
    </row>
    <row r="802" customFormat="false" ht="15" hidden="false" customHeight="false" outlineLevel="0" collapsed="false">
      <c r="A802" s="16" t="str">
        <f aca="false">IF(B802="","",ROW()-4)</f>
        <v/>
      </c>
      <c r="B802" s="12"/>
      <c r="C802" s="16"/>
      <c r="D802" s="16"/>
      <c r="E802" s="16"/>
      <c r="F802" s="16"/>
      <c r="G802" s="16"/>
      <c r="H802" s="16"/>
      <c r="I802" s="16"/>
      <c r="J802" s="16"/>
      <c r="K802" s="16"/>
      <c r="L802" s="13"/>
      <c r="M802" s="13"/>
      <c r="N802" s="13"/>
      <c r="O802" s="13"/>
      <c r="P802" s="13"/>
      <c r="Q802" s="13"/>
      <c r="R802" s="13"/>
      <c r="S802" s="13"/>
      <c r="T802" s="13"/>
      <c r="U802" s="12"/>
      <c r="V802" s="14"/>
      <c r="W802" s="16"/>
      <c r="X802" s="16"/>
      <c r="Y802" s="16"/>
      <c r="Z802" s="16"/>
      <c r="AA802" s="15" t="str">
        <f aca="false">IF(AND(ISNUMBER(L802),ISNUMBER(M802)),M802-L802,"")</f>
        <v/>
      </c>
      <c r="AB802" s="15" t="str">
        <f aca="false">IF(AND(ISNUMBER(M802),ISNUMBER(P802)),P802-M802,"")</f>
        <v/>
      </c>
      <c r="AC802" s="15" t="str">
        <f aca="false">IF(AND(ISNUMBER(L802),ISNUMBER(P802)),P802-L802,"")</f>
        <v/>
      </c>
      <c r="AD802" s="15" t="str">
        <f aca="false">IF(AND(ISNUMBER(P802),ISNUMBER(Q802)),Q802-P802,"")</f>
        <v/>
      </c>
      <c r="AE802" s="15" t="str">
        <f aca="false">IF(AND(ISNUMBER(Q802),ISNUMBER(R802)),R802-Q802,IF(ISNUMBER(Y802),Y802,""))</f>
        <v/>
      </c>
      <c r="AF802" s="15" t="str">
        <f aca="false">IF(AND(ISNUMBER(R802),ISNUMBER(S802)),S802-R802,"")</f>
        <v/>
      </c>
      <c r="AG802" s="15" t="str">
        <f aca="false">IF(AND(ISNUMBER(S802),ISNUMBER(T802)),T802-S802,"")</f>
        <v/>
      </c>
      <c r="AH802" s="15" t="str">
        <f aca="false">IF(AND(ISNUMBER(L802),ISNUMBER(T802)),T802-L802,"")</f>
        <v/>
      </c>
      <c r="AI802" s="15" t="str">
        <f aca="false">IF(AND(ISNUMBER(O802),ISNUMBER(Q802)),Q802-O802,"")</f>
        <v/>
      </c>
      <c r="AJ802" s="15" t="str">
        <f aca="false">IF(B802="","",COUNT(L802:M802,P802:T802)&amp;"/7")</f>
        <v/>
      </c>
      <c r="AK802" s="15" t="str">
        <f aca="false">IF(B802="","",IF(OR(AND(ISNUMBER(L802),ISNUMBER(M802),M802&lt;L802),AND(ISNUMBER(M802),ISNUMBER(P802),P802&lt;M802),AND(ISNUMBER(P802),ISNUMBER(Q802),Q802&lt;P802),AND(ISNUMBER(Q802),ISNUMBER(R802),R802&lt;Q802),AND(ISNUMBER(R802),ISNUMBER(S802),S802&lt;R802),AND(ISNUMBER(S802),ISNUMBER(T802),T802&lt;S802),AND(ISNUMBER(N802),ISNUMBER(O802),O802&lt;N802)),"Urutan tanggal salah",IF(AND(ISNUMBER(Q802),ISNUMBER(R802),ISNUMBER(Y802),ABS(R802-Q802-Y802)&gt;2),"S tanggal ≠ Sailing tercatat",IF(AND(ISNUMBER(Q802),ISNUMBER(O802),ABS(Q802-O802)&gt;60),"Cek tahun laycan",IF(AND(ISNUMBER(Q802),ISNUMBER(N802),Q802&lt;N802),"Berangkat sebelum laycan",IF(NOT(ISNUMBER(AE802)),"S belum ada","OK"))))))</f>
        <v/>
      </c>
    </row>
    <row r="803" customFormat="false" ht="15" hidden="false" customHeight="false" outlineLevel="0" collapsed="false">
      <c r="A803" s="16" t="str">
        <f aca="false">IF(B803="","",ROW()-4)</f>
        <v/>
      </c>
      <c r="B803" s="12"/>
      <c r="C803" s="16"/>
      <c r="D803" s="16"/>
      <c r="E803" s="16"/>
      <c r="F803" s="16"/>
      <c r="G803" s="16"/>
      <c r="H803" s="16"/>
      <c r="I803" s="16"/>
      <c r="J803" s="16"/>
      <c r="K803" s="16"/>
      <c r="L803" s="13"/>
      <c r="M803" s="13"/>
      <c r="N803" s="13"/>
      <c r="O803" s="13"/>
      <c r="P803" s="13"/>
      <c r="Q803" s="13"/>
      <c r="R803" s="13"/>
      <c r="S803" s="13"/>
      <c r="T803" s="13"/>
      <c r="U803" s="12"/>
      <c r="V803" s="14"/>
      <c r="W803" s="16"/>
      <c r="X803" s="16"/>
      <c r="Y803" s="16"/>
      <c r="Z803" s="16"/>
      <c r="AA803" s="15" t="str">
        <f aca="false">IF(AND(ISNUMBER(L803),ISNUMBER(M803)),M803-L803,"")</f>
        <v/>
      </c>
      <c r="AB803" s="15" t="str">
        <f aca="false">IF(AND(ISNUMBER(M803),ISNUMBER(P803)),P803-M803,"")</f>
        <v/>
      </c>
      <c r="AC803" s="15" t="str">
        <f aca="false">IF(AND(ISNUMBER(L803),ISNUMBER(P803)),P803-L803,"")</f>
        <v/>
      </c>
      <c r="AD803" s="15" t="str">
        <f aca="false">IF(AND(ISNUMBER(P803),ISNUMBER(Q803)),Q803-P803,"")</f>
        <v/>
      </c>
      <c r="AE803" s="15" t="str">
        <f aca="false">IF(AND(ISNUMBER(Q803),ISNUMBER(R803)),R803-Q803,IF(ISNUMBER(Y803),Y803,""))</f>
        <v/>
      </c>
      <c r="AF803" s="15" t="str">
        <f aca="false">IF(AND(ISNUMBER(R803),ISNUMBER(S803)),S803-R803,"")</f>
        <v/>
      </c>
      <c r="AG803" s="15" t="str">
        <f aca="false">IF(AND(ISNUMBER(S803),ISNUMBER(T803)),T803-S803,"")</f>
        <v/>
      </c>
      <c r="AH803" s="15" t="str">
        <f aca="false">IF(AND(ISNUMBER(L803),ISNUMBER(T803)),T803-L803,"")</f>
        <v/>
      </c>
      <c r="AI803" s="15" t="str">
        <f aca="false">IF(AND(ISNUMBER(O803),ISNUMBER(Q803)),Q803-O803,"")</f>
        <v/>
      </c>
      <c r="AJ803" s="15" t="str">
        <f aca="false">IF(B803="","",COUNT(L803:M803,P803:T803)&amp;"/7")</f>
        <v/>
      </c>
      <c r="AK803" s="15" t="str">
        <f aca="false">IF(B803="","",IF(OR(AND(ISNUMBER(L803),ISNUMBER(M803),M803&lt;L803),AND(ISNUMBER(M803),ISNUMBER(P803),P803&lt;M803),AND(ISNUMBER(P803),ISNUMBER(Q803),Q803&lt;P803),AND(ISNUMBER(Q803),ISNUMBER(R803),R803&lt;Q803),AND(ISNUMBER(R803),ISNUMBER(S803),S803&lt;R803),AND(ISNUMBER(S803),ISNUMBER(T803),T803&lt;S803),AND(ISNUMBER(N803),ISNUMBER(O803),O803&lt;N803)),"Urutan tanggal salah",IF(AND(ISNUMBER(Q803),ISNUMBER(R803),ISNUMBER(Y803),ABS(R803-Q803-Y803)&gt;2),"S tanggal ≠ Sailing tercatat",IF(AND(ISNUMBER(Q803),ISNUMBER(O803),ABS(Q803-O803)&gt;60),"Cek tahun laycan",IF(AND(ISNUMBER(Q803),ISNUMBER(N803),Q803&lt;N803),"Berangkat sebelum laycan",IF(NOT(ISNUMBER(AE803)),"S belum ada","OK"))))))</f>
        <v/>
      </c>
    </row>
    <row r="804" customFormat="false" ht="15" hidden="false" customHeight="false" outlineLevel="0" collapsed="false">
      <c r="A804" s="16" t="str">
        <f aca="false">IF(B804="","",ROW()-4)</f>
        <v/>
      </c>
      <c r="B804" s="12"/>
      <c r="C804" s="16"/>
      <c r="D804" s="16"/>
      <c r="E804" s="16"/>
      <c r="F804" s="16"/>
      <c r="G804" s="16"/>
      <c r="H804" s="16"/>
      <c r="I804" s="16"/>
      <c r="J804" s="16"/>
      <c r="K804" s="16"/>
      <c r="L804" s="13"/>
      <c r="M804" s="13"/>
      <c r="N804" s="13"/>
      <c r="O804" s="13"/>
      <c r="P804" s="13"/>
      <c r="Q804" s="13"/>
      <c r="R804" s="13"/>
      <c r="S804" s="13"/>
      <c r="T804" s="13"/>
      <c r="U804" s="12"/>
      <c r="V804" s="14"/>
      <c r="W804" s="16"/>
      <c r="X804" s="16"/>
      <c r="Y804" s="16"/>
      <c r="Z804" s="16"/>
      <c r="AA804" s="15" t="str">
        <f aca="false">IF(AND(ISNUMBER(L804),ISNUMBER(M804)),M804-L804,"")</f>
        <v/>
      </c>
      <c r="AB804" s="15" t="str">
        <f aca="false">IF(AND(ISNUMBER(M804),ISNUMBER(P804)),P804-M804,"")</f>
        <v/>
      </c>
      <c r="AC804" s="15" t="str">
        <f aca="false">IF(AND(ISNUMBER(L804),ISNUMBER(P804)),P804-L804,"")</f>
        <v/>
      </c>
      <c r="AD804" s="15" t="str">
        <f aca="false">IF(AND(ISNUMBER(P804),ISNUMBER(Q804)),Q804-P804,"")</f>
        <v/>
      </c>
      <c r="AE804" s="15" t="str">
        <f aca="false">IF(AND(ISNUMBER(Q804),ISNUMBER(R804)),R804-Q804,IF(ISNUMBER(Y804),Y804,""))</f>
        <v/>
      </c>
      <c r="AF804" s="15" t="str">
        <f aca="false">IF(AND(ISNUMBER(R804),ISNUMBER(S804)),S804-R804,"")</f>
        <v/>
      </c>
      <c r="AG804" s="15" t="str">
        <f aca="false">IF(AND(ISNUMBER(S804),ISNUMBER(T804)),T804-S804,"")</f>
        <v/>
      </c>
      <c r="AH804" s="15" t="str">
        <f aca="false">IF(AND(ISNUMBER(L804),ISNUMBER(T804)),T804-L804,"")</f>
        <v/>
      </c>
      <c r="AI804" s="15" t="str">
        <f aca="false">IF(AND(ISNUMBER(O804),ISNUMBER(Q804)),Q804-O804,"")</f>
        <v/>
      </c>
      <c r="AJ804" s="15" t="str">
        <f aca="false">IF(B804="","",COUNT(L804:M804,P804:T804)&amp;"/7")</f>
        <v/>
      </c>
      <c r="AK804" s="15" t="str">
        <f aca="false">IF(B804="","",IF(OR(AND(ISNUMBER(L804),ISNUMBER(M804),M804&lt;L804),AND(ISNUMBER(M804),ISNUMBER(P804),P804&lt;M804),AND(ISNUMBER(P804),ISNUMBER(Q804),Q804&lt;P804),AND(ISNUMBER(Q804),ISNUMBER(R804),R804&lt;Q804),AND(ISNUMBER(R804),ISNUMBER(S804),S804&lt;R804),AND(ISNUMBER(S804),ISNUMBER(T804),T804&lt;S804),AND(ISNUMBER(N804),ISNUMBER(O804),O804&lt;N804)),"Urutan tanggal salah",IF(AND(ISNUMBER(Q804),ISNUMBER(R804),ISNUMBER(Y804),ABS(R804-Q804-Y804)&gt;2),"S tanggal ≠ Sailing tercatat",IF(AND(ISNUMBER(Q804),ISNUMBER(O804),ABS(Q804-O804)&gt;60),"Cek tahun laycan",IF(AND(ISNUMBER(Q804),ISNUMBER(N804),Q804&lt;N804),"Berangkat sebelum laycan",IF(NOT(ISNUMBER(AE804)),"S belum ada","OK"))))))</f>
        <v/>
      </c>
    </row>
    <row r="805" customFormat="false" ht="15" hidden="false" customHeight="false" outlineLevel="0" collapsed="false">
      <c r="A805" s="16" t="str">
        <f aca="false">IF(B805="","",ROW()-4)</f>
        <v/>
      </c>
      <c r="B805" s="12"/>
      <c r="C805" s="16"/>
      <c r="D805" s="16"/>
      <c r="E805" s="16"/>
      <c r="F805" s="16"/>
      <c r="G805" s="16"/>
      <c r="H805" s="16"/>
      <c r="I805" s="16"/>
      <c r="J805" s="16"/>
      <c r="K805" s="16"/>
      <c r="L805" s="13"/>
      <c r="M805" s="13"/>
      <c r="N805" s="13"/>
      <c r="O805" s="13"/>
      <c r="P805" s="13"/>
      <c r="Q805" s="13"/>
      <c r="R805" s="13"/>
      <c r="S805" s="13"/>
      <c r="T805" s="13"/>
      <c r="U805" s="12"/>
      <c r="V805" s="14"/>
      <c r="W805" s="16"/>
      <c r="X805" s="16"/>
      <c r="Y805" s="16"/>
      <c r="Z805" s="16"/>
      <c r="AA805" s="15" t="str">
        <f aca="false">IF(AND(ISNUMBER(L805),ISNUMBER(M805)),M805-L805,"")</f>
        <v/>
      </c>
      <c r="AB805" s="15" t="str">
        <f aca="false">IF(AND(ISNUMBER(M805),ISNUMBER(P805)),P805-M805,"")</f>
        <v/>
      </c>
      <c r="AC805" s="15" t="str">
        <f aca="false">IF(AND(ISNUMBER(L805),ISNUMBER(P805)),P805-L805,"")</f>
        <v/>
      </c>
      <c r="AD805" s="15" t="str">
        <f aca="false">IF(AND(ISNUMBER(P805),ISNUMBER(Q805)),Q805-P805,"")</f>
        <v/>
      </c>
      <c r="AE805" s="15" t="str">
        <f aca="false">IF(AND(ISNUMBER(Q805),ISNUMBER(R805)),R805-Q805,IF(ISNUMBER(Y805),Y805,""))</f>
        <v/>
      </c>
      <c r="AF805" s="15" t="str">
        <f aca="false">IF(AND(ISNUMBER(R805),ISNUMBER(S805)),S805-R805,"")</f>
        <v/>
      </c>
      <c r="AG805" s="15" t="str">
        <f aca="false">IF(AND(ISNUMBER(S805),ISNUMBER(T805)),T805-S805,"")</f>
        <v/>
      </c>
      <c r="AH805" s="15" t="str">
        <f aca="false">IF(AND(ISNUMBER(L805),ISNUMBER(T805)),T805-L805,"")</f>
        <v/>
      </c>
      <c r="AI805" s="15" t="str">
        <f aca="false">IF(AND(ISNUMBER(O805),ISNUMBER(Q805)),Q805-O805,"")</f>
        <v/>
      </c>
      <c r="AJ805" s="15" t="str">
        <f aca="false">IF(B805="","",COUNT(L805:M805,P805:T805)&amp;"/7")</f>
        <v/>
      </c>
      <c r="AK805" s="15" t="str">
        <f aca="false">IF(B805="","",IF(OR(AND(ISNUMBER(L805),ISNUMBER(M805),M805&lt;L805),AND(ISNUMBER(M805),ISNUMBER(P805),P805&lt;M805),AND(ISNUMBER(P805),ISNUMBER(Q805),Q805&lt;P805),AND(ISNUMBER(Q805),ISNUMBER(R805),R805&lt;Q805),AND(ISNUMBER(R805),ISNUMBER(S805),S805&lt;R805),AND(ISNUMBER(S805),ISNUMBER(T805),T805&lt;S805),AND(ISNUMBER(N805),ISNUMBER(O805),O805&lt;N805)),"Urutan tanggal salah",IF(AND(ISNUMBER(Q805),ISNUMBER(R805),ISNUMBER(Y805),ABS(R805-Q805-Y805)&gt;2),"S tanggal ≠ Sailing tercatat",IF(AND(ISNUMBER(Q805),ISNUMBER(O805),ABS(Q805-O805)&gt;60),"Cek tahun laycan",IF(AND(ISNUMBER(Q805),ISNUMBER(N805),Q805&lt;N805),"Berangkat sebelum laycan",IF(NOT(ISNUMBER(AE805)),"S belum ada","OK"))))))</f>
        <v/>
      </c>
    </row>
    <row r="806" customFormat="false" ht="15" hidden="false" customHeight="false" outlineLevel="0" collapsed="false">
      <c r="A806" s="16" t="str">
        <f aca="false">IF(B806="","",ROW()-4)</f>
        <v/>
      </c>
      <c r="B806" s="12"/>
      <c r="C806" s="16"/>
      <c r="D806" s="16"/>
      <c r="E806" s="16"/>
      <c r="F806" s="16"/>
      <c r="G806" s="16"/>
      <c r="H806" s="16"/>
      <c r="I806" s="16"/>
      <c r="J806" s="16"/>
      <c r="K806" s="16"/>
      <c r="L806" s="13"/>
      <c r="M806" s="13"/>
      <c r="N806" s="13"/>
      <c r="O806" s="13"/>
      <c r="P806" s="13"/>
      <c r="Q806" s="13"/>
      <c r="R806" s="13"/>
      <c r="S806" s="13"/>
      <c r="T806" s="13"/>
      <c r="U806" s="12"/>
      <c r="V806" s="14"/>
      <c r="W806" s="16"/>
      <c r="X806" s="16"/>
      <c r="Y806" s="16"/>
      <c r="Z806" s="16"/>
      <c r="AA806" s="15" t="str">
        <f aca="false">IF(AND(ISNUMBER(L806),ISNUMBER(M806)),M806-L806,"")</f>
        <v/>
      </c>
      <c r="AB806" s="15" t="str">
        <f aca="false">IF(AND(ISNUMBER(M806),ISNUMBER(P806)),P806-M806,"")</f>
        <v/>
      </c>
      <c r="AC806" s="15" t="str">
        <f aca="false">IF(AND(ISNUMBER(L806),ISNUMBER(P806)),P806-L806,"")</f>
        <v/>
      </c>
      <c r="AD806" s="15" t="str">
        <f aca="false">IF(AND(ISNUMBER(P806),ISNUMBER(Q806)),Q806-P806,"")</f>
        <v/>
      </c>
      <c r="AE806" s="15" t="str">
        <f aca="false">IF(AND(ISNUMBER(Q806),ISNUMBER(R806)),R806-Q806,IF(ISNUMBER(Y806),Y806,""))</f>
        <v/>
      </c>
      <c r="AF806" s="15" t="str">
        <f aca="false">IF(AND(ISNUMBER(R806),ISNUMBER(S806)),S806-R806,"")</f>
        <v/>
      </c>
      <c r="AG806" s="15" t="str">
        <f aca="false">IF(AND(ISNUMBER(S806),ISNUMBER(T806)),T806-S806,"")</f>
        <v/>
      </c>
      <c r="AH806" s="15" t="str">
        <f aca="false">IF(AND(ISNUMBER(L806),ISNUMBER(T806)),T806-L806,"")</f>
        <v/>
      </c>
      <c r="AI806" s="15" t="str">
        <f aca="false">IF(AND(ISNUMBER(O806),ISNUMBER(Q806)),Q806-O806,"")</f>
        <v/>
      </c>
      <c r="AJ806" s="15" t="str">
        <f aca="false">IF(B806="","",COUNT(L806:M806,P806:T806)&amp;"/7")</f>
        <v/>
      </c>
      <c r="AK806" s="15" t="str">
        <f aca="false">IF(B806="","",IF(OR(AND(ISNUMBER(L806),ISNUMBER(M806),M806&lt;L806),AND(ISNUMBER(M806),ISNUMBER(P806),P806&lt;M806),AND(ISNUMBER(P806),ISNUMBER(Q806),Q806&lt;P806),AND(ISNUMBER(Q806),ISNUMBER(R806),R806&lt;Q806),AND(ISNUMBER(R806),ISNUMBER(S806),S806&lt;R806),AND(ISNUMBER(S806),ISNUMBER(T806),T806&lt;S806),AND(ISNUMBER(N806),ISNUMBER(O806),O806&lt;N806)),"Urutan tanggal salah",IF(AND(ISNUMBER(Q806),ISNUMBER(R806),ISNUMBER(Y806),ABS(R806-Q806-Y806)&gt;2),"S tanggal ≠ Sailing tercatat",IF(AND(ISNUMBER(Q806),ISNUMBER(O806),ABS(Q806-O806)&gt;60),"Cek tahun laycan",IF(AND(ISNUMBER(Q806),ISNUMBER(N806),Q806&lt;N806),"Berangkat sebelum laycan",IF(NOT(ISNUMBER(AE806)),"S belum ada","OK"))))))</f>
        <v/>
      </c>
    </row>
    <row r="807" customFormat="false" ht="15" hidden="false" customHeight="false" outlineLevel="0" collapsed="false">
      <c r="A807" s="16" t="str">
        <f aca="false">IF(B807="","",ROW()-4)</f>
        <v/>
      </c>
      <c r="B807" s="12"/>
      <c r="C807" s="16"/>
      <c r="D807" s="16"/>
      <c r="E807" s="16"/>
      <c r="F807" s="16"/>
      <c r="G807" s="16"/>
      <c r="H807" s="16"/>
      <c r="I807" s="16"/>
      <c r="J807" s="16"/>
      <c r="K807" s="16"/>
      <c r="L807" s="13"/>
      <c r="M807" s="13"/>
      <c r="N807" s="13"/>
      <c r="O807" s="13"/>
      <c r="P807" s="13"/>
      <c r="Q807" s="13"/>
      <c r="R807" s="13"/>
      <c r="S807" s="13"/>
      <c r="T807" s="13"/>
      <c r="U807" s="12"/>
      <c r="V807" s="14"/>
      <c r="W807" s="16"/>
      <c r="X807" s="16"/>
      <c r="Y807" s="16"/>
      <c r="Z807" s="16"/>
      <c r="AA807" s="15" t="str">
        <f aca="false">IF(AND(ISNUMBER(L807),ISNUMBER(M807)),M807-L807,"")</f>
        <v/>
      </c>
      <c r="AB807" s="15" t="str">
        <f aca="false">IF(AND(ISNUMBER(M807),ISNUMBER(P807)),P807-M807,"")</f>
        <v/>
      </c>
      <c r="AC807" s="15" t="str">
        <f aca="false">IF(AND(ISNUMBER(L807),ISNUMBER(P807)),P807-L807,"")</f>
        <v/>
      </c>
      <c r="AD807" s="15" t="str">
        <f aca="false">IF(AND(ISNUMBER(P807),ISNUMBER(Q807)),Q807-P807,"")</f>
        <v/>
      </c>
      <c r="AE807" s="15" t="str">
        <f aca="false">IF(AND(ISNUMBER(Q807),ISNUMBER(R807)),R807-Q807,IF(ISNUMBER(Y807),Y807,""))</f>
        <v/>
      </c>
      <c r="AF807" s="15" t="str">
        <f aca="false">IF(AND(ISNUMBER(R807),ISNUMBER(S807)),S807-R807,"")</f>
        <v/>
      </c>
      <c r="AG807" s="15" t="str">
        <f aca="false">IF(AND(ISNUMBER(S807),ISNUMBER(T807)),T807-S807,"")</f>
        <v/>
      </c>
      <c r="AH807" s="15" t="str">
        <f aca="false">IF(AND(ISNUMBER(L807),ISNUMBER(T807)),T807-L807,"")</f>
        <v/>
      </c>
      <c r="AI807" s="15" t="str">
        <f aca="false">IF(AND(ISNUMBER(O807),ISNUMBER(Q807)),Q807-O807,"")</f>
        <v/>
      </c>
      <c r="AJ807" s="15" t="str">
        <f aca="false">IF(B807="","",COUNT(L807:M807,P807:T807)&amp;"/7")</f>
        <v/>
      </c>
      <c r="AK807" s="15" t="str">
        <f aca="false">IF(B807="","",IF(OR(AND(ISNUMBER(L807),ISNUMBER(M807),M807&lt;L807),AND(ISNUMBER(M807),ISNUMBER(P807),P807&lt;M807),AND(ISNUMBER(P807),ISNUMBER(Q807),Q807&lt;P807),AND(ISNUMBER(Q807),ISNUMBER(R807),R807&lt;Q807),AND(ISNUMBER(R807),ISNUMBER(S807),S807&lt;R807),AND(ISNUMBER(S807),ISNUMBER(T807),T807&lt;S807),AND(ISNUMBER(N807),ISNUMBER(O807),O807&lt;N807)),"Urutan tanggal salah",IF(AND(ISNUMBER(Q807),ISNUMBER(R807),ISNUMBER(Y807),ABS(R807-Q807-Y807)&gt;2),"S tanggal ≠ Sailing tercatat",IF(AND(ISNUMBER(Q807),ISNUMBER(O807),ABS(Q807-O807)&gt;60),"Cek tahun laycan",IF(AND(ISNUMBER(Q807),ISNUMBER(N807),Q807&lt;N807),"Berangkat sebelum laycan",IF(NOT(ISNUMBER(AE807)),"S belum ada","OK"))))))</f>
        <v/>
      </c>
    </row>
    <row r="808" customFormat="false" ht="15" hidden="false" customHeight="false" outlineLevel="0" collapsed="false">
      <c r="A808" s="16" t="str">
        <f aca="false">IF(B808="","",ROW()-4)</f>
        <v/>
      </c>
      <c r="B808" s="12"/>
      <c r="C808" s="16"/>
      <c r="D808" s="16"/>
      <c r="E808" s="16"/>
      <c r="F808" s="16"/>
      <c r="G808" s="16"/>
      <c r="H808" s="16"/>
      <c r="I808" s="16"/>
      <c r="J808" s="16"/>
      <c r="K808" s="16"/>
      <c r="L808" s="13"/>
      <c r="M808" s="13"/>
      <c r="N808" s="13"/>
      <c r="O808" s="13"/>
      <c r="P808" s="13"/>
      <c r="Q808" s="13"/>
      <c r="R808" s="13"/>
      <c r="S808" s="13"/>
      <c r="T808" s="13"/>
      <c r="U808" s="12"/>
      <c r="V808" s="14"/>
      <c r="W808" s="16"/>
      <c r="X808" s="16"/>
      <c r="Y808" s="16"/>
      <c r="Z808" s="16"/>
      <c r="AA808" s="15" t="str">
        <f aca="false">IF(AND(ISNUMBER(L808),ISNUMBER(M808)),M808-L808,"")</f>
        <v/>
      </c>
      <c r="AB808" s="15" t="str">
        <f aca="false">IF(AND(ISNUMBER(M808),ISNUMBER(P808)),P808-M808,"")</f>
        <v/>
      </c>
      <c r="AC808" s="15" t="str">
        <f aca="false">IF(AND(ISNUMBER(L808),ISNUMBER(P808)),P808-L808,"")</f>
        <v/>
      </c>
      <c r="AD808" s="15" t="str">
        <f aca="false">IF(AND(ISNUMBER(P808),ISNUMBER(Q808)),Q808-P808,"")</f>
        <v/>
      </c>
      <c r="AE808" s="15" t="str">
        <f aca="false">IF(AND(ISNUMBER(Q808),ISNUMBER(R808)),R808-Q808,IF(ISNUMBER(Y808),Y808,""))</f>
        <v/>
      </c>
      <c r="AF808" s="15" t="str">
        <f aca="false">IF(AND(ISNUMBER(R808),ISNUMBER(S808)),S808-R808,"")</f>
        <v/>
      </c>
      <c r="AG808" s="15" t="str">
        <f aca="false">IF(AND(ISNUMBER(S808),ISNUMBER(T808)),T808-S808,"")</f>
        <v/>
      </c>
      <c r="AH808" s="15" t="str">
        <f aca="false">IF(AND(ISNUMBER(L808),ISNUMBER(T808)),T808-L808,"")</f>
        <v/>
      </c>
      <c r="AI808" s="15" t="str">
        <f aca="false">IF(AND(ISNUMBER(O808),ISNUMBER(Q808)),Q808-O808,"")</f>
        <v/>
      </c>
      <c r="AJ808" s="15" t="str">
        <f aca="false">IF(B808="","",COUNT(L808:M808,P808:T808)&amp;"/7")</f>
        <v/>
      </c>
      <c r="AK808" s="15" t="str">
        <f aca="false">IF(B808="","",IF(OR(AND(ISNUMBER(L808),ISNUMBER(M808),M808&lt;L808),AND(ISNUMBER(M808),ISNUMBER(P808),P808&lt;M808),AND(ISNUMBER(P808),ISNUMBER(Q808),Q808&lt;P808),AND(ISNUMBER(Q808),ISNUMBER(R808),R808&lt;Q808),AND(ISNUMBER(R808),ISNUMBER(S808),S808&lt;R808),AND(ISNUMBER(S808),ISNUMBER(T808),T808&lt;S808),AND(ISNUMBER(N808),ISNUMBER(O808),O808&lt;N808)),"Urutan tanggal salah",IF(AND(ISNUMBER(Q808),ISNUMBER(R808),ISNUMBER(Y808),ABS(R808-Q808-Y808)&gt;2),"S tanggal ≠ Sailing tercatat",IF(AND(ISNUMBER(Q808),ISNUMBER(O808),ABS(Q808-O808)&gt;60),"Cek tahun laycan",IF(AND(ISNUMBER(Q808),ISNUMBER(N808),Q808&lt;N808),"Berangkat sebelum laycan",IF(NOT(ISNUMBER(AE808)),"S belum ada","OK"))))))</f>
        <v/>
      </c>
    </row>
    <row r="809" customFormat="false" ht="15" hidden="false" customHeight="false" outlineLevel="0" collapsed="false">
      <c r="A809" s="16" t="str">
        <f aca="false">IF(B809="","",ROW()-4)</f>
        <v/>
      </c>
      <c r="B809" s="12"/>
      <c r="C809" s="16"/>
      <c r="D809" s="16"/>
      <c r="E809" s="16"/>
      <c r="F809" s="16"/>
      <c r="G809" s="16"/>
      <c r="H809" s="16"/>
      <c r="I809" s="16"/>
      <c r="J809" s="16"/>
      <c r="K809" s="16"/>
      <c r="L809" s="13"/>
      <c r="M809" s="13"/>
      <c r="N809" s="13"/>
      <c r="O809" s="13"/>
      <c r="P809" s="13"/>
      <c r="Q809" s="13"/>
      <c r="R809" s="13"/>
      <c r="S809" s="13"/>
      <c r="T809" s="13"/>
      <c r="U809" s="12"/>
      <c r="V809" s="14"/>
      <c r="W809" s="16"/>
      <c r="X809" s="16"/>
      <c r="Y809" s="16"/>
      <c r="Z809" s="16"/>
      <c r="AA809" s="15" t="str">
        <f aca="false">IF(AND(ISNUMBER(L809),ISNUMBER(M809)),M809-L809,"")</f>
        <v/>
      </c>
      <c r="AB809" s="15" t="str">
        <f aca="false">IF(AND(ISNUMBER(M809),ISNUMBER(P809)),P809-M809,"")</f>
        <v/>
      </c>
      <c r="AC809" s="15" t="str">
        <f aca="false">IF(AND(ISNUMBER(L809),ISNUMBER(P809)),P809-L809,"")</f>
        <v/>
      </c>
      <c r="AD809" s="15" t="str">
        <f aca="false">IF(AND(ISNUMBER(P809),ISNUMBER(Q809)),Q809-P809,"")</f>
        <v/>
      </c>
      <c r="AE809" s="15" t="str">
        <f aca="false">IF(AND(ISNUMBER(Q809),ISNUMBER(R809)),R809-Q809,IF(ISNUMBER(Y809),Y809,""))</f>
        <v/>
      </c>
      <c r="AF809" s="15" t="str">
        <f aca="false">IF(AND(ISNUMBER(R809),ISNUMBER(S809)),S809-R809,"")</f>
        <v/>
      </c>
      <c r="AG809" s="15" t="str">
        <f aca="false">IF(AND(ISNUMBER(S809),ISNUMBER(T809)),T809-S809,"")</f>
        <v/>
      </c>
      <c r="AH809" s="15" t="str">
        <f aca="false">IF(AND(ISNUMBER(L809),ISNUMBER(T809)),T809-L809,"")</f>
        <v/>
      </c>
      <c r="AI809" s="15" t="str">
        <f aca="false">IF(AND(ISNUMBER(O809),ISNUMBER(Q809)),Q809-O809,"")</f>
        <v/>
      </c>
      <c r="AJ809" s="15" t="str">
        <f aca="false">IF(B809="","",COUNT(L809:M809,P809:T809)&amp;"/7")</f>
        <v/>
      </c>
      <c r="AK809" s="15" t="str">
        <f aca="false">IF(B809="","",IF(OR(AND(ISNUMBER(L809),ISNUMBER(M809),M809&lt;L809),AND(ISNUMBER(M809),ISNUMBER(P809),P809&lt;M809),AND(ISNUMBER(P809),ISNUMBER(Q809),Q809&lt;P809),AND(ISNUMBER(Q809),ISNUMBER(R809),R809&lt;Q809),AND(ISNUMBER(R809),ISNUMBER(S809),S809&lt;R809),AND(ISNUMBER(S809),ISNUMBER(T809),T809&lt;S809),AND(ISNUMBER(N809),ISNUMBER(O809),O809&lt;N809)),"Urutan tanggal salah",IF(AND(ISNUMBER(Q809),ISNUMBER(R809),ISNUMBER(Y809),ABS(R809-Q809-Y809)&gt;2),"S tanggal ≠ Sailing tercatat",IF(AND(ISNUMBER(Q809),ISNUMBER(O809),ABS(Q809-O809)&gt;60),"Cek tahun laycan",IF(AND(ISNUMBER(Q809),ISNUMBER(N809),Q809&lt;N809),"Berangkat sebelum laycan",IF(NOT(ISNUMBER(AE809)),"S belum ada","OK"))))))</f>
        <v/>
      </c>
    </row>
    <row r="810" customFormat="false" ht="15" hidden="false" customHeight="false" outlineLevel="0" collapsed="false">
      <c r="A810" s="16" t="str">
        <f aca="false">IF(B810="","",ROW()-4)</f>
        <v/>
      </c>
      <c r="B810" s="12"/>
      <c r="C810" s="16"/>
      <c r="D810" s="16"/>
      <c r="E810" s="16"/>
      <c r="F810" s="16"/>
      <c r="G810" s="16"/>
      <c r="H810" s="16"/>
      <c r="I810" s="16"/>
      <c r="J810" s="16"/>
      <c r="K810" s="16"/>
      <c r="L810" s="13"/>
      <c r="M810" s="13"/>
      <c r="N810" s="13"/>
      <c r="O810" s="13"/>
      <c r="P810" s="13"/>
      <c r="Q810" s="13"/>
      <c r="R810" s="13"/>
      <c r="S810" s="13"/>
      <c r="T810" s="13"/>
      <c r="U810" s="12"/>
      <c r="V810" s="14"/>
      <c r="W810" s="16"/>
      <c r="X810" s="16"/>
      <c r="Y810" s="16"/>
      <c r="Z810" s="16"/>
      <c r="AA810" s="15" t="str">
        <f aca="false">IF(AND(ISNUMBER(L810),ISNUMBER(M810)),M810-L810,"")</f>
        <v/>
      </c>
      <c r="AB810" s="15" t="str">
        <f aca="false">IF(AND(ISNUMBER(M810),ISNUMBER(P810)),P810-M810,"")</f>
        <v/>
      </c>
      <c r="AC810" s="15" t="str">
        <f aca="false">IF(AND(ISNUMBER(L810),ISNUMBER(P810)),P810-L810,"")</f>
        <v/>
      </c>
      <c r="AD810" s="15" t="str">
        <f aca="false">IF(AND(ISNUMBER(P810),ISNUMBER(Q810)),Q810-P810,"")</f>
        <v/>
      </c>
      <c r="AE810" s="15" t="str">
        <f aca="false">IF(AND(ISNUMBER(Q810),ISNUMBER(R810)),R810-Q810,IF(ISNUMBER(Y810),Y810,""))</f>
        <v/>
      </c>
      <c r="AF810" s="15" t="str">
        <f aca="false">IF(AND(ISNUMBER(R810),ISNUMBER(S810)),S810-R810,"")</f>
        <v/>
      </c>
      <c r="AG810" s="15" t="str">
        <f aca="false">IF(AND(ISNUMBER(S810),ISNUMBER(T810)),T810-S810,"")</f>
        <v/>
      </c>
      <c r="AH810" s="15" t="str">
        <f aca="false">IF(AND(ISNUMBER(L810),ISNUMBER(T810)),T810-L810,"")</f>
        <v/>
      </c>
      <c r="AI810" s="15" t="str">
        <f aca="false">IF(AND(ISNUMBER(O810),ISNUMBER(Q810)),Q810-O810,"")</f>
        <v/>
      </c>
      <c r="AJ810" s="15" t="str">
        <f aca="false">IF(B810="","",COUNT(L810:M810,P810:T810)&amp;"/7")</f>
        <v/>
      </c>
      <c r="AK810" s="15" t="str">
        <f aca="false">IF(B810="","",IF(OR(AND(ISNUMBER(L810),ISNUMBER(M810),M810&lt;L810),AND(ISNUMBER(M810),ISNUMBER(P810),P810&lt;M810),AND(ISNUMBER(P810),ISNUMBER(Q810),Q810&lt;P810),AND(ISNUMBER(Q810),ISNUMBER(R810),R810&lt;Q810),AND(ISNUMBER(R810),ISNUMBER(S810),S810&lt;R810),AND(ISNUMBER(S810),ISNUMBER(T810),T810&lt;S810),AND(ISNUMBER(N810),ISNUMBER(O810),O810&lt;N810)),"Urutan tanggal salah",IF(AND(ISNUMBER(Q810),ISNUMBER(R810),ISNUMBER(Y810),ABS(R810-Q810-Y810)&gt;2),"S tanggal ≠ Sailing tercatat",IF(AND(ISNUMBER(Q810),ISNUMBER(O810),ABS(Q810-O810)&gt;60),"Cek tahun laycan",IF(AND(ISNUMBER(Q810),ISNUMBER(N810),Q810&lt;N810),"Berangkat sebelum laycan",IF(NOT(ISNUMBER(AE810)),"S belum ada","OK"))))))</f>
        <v/>
      </c>
    </row>
    <row r="811" customFormat="false" ht="15" hidden="false" customHeight="false" outlineLevel="0" collapsed="false">
      <c r="A811" s="16" t="str">
        <f aca="false">IF(B811="","",ROW()-4)</f>
        <v/>
      </c>
      <c r="B811" s="12"/>
      <c r="C811" s="16"/>
      <c r="D811" s="16"/>
      <c r="E811" s="16"/>
      <c r="F811" s="16"/>
      <c r="G811" s="16"/>
      <c r="H811" s="16"/>
      <c r="I811" s="16"/>
      <c r="J811" s="16"/>
      <c r="K811" s="16"/>
      <c r="L811" s="13"/>
      <c r="M811" s="13"/>
      <c r="N811" s="13"/>
      <c r="O811" s="13"/>
      <c r="P811" s="13"/>
      <c r="Q811" s="13"/>
      <c r="R811" s="13"/>
      <c r="S811" s="13"/>
      <c r="T811" s="13"/>
      <c r="U811" s="12"/>
      <c r="V811" s="14"/>
      <c r="W811" s="16"/>
      <c r="X811" s="16"/>
      <c r="Y811" s="16"/>
      <c r="Z811" s="16"/>
      <c r="AA811" s="15" t="str">
        <f aca="false">IF(AND(ISNUMBER(L811),ISNUMBER(M811)),M811-L811,"")</f>
        <v/>
      </c>
      <c r="AB811" s="15" t="str">
        <f aca="false">IF(AND(ISNUMBER(M811),ISNUMBER(P811)),P811-M811,"")</f>
        <v/>
      </c>
      <c r="AC811" s="15" t="str">
        <f aca="false">IF(AND(ISNUMBER(L811),ISNUMBER(P811)),P811-L811,"")</f>
        <v/>
      </c>
      <c r="AD811" s="15" t="str">
        <f aca="false">IF(AND(ISNUMBER(P811),ISNUMBER(Q811)),Q811-P811,"")</f>
        <v/>
      </c>
      <c r="AE811" s="15" t="str">
        <f aca="false">IF(AND(ISNUMBER(Q811),ISNUMBER(R811)),R811-Q811,IF(ISNUMBER(Y811),Y811,""))</f>
        <v/>
      </c>
      <c r="AF811" s="15" t="str">
        <f aca="false">IF(AND(ISNUMBER(R811),ISNUMBER(S811)),S811-R811,"")</f>
        <v/>
      </c>
      <c r="AG811" s="15" t="str">
        <f aca="false">IF(AND(ISNUMBER(S811),ISNUMBER(T811)),T811-S811,"")</f>
        <v/>
      </c>
      <c r="AH811" s="15" t="str">
        <f aca="false">IF(AND(ISNUMBER(L811),ISNUMBER(T811)),T811-L811,"")</f>
        <v/>
      </c>
      <c r="AI811" s="15" t="str">
        <f aca="false">IF(AND(ISNUMBER(O811),ISNUMBER(Q811)),Q811-O811,"")</f>
        <v/>
      </c>
      <c r="AJ811" s="15" t="str">
        <f aca="false">IF(B811="","",COUNT(L811:M811,P811:T811)&amp;"/7")</f>
        <v/>
      </c>
      <c r="AK811" s="15" t="str">
        <f aca="false">IF(B811="","",IF(OR(AND(ISNUMBER(L811),ISNUMBER(M811),M811&lt;L811),AND(ISNUMBER(M811),ISNUMBER(P811),P811&lt;M811),AND(ISNUMBER(P811),ISNUMBER(Q811),Q811&lt;P811),AND(ISNUMBER(Q811),ISNUMBER(R811),R811&lt;Q811),AND(ISNUMBER(R811),ISNUMBER(S811),S811&lt;R811),AND(ISNUMBER(S811),ISNUMBER(T811),T811&lt;S811),AND(ISNUMBER(N811),ISNUMBER(O811),O811&lt;N811)),"Urutan tanggal salah",IF(AND(ISNUMBER(Q811),ISNUMBER(R811),ISNUMBER(Y811),ABS(R811-Q811-Y811)&gt;2),"S tanggal ≠ Sailing tercatat",IF(AND(ISNUMBER(Q811),ISNUMBER(O811),ABS(Q811-O811)&gt;60),"Cek tahun laycan",IF(AND(ISNUMBER(Q811),ISNUMBER(N811),Q811&lt;N811),"Berangkat sebelum laycan",IF(NOT(ISNUMBER(AE811)),"S belum ada","OK"))))))</f>
        <v/>
      </c>
    </row>
    <row r="812" customFormat="false" ht="15" hidden="false" customHeight="false" outlineLevel="0" collapsed="false">
      <c r="A812" s="16" t="str">
        <f aca="false">IF(B812="","",ROW()-4)</f>
        <v/>
      </c>
      <c r="B812" s="12"/>
      <c r="C812" s="16"/>
      <c r="D812" s="16"/>
      <c r="E812" s="16"/>
      <c r="F812" s="16"/>
      <c r="G812" s="16"/>
      <c r="H812" s="16"/>
      <c r="I812" s="16"/>
      <c r="J812" s="16"/>
      <c r="K812" s="16"/>
      <c r="L812" s="13"/>
      <c r="M812" s="13"/>
      <c r="N812" s="13"/>
      <c r="O812" s="13"/>
      <c r="P812" s="13"/>
      <c r="Q812" s="13"/>
      <c r="R812" s="13"/>
      <c r="S812" s="13"/>
      <c r="T812" s="13"/>
      <c r="U812" s="12"/>
      <c r="V812" s="14"/>
      <c r="W812" s="16"/>
      <c r="X812" s="16"/>
      <c r="Y812" s="16"/>
      <c r="Z812" s="16"/>
      <c r="AA812" s="15" t="str">
        <f aca="false">IF(AND(ISNUMBER(L812),ISNUMBER(M812)),M812-L812,"")</f>
        <v/>
      </c>
      <c r="AB812" s="15" t="str">
        <f aca="false">IF(AND(ISNUMBER(M812),ISNUMBER(P812)),P812-M812,"")</f>
        <v/>
      </c>
      <c r="AC812" s="15" t="str">
        <f aca="false">IF(AND(ISNUMBER(L812),ISNUMBER(P812)),P812-L812,"")</f>
        <v/>
      </c>
      <c r="AD812" s="15" t="str">
        <f aca="false">IF(AND(ISNUMBER(P812),ISNUMBER(Q812)),Q812-P812,"")</f>
        <v/>
      </c>
      <c r="AE812" s="15" t="str">
        <f aca="false">IF(AND(ISNUMBER(Q812),ISNUMBER(R812)),R812-Q812,IF(ISNUMBER(Y812),Y812,""))</f>
        <v/>
      </c>
      <c r="AF812" s="15" t="str">
        <f aca="false">IF(AND(ISNUMBER(R812),ISNUMBER(S812)),S812-R812,"")</f>
        <v/>
      </c>
      <c r="AG812" s="15" t="str">
        <f aca="false">IF(AND(ISNUMBER(S812),ISNUMBER(T812)),T812-S812,"")</f>
        <v/>
      </c>
      <c r="AH812" s="15" t="str">
        <f aca="false">IF(AND(ISNUMBER(L812),ISNUMBER(T812)),T812-L812,"")</f>
        <v/>
      </c>
      <c r="AI812" s="15" t="str">
        <f aca="false">IF(AND(ISNUMBER(O812),ISNUMBER(Q812)),Q812-O812,"")</f>
        <v/>
      </c>
      <c r="AJ812" s="15" t="str">
        <f aca="false">IF(B812="","",COUNT(L812:M812,P812:T812)&amp;"/7")</f>
        <v/>
      </c>
      <c r="AK812" s="15" t="str">
        <f aca="false">IF(B812="","",IF(OR(AND(ISNUMBER(L812),ISNUMBER(M812),M812&lt;L812),AND(ISNUMBER(M812),ISNUMBER(P812),P812&lt;M812),AND(ISNUMBER(P812),ISNUMBER(Q812),Q812&lt;P812),AND(ISNUMBER(Q812),ISNUMBER(R812),R812&lt;Q812),AND(ISNUMBER(R812),ISNUMBER(S812),S812&lt;R812),AND(ISNUMBER(S812),ISNUMBER(T812),T812&lt;S812),AND(ISNUMBER(N812),ISNUMBER(O812),O812&lt;N812)),"Urutan tanggal salah",IF(AND(ISNUMBER(Q812),ISNUMBER(R812),ISNUMBER(Y812),ABS(R812-Q812-Y812)&gt;2),"S tanggal ≠ Sailing tercatat",IF(AND(ISNUMBER(Q812),ISNUMBER(O812),ABS(Q812-O812)&gt;60),"Cek tahun laycan",IF(AND(ISNUMBER(Q812),ISNUMBER(N812),Q812&lt;N812),"Berangkat sebelum laycan",IF(NOT(ISNUMBER(AE812)),"S belum ada","OK"))))))</f>
        <v/>
      </c>
    </row>
    <row r="813" customFormat="false" ht="15" hidden="false" customHeight="false" outlineLevel="0" collapsed="false">
      <c r="A813" s="16" t="str">
        <f aca="false">IF(B813="","",ROW()-4)</f>
        <v/>
      </c>
      <c r="B813" s="12"/>
      <c r="C813" s="16"/>
      <c r="D813" s="16"/>
      <c r="E813" s="16"/>
      <c r="F813" s="16"/>
      <c r="G813" s="16"/>
      <c r="H813" s="16"/>
      <c r="I813" s="16"/>
      <c r="J813" s="16"/>
      <c r="K813" s="16"/>
      <c r="L813" s="13"/>
      <c r="M813" s="13"/>
      <c r="N813" s="13"/>
      <c r="O813" s="13"/>
      <c r="P813" s="13"/>
      <c r="Q813" s="13"/>
      <c r="R813" s="13"/>
      <c r="S813" s="13"/>
      <c r="T813" s="13"/>
      <c r="U813" s="12"/>
      <c r="V813" s="14"/>
      <c r="W813" s="16"/>
      <c r="X813" s="16"/>
      <c r="Y813" s="16"/>
      <c r="Z813" s="16"/>
      <c r="AA813" s="15" t="str">
        <f aca="false">IF(AND(ISNUMBER(L813),ISNUMBER(M813)),M813-L813,"")</f>
        <v/>
      </c>
      <c r="AB813" s="15" t="str">
        <f aca="false">IF(AND(ISNUMBER(M813),ISNUMBER(P813)),P813-M813,"")</f>
        <v/>
      </c>
      <c r="AC813" s="15" t="str">
        <f aca="false">IF(AND(ISNUMBER(L813),ISNUMBER(P813)),P813-L813,"")</f>
        <v/>
      </c>
      <c r="AD813" s="15" t="str">
        <f aca="false">IF(AND(ISNUMBER(P813),ISNUMBER(Q813)),Q813-P813,"")</f>
        <v/>
      </c>
      <c r="AE813" s="15" t="str">
        <f aca="false">IF(AND(ISNUMBER(Q813),ISNUMBER(R813)),R813-Q813,IF(ISNUMBER(Y813),Y813,""))</f>
        <v/>
      </c>
      <c r="AF813" s="15" t="str">
        <f aca="false">IF(AND(ISNUMBER(R813),ISNUMBER(S813)),S813-R813,"")</f>
        <v/>
      </c>
      <c r="AG813" s="15" t="str">
        <f aca="false">IF(AND(ISNUMBER(S813),ISNUMBER(T813)),T813-S813,"")</f>
        <v/>
      </c>
      <c r="AH813" s="15" t="str">
        <f aca="false">IF(AND(ISNUMBER(L813),ISNUMBER(T813)),T813-L813,"")</f>
        <v/>
      </c>
      <c r="AI813" s="15" t="str">
        <f aca="false">IF(AND(ISNUMBER(O813),ISNUMBER(Q813)),Q813-O813,"")</f>
        <v/>
      </c>
      <c r="AJ813" s="15" t="str">
        <f aca="false">IF(B813="","",COUNT(L813:M813,P813:T813)&amp;"/7")</f>
        <v/>
      </c>
      <c r="AK813" s="15" t="str">
        <f aca="false">IF(B813="","",IF(OR(AND(ISNUMBER(L813),ISNUMBER(M813),M813&lt;L813),AND(ISNUMBER(M813),ISNUMBER(P813),P813&lt;M813),AND(ISNUMBER(P813),ISNUMBER(Q813),Q813&lt;P813),AND(ISNUMBER(Q813),ISNUMBER(R813),R813&lt;Q813),AND(ISNUMBER(R813),ISNUMBER(S813),S813&lt;R813),AND(ISNUMBER(S813),ISNUMBER(T813),T813&lt;S813),AND(ISNUMBER(N813),ISNUMBER(O813),O813&lt;N813)),"Urutan tanggal salah",IF(AND(ISNUMBER(Q813),ISNUMBER(R813),ISNUMBER(Y813),ABS(R813-Q813-Y813)&gt;2),"S tanggal ≠ Sailing tercatat",IF(AND(ISNUMBER(Q813),ISNUMBER(O813),ABS(Q813-O813)&gt;60),"Cek tahun laycan",IF(AND(ISNUMBER(Q813),ISNUMBER(N813),Q813&lt;N813),"Berangkat sebelum laycan",IF(NOT(ISNUMBER(AE813)),"S belum ada","OK"))))))</f>
        <v/>
      </c>
    </row>
    <row r="814" customFormat="false" ht="15" hidden="false" customHeight="false" outlineLevel="0" collapsed="false">
      <c r="A814" s="16" t="str">
        <f aca="false">IF(B814="","",ROW()-4)</f>
        <v/>
      </c>
      <c r="B814" s="12"/>
      <c r="C814" s="16"/>
      <c r="D814" s="16"/>
      <c r="E814" s="16"/>
      <c r="F814" s="16"/>
      <c r="G814" s="16"/>
      <c r="H814" s="16"/>
      <c r="I814" s="16"/>
      <c r="J814" s="16"/>
      <c r="K814" s="16"/>
      <c r="L814" s="13"/>
      <c r="M814" s="13"/>
      <c r="N814" s="13"/>
      <c r="O814" s="13"/>
      <c r="P814" s="13"/>
      <c r="Q814" s="13"/>
      <c r="R814" s="13"/>
      <c r="S814" s="13"/>
      <c r="T814" s="13"/>
      <c r="U814" s="12"/>
      <c r="V814" s="14"/>
      <c r="W814" s="16"/>
      <c r="X814" s="16"/>
      <c r="Y814" s="16"/>
      <c r="Z814" s="16"/>
      <c r="AA814" s="15" t="str">
        <f aca="false">IF(AND(ISNUMBER(L814),ISNUMBER(M814)),M814-L814,"")</f>
        <v/>
      </c>
      <c r="AB814" s="15" t="str">
        <f aca="false">IF(AND(ISNUMBER(M814),ISNUMBER(P814)),P814-M814,"")</f>
        <v/>
      </c>
      <c r="AC814" s="15" t="str">
        <f aca="false">IF(AND(ISNUMBER(L814),ISNUMBER(P814)),P814-L814,"")</f>
        <v/>
      </c>
      <c r="AD814" s="15" t="str">
        <f aca="false">IF(AND(ISNUMBER(P814),ISNUMBER(Q814)),Q814-P814,"")</f>
        <v/>
      </c>
      <c r="AE814" s="15" t="str">
        <f aca="false">IF(AND(ISNUMBER(Q814),ISNUMBER(R814)),R814-Q814,IF(ISNUMBER(Y814),Y814,""))</f>
        <v/>
      </c>
      <c r="AF814" s="15" t="str">
        <f aca="false">IF(AND(ISNUMBER(R814),ISNUMBER(S814)),S814-R814,"")</f>
        <v/>
      </c>
      <c r="AG814" s="15" t="str">
        <f aca="false">IF(AND(ISNUMBER(S814),ISNUMBER(T814)),T814-S814,"")</f>
        <v/>
      </c>
      <c r="AH814" s="15" t="str">
        <f aca="false">IF(AND(ISNUMBER(L814),ISNUMBER(T814)),T814-L814,"")</f>
        <v/>
      </c>
      <c r="AI814" s="15" t="str">
        <f aca="false">IF(AND(ISNUMBER(O814),ISNUMBER(Q814)),Q814-O814,"")</f>
        <v/>
      </c>
      <c r="AJ814" s="15" t="str">
        <f aca="false">IF(B814="","",COUNT(L814:M814,P814:T814)&amp;"/7")</f>
        <v/>
      </c>
      <c r="AK814" s="15" t="str">
        <f aca="false">IF(B814="","",IF(OR(AND(ISNUMBER(L814),ISNUMBER(M814),M814&lt;L814),AND(ISNUMBER(M814),ISNUMBER(P814),P814&lt;M814),AND(ISNUMBER(P814),ISNUMBER(Q814),Q814&lt;P814),AND(ISNUMBER(Q814),ISNUMBER(R814),R814&lt;Q814),AND(ISNUMBER(R814),ISNUMBER(S814),S814&lt;R814),AND(ISNUMBER(S814),ISNUMBER(T814),T814&lt;S814),AND(ISNUMBER(N814),ISNUMBER(O814),O814&lt;N814)),"Urutan tanggal salah",IF(AND(ISNUMBER(Q814),ISNUMBER(R814),ISNUMBER(Y814),ABS(R814-Q814-Y814)&gt;2),"S tanggal ≠ Sailing tercatat",IF(AND(ISNUMBER(Q814),ISNUMBER(O814),ABS(Q814-O814)&gt;60),"Cek tahun laycan",IF(AND(ISNUMBER(Q814),ISNUMBER(N814),Q814&lt;N814),"Berangkat sebelum laycan",IF(NOT(ISNUMBER(AE814)),"S belum ada","OK"))))))</f>
        <v/>
      </c>
    </row>
    <row r="815" customFormat="false" ht="15" hidden="false" customHeight="false" outlineLevel="0" collapsed="false">
      <c r="A815" s="16" t="str">
        <f aca="false">IF(B815="","",ROW()-4)</f>
        <v/>
      </c>
      <c r="B815" s="12"/>
      <c r="C815" s="16"/>
      <c r="D815" s="16"/>
      <c r="E815" s="16"/>
      <c r="F815" s="16"/>
      <c r="G815" s="16"/>
      <c r="H815" s="16"/>
      <c r="I815" s="16"/>
      <c r="J815" s="16"/>
      <c r="K815" s="16"/>
      <c r="L815" s="13"/>
      <c r="M815" s="13"/>
      <c r="N815" s="13"/>
      <c r="O815" s="13"/>
      <c r="P815" s="13"/>
      <c r="Q815" s="13"/>
      <c r="R815" s="13"/>
      <c r="S815" s="13"/>
      <c r="T815" s="13"/>
      <c r="U815" s="12"/>
      <c r="V815" s="14"/>
      <c r="W815" s="16"/>
      <c r="X815" s="16"/>
      <c r="Y815" s="16"/>
      <c r="Z815" s="16"/>
      <c r="AA815" s="15" t="str">
        <f aca="false">IF(AND(ISNUMBER(L815),ISNUMBER(M815)),M815-L815,"")</f>
        <v/>
      </c>
      <c r="AB815" s="15" t="str">
        <f aca="false">IF(AND(ISNUMBER(M815),ISNUMBER(P815)),P815-M815,"")</f>
        <v/>
      </c>
      <c r="AC815" s="15" t="str">
        <f aca="false">IF(AND(ISNUMBER(L815),ISNUMBER(P815)),P815-L815,"")</f>
        <v/>
      </c>
      <c r="AD815" s="15" t="str">
        <f aca="false">IF(AND(ISNUMBER(P815),ISNUMBER(Q815)),Q815-P815,"")</f>
        <v/>
      </c>
      <c r="AE815" s="15" t="str">
        <f aca="false">IF(AND(ISNUMBER(Q815),ISNUMBER(R815)),R815-Q815,IF(ISNUMBER(Y815),Y815,""))</f>
        <v/>
      </c>
      <c r="AF815" s="15" t="str">
        <f aca="false">IF(AND(ISNUMBER(R815),ISNUMBER(S815)),S815-R815,"")</f>
        <v/>
      </c>
      <c r="AG815" s="15" t="str">
        <f aca="false">IF(AND(ISNUMBER(S815),ISNUMBER(T815)),T815-S815,"")</f>
        <v/>
      </c>
      <c r="AH815" s="15" t="str">
        <f aca="false">IF(AND(ISNUMBER(L815),ISNUMBER(T815)),T815-L815,"")</f>
        <v/>
      </c>
      <c r="AI815" s="15" t="str">
        <f aca="false">IF(AND(ISNUMBER(O815),ISNUMBER(Q815)),Q815-O815,"")</f>
        <v/>
      </c>
      <c r="AJ815" s="15" t="str">
        <f aca="false">IF(B815="","",COUNT(L815:M815,P815:T815)&amp;"/7")</f>
        <v/>
      </c>
      <c r="AK815" s="15" t="str">
        <f aca="false">IF(B815="","",IF(OR(AND(ISNUMBER(L815),ISNUMBER(M815),M815&lt;L815),AND(ISNUMBER(M815),ISNUMBER(P815),P815&lt;M815),AND(ISNUMBER(P815),ISNUMBER(Q815),Q815&lt;P815),AND(ISNUMBER(Q815),ISNUMBER(R815),R815&lt;Q815),AND(ISNUMBER(R815),ISNUMBER(S815),S815&lt;R815),AND(ISNUMBER(S815),ISNUMBER(T815),T815&lt;S815),AND(ISNUMBER(N815),ISNUMBER(O815),O815&lt;N815)),"Urutan tanggal salah",IF(AND(ISNUMBER(Q815),ISNUMBER(R815),ISNUMBER(Y815),ABS(R815-Q815-Y815)&gt;2),"S tanggal ≠ Sailing tercatat",IF(AND(ISNUMBER(Q815),ISNUMBER(O815),ABS(Q815-O815)&gt;60),"Cek tahun laycan",IF(AND(ISNUMBER(Q815),ISNUMBER(N815),Q815&lt;N815),"Berangkat sebelum laycan",IF(NOT(ISNUMBER(AE815)),"S belum ada","OK"))))))</f>
        <v/>
      </c>
    </row>
    <row r="816" customFormat="false" ht="15" hidden="false" customHeight="false" outlineLevel="0" collapsed="false">
      <c r="A816" s="16" t="str">
        <f aca="false">IF(B816="","",ROW()-4)</f>
        <v/>
      </c>
      <c r="B816" s="12"/>
      <c r="C816" s="16"/>
      <c r="D816" s="16"/>
      <c r="E816" s="16"/>
      <c r="F816" s="16"/>
      <c r="G816" s="16"/>
      <c r="H816" s="16"/>
      <c r="I816" s="16"/>
      <c r="J816" s="16"/>
      <c r="K816" s="16"/>
      <c r="L816" s="13"/>
      <c r="M816" s="13"/>
      <c r="N816" s="13"/>
      <c r="O816" s="13"/>
      <c r="P816" s="13"/>
      <c r="Q816" s="13"/>
      <c r="R816" s="13"/>
      <c r="S816" s="13"/>
      <c r="T816" s="13"/>
      <c r="U816" s="12"/>
      <c r="V816" s="14"/>
      <c r="W816" s="16"/>
      <c r="X816" s="16"/>
      <c r="Y816" s="16"/>
      <c r="Z816" s="16"/>
      <c r="AA816" s="15" t="str">
        <f aca="false">IF(AND(ISNUMBER(L816),ISNUMBER(M816)),M816-L816,"")</f>
        <v/>
      </c>
      <c r="AB816" s="15" t="str">
        <f aca="false">IF(AND(ISNUMBER(M816),ISNUMBER(P816)),P816-M816,"")</f>
        <v/>
      </c>
      <c r="AC816" s="15" t="str">
        <f aca="false">IF(AND(ISNUMBER(L816),ISNUMBER(P816)),P816-L816,"")</f>
        <v/>
      </c>
      <c r="AD816" s="15" t="str">
        <f aca="false">IF(AND(ISNUMBER(P816),ISNUMBER(Q816)),Q816-P816,"")</f>
        <v/>
      </c>
      <c r="AE816" s="15" t="str">
        <f aca="false">IF(AND(ISNUMBER(Q816),ISNUMBER(R816)),R816-Q816,IF(ISNUMBER(Y816),Y816,""))</f>
        <v/>
      </c>
      <c r="AF816" s="15" t="str">
        <f aca="false">IF(AND(ISNUMBER(R816),ISNUMBER(S816)),S816-R816,"")</f>
        <v/>
      </c>
      <c r="AG816" s="15" t="str">
        <f aca="false">IF(AND(ISNUMBER(S816),ISNUMBER(T816)),T816-S816,"")</f>
        <v/>
      </c>
      <c r="AH816" s="15" t="str">
        <f aca="false">IF(AND(ISNUMBER(L816),ISNUMBER(T816)),T816-L816,"")</f>
        <v/>
      </c>
      <c r="AI816" s="15" t="str">
        <f aca="false">IF(AND(ISNUMBER(O816),ISNUMBER(Q816)),Q816-O816,"")</f>
        <v/>
      </c>
      <c r="AJ816" s="15" t="str">
        <f aca="false">IF(B816="","",COUNT(L816:M816,P816:T816)&amp;"/7")</f>
        <v/>
      </c>
      <c r="AK816" s="15" t="str">
        <f aca="false">IF(B816="","",IF(OR(AND(ISNUMBER(L816),ISNUMBER(M816),M816&lt;L816),AND(ISNUMBER(M816),ISNUMBER(P816),P816&lt;M816),AND(ISNUMBER(P816),ISNUMBER(Q816),Q816&lt;P816),AND(ISNUMBER(Q816),ISNUMBER(R816),R816&lt;Q816),AND(ISNUMBER(R816),ISNUMBER(S816),S816&lt;R816),AND(ISNUMBER(S816),ISNUMBER(T816),T816&lt;S816),AND(ISNUMBER(N816),ISNUMBER(O816),O816&lt;N816)),"Urutan tanggal salah",IF(AND(ISNUMBER(Q816),ISNUMBER(R816),ISNUMBER(Y816),ABS(R816-Q816-Y816)&gt;2),"S tanggal ≠ Sailing tercatat",IF(AND(ISNUMBER(Q816),ISNUMBER(O816),ABS(Q816-O816)&gt;60),"Cek tahun laycan",IF(AND(ISNUMBER(Q816),ISNUMBER(N816),Q816&lt;N816),"Berangkat sebelum laycan",IF(NOT(ISNUMBER(AE816)),"S belum ada","OK"))))))</f>
        <v/>
      </c>
    </row>
    <row r="817" customFormat="false" ht="15" hidden="false" customHeight="false" outlineLevel="0" collapsed="false">
      <c r="A817" s="16" t="str">
        <f aca="false">IF(B817="","",ROW()-4)</f>
        <v/>
      </c>
      <c r="B817" s="12"/>
      <c r="C817" s="16"/>
      <c r="D817" s="16"/>
      <c r="E817" s="16"/>
      <c r="F817" s="16"/>
      <c r="G817" s="16"/>
      <c r="H817" s="16"/>
      <c r="I817" s="16"/>
      <c r="J817" s="16"/>
      <c r="K817" s="16"/>
      <c r="L817" s="13"/>
      <c r="M817" s="13"/>
      <c r="N817" s="13"/>
      <c r="O817" s="13"/>
      <c r="P817" s="13"/>
      <c r="Q817" s="13"/>
      <c r="R817" s="13"/>
      <c r="S817" s="13"/>
      <c r="T817" s="13"/>
      <c r="U817" s="12"/>
      <c r="V817" s="14"/>
      <c r="W817" s="16"/>
      <c r="X817" s="16"/>
      <c r="Y817" s="16"/>
      <c r="Z817" s="16"/>
      <c r="AA817" s="15" t="str">
        <f aca="false">IF(AND(ISNUMBER(L817),ISNUMBER(M817)),M817-L817,"")</f>
        <v/>
      </c>
      <c r="AB817" s="15" t="str">
        <f aca="false">IF(AND(ISNUMBER(M817),ISNUMBER(P817)),P817-M817,"")</f>
        <v/>
      </c>
      <c r="AC817" s="15" t="str">
        <f aca="false">IF(AND(ISNUMBER(L817),ISNUMBER(P817)),P817-L817,"")</f>
        <v/>
      </c>
      <c r="AD817" s="15" t="str">
        <f aca="false">IF(AND(ISNUMBER(P817),ISNUMBER(Q817)),Q817-P817,"")</f>
        <v/>
      </c>
      <c r="AE817" s="15" t="str">
        <f aca="false">IF(AND(ISNUMBER(Q817),ISNUMBER(R817)),R817-Q817,IF(ISNUMBER(Y817),Y817,""))</f>
        <v/>
      </c>
      <c r="AF817" s="15" t="str">
        <f aca="false">IF(AND(ISNUMBER(R817),ISNUMBER(S817)),S817-R817,"")</f>
        <v/>
      </c>
      <c r="AG817" s="15" t="str">
        <f aca="false">IF(AND(ISNUMBER(S817),ISNUMBER(T817)),T817-S817,"")</f>
        <v/>
      </c>
      <c r="AH817" s="15" t="str">
        <f aca="false">IF(AND(ISNUMBER(L817),ISNUMBER(T817)),T817-L817,"")</f>
        <v/>
      </c>
      <c r="AI817" s="15" t="str">
        <f aca="false">IF(AND(ISNUMBER(O817),ISNUMBER(Q817)),Q817-O817,"")</f>
        <v/>
      </c>
      <c r="AJ817" s="15" t="str">
        <f aca="false">IF(B817="","",COUNT(L817:M817,P817:T817)&amp;"/7")</f>
        <v/>
      </c>
      <c r="AK817" s="15" t="str">
        <f aca="false">IF(B817="","",IF(OR(AND(ISNUMBER(L817),ISNUMBER(M817),M817&lt;L817),AND(ISNUMBER(M817),ISNUMBER(P817),P817&lt;M817),AND(ISNUMBER(P817),ISNUMBER(Q817),Q817&lt;P817),AND(ISNUMBER(Q817),ISNUMBER(R817),R817&lt;Q817),AND(ISNUMBER(R817),ISNUMBER(S817),S817&lt;R817),AND(ISNUMBER(S817),ISNUMBER(T817),T817&lt;S817),AND(ISNUMBER(N817),ISNUMBER(O817),O817&lt;N817)),"Urutan tanggal salah",IF(AND(ISNUMBER(Q817),ISNUMBER(R817),ISNUMBER(Y817),ABS(R817-Q817-Y817)&gt;2),"S tanggal ≠ Sailing tercatat",IF(AND(ISNUMBER(Q817),ISNUMBER(O817),ABS(Q817-O817)&gt;60),"Cek tahun laycan",IF(AND(ISNUMBER(Q817),ISNUMBER(N817),Q817&lt;N817),"Berangkat sebelum laycan",IF(NOT(ISNUMBER(AE817)),"S belum ada","OK"))))))</f>
        <v/>
      </c>
    </row>
    <row r="818" customFormat="false" ht="15" hidden="false" customHeight="false" outlineLevel="0" collapsed="false">
      <c r="A818" s="16" t="str">
        <f aca="false">IF(B818="","",ROW()-4)</f>
        <v/>
      </c>
      <c r="B818" s="12"/>
      <c r="C818" s="16"/>
      <c r="D818" s="16"/>
      <c r="E818" s="16"/>
      <c r="F818" s="16"/>
      <c r="G818" s="16"/>
      <c r="H818" s="16"/>
      <c r="I818" s="16"/>
      <c r="J818" s="16"/>
      <c r="K818" s="16"/>
      <c r="L818" s="13"/>
      <c r="M818" s="13"/>
      <c r="N818" s="13"/>
      <c r="O818" s="13"/>
      <c r="P818" s="13"/>
      <c r="Q818" s="13"/>
      <c r="R818" s="13"/>
      <c r="S818" s="13"/>
      <c r="T818" s="13"/>
      <c r="U818" s="12"/>
      <c r="V818" s="14"/>
      <c r="W818" s="16"/>
      <c r="X818" s="16"/>
      <c r="Y818" s="16"/>
      <c r="Z818" s="16"/>
      <c r="AA818" s="15" t="str">
        <f aca="false">IF(AND(ISNUMBER(L818),ISNUMBER(M818)),M818-L818,"")</f>
        <v/>
      </c>
      <c r="AB818" s="15" t="str">
        <f aca="false">IF(AND(ISNUMBER(M818),ISNUMBER(P818)),P818-M818,"")</f>
        <v/>
      </c>
      <c r="AC818" s="15" t="str">
        <f aca="false">IF(AND(ISNUMBER(L818),ISNUMBER(P818)),P818-L818,"")</f>
        <v/>
      </c>
      <c r="AD818" s="15" t="str">
        <f aca="false">IF(AND(ISNUMBER(P818),ISNUMBER(Q818)),Q818-P818,"")</f>
        <v/>
      </c>
      <c r="AE818" s="15" t="str">
        <f aca="false">IF(AND(ISNUMBER(Q818),ISNUMBER(R818)),R818-Q818,IF(ISNUMBER(Y818),Y818,""))</f>
        <v/>
      </c>
      <c r="AF818" s="15" t="str">
        <f aca="false">IF(AND(ISNUMBER(R818),ISNUMBER(S818)),S818-R818,"")</f>
        <v/>
      </c>
      <c r="AG818" s="15" t="str">
        <f aca="false">IF(AND(ISNUMBER(S818),ISNUMBER(T818)),T818-S818,"")</f>
        <v/>
      </c>
      <c r="AH818" s="15" t="str">
        <f aca="false">IF(AND(ISNUMBER(L818),ISNUMBER(T818)),T818-L818,"")</f>
        <v/>
      </c>
      <c r="AI818" s="15" t="str">
        <f aca="false">IF(AND(ISNUMBER(O818),ISNUMBER(Q818)),Q818-O818,"")</f>
        <v/>
      </c>
      <c r="AJ818" s="15" t="str">
        <f aca="false">IF(B818="","",COUNT(L818:M818,P818:T818)&amp;"/7")</f>
        <v/>
      </c>
      <c r="AK818" s="15" t="str">
        <f aca="false">IF(B818="","",IF(OR(AND(ISNUMBER(L818),ISNUMBER(M818),M818&lt;L818),AND(ISNUMBER(M818),ISNUMBER(P818),P818&lt;M818),AND(ISNUMBER(P818),ISNUMBER(Q818),Q818&lt;P818),AND(ISNUMBER(Q818),ISNUMBER(R818),R818&lt;Q818),AND(ISNUMBER(R818),ISNUMBER(S818),S818&lt;R818),AND(ISNUMBER(S818),ISNUMBER(T818),T818&lt;S818),AND(ISNUMBER(N818),ISNUMBER(O818),O818&lt;N818)),"Urutan tanggal salah",IF(AND(ISNUMBER(Q818),ISNUMBER(R818),ISNUMBER(Y818),ABS(R818-Q818-Y818)&gt;2),"S tanggal ≠ Sailing tercatat",IF(AND(ISNUMBER(Q818),ISNUMBER(O818),ABS(Q818-O818)&gt;60),"Cek tahun laycan",IF(AND(ISNUMBER(Q818),ISNUMBER(N818),Q818&lt;N818),"Berangkat sebelum laycan",IF(NOT(ISNUMBER(AE818)),"S belum ada","OK"))))))</f>
        <v/>
      </c>
    </row>
    <row r="819" customFormat="false" ht="15" hidden="false" customHeight="false" outlineLevel="0" collapsed="false">
      <c r="A819" s="16" t="str">
        <f aca="false">IF(B819="","",ROW()-4)</f>
        <v/>
      </c>
      <c r="B819" s="12"/>
      <c r="C819" s="16"/>
      <c r="D819" s="16"/>
      <c r="E819" s="16"/>
      <c r="F819" s="16"/>
      <c r="G819" s="16"/>
      <c r="H819" s="16"/>
      <c r="I819" s="16"/>
      <c r="J819" s="16"/>
      <c r="K819" s="16"/>
      <c r="L819" s="13"/>
      <c r="M819" s="13"/>
      <c r="N819" s="13"/>
      <c r="O819" s="13"/>
      <c r="P819" s="13"/>
      <c r="Q819" s="13"/>
      <c r="R819" s="13"/>
      <c r="S819" s="13"/>
      <c r="T819" s="13"/>
      <c r="U819" s="12"/>
      <c r="V819" s="14"/>
      <c r="W819" s="16"/>
      <c r="X819" s="16"/>
      <c r="Y819" s="16"/>
      <c r="Z819" s="16"/>
      <c r="AA819" s="15" t="str">
        <f aca="false">IF(AND(ISNUMBER(L819),ISNUMBER(M819)),M819-L819,"")</f>
        <v/>
      </c>
      <c r="AB819" s="15" t="str">
        <f aca="false">IF(AND(ISNUMBER(M819),ISNUMBER(P819)),P819-M819,"")</f>
        <v/>
      </c>
      <c r="AC819" s="15" t="str">
        <f aca="false">IF(AND(ISNUMBER(L819),ISNUMBER(P819)),P819-L819,"")</f>
        <v/>
      </c>
      <c r="AD819" s="15" t="str">
        <f aca="false">IF(AND(ISNUMBER(P819),ISNUMBER(Q819)),Q819-P819,"")</f>
        <v/>
      </c>
      <c r="AE819" s="15" t="str">
        <f aca="false">IF(AND(ISNUMBER(Q819),ISNUMBER(R819)),R819-Q819,IF(ISNUMBER(Y819),Y819,""))</f>
        <v/>
      </c>
      <c r="AF819" s="15" t="str">
        <f aca="false">IF(AND(ISNUMBER(R819),ISNUMBER(S819)),S819-R819,"")</f>
        <v/>
      </c>
      <c r="AG819" s="15" t="str">
        <f aca="false">IF(AND(ISNUMBER(S819),ISNUMBER(T819)),T819-S819,"")</f>
        <v/>
      </c>
      <c r="AH819" s="15" t="str">
        <f aca="false">IF(AND(ISNUMBER(L819),ISNUMBER(T819)),T819-L819,"")</f>
        <v/>
      </c>
      <c r="AI819" s="15" t="str">
        <f aca="false">IF(AND(ISNUMBER(O819),ISNUMBER(Q819)),Q819-O819,"")</f>
        <v/>
      </c>
      <c r="AJ819" s="15" t="str">
        <f aca="false">IF(B819="","",COUNT(L819:M819,P819:T819)&amp;"/7")</f>
        <v/>
      </c>
      <c r="AK819" s="15" t="str">
        <f aca="false">IF(B819="","",IF(OR(AND(ISNUMBER(L819),ISNUMBER(M819),M819&lt;L819),AND(ISNUMBER(M819),ISNUMBER(P819),P819&lt;M819),AND(ISNUMBER(P819),ISNUMBER(Q819),Q819&lt;P819),AND(ISNUMBER(Q819),ISNUMBER(R819),R819&lt;Q819),AND(ISNUMBER(R819),ISNUMBER(S819),S819&lt;R819),AND(ISNUMBER(S819),ISNUMBER(T819),T819&lt;S819),AND(ISNUMBER(N819),ISNUMBER(O819),O819&lt;N819)),"Urutan tanggal salah",IF(AND(ISNUMBER(Q819),ISNUMBER(R819),ISNUMBER(Y819),ABS(R819-Q819-Y819)&gt;2),"S tanggal ≠ Sailing tercatat",IF(AND(ISNUMBER(Q819),ISNUMBER(O819),ABS(Q819-O819)&gt;60),"Cek tahun laycan",IF(AND(ISNUMBER(Q819),ISNUMBER(N819),Q819&lt;N819),"Berangkat sebelum laycan",IF(NOT(ISNUMBER(AE819)),"S belum ada","OK"))))))</f>
        <v/>
      </c>
    </row>
    <row r="820" customFormat="false" ht="15" hidden="false" customHeight="false" outlineLevel="0" collapsed="false">
      <c r="A820" s="16" t="str">
        <f aca="false">IF(B820="","",ROW()-4)</f>
        <v/>
      </c>
      <c r="B820" s="12"/>
      <c r="C820" s="16"/>
      <c r="D820" s="16"/>
      <c r="E820" s="16"/>
      <c r="F820" s="16"/>
      <c r="G820" s="16"/>
      <c r="H820" s="16"/>
      <c r="I820" s="16"/>
      <c r="J820" s="16"/>
      <c r="K820" s="16"/>
      <c r="L820" s="13"/>
      <c r="M820" s="13"/>
      <c r="N820" s="13"/>
      <c r="O820" s="13"/>
      <c r="P820" s="13"/>
      <c r="Q820" s="13"/>
      <c r="R820" s="13"/>
      <c r="S820" s="13"/>
      <c r="T820" s="13"/>
      <c r="U820" s="12"/>
      <c r="V820" s="14"/>
      <c r="W820" s="16"/>
      <c r="X820" s="16"/>
      <c r="Y820" s="16"/>
      <c r="Z820" s="16"/>
      <c r="AA820" s="15" t="str">
        <f aca="false">IF(AND(ISNUMBER(L820),ISNUMBER(M820)),M820-L820,"")</f>
        <v/>
      </c>
      <c r="AB820" s="15" t="str">
        <f aca="false">IF(AND(ISNUMBER(M820),ISNUMBER(P820)),P820-M820,"")</f>
        <v/>
      </c>
      <c r="AC820" s="15" t="str">
        <f aca="false">IF(AND(ISNUMBER(L820),ISNUMBER(P820)),P820-L820,"")</f>
        <v/>
      </c>
      <c r="AD820" s="15" t="str">
        <f aca="false">IF(AND(ISNUMBER(P820),ISNUMBER(Q820)),Q820-P820,"")</f>
        <v/>
      </c>
      <c r="AE820" s="15" t="str">
        <f aca="false">IF(AND(ISNUMBER(Q820),ISNUMBER(R820)),R820-Q820,IF(ISNUMBER(Y820),Y820,""))</f>
        <v/>
      </c>
      <c r="AF820" s="15" t="str">
        <f aca="false">IF(AND(ISNUMBER(R820),ISNUMBER(S820)),S820-R820,"")</f>
        <v/>
      </c>
      <c r="AG820" s="15" t="str">
        <f aca="false">IF(AND(ISNUMBER(S820),ISNUMBER(T820)),T820-S820,"")</f>
        <v/>
      </c>
      <c r="AH820" s="15" t="str">
        <f aca="false">IF(AND(ISNUMBER(L820),ISNUMBER(T820)),T820-L820,"")</f>
        <v/>
      </c>
      <c r="AI820" s="15" t="str">
        <f aca="false">IF(AND(ISNUMBER(O820),ISNUMBER(Q820)),Q820-O820,"")</f>
        <v/>
      </c>
      <c r="AJ820" s="15" t="str">
        <f aca="false">IF(B820="","",COUNT(L820:M820,P820:T820)&amp;"/7")</f>
        <v/>
      </c>
      <c r="AK820" s="15" t="str">
        <f aca="false">IF(B820="","",IF(OR(AND(ISNUMBER(L820),ISNUMBER(M820),M820&lt;L820),AND(ISNUMBER(M820),ISNUMBER(P820),P820&lt;M820),AND(ISNUMBER(P820),ISNUMBER(Q820),Q820&lt;P820),AND(ISNUMBER(Q820),ISNUMBER(R820),R820&lt;Q820),AND(ISNUMBER(R820),ISNUMBER(S820),S820&lt;R820),AND(ISNUMBER(S820),ISNUMBER(T820),T820&lt;S820),AND(ISNUMBER(N820),ISNUMBER(O820),O820&lt;N820)),"Urutan tanggal salah",IF(AND(ISNUMBER(Q820),ISNUMBER(R820),ISNUMBER(Y820),ABS(R820-Q820-Y820)&gt;2),"S tanggal ≠ Sailing tercatat",IF(AND(ISNUMBER(Q820),ISNUMBER(O820),ABS(Q820-O820)&gt;60),"Cek tahun laycan",IF(AND(ISNUMBER(Q820),ISNUMBER(N820),Q820&lt;N820),"Berangkat sebelum laycan",IF(NOT(ISNUMBER(AE820)),"S belum ada","OK"))))))</f>
        <v/>
      </c>
    </row>
    <row r="821" customFormat="false" ht="15" hidden="false" customHeight="false" outlineLevel="0" collapsed="false">
      <c r="A821" s="16" t="str">
        <f aca="false">IF(B821="","",ROW()-4)</f>
        <v/>
      </c>
      <c r="B821" s="12"/>
      <c r="C821" s="16"/>
      <c r="D821" s="16"/>
      <c r="E821" s="16"/>
      <c r="F821" s="16"/>
      <c r="G821" s="16"/>
      <c r="H821" s="16"/>
      <c r="I821" s="16"/>
      <c r="J821" s="16"/>
      <c r="K821" s="16"/>
      <c r="L821" s="13"/>
      <c r="M821" s="13"/>
      <c r="N821" s="13"/>
      <c r="O821" s="13"/>
      <c r="P821" s="13"/>
      <c r="Q821" s="13"/>
      <c r="R821" s="13"/>
      <c r="S821" s="13"/>
      <c r="T821" s="13"/>
      <c r="U821" s="12"/>
      <c r="V821" s="14"/>
      <c r="W821" s="16"/>
      <c r="X821" s="16"/>
      <c r="Y821" s="16"/>
      <c r="Z821" s="16"/>
      <c r="AA821" s="15" t="str">
        <f aca="false">IF(AND(ISNUMBER(L821),ISNUMBER(M821)),M821-L821,"")</f>
        <v/>
      </c>
      <c r="AB821" s="15" t="str">
        <f aca="false">IF(AND(ISNUMBER(M821),ISNUMBER(P821)),P821-M821,"")</f>
        <v/>
      </c>
      <c r="AC821" s="15" t="str">
        <f aca="false">IF(AND(ISNUMBER(L821),ISNUMBER(P821)),P821-L821,"")</f>
        <v/>
      </c>
      <c r="AD821" s="15" t="str">
        <f aca="false">IF(AND(ISNUMBER(P821),ISNUMBER(Q821)),Q821-P821,"")</f>
        <v/>
      </c>
      <c r="AE821" s="15" t="str">
        <f aca="false">IF(AND(ISNUMBER(Q821),ISNUMBER(R821)),R821-Q821,IF(ISNUMBER(Y821),Y821,""))</f>
        <v/>
      </c>
      <c r="AF821" s="15" t="str">
        <f aca="false">IF(AND(ISNUMBER(R821),ISNUMBER(S821)),S821-R821,"")</f>
        <v/>
      </c>
      <c r="AG821" s="15" t="str">
        <f aca="false">IF(AND(ISNUMBER(S821),ISNUMBER(T821)),T821-S821,"")</f>
        <v/>
      </c>
      <c r="AH821" s="15" t="str">
        <f aca="false">IF(AND(ISNUMBER(L821),ISNUMBER(T821)),T821-L821,"")</f>
        <v/>
      </c>
      <c r="AI821" s="15" t="str">
        <f aca="false">IF(AND(ISNUMBER(O821),ISNUMBER(Q821)),Q821-O821,"")</f>
        <v/>
      </c>
      <c r="AJ821" s="15" t="str">
        <f aca="false">IF(B821="","",COUNT(L821:M821,P821:T821)&amp;"/7")</f>
        <v/>
      </c>
      <c r="AK821" s="15" t="str">
        <f aca="false">IF(B821="","",IF(OR(AND(ISNUMBER(L821),ISNUMBER(M821),M821&lt;L821),AND(ISNUMBER(M821),ISNUMBER(P821),P821&lt;M821),AND(ISNUMBER(P821),ISNUMBER(Q821),Q821&lt;P821),AND(ISNUMBER(Q821),ISNUMBER(R821),R821&lt;Q821),AND(ISNUMBER(R821),ISNUMBER(S821),S821&lt;R821),AND(ISNUMBER(S821),ISNUMBER(T821),T821&lt;S821),AND(ISNUMBER(N821),ISNUMBER(O821),O821&lt;N821)),"Urutan tanggal salah",IF(AND(ISNUMBER(Q821),ISNUMBER(R821),ISNUMBER(Y821),ABS(R821-Q821-Y821)&gt;2),"S tanggal ≠ Sailing tercatat",IF(AND(ISNUMBER(Q821),ISNUMBER(O821),ABS(Q821-O821)&gt;60),"Cek tahun laycan",IF(AND(ISNUMBER(Q821),ISNUMBER(N821),Q821&lt;N821),"Berangkat sebelum laycan",IF(NOT(ISNUMBER(AE821)),"S belum ada","OK"))))))</f>
        <v/>
      </c>
    </row>
    <row r="822" customFormat="false" ht="15" hidden="false" customHeight="false" outlineLevel="0" collapsed="false">
      <c r="A822" s="16" t="str">
        <f aca="false">IF(B822="","",ROW()-4)</f>
        <v/>
      </c>
      <c r="B822" s="12"/>
      <c r="C822" s="16"/>
      <c r="D822" s="16"/>
      <c r="E822" s="16"/>
      <c r="F822" s="16"/>
      <c r="G822" s="16"/>
      <c r="H822" s="16"/>
      <c r="I822" s="16"/>
      <c r="J822" s="16"/>
      <c r="K822" s="16"/>
      <c r="L822" s="13"/>
      <c r="M822" s="13"/>
      <c r="N822" s="13"/>
      <c r="O822" s="13"/>
      <c r="P822" s="13"/>
      <c r="Q822" s="13"/>
      <c r="R822" s="13"/>
      <c r="S822" s="13"/>
      <c r="T822" s="13"/>
      <c r="U822" s="12"/>
      <c r="V822" s="14"/>
      <c r="W822" s="16"/>
      <c r="X822" s="16"/>
      <c r="Y822" s="16"/>
      <c r="Z822" s="16"/>
      <c r="AA822" s="15" t="str">
        <f aca="false">IF(AND(ISNUMBER(L822),ISNUMBER(M822)),M822-L822,"")</f>
        <v/>
      </c>
      <c r="AB822" s="15" t="str">
        <f aca="false">IF(AND(ISNUMBER(M822),ISNUMBER(P822)),P822-M822,"")</f>
        <v/>
      </c>
      <c r="AC822" s="15" t="str">
        <f aca="false">IF(AND(ISNUMBER(L822),ISNUMBER(P822)),P822-L822,"")</f>
        <v/>
      </c>
      <c r="AD822" s="15" t="str">
        <f aca="false">IF(AND(ISNUMBER(P822),ISNUMBER(Q822)),Q822-P822,"")</f>
        <v/>
      </c>
      <c r="AE822" s="15" t="str">
        <f aca="false">IF(AND(ISNUMBER(Q822),ISNUMBER(R822)),R822-Q822,IF(ISNUMBER(Y822),Y822,""))</f>
        <v/>
      </c>
      <c r="AF822" s="15" t="str">
        <f aca="false">IF(AND(ISNUMBER(R822),ISNUMBER(S822)),S822-R822,"")</f>
        <v/>
      </c>
      <c r="AG822" s="15" t="str">
        <f aca="false">IF(AND(ISNUMBER(S822),ISNUMBER(T822)),T822-S822,"")</f>
        <v/>
      </c>
      <c r="AH822" s="15" t="str">
        <f aca="false">IF(AND(ISNUMBER(L822),ISNUMBER(T822)),T822-L822,"")</f>
        <v/>
      </c>
      <c r="AI822" s="15" t="str">
        <f aca="false">IF(AND(ISNUMBER(O822),ISNUMBER(Q822)),Q822-O822,"")</f>
        <v/>
      </c>
      <c r="AJ822" s="15" t="str">
        <f aca="false">IF(B822="","",COUNT(L822:M822,P822:T822)&amp;"/7")</f>
        <v/>
      </c>
      <c r="AK822" s="15" t="str">
        <f aca="false">IF(B822="","",IF(OR(AND(ISNUMBER(L822),ISNUMBER(M822),M822&lt;L822),AND(ISNUMBER(M822),ISNUMBER(P822),P822&lt;M822),AND(ISNUMBER(P822),ISNUMBER(Q822),Q822&lt;P822),AND(ISNUMBER(Q822),ISNUMBER(R822),R822&lt;Q822),AND(ISNUMBER(R822),ISNUMBER(S822),S822&lt;R822),AND(ISNUMBER(S822),ISNUMBER(T822),T822&lt;S822),AND(ISNUMBER(N822),ISNUMBER(O822),O822&lt;N822)),"Urutan tanggal salah",IF(AND(ISNUMBER(Q822),ISNUMBER(R822),ISNUMBER(Y822),ABS(R822-Q822-Y822)&gt;2),"S tanggal ≠ Sailing tercatat",IF(AND(ISNUMBER(Q822),ISNUMBER(O822),ABS(Q822-O822)&gt;60),"Cek tahun laycan",IF(AND(ISNUMBER(Q822),ISNUMBER(N822),Q822&lt;N822),"Berangkat sebelum laycan",IF(NOT(ISNUMBER(AE822)),"S belum ada","OK"))))))</f>
        <v/>
      </c>
    </row>
    <row r="823" customFormat="false" ht="15" hidden="false" customHeight="false" outlineLevel="0" collapsed="false">
      <c r="A823" s="16" t="str">
        <f aca="false">IF(B823="","",ROW()-4)</f>
        <v/>
      </c>
      <c r="B823" s="12"/>
      <c r="C823" s="16"/>
      <c r="D823" s="16"/>
      <c r="E823" s="16"/>
      <c r="F823" s="16"/>
      <c r="G823" s="16"/>
      <c r="H823" s="16"/>
      <c r="I823" s="16"/>
      <c r="J823" s="16"/>
      <c r="K823" s="16"/>
      <c r="L823" s="13"/>
      <c r="M823" s="13"/>
      <c r="N823" s="13"/>
      <c r="O823" s="13"/>
      <c r="P823" s="13"/>
      <c r="Q823" s="13"/>
      <c r="R823" s="13"/>
      <c r="S823" s="13"/>
      <c r="T823" s="13"/>
      <c r="U823" s="12"/>
      <c r="V823" s="14"/>
      <c r="W823" s="16"/>
      <c r="X823" s="16"/>
      <c r="Y823" s="16"/>
      <c r="Z823" s="16"/>
      <c r="AA823" s="15" t="str">
        <f aca="false">IF(AND(ISNUMBER(L823),ISNUMBER(M823)),M823-L823,"")</f>
        <v/>
      </c>
      <c r="AB823" s="15" t="str">
        <f aca="false">IF(AND(ISNUMBER(M823),ISNUMBER(P823)),P823-M823,"")</f>
        <v/>
      </c>
      <c r="AC823" s="15" t="str">
        <f aca="false">IF(AND(ISNUMBER(L823),ISNUMBER(P823)),P823-L823,"")</f>
        <v/>
      </c>
      <c r="AD823" s="15" t="str">
        <f aca="false">IF(AND(ISNUMBER(P823),ISNUMBER(Q823)),Q823-P823,"")</f>
        <v/>
      </c>
      <c r="AE823" s="15" t="str">
        <f aca="false">IF(AND(ISNUMBER(Q823),ISNUMBER(R823)),R823-Q823,IF(ISNUMBER(Y823),Y823,""))</f>
        <v/>
      </c>
      <c r="AF823" s="15" t="str">
        <f aca="false">IF(AND(ISNUMBER(R823),ISNUMBER(S823)),S823-R823,"")</f>
        <v/>
      </c>
      <c r="AG823" s="15" t="str">
        <f aca="false">IF(AND(ISNUMBER(S823),ISNUMBER(T823)),T823-S823,"")</f>
        <v/>
      </c>
      <c r="AH823" s="15" t="str">
        <f aca="false">IF(AND(ISNUMBER(L823),ISNUMBER(T823)),T823-L823,"")</f>
        <v/>
      </c>
      <c r="AI823" s="15" t="str">
        <f aca="false">IF(AND(ISNUMBER(O823),ISNUMBER(Q823)),Q823-O823,"")</f>
        <v/>
      </c>
      <c r="AJ823" s="15" t="str">
        <f aca="false">IF(B823="","",COUNT(L823:M823,P823:T823)&amp;"/7")</f>
        <v/>
      </c>
      <c r="AK823" s="15" t="str">
        <f aca="false">IF(B823="","",IF(OR(AND(ISNUMBER(L823),ISNUMBER(M823),M823&lt;L823),AND(ISNUMBER(M823),ISNUMBER(P823),P823&lt;M823),AND(ISNUMBER(P823),ISNUMBER(Q823),Q823&lt;P823),AND(ISNUMBER(Q823),ISNUMBER(R823),R823&lt;Q823),AND(ISNUMBER(R823),ISNUMBER(S823),S823&lt;R823),AND(ISNUMBER(S823),ISNUMBER(T823),T823&lt;S823),AND(ISNUMBER(N823),ISNUMBER(O823),O823&lt;N823)),"Urutan tanggal salah",IF(AND(ISNUMBER(Q823),ISNUMBER(R823),ISNUMBER(Y823),ABS(R823-Q823-Y823)&gt;2),"S tanggal ≠ Sailing tercatat",IF(AND(ISNUMBER(Q823),ISNUMBER(O823),ABS(Q823-O823)&gt;60),"Cek tahun laycan",IF(AND(ISNUMBER(Q823),ISNUMBER(N823),Q823&lt;N823),"Berangkat sebelum laycan",IF(NOT(ISNUMBER(AE823)),"S belum ada","OK"))))))</f>
        <v/>
      </c>
    </row>
    <row r="824" customFormat="false" ht="15" hidden="false" customHeight="false" outlineLevel="0" collapsed="false">
      <c r="A824" s="16" t="str">
        <f aca="false">IF(B824="","",ROW()-4)</f>
        <v/>
      </c>
      <c r="B824" s="12"/>
      <c r="C824" s="16"/>
      <c r="D824" s="16"/>
      <c r="E824" s="16"/>
      <c r="F824" s="16"/>
      <c r="G824" s="16"/>
      <c r="H824" s="16"/>
      <c r="I824" s="16"/>
      <c r="J824" s="16"/>
      <c r="K824" s="16"/>
      <c r="L824" s="13"/>
      <c r="M824" s="13"/>
      <c r="N824" s="13"/>
      <c r="O824" s="13"/>
      <c r="P824" s="13"/>
      <c r="Q824" s="13"/>
      <c r="R824" s="13"/>
      <c r="S824" s="13"/>
      <c r="T824" s="13"/>
      <c r="U824" s="12"/>
      <c r="V824" s="14"/>
      <c r="W824" s="16"/>
      <c r="X824" s="16"/>
      <c r="Y824" s="16"/>
      <c r="Z824" s="16"/>
      <c r="AA824" s="15" t="str">
        <f aca="false">IF(AND(ISNUMBER(L824),ISNUMBER(M824)),M824-L824,"")</f>
        <v/>
      </c>
      <c r="AB824" s="15" t="str">
        <f aca="false">IF(AND(ISNUMBER(M824),ISNUMBER(P824)),P824-M824,"")</f>
        <v/>
      </c>
      <c r="AC824" s="15" t="str">
        <f aca="false">IF(AND(ISNUMBER(L824),ISNUMBER(P824)),P824-L824,"")</f>
        <v/>
      </c>
      <c r="AD824" s="15" t="str">
        <f aca="false">IF(AND(ISNUMBER(P824),ISNUMBER(Q824)),Q824-P824,"")</f>
        <v/>
      </c>
      <c r="AE824" s="15" t="str">
        <f aca="false">IF(AND(ISNUMBER(Q824),ISNUMBER(R824)),R824-Q824,IF(ISNUMBER(Y824),Y824,""))</f>
        <v/>
      </c>
      <c r="AF824" s="15" t="str">
        <f aca="false">IF(AND(ISNUMBER(R824),ISNUMBER(S824)),S824-R824,"")</f>
        <v/>
      </c>
      <c r="AG824" s="15" t="str">
        <f aca="false">IF(AND(ISNUMBER(S824),ISNUMBER(T824)),T824-S824,"")</f>
        <v/>
      </c>
      <c r="AH824" s="15" t="str">
        <f aca="false">IF(AND(ISNUMBER(L824),ISNUMBER(T824)),T824-L824,"")</f>
        <v/>
      </c>
      <c r="AI824" s="15" t="str">
        <f aca="false">IF(AND(ISNUMBER(O824),ISNUMBER(Q824)),Q824-O824,"")</f>
        <v/>
      </c>
      <c r="AJ824" s="15" t="str">
        <f aca="false">IF(B824="","",COUNT(L824:M824,P824:T824)&amp;"/7")</f>
        <v/>
      </c>
      <c r="AK824" s="15" t="str">
        <f aca="false">IF(B824="","",IF(OR(AND(ISNUMBER(L824),ISNUMBER(M824),M824&lt;L824),AND(ISNUMBER(M824),ISNUMBER(P824),P824&lt;M824),AND(ISNUMBER(P824),ISNUMBER(Q824),Q824&lt;P824),AND(ISNUMBER(Q824),ISNUMBER(R824),R824&lt;Q824),AND(ISNUMBER(R824),ISNUMBER(S824),S824&lt;R824),AND(ISNUMBER(S824),ISNUMBER(T824),T824&lt;S824),AND(ISNUMBER(N824),ISNUMBER(O824),O824&lt;N824)),"Urutan tanggal salah",IF(AND(ISNUMBER(Q824),ISNUMBER(R824),ISNUMBER(Y824),ABS(R824-Q824-Y824)&gt;2),"S tanggal ≠ Sailing tercatat",IF(AND(ISNUMBER(Q824),ISNUMBER(O824),ABS(Q824-O824)&gt;60),"Cek tahun laycan",IF(AND(ISNUMBER(Q824),ISNUMBER(N824),Q824&lt;N824),"Berangkat sebelum laycan",IF(NOT(ISNUMBER(AE824)),"S belum ada","OK"))))))</f>
        <v/>
      </c>
    </row>
    <row r="825" customFormat="false" ht="15" hidden="false" customHeight="false" outlineLevel="0" collapsed="false">
      <c r="A825" s="16" t="str">
        <f aca="false">IF(B825="","",ROW()-4)</f>
        <v/>
      </c>
      <c r="B825" s="12"/>
      <c r="C825" s="16"/>
      <c r="D825" s="16"/>
      <c r="E825" s="16"/>
      <c r="F825" s="16"/>
      <c r="G825" s="16"/>
      <c r="H825" s="16"/>
      <c r="I825" s="16"/>
      <c r="J825" s="16"/>
      <c r="K825" s="16"/>
      <c r="L825" s="13"/>
      <c r="M825" s="13"/>
      <c r="N825" s="13"/>
      <c r="O825" s="13"/>
      <c r="P825" s="13"/>
      <c r="Q825" s="13"/>
      <c r="R825" s="13"/>
      <c r="S825" s="13"/>
      <c r="T825" s="13"/>
      <c r="U825" s="12"/>
      <c r="V825" s="14"/>
      <c r="W825" s="16"/>
      <c r="X825" s="16"/>
      <c r="Y825" s="16"/>
      <c r="Z825" s="16"/>
      <c r="AA825" s="15" t="str">
        <f aca="false">IF(AND(ISNUMBER(L825),ISNUMBER(M825)),M825-L825,"")</f>
        <v/>
      </c>
      <c r="AB825" s="15" t="str">
        <f aca="false">IF(AND(ISNUMBER(M825),ISNUMBER(P825)),P825-M825,"")</f>
        <v/>
      </c>
      <c r="AC825" s="15" t="str">
        <f aca="false">IF(AND(ISNUMBER(L825),ISNUMBER(P825)),P825-L825,"")</f>
        <v/>
      </c>
      <c r="AD825" s="15" t="str">
        <f aca="false">IF(AND(ISNUMBER(P825),ISNUMBER(Q825)),Q825-P825,"")</f>
        <v/>
      </c>
      <c r="AE825" s="15" t="str">
        <f aca="false">IF(AND(ISNUMBER(Q825),ISNUMBER(R825)),R825-Q825,IF(ISNUMBER(Y825),Y825,""))</f>
        <v/>
      </c>
      <c r="AF825" s="15" t="str">
        <f aca="false">IF(AND(ISNUMBER(R825),ISNUMBER(S825)),S825-R825,"")</f>
        <v/>
      </c>
      <c r="AG825" s="15" t="str">
        <f aca="false">IF(AND(ISNUMBER(S825),ISNUMBER(T825)),T825-S825,"")</f>
        <v/>
      </c>
      <c r="AH825" s="15" t="str">
        <f aca="false">IF(AND(ISNUMBER(L825),ISNUMBER(T825)),T825-L825,"")</f>
        <v/>
      </c>
      <c r="AI825" s="15" t="str">
        <f aca="false">IF(AND(ISNUMBER(O825),ISNUMBER(Q825)),Q825-O825,"")</f>
        <v/>
      </c>
      <c r="AJ825" s="15" t="str">
        <f aca="false">IF(B825="","",COUNT(L825:M825,P825:T825)&amp;"/7")</f>
        <v/>
      </c>
      <c r="AK825" s="15" t="str">
        <f aca="false">IF(B825="","",IF(OR(AND(ISNUMBER(L825),ISNUMBER(M825),M825&lt;L825),AND(ISNUMBER(M825),ISNUMBER(P825),P825&lt;M825),AND(ISNUMBER(P825),ISNUMBER(Q825),Q825&lt;P825),AND(ISNUMBER(Q825),ISNUMBER(R825),R825&lt;Q825),AND(ISNUMBER(R825),ISNUMBER(S825),S825&lt;R825),AND(ISNUMBER(S825),ISNUMBER(T825),T825&lt;S825),AND(ISNUMBER(N825),ISNUMBER(O825),O825&lt;N825)),"Urutan tanggal salah",IF(AND(ISNUMBER(Q825),ISNUMBER(R825),ISNUMBER(Y825),ABS(R825-Q825-Y825)&gt;2),"S tanggal ≠ Sailing tercatat",IF(AND(ISNUMBER(Q825),ISNUMBER(O825),ABS(Q825-O825)&gt;60),"Cek tahun laycan",IF(AND(ISNUMBER(Q825),ISNUMBER(N825),Q825&lt;N825),"Berangkat sebelum laycan",IF(NOT(ISNUMBER(AE825)),"S belum ada","OK"))))))</f>
        <v/>
      </c>
    </row>
    <row r="826" customFormat="false" ht="15" hidden="false" customHeight="false" outlineLevel="0" collapsed="false">
      <c r="A826" s="16" t="str">
        <f aca="false">IF(B826="","",ROW()-4)</f>
        <v/>
      </c>
      <c r="B826" s="12"/>
      <c r="C826" s="16"/>
      <c r="D826" s="16"/>
      <c r="E826" s="16"/>
      <c r="F826" s="16"/>
      <c r="G826" s="16"/>
      <c r="H826" s="16"/>
      <c r="I826" s="16"/>
      <c r="J826" s="16"/>
      <c r="K826" s="16"/>
      <c r="L826" s="13"/>
      <c r="M826" s="13"/>
      <c r="N826" s="13"/>
      <c r="O826" s="13"/>
      <c r="P826" s="13"/>
      <c r="Q826" s="13"/>
      <c r="R826" s="13"/>
      <c r="S826" s="13"/>
      <c r="T826" s="13"/>
      <c r="U826" s="12"/>
      <c r="V826" s="14"/>
      <c r="W826" s="16"/>
      <c r="X826" s="16"/>
      <c r="Y826" s="16"/>
      <c r="Z826" s="16"/>
      <c r="AA826" s="15" t="str">
        <f aca="false">IF(AND(ISNUMBER(L826),ISNUMBER(M826)),M826-L826,"")</f>
        <v/>
      </c>
      <c r="AB826" s="15" t="str">
        <f aca="false">IF(AND(ISNUMBER(M826),ISNUMBER(P826)),P826-M826,"")</f>
        <v/>
      </c>
      <c r="AC826" s="15" t="str">
        <f aca="false">IF(AND(ISNUMBER(L826),ISNUMBER(P826)),P826-L826,"")</f>
        <v/>
      </c>
      <c r="AD826" s="15" t="str">
        <f aca="false">IF(AND(ISNUMBER(P826),ISNUMBER(Q826)),Q826-P826,"")</f>
        <v/>
      </c>
      <c r="AE826" s="15" t="str">
        <f aca="false">IF(AND(ISNUMBER(Q826),ISNUMBER(R826)),R826-Q826,IF(ISNUMBER(Y826),Y826,""))</f>
        <v/>
      </c>
      <c r="AF826" s="15" t="str">
        <f aca="false">IF(AND(ISNUMBER(R826),ISNUMBER(S826)),S826-R826,"")</f>
        <v/>
      </c>
      <c r="AG826" s="15" t="str">
        <f aca="false">IF(AND(ISNUMBER(S826),ISNUMBER(T826)),T826-S826,"")</f>
        <v/>
      </c>
      <c r="AH826" s="15" t="str">
        <f aca="false">IF(AND(ISNUMBER(L826),ISNUMBER(T826)),T826-L826,"")</f>
        <v/>
      </c>
      <c r="AI826" s="15" t="str">
        <f aca="false">IF(AND(ISNUMBER(O826),ISNUMBER(Q826)),Q826-O826,"")</f>
        <v/>
      </c>
      <c r="AJ826" s="15" t="str">
        <f aca="false">IF(B826="","",COUNT(L826:M826,P826:T826)&amp;"/7")</f>
        <v/>
      </c>
      <c r="AK826" s="15" t="str">
        <f aca="false">IF(B826="","",IF(OR(AND(ISNUMBER(L826),ISNUMBER(M826),M826&lt;L826),AND(ISNUMBER(M826),ISNUMBER(P826),P826&lt;M826),AND(ISNUMBER(P826),ISNUMBER(Q826),Q826&lt;P826),AND(ISNUMBER(Q826),ISNUMBER(R826),R826&lt;Q826),AND(ISNUMBER(R826),ISNUMBER(S826),S826&lt;R826),AND(ISNUMBER(S826),ISNUMBER(T826),T826&lt;S826),AND(ISNUMBER(N826),ISNUMBER(O826),O826&lt;N826)),"Urutan tanggal salah",IF(AND(ISNUMBER(Q826),ISNUMBER(R826),ISNUMBER(Y826),ABS(R826-Q826-Y826)&gt;2),"S tanggal ≠ Sailing tercatat",IF(AND(ISNUMBER(Q826),ISNUMBER(O826),ABS(Q826-O826)&gt;60),"Cek tahun laycan",IF(AND(ISNUMBER(Q826),ISNUMBER(N826),Q826&lt;N826),"Berangkat sebelum laycan",IF(NOT(ISNUMBER(AE826)),"S belum ada","OK"))))))</f>
        <v/>
      </c>
    </row>
    <row r="827" customFormat="false" ht="15" hidden="false" customHeight="false" outlineLevel="0" collapsed="false">
      <c r="A827" s="16" t="str">
        <f aca="false">IF(B827="","",ROW()-4)</f>
        <v/>
      </c>
      <c r="B827" s="12"/>
      <c r="C827" s="16"/>
      <c r="D827" s="16"/>
      <c r="E827" s="16"/>
      <c r="F827" s="16"/>
      <c r="G827" s="16"/>
      <c r="H827" s="16"/>
      <c r="I827" s="16"/>
      <c r="J827" s="16"/>
      <c r="K827" s="16"/>
      <c r="L827" s="13"/>
      <c r="M827" s="13"/>
      <c r="N827" s="13"/>
      <c r="O827" s="13"/>
      <c r="P827" s="13"/>
      <c r="Q827" s="13"/>
      <c r="R827" s="13"/>
      <c r="S827" s="13"/>
      <c r="T827" s="13"/>
      <c r="U827" s="12"/>
      <c r="V827" s="14"/>
      <c r="W827" s="16"/>
      <c r="X827" s="16"/>
      <c r="Y827" s="16"/>
      <c r="Z827" s="16"/>
      <c r="AA827" s="15" t="str">
        <f aca="false">IF(AND(ISNUMBER(L827),ISNUMBER(M827)),M827-L827,"")</f>
        <v/>
      </c>
      <c r="AB827" s="15" t="str">
        <f aca="false">IF(AND(ISNUMBER(M827),ISNUMBER(P827)),P827-M827,"")</f>
        <v/>
      </c>
      <c r="AC827" s="15" t="str">
        <f aca="false">IF(AND(ISNUMBER(L827),ISNUMBER(P827)),P827-L827,"")</f>
        <v/>
      </c>
      <c r="AD827" s="15" t="str">
        <f aca="false">IF(AND(ISNUMBER(P827),ISNUMBER(Q827)),Q827-P827,"")</f>
        <v/>
      </c>
      <c r="AE827" s="15" t="str">
        <f aca="false">IF(AND(ISNUMBER(Q827),ISNUMBER(R827)),R827-Q827,IF(ISNUMBER(Y827),Y827,""))</f>
        <v/>
      </c>
      <c r="AF827" s="15" t="str">
        <f aca="false">IF(AND(ISNUMBER(R827),ISNUMBER(S827)),S827-R827,"")</f>
        <v/>
      </c>
      <c r="AG827" s="15" t="str">
        <f aca="false">IF(AND(ISNUMBER(S827),ISNUMBER(T827)),T827-S827,"")</f>
        <v/>
      </c>
      <c r="AH827" s="15" t="str">
        <f aca="false">IF(AND(ISNUMBER(L827),ISNUMBER(T827)),T827-L827,"")</f>
        <v/>
      </c>
      <c r="AI827" s="15" t="str">
        <f aca="false">IF(AND(ISNUMBER(O827),ISNUMBER(Q827)),Q827-O827,"")</f>
        <v/>
      </c>
      <c r="AJ827" s="15" t="str">
        <f aca="false">IF(B827="","",COUNT(L827:M827,P827:T827)&amp;"/7")</f>
        <v/>
      </c>
      <c r="AK827" s="15" t="str">
        <f aca="false">IF(B827="","",IF(OR(AND(ISNUMBER(L827),ISNUMBER(M827),M827&lt;L827),AND(ISNUMBER(M827),ISNUMBER(P827),P827&lt;M827),AND(ISNUMBER(P827),ISNUMBER(Q827),Q827&lt;P827),AND(ISNUMBER(Q827),ISNUMBER(R827),R827&lt;Q827),AND(ISNUMBER(R827),ISNUMBER(S827),S827&lt;R827),AND(ISNUMBER(S827),ISNUMBER(T827),T827&lt;S827),AND(ISNUMBER(N827),ISNUMBER(O827),O827&lt;N827)),"Urutan tanggal salah",IF(AND(ISNUMBER(Q827),ISNUMBER(R827),ISNUMBER(Y827),ABS(R827-Q827-Y827)&gt;2),"S tanggal ≠ Sailing tercatat",IF(AND(ISNUMBER(Q827),ISNUMBER(O827),ABS(Q827-O827)&gt;60),"Cek tahun laycan",IF(AND(ISNUMBER(Q827),ISNUMBER(N827),Q827&lt;N827),"Berangkat sebelum laycan",IF(NOT(ISNUMBER(AE827)),"S belum ada","OK"))))))</f>
        <v/>
      </c>
    </row>
    <row r="828" customFormat="false" ht="15" hidden="false" customHeight="false" outlineLevel="0" collapsed="false">
      <c r="A828" s="16" t="str">
        <f aca="false">IF(B828="","",ROW()-4)</f>
        <v/>
      </c>
      <c r="B828" s="12"/>
      <c r="C828" s="16"/>
      <c r="D828" s="16"/>
      <c r="E828" s="16"/>
      <c r="F828" s="16"/>
      <c r="G828" s="16"/>
      <c r="H828" s="16"/>
      <c r="I828" s="16"/>
      <c r="J828" s="16"/>
      <c r="K828" s="16"/>
      <c r="L828" s="13"/>
      <c r="M828" s="13"/>
      <c r="N828" s="13"/>
      <c r="O828" s="13"/>
      <c r="P828" s="13"/>
      <c r="Q828" s="13"/>
      <c r="R828" s="13"/>
      <c r="S828" s="13"/>
      <c r="T828" s="13"/>
      <c r="U828" s="12"/>
      <c r="V828" s="14"/>
      <c r="W828" s="16"/>
      <c r="X828" s="16"/>
      <c r="Y828" s="16"/>
      <c r="Z828" s="16"/>
      <c r="AA828" s="15" t="str">
        <f aca="false">IF(AND(ISNUMBER(L828),ISNUMBER(M828)),M828-L828,"")</f>
        <v/>
      </c>
      <c r="AB828" s="15" t="str">
        <f aca="false">IF(AND(ISNUMBER(M828),ISNUMBER(P828)),P828-M828,"")</f>
        <v/>
      </c>
      <c r="AC828" s="15" t="str">
        <f aca="false">IF(AND(ISNUMBER(L828),ISNUMBER(P828)),P828-L828,"")</f>
        <v/>
      </c>
      <c r="AD828" s="15" t="str">
        <f aca="false">IF(AND(ISNUMBER(P828),ISNUMBER(Q828)),Q828-P828,"")</f>
        <v/>
      </c>
      <c r="AE828" s="15" t="str">
        <f aca="false">IF(AND(ISNUMBER(Q828),ISNUMBER(R828)),R828-Q828,IF(ISNUMBER(Y828),Y828,""))</f>
        <v/>
      </c>
      <c r="AF828" s="15" t="str">
        <f aca="false">IF(AND(ISNUMBER(R828),ISNUMBER(S828)),S828-R828,"")</f>
        <v/>
      </c>
      <c r="AG828" s="15" t="str">
        <f aca="false">IF(AND(ISNUMBER(S828),ISNUMBER(T828)),T828-S828,"")</f>
        <v/>
      </c>
      <c r="AH828" s="15" t="str">
        <f aca="false">IF(AND(ISNUMBER(L828),ISNUMBER(T828)),T828-L828,"")</f>
        <v/>
      </c>
      <c r="AI828" s="15" t="str">
        <f aca="false">IF(AND(ISNUMBER(O828),ISNUMBER(Q828)),Q828-O828,"")</f>
        <v/>
      </c>
      <c r="AJ828" s="15" t="str">
        <f aca="false">IF(B828="","",COUNT(L828:M828,P828:T828)&amp;"/7")</f>
        <v/>
      </c>
      <c r="AK828" s="15" t="str">
        <f aca="false">IF(B828="","",IF(OR(AND(ISNUMBER(L828),ISNUMBER(M828),M828&lt;L828),AND(ISNUMBER(M828),ISNUMBER(P828),P828&lt;M828),AND(ISNUMBER(P828),ISNUMBER(Q828),Q828&lt;P828),AND(ISNUMBER(Q828),ISNUMBER(R828),R828&lt;Q828),AND(ISNUMBER(R828),ISNUMBER(S828),S828&lt;R828),AND(ISNUMBER(S828),ISNUMBER(T828),T828&lt;S828),AND(ISNUMBER(N828),ISNUMBER(O828),O828&lt;N828)),"Urutan tanggal salah",IF(AND(ISNUMBER(Q828),ISNUMBER(R828),ISNUMBER(Y828),ABS(R828-Q828-Y828)&gt;2),"S tanggal ≠ Sailing tercatat",IF(AND(ISNUMBER(Q828),ISNUMBER(O828),ABS(Q828-O828)&gt;60),"Cek tahun laycan",IF(AND(ISNUMBER(Q828),ISNUMBER(N828),Q828&lt;N828),"Berangkat sebelum laycan",IF(NOT(ISNUMBER(AE828)),"S belum ada","OK"))))))</f>
        <v/>
      </c>
    </row>
    <row r="829" customFormat="false" ht="15" hidden="false" customHeight="false" outlineLevel="0" collapsed="false">
      <c r="A829" s="16" t="str">
        <f aca="false">IF(B829="","",ROW()-4)</f>
        <v/>
      </c>
      <c r="B829" s="12"/>
      <c r="C829" s="16"/>
      <c r="D829" s="16"/>
      <c r="E829" s="16"/>
      <c r="F829" s="16"/>
      <c r="G829" s="16"/>
      <c r="H829" s="16"/>
      <c r="I829" s="16"/>
      <c r="J829" s="16"/>
      <c r="K829" s="16"/>
      <c r="L829" s="13"/>
      <c r="M829" s="13"/>
      <c r="N829" s="13"/>
      <c r="O829" s="13"/>
      <c r="P829" s="13"/>
      <c r="Q829" s="13"/>
      <c r="R829" s="13"/>
      <c r="S829" s="13"/>
      <c r="T829" s="13"/>
      <c r="U829" s="12"/>
      <c r="V829" s="14"/>
      <c r="W829" s="16"/>
      <c r="X829" s="16"/>
      <c r="Y829" s="16"/>
      <c r="Z829" s="16"/>
      <c r="AA829" s="15" t="str">
        <f aca="false">IF(AND(ISNUMBER(L829),ISNUMBER(M829)),M829-L829,"")</f>
        <v/>
      </c>
      <c r="AB829" s="15" t="str">
        <f aca="false">IF(AND(ISNUMBER(M829),ISNUMBER(P829)),P829-M829,"")</f>
        <v/>
      </c>
      <c r="AC829" s="15" t="str">
        <f aca="false">IF(AND(ISNUMBER(L829),ISNUMBER(P829)),P829-L829,"")</f>
        <v/>
      </c>
      <c r="AD829" s="15" t="str">
        <f aca="false">IF(AND(ISNUMBER(P829),ISNUMBER(Q829)),Q829-P829,"")</f>
        <v/>
      </c>
      <c r="AE829" s="15" t="str">
        <f aca="false">IF(AND(ISNUMBER(Q829),ISNUMBER(R829)),R829-Q829,IF(ISNUMBER(Y829),Y829,""))</f>
        <v/>
      </c>
      <c r="AF829" s="15" t="str">
        <f aca="false">IF(AND(ISNUMBER(R829),ISNUMBER(S829)),S829-R829,"")</f>
        <v/>
      </c>
      <c r="AG829" s="15" t="str">
        <f aca="false">IF(AND(ISNUMBER(S829),ISNUMBER(T829)),T829-S829,"")</f>
        <v/>
      </c>
      <c r="AH829" s="15" t="str">
        <f aca="false">IF(AND(ISNUMBER(L829),ISNUMBER(T829)),T829-L829,"")</f>
        <v/>
      </c>
      <c r="AI829" s="15" t="str">
        <f aca="false">IF(AND(ISNUMBER(O829),ISNUMBER(Q829)),Q829-O829,"")</f>
        <v/>
      </c>
      <c r="AJ829" s="15" t="str">
        <f aca="false">IF(B829="","",COUNT(L829:M829,P829:T829)&amp;"/7")</f>
        <v/>
      </c>
      <c r="AK829" s="15" t="str">
        <f aca="false">IF(B829="","",IF(OR(AND(ISNUMBER(L829),ISNUMBER(M829),M829&lt;L829),AND(ISNUMBER(M829),ISNUMBER(P829),P829&lt;M829),AND(ISNUMBER(P829),ISNUMBER(Q829),Q829&lt;P829),AND(ISNUMBER(Q829),ISNUMBER(R829),R829&lt;Q829),AND(ISNUMBER(R829),ISNUMBER(S829),S829&lt;R829),AND(ISNUMBER(S829),ISNUMBER(T829),T829&lt;S829),AND(ISNUMBER(N829),ISNUMBER(O829),O829&lt;N829)),"Urutan tanggal salah",IF(AND(ISNUMBER(Q829),ISNUMBER(R829),ISNUMBER(Y829),ABS(R829-Q829-Y829)&gt;2),"S tanggal ≠ Sailing tercatat",IF(AND(ISNUMBER(Q829),ISNUMBER(O829),ABS(Q829-O829)&gt;60),"Cek tahun laycan",IF(AND(ISNUMBER(Q829),ISNUMBER(N829),Q829&lt;N829),"Berangkat sebelum laycan",IF(NOT(ISNUMBER(AE829)),"S belum ada","OK"))))))</f>
        <v/>
      </c>
    </row>
    <row r="830" customFormat="false" ht="15" hidden="false" customHeight="false" outlineLevel="0" collapsed="false">
      <c r="A830" s="16" t="str">
        <f aca="false">IF(B830="","",ROW()-4)</f>
        <v/>
      </c>
      <c r="B830" s="12"/>
      <c r="C830" s="16"/>
      <c r="D830" s="16"/>
      <c r="E830" s="16"/>
      <c r="F830" s="16"/>
      <c r="G830" s="16"/>
      <c r="H830" s="16"/>
      <c r="I830" s="16"/>
      <c r="J830" s="16"/>
      <c r="K830" s="16"/>
      <c r="L830" s="13"/>
      <c r="M830" s="13"/>
      <c r="N830" s="13"/>
      <c r="O830" s="13"/>
      <c r="P830" s="13"/>
      <c r="Q830" s="13"/>
      <c r="R830" s="13"/>
      <c r="S830" s="13"/>
      <c r="T830" s="13"/>
      <c r="U830" s="12"/>
      <c r="V830" s="14"/>
      <c r="W830" s="16"/>
      <c r="X830" s="16"/>
      <c r="Y830" s="16"/>
      <c r="Z830" s="16"/>
      <c r="AA830" s="15" t="str">
        <f aca="false">IF(AND(ISNUMBER(L830),ISNUMBER(M830)),M830-L830,"")</f>
        <v/>
      </c>
      <c r="AB830" s="15" t="str">
        <f aca="false">IF(AND(ISNUMBER(M830),ISNUMBER(P830)),P830-M830,"")</f>
        <v/>
      </c>
      <c r="AC830" s="15" t="str">
        <f aca="false">IF(AND(ISNUMBER(L830),ISNUMBER(P830)),P830-L830,"")</f>
        <v/>
      </c>
      <c r="AD830" s="15" t="str">
        <f aca="false">IF(AND(ISNUMBER(P830),ISNUMBER(Q830)),Q830-P830,"")</f>
        <v/>
      </c>
      <c r="AE830" s="15" t="str">
        <f aca="false">IF(AND(ISNUMBER(Q830),ISNUMBER(R830)),R830-Q830,IF(ISNUMBER(Y830),Y830,""))</f>
        <v/>
      </c>
      <c r="AF830" s="15" t="str">
        <f aca="false">IF(AND(ISNUMBER(R830),ISNUMBER(S830)),S830-R830,"")</f>
        <v/>
      </c>
      <c r="AG830" s="15" t="str">
        <f aca="false">IF(AND(ISNUMBER(S830),ISNUMBER(T830)),T830-S830,"")</f>
        <v/>
      </c>
      <c r="AH830" s="15" t="str">
        <f aca="false">IF(AND(ISNUMBER(L830),ISNUMBER(T830)),T830-L830,"")</f>
        <v/>
      </c>
      <c r="AI830" s="15" t="str">
        <f aca="false">IF(AND(ISNUMBER(O830),ISNUMBER(Q830)),Q830-O830,"")</f>
        <v/>
      </c>
      <c r="AJ830" s="15" t="str">
        <f aca="false">IF(B830="","",COUNT(L830:M830,P830:T830)&amp;"/7")</f>
        <v/>
      </c>
      <c r="AK830" s="15" t="str">
        <f aca="false">IF(B830="","",IF(OR(AND(ISNUMBER(L830),ISNUMBER(M830),M830&lt;L830),AND(ISNUMBER(M830),ISNUMBER(P830),P830&lt;M830),AND(ISNUMBER(P830),ISNUMBER(Q830),Q830&lt;P830),AND(ISNUMBER(Q830),ISNUMBER(R830),R830&lt;Q830),AND(ISNUMBER(R830),ISNUMBER(S830),S830&lt;R830),AND(ISNUMBER(S830),ISNUMBER(T830),T830&lt;S830),AND(ISNUMBER(N830),ISNUMBER(O830),O830&lt;N830)),"Urutan tanggal salah",IF(AND(ISNUMBER(Q830),ISNUMBER(R830),ISNUMBER(Y830),ABS(R830-Q830-Y830)&gt;2),"S tanggal ≠ Sailing tercatat",IF(AND(ISNUMBER(Q830),ISNUMBER(O830),ABS(Q830-O830)&gt;60),"Cek tahun laycan",IF(AND(ISNUMBER(Q830),ISNUMBER(N830),Q830&lt;N830),"Berangkat sebelum laycan",IF(NOT(ISNUMBER(AE830)),"S belum ada","OK"))))))</f>
        <v/>
      </c>
    </row>
    <row r="831" customFormat="false" ht="15" hidden="false" customHeight="false" outlineLevel="0" collapsed="false">
      <c r="A831" s="16" t="str">
        <f aca="false">IF(B831="","",ROW()-4)</f>
        <v/>
      </c>
      <c r="B831" s="12"/>
      <c r="C831" s="16"/>
      <c r="D831" s="16"/>
      <c r="E831" s="16"/>
      <c r="F831" s="16"/>
      <c r="G831" s="16"/>
      <c r="H831" s="16"/>
      <c r="I831" s="16"/>
      <c r="J831" s="16"/>
      <c r="K831" s="16"/>
      <c r="L831" s="13"/>
      <c r="M831" s="13"/>
      <c r="N831" s="13"/>
      <c r="O831" s="13"/>
      <c r="P831" s="13"/>
      <c r="Q831" s="13"/>
      <c r="R831" s="13"/>
      <c r="S831" s="13"/>
      <c r="T831" s="13"/>
      <c r="U831" s="12"/>
      <c r="V831" s="14"/>
      <c r="W831" s="16"/>
      <c r="X831" s="16"/>
      <c r="Y831" s="16"/>
      <c r="Z831" s="16"/>
      <c r="AA831" s="15" t="str">
        <f aca="false">IF(AND(ISNUMBER(L831),ISNUMBER(M831)),M831-L831,"")</f>
        <v/>
      </c>
      <c r="AB831" s="15" t="str">
        <f aca="false">IF(AND(ISNUMBER(M831),ISNUMBER(P831)),P831-M831,"")</f>
        <v/>
      </c>
      <c r="AC831" s="15" t="str">
        <f aca="false">IF(AND(ISNUMBER(L831),ISNUMBER(P831)),P831-L831,"")</f>
        <v/>
      </c>
      <c r="AD831" s="15" t="str">
        <f aca="false">IF(AND(ISNUMBER(P831),ISNUMBER(Q831)),Q831-P831,"")</f>
        <v/>
      </c>
      <c r="AE831" s="15" t="str">
        <f aca="false">IF(AND(ISNUMBER(Q831),ISNUMBER(R831)),R831-Q831,IF(ISNUMBER(Y831),Y831,""))</f>
        <v/>
      </c>
      <c r="AF831" s="15" t="str">
        <f aca="false">IF(AND(ISNUMBER(R831),ISNUMBER(S831)),S831-R831,"")</f>
        <v/>
      </c>
      <c r="AG831" s="15" t="str">
        <f aca="false">IF(AND(ISNUMBER(S831),ISNUMBER(T831)),T831-S831,"")</f>
        <v/>
      </c>
      <c r="AH831" s="15" t="str">
        <f aca="false">IF(AND(ISNUMBER(L831),ISNUMBER(T831)),T831-L831,"")</f>
        <v/>
      </c>
      <c r="AI831" s="15" t="str">
        <f aca="false">IF(AND(ISNUMBER(O831),ISNUMBER(Q831)),Q831-O831,"")</f>
        <v/>
      </c>
      <c r="AJ831" s="15" t="str">
        <f aca="false">IF(B831="","",COUNT(L831:M831,P831:T831)&amp;"/7")</f>
        <v/>
      </c>
      <c r="AK831" s="15" t="str">
        <f aca="false">IF(B831="","",IF(OR(AND(ISNUMBER(L831),ISNUMBER(M831),M831&lt;L831),AND(ISNUMBER(M831),ISNUMBER(P831),P831&lt;M831),AND(ISNUMBER(P831),ISNUMBER(Q831),Q831&lt;P831),AND(ISNUMBER(Q831),ISNUMBER(R831),R831&lt;Q831),AND(ISNUMBER(R831),ISNUMBER(S831),S831&lt;R831),AND(ISNUMBER(S831),ISNUMBER(T831),T831&lt;S831),AND(ISNUMBER(N831),ISNUMBER(O831),O831&lt;N831)),"Urutan tanggal salah",IF(AND(ISNUMBER(Q831),ISNUMBER(R831),ISNUMBER(Y831),ABS(R831-Q831-Y831)&gt;2),"S tanggal ≠ Sailing tercatat",IF(AND(ISNUMBER(Q831),ISNUMBER(O831),ABS(Q831-O831)&gt;60),"Cek tahun laycan",IF(AND(ISNUMBER(Q831),ISNUMBER(N831),Q831&lt;N831),"Berangkat sebelum laycan",IF(NOT(ISNUMBER(AE831)),"S belum ada","OK"))))))</f>
        <v/>
      </c>
    </row>
    <row r="832" customFormat="false" ht="15" hidden="false" customHeight="false" outlineLevel="0" collapsed="false">
      <c r="A832" s="16" t="str">
        <f aca="false">IF(B832="","",ROW()-4)</f>
        <v/>
      </c>
      <c r="B832" s="12"/>
      <c r="C832" s="16"/>
      <c r="D832" s="16"/>
      <c r="E832" s="16"/>
      <c r="F832" s="16"/>
      <c r="G832" s="16"/>
      <c r="H832" s="16"/>
      <c r="I832" s="16"/>
      <c r="J832" s="16"/>
      <c r="K832" s="16"/>
      <c r="L832" s="13"/>
      <c r="M832" s="13"/>
      <c r="N832" s="13"/>
      <c r="O832" s="13"/>
      <c r="P832" s="13"/>
      <c r="Q832" s="13"/>
      <c r="R832" s="13"/>
      <c r="S832" s="13"/>
      <c r="T832" s="13"/>
      <c r="U832" s="12"/>
      <c r="V832" s="14"/>
      <c r="W832" s="16"/>
      <c r="X832" s="16"/>
      <c r="Y832" s="16"/>
      <c r="Z832" s="16"/>
      <c r="AA832" s="15" t="str">
        <f aca="false">IF(AND(ISNUMBER(L832),ISNUMBER(M832)),M832-L832,"")</f>
        <v/>
      </c>
      <c r="AB832" s="15" t="str">
        <f aca="false">IF(AND(ISNUMBER(M832),ISNUMBER(P832)),P832-M832,"")</f>
        <v/>
      </c>
      <c r="AC832" s="15" t="str">
        <f aca="false">IF(AND(ISNUMBER(L832),ISNUMBER(P832)),P832-L832,"")</f>
        <v/>
      </c>
      <c r="AD832" s="15" t="str">
        <f aca="false">IF(AND(ISNUMBER(P832),ISNUMBER(Q832)),Q832-P832,"")</f>
        <v/>
      </c>
      <c r="AE832" s="15" t="str">
        <f aca="false">IF(AND(ISNUMBER(Q832),ISNUMBER(R832)),R832-Q832,IF(ISNUMBER(Y832),Y832,""))</f>
        <v/>
      </c>
      <c r="AF832" s="15" t="str">
        <f aca="false">IF(AND(ISNUMBER(R832),ISNUMBER(S832)),S832-R832,"")</f>
        <v/>
      </c>
      <c r="AG832" s="15" t="str">
        <f aca="false">IF(AND(ISNUMBER(S832),ISNUMBER(T832)),T832-S832,"")</f>
        <v/>
      </c>
      <c r="AH832" s="15" t="str">
        <f aca="false">IF(AND(ISNUMBER(L832),ISNUMBER(T832)),T832-L832,"")</f>
        <v/>
      </c>
      <c r="AI832" s="15" t="str">
        <f aca="false">IF(AND(ISNUMBER(O832),ISNUMBER(Q832)),Q832-O832,"")</f>
        <v/>
      </c>
      <c r="AJ832" s="15" t="str">
        <f aca="false">IF(B832="","",COUNT(L832:M832,P832:T832)&amp;"/7")</f>
        <v/>
      </c>
      <c r="AK832" s="15" t="str">
        <f aca="false">IF(B832="","",IF(OR(AND(ISNUMBER(L832),ISNUMBER(M832),M832&lt;L832),AND(ISNUMBER(M832),ISNUMBER(P832),P832&lt;M832),AND(ISNUMBER(P832),ISNUMBER(Q832),Q832&lt;P832),AND(ISNUMBER(Q832),ISNUMBER(R832),R832&lt;Q832),AND(ISNUMBER(R832),ISNUMBER(S832),S832&lt;R832),AND(ISNUMBER(S832),ISNUMBER(T832),T832&lt;S832),AND(ISNUMBER(N832),ISNUMBER(O832),O832&lt;N832)),"Urutan tanggal salah",IF(AND(ISNUMBER(Q832),ISNUMBER(R832),ISNUMBER(Y832),ABS(R832-Q832-Y832)&gt;2),"S tanggal ≠ Sailing tercatat",IF(AND(ISNUMBER(Q832),ISNUMBER(O832),ABS(Q832-O832)&gt;60),"Cek tahun laycan",IF(AND(ISNUMBER(Q832),ISNUMBER(N832),Q832&lt;N832),"Berangkat sebelum laycan",IF(NOT(ISNUMBER(AE832)),"S belum ada","OK"))))))</f>
        <v/>
      </c>
    </row>
    <row r="833" customFormat="false" ht="15" hidden="false" customHeight="false" outlineLevel="0" collapsed="false">
      <c r="A833" s="16" t="str">
        <f aca="false">IF(B833="","",ROW()-4)</f>
        <v/>
      </c>
      <c r="B833" s="12"/>
      <c r="C833" s="16"/>
      <c r="D833" s="16"/>
      <c r="E833" s="16"/>
      <c r="F833" s="16"/>
      <c r="G833" s="16"/>
      <c r="H833" s="16"/>
      <c r="I833" s="16"/>
      <c r="J833" s="16"/>
      <c r="K833" s="16"/>
      <c r="L833" s="13"/>
      <c r="M833" s="13"/>
      <c r="N833" s="13"/>
      <c r="O833" s="13"/>
      <c r="P833" s="13"/>
      <c r="Q833" s="13"/>
      <c r="R833" s="13"/>
      <c r="S833" s="13"/>
      <c r="T833" s="13"/>
      <c r="U833" s="12"/>
      <c r="V833" s="14"/>
      <c r="W833" s="16"/>
      <c r="X833" s="16"/>
      <c r="Y833" s="16"/>
      <c r="Z833" s="16"/>
      <c r="AA833" s="15" t="str">
        <f aca="false">IF(AND(ISNUMBER(L833),ISNUMBER(M833)),M833-L833,"")</f>
        <v/>
      </c>
      <c r="AB833" s="15" t="str">
        <f aca="false">IF(AND(ISNUMBER(M833),ISNUMBER(P833)),P833-M833,"")</f>
        <v/>
      </c>
      <c r="AC833" s="15" t="str">
        <f aca="false">IF(AND(ISNUMBER(L833),ISNUMBER(P833)),P833-L833,"")</f>
        <v/>
      </c>
      <c r="AD833" s="15" t="str">
        <f aca="false">IF(AND(ISNUMBER(P833),ISNUMBER(Q833)),Q833-P833,"")</f>
        <v/>
      </c>
      <c r="AE833" s="15" t="str">
        <f aca="false">IF(AND(ISNUMBER(Q833),ISNUMBER(R833)),R833-Q833,IF(ISNUMBER(Y833),Y833,""))</f>
        <v/>
      </c>
      <c r="AF833" s="15" t="str">
        <f aca="false">IF(AND(ISNUMBER(R833),ISNUMBER(S833)),S833-R833,"")</f>
        <v/>
      </c>
      <c r="AG833" s="15" t="str">
        <f aca="false">IF(AND(ISNUMBER(S833),ISNUMBER(T833)),T833-S833,"")</f>
        <v/>
      </c>
      <c r="AH833" s="15" t="str">
        <f aca="false">IF(AND(ISNUMBER(L833),ISNUMBER(T833)),T833-L833,"")</f>
        <v/>
      </c>
      <c r="AI833" s="15" t="str">
        <f aca="false">IF(AND(ISNUMBER(O833),ISNUMBER(Q833)),Q833-O833,"")</f>
        <v/>
      </c>
      <c r="AJ833" s="15" t="str">
        <f aca="false">IF(B833="","",COUNT(L833:M833,P833:T833)&amp;"/7")</f>
        <v/>
      </c>
      <c r="AK833" s="15" t="str">
        <f aca="false">IF(B833="","",IF(OR(AND(ISNUMBER(L833),ISNUMBER(M833),M833&lt;L833),AND(ISNUMBER(M833),ISNUMBER(P833),P833&lt;M833),AND(ISNUMBER(P833),ISNUMBER(Q833),Q833&lt;P833),AND(ISNUMBER(Q833),ISNUMBER(R833),R833&lt;Q833),AND(ISNUMBER(R833),ISNUMBER(S833),S833&lt;R833),AND(ISNUMBER(S833),ISNUMBER(T833),T833&lt;S833),AND(ISNUMBER(N833),ISNUMBER(O833),O833&lt;N833)),"Urutan tanggal salah",IF(AND(ISNUMBER(Q833),ISNUMBER(R833),ISNUMBER(Y833),ABS(R833-Q833-Y833)&gt;2),"S tanggal ≠ Sailing tercatat",IF(AND(ISNUMBER(Q833),ISNUMBER(O833),ABS(Q833-O833)&gt;60),"Cek tahun laycan",IF(AND(ISNUMBER(Q833),ISNUMBER(N833),Q833&lt;N833),"Berangkat sebelum laycan",IF(NOT(ISNUMBER(AE833)),"S belum ada","OK"))))))</f>
        <v/>
      </c>
    </row>
    <row r="834" customFormat="false" ht="15" hidden="false" customHeight="false" outlineLevel="0" collapsed="false">
      <c r="A834" s="16" t="str">
        <f aca="false">IF(B834="","",ROW()-4)</f>
        <v/>
      </c>
      <c r="B834" s="12"/>
      <c r="C834" s="16"/>
      <c r="D834" s="16"/>
      <c r="E834" s="16"/>
      <c r="F834" s="16"/>
      <c r="G834" s="16"/>
      <c r="H834" s="16"/>
      <c r="I834" s="16"/>
      <c r="J834" s="16"/>
      <c r="K834" s="16"/>
      <c r="L834" s="13"/>
      <c r="M834" s="13"/>
      <c r="N834" s="13"/>
      <c r="O834" s="13"/>
      <c r="P834" s="13"/>
      <c r="Q834" s="13"/>
      <c r="R834" s="13"/>
      <c r="S834" s="13"/>
      <c r="T834" s="13"/>
      <c r="U834" s="12"/>
      <c r="V834" s="14"/>
      <c r="W834" s="16"/>
      <c r="X834" s="16"/>
      <c r="Y834" s="16"/>
      <c r="Z834" s="16"/>
      <c r="AA834" s="15" t="str">
        <f aca="false">IF(AND(ISNUMBER(L834),ISNUMBER(M834)),M834-L834,"")</f>
        <v/>
      </c>
      <c r="AB834" s="15" t="str">
        <f aca="false">IF(AND(ISNUMBER(M834),ISNUMBER(P834)),P834-M834,"")</f>
        <v/>
      </c>
      <c r="AC834" s="15" t="str">
        <f aca="false">IF(AND(ISNUMBER(L834),ISNUMBER(P834)),P834-L834,"")</f>
        <v/>
      </c>
      <c r="AD834" s="15" t="str">
        <f aca="false">IF(AND(ISNUMBER(P834),ISNUMBER(Q834)),Q834-P834,"")</f>
        <v/>
      </c>
      <c r="AE834" s="15" t="str">
        <f aca="false">IF(AND(ISNUMBER(Q834),ISNUMBER(R834)),R834-Q834,IF(ISNUMBER(Y834),Y834,""))</f>
        <v/>
      </c>
      <c r="AF834" s="15" t="str">
        <f aca="false">IF(AND(ISNUMBER(R834),ISNUMBER(S834)),S834-R834,"")</f>
        <v/>
      </c>
      <c r="AG834" s="15" t="str">
        <f aca="false">IF(AND(ISNUMBER(S834),ISNUMBER(T834)),T834-S834,"")</f>
        <v/>
      </c>
      <c r="AH834" s="15" t="str">
        <f aca="false">IF(AND(ISNUMBER(L834),ISNUMBER(T834)),T834-L834,"")</f>
        <v/>
      </c>
      <c r="AI834" s="15" t="str">
        <f aca="false">IF(AND(ISNUMBER(O834),ISNUMBER(Q834)),Q834-O834,"")</f>
        <v/>
      </c>
      <c r="AJ834" s="15" t="str">
        <f aca="false">IF(B834="","",COUNT(L834:M834,P834:T834)&amp;"/7")</f>
        <v/>
      </c>
      <c r="AK834" s="15" t="str">
        <f aca="false">IF(B834="","",IF(OR(AND(ISNUMBER(L834),ISNUMBER(M834),M834&lt;L834),AND(ISNUMBER(M834),ISNUMBER(P834),P834&lt;M834),AND(ISNUMBER(P834),ISNUMBER(Q834),Q834&lt;P834),AND(ISNUMBER(Q834),ISNUMBER(R834),R834&lt;Q834),AND(ISNUMBER(R834),ISNUMBER(S834),S834&lt;R834),AND(ISNUMBER(S834),ISNUMBER(T834),T834&lt;S834),AND(ISNUMBER(N834),ISNUMBER(O834),O834&lt;N834)),"Urutan tanggal salah",IF(AND(ISNUMBER(Q834),ISNUMBER(R834),ISNUMBER(Y834),ABS(R834-Q834-Y834)&gt;2),"S tanggal ≠ Sailing tercatat",IF(AND(ISNUMBER(Q834),ISNUMBER(O834),ABS(Q834-O834)&gt;60),"Cek tahun laycan",IF(AND(ISNUMBER(Q834),ISNUMBER(N834),Q834&lt;N834),"Berangkat sebelum laycan",IF(NOT(ISNUMBER(AE834)),"S belum ada","OK"))))))</f>
        <v/>
      </c>
    </row>
    <row r="835" customFormat="false" ht="15" hidden="false" customHeight="false" outlineLevel="0" collapsed="false">
      <c r="A835" s="16" t="str">
        <f aca="false">IF(B835="","",ROW()-4)</f>
        <v/>
      </c>
      <c r="B835" s="12"/>
      <c r="C835" s="16"/>
      <c r="D835" s="16"/>
      <c r="E835" s="16"/>
      <c r="F835" s="16"/>
      <c r="G835" s="16"/>
      <c r="H835" s="16"/>
      <c r="I835" s="16"/>
      <c r="J835" s="16"/>
      <c r="K835" s="16"/>
      <c r="L835" s="13"/>
      <c r="M835" s="13"/>
      <c r="N835" s="13"/>
      <c r="O835" s="13"/>
      <c r="P835" s="13"/>
      <c r="Q835" s="13"/>
      <c r="R835" s="13"/>
      <c r="S835" s="13"/>
      <c r="T835" s="13"/>
      <c r="U835" s="12"/>
      <c r="V835" s="14"/>
      <c r="W835" s="16"/>
      <c r="X835" s="16"/>
      <c r="Y835" s="16"/>
      <c r="Z835" s="16"/>
      <c r="AA835" s="15" t="str">
        <f aca="false">IF(AND(ISNUMBER(L835),ISNUMBER(M835)),M835-L835,"")</f>
        <v/>
      </c>
      <c r="AB835" s="15" t="str">
        <f aca="false">IF(AND(ISNUMBER(M835),ISNUMBER(P835)),P835-M835,"")</f>
        <v/>
      </c>
      <c r="AC835" s="15" t="str">
        <f aca="false">IF(AND(ISNUMBER(L835),ISNUMBER(P835)),P835-L835,"")</f>
        <v/>
      </c>
      <c r="AD835" s="15" t="str">
        <f aca="false">IF(AND(ISNUMBER(P835),ISNUMBER(Q835)),Q835-P835,"")</f>
        <v/>
      </c>
      <c r="AE835" s="15" t="str">
        <f aca="false">IF(AND(ISNUMBER(Q835),ISNUMBER(R835)),R835-Q835,IF(ISNUMBER(Y835),Y835,""))</f>
        <v/>
      </c>
      <c r="AF835" s="15" t="str">
        <f aca="false">IF(AND(ISNUMBER(R835),ISNUMBER(S835)),S835-R835,"")</f>
        <v/>
      </c>
      <c r="AG835" s="15" t="str">
        <f aca="false">IF(AND(ISNUMBER(S835),ISNUMBER(T835)),T835-S835,"")</f>
        <v/>
      </c>
      <c r="AH835" s="15" t="str">
        <f aca="false">IF(AND(ISNUMBER(L835),ISNUMBER(T835)),T835-L835,"")</f>
        <v/>
      </c>
      <c r="AI835" s="15" t="str">
        <f aca="false">IF(AND(ISNUMBER(O835),ISNUMBER(Q835)),Q835-O835,"")</f>
        <v/>
      </c>
      <c r="AJ835" s="15" t="str">
        <f aca="false">IF(B835="","",COUNT(L835:M835,P835:T835)&amp;"/7")</f>
        <v/>
      </c>
      <c r="AK835" s="15" t="str">
        <f aca="false">IF(B835="","",IF(OR(AND(ISNUMBER(L835),ISNUMBER(M835),M835&lt;L835),AND(ISNUMBER(M835),ISNUMBER(P835),P835&lt;M835),AND(ISNUMBER(P835),ISNUMBER(Q835),Q835&lt;P835),AND(ISNUMBER(Q835),ISNUMBER(R835),R835&lt;Q835),AND(ISNUMBER(R835),ISNUMBER(S835),S835&lt;R835),AND(ISNUMBER(S835),ISNUMBER(T835),T835&lt;S835),AND(ISNUMBER(N835),ISNUMBER(O835),O835&lt;N835)),"Urutan tanggal salah",IF(AND(ISNUMBER(Q835),ISNUMBER(R835),ISNUMBER(Y835),ABS(R835-Q835-Y835)&gt;2),"S tanggal ≠ Sailing tercatat",IF(AND(ISNUMBER(Q835),ISNUMBER(O835),ABS(Q835-O835)&gt;60),"Cek tahun laycan",IF(AND(ISNUMBER(Q835),ISNUMBER(N835),Q835&lt;N835),"Berangkat sebelum laycan",IF(NOT(ISNUMBER(AE835)),"S belum ada","OK"))))))</f>
        <v/>
      </c>
    </row>
    <row r="836" customFormat="false" ht="15" hidden="false" customHeight="false" outlineLevel="0" collapsed="false">
      <c r="A836" s="16" t="str">
        <f aca="false">IF(B836="","",ROW()-4)</f>
        <v/>
      </c>
      <c r="B836" s="12"/>
      <c r="C836" s="16"/>
      <c r="D836" s="16"/>
      <c r="E836" s="16"/>
      <c r="F836" s="16"/>
      <c r="G836" s="16"/>
      <c r="H836" s="16"/>
      <c r="I836" s="16"/>
      <c r="J836" s="16"/>
      <c r="K836" s="16"/>
      <c r="L836" s="13"/>
      <c r="M836" s="13"/>
      <c r="N836" s="13"/>
      <c r="O836" s="13"/>
      <c r="P836" s="13"/>
      <c r="Q836" s="13"/>
      <c r="R836" s="13"/>
      <c r="S836" s="13"/>
      <c r="T836" s="13"/>
      <c r="U836" s="12"/>
      <c r="V836" s="14"/>
      <c r="W836" s="16"/>
      <c r="X836" s="16"/>
      <c r="Y836" s="16"/>
      <c r="Z836" s="16"/>
      <c r="AA836" s="15" t="str">
        <f aca="false">IF(AND(ISNUMBER(L836),ISNUMBER(M836)),M836-L836,"")</f>
        <v/>
      </c>
      <c r="AB836" s="15" t="str">
        <f aca="false">IF(AND(ISNUMBER(M836),ISNUMBER(P836)),P836-M836,"")</f>
        <v/>
      </c>
      <c r="AC836" s="15" t="str">
        <f aca="false">IF(AND(ISNUMBER(L836),ISNUMBER(P836)),P836-L836,"")</f>
        <v/>
      </c>
      <c r="AD836" s="15" t="str">
        <f aca="false">IF(AND(ISNUMBER(P836),ISNUMBER(Q836)),Q836-P836,"")</f>
        <v/>
      </c>
      <c r="AE836" s="15" t="str">
        <f aca="false">IF(AND(ISNUMBER(Q836),ISNUMBER(R836)),R836-Q836,IF(ISNUMBER(Y836),Y836,""))</f>
        <v/>
      </c>
      <c r="AF836" s="15" t="str">
        <f aca="false">IF(AND(ISNUMBER(R836),ISNUMBER(S836)),S836-R836,"")</f>
        <v/>
      </c>
      <c r="AG836" s="15" t="str">
        <f aca="false">IF(AND(ISNUMBER(S836),ISNUMBER(T836)),T836-S836,"")</f>
        <v/>
      </c>
      <c r="AH836" s="15" t="str">
        <f aca="false">IF(AND(ISNUMBER(L836),ISNUMBER(T836)),T836-L836,"")</f>
        <v/>
      </c>
      <c r="AI836" s="15" t="str">
        <f aca="false">IF(AND(ISNUMBER(O836),ISNUMBER(Q836)),Q836-O836,"")</f>
        <v/>
      </c>
      <c r="AJ836" s="15" t="str">
        <f aca="false">IF(B836="","",COUNT(L836:M836,P836:T836)&amp;"/7")</f>
        <v/>
      </c>
      <c r="AK836" s="15" t="str">
        <f aca="false">IF(B836="","",IF(OR(AND(ISNUMBER(L836),ISNUMBER(M836),M836&lt;L836),AND(ISNUMBER(M836),ISNUMBER(P836),P836&lt;M836),AND(ISNUMBER(P836),ISNUMBER(Q836),Q836&lt;P836),AND(ISNUMBER(Q836),ISNUMBER(R836),R836&lt;Q836),AND(ISNUMBER(R836),ISNUMBER(S836),S836&lt;R836),AND(ISNUMBER(S836),ISNUMBER(T836),T836&lt;S836),AND(ISNUMBER(N836),ISNUMBER(O836),O836&lt;N836)),"Urutan tanggal salah",IF(AND(ISNUMBER(Q836),ISNUMBER(R836),ISNUMBER(Y836),ABS(R836-Q836-Y836)&gt;2),"S tanggal ≠ Sailing tercatat",IF(AND(ISNUMBER(Q836),ISNUMBER(O836),ABS(Q836-O836)&gt;60),"Cek tahun laycan",IF(AND(ISNUMBER(Q836),ISNUMBER(N836),Q836&lt;N836),"Berangkat sebelum laycan",IF(NOT(ISNUMBER(AE836)),"S belum ada","OK"))))))</f>
        <v/>
      </c>
    </row>
    <row r="837" customFormat="false" ht="15" hidden="false" customHeight="false" outlineLevel="0" collapsed="false">
      <c r="A837" s="16" t="str">
        <f aca="false">IF(B837="","",ROW()-4)</f>
        <v/>
      </c>
      <c r="B837" s="12"/>
      <c r="C837" s="16"/>
      <c r="D837" s="16"/>
      <c r="E837" s="16"/>
      <c r="F837" s="16"/>
      <c r="G837" s="16"/>
      <c r="H837" s="16"/>
      <c r="I837" s="16"/>
      <c r="J837" s="16"/>
      <c r="K837" s="16"/>
      <c r="L837" s="13"/>
      <c r="M837" s="13"/>
      <c r="N837" s="13"/>
      <c r="O837" s="13"/>
      <c r="P837" s="13"/>
      <c r="Q837" s="13"/>
      <c r="R837" s="13"/>
      <c r="S837" s="13"/>
      <c r="T837" s="13"/>
      <c r="U837" s="12"/>
      <c r="V837" s="14"/>
      <c r="W837" s="16"/>
      <c r="X837" s="16"/>
      <c r="Y837" s="16"/>
      <c r="Z837" s="16"/>
      <c r="AA837" s="15" t="str">
        <f aca="false">IF(AND(ISNUMBER(L837),ISNUMBER(M837)),M837-L837,"")</f>
        <v/>
      </c>
      <c r="AB837" s="15" t="str">
        <f aca="false">IF(AND(ISNUMBER(M837),ISNUMBER(P837)),P837-M837,"")</f>
        <v/>
      </c>
      <c r="AC837" s="15" t="str">
        <f aca="false">IF(AND(ISNUMBER(L837),ISNUMBER(P837)),P837-L837,"")</f>
        <v/>
      </c>
      <c r="AD837" s="15" t="str">
        <f aca="false">IF(AND(ISNUMBER(P837),ISNUMBER(Q837)),Q837-P837,"")</f>
        <v/>
      </c>
      <c r="AE837" s="15" t="str">
        <f aca="false">IF(AND(ISNUMBER(Q837),ISNUMBER(R837)),R837-Q837,IF(ISNUMBER(Y837),Y837,""))</f>
        <v/>
      </c>
      <c r="AF837" s="15" t="str">
        <f aca="false">IF(AND(ISNUMBER(R837),ISNUMBER(S837)),S837-R837,"")</f>
        <v/>
      </c>
      <c r="AG837" s="15" t="str">
        <f aca="false">IF(AND(ISNUMBER(S837),ISNUMBER(T837)),T837-S837,"")</f>
        <v/>
      </c>
      <c r="AH837" s="15" t="str">
        <f aca="false">IF(AND(ISNUMBER(L837),ISNUMBER(T837)),T837-L837,"")</f>
        <v/>
      </c>
      <c r="AI837" s="15" t="str">
        <f aca="false">IF(AND(ISNUMBER(O837),ISNUMBER(Q837)),Q837-O837,"")</f>
        <v/>
      </c>
      <c r="AJ837" s="15" t="str">
        <f aca="false">IF(B837="","",COUNT(L837:M837,P837:T837)&amp;"/7")</f>
        <v/>
      </c>
      <c r="AK837" s="15" t="str">
        <f aca="false">IF(B837="","",IF(OR(AND(ISNUMBER(L837),ISNUMBER(M837),M837&lt;L837),AND(ISNUMBER(M837),ISNUMBER(P837),P837&lt;M837),AND(ISNUMBER(P837),ISNUMBER(Q837),Q837&lt;P837),AND(ISNUMBER(Q837),ISNUMBER(R837),R837&lt;Q837),AND(ISNUMBER(R837),ISNUMBER(S837),S837&lt;R837),AND(ISNUMBER(S837),ISNUMBER(T837),T837&lt;S837),AND(ISNUMBER(N837),ISNUMBER(O837),O837&lt;N837)),"Urutan tanggal salah",IF(AND(ISNUMBER(Q837),ISNUMBER(R837),ISNUMBER(Y837),ABS(R837-Q837-Y837)&gt;2),"S tanggal ≠ Sailing tercatat",IF(AND(ISNUMBER(Q837),ISNUMBER(O837),ABS(Q837-O837)&gt;60),"Cek tahun laycan",IF(AND(ISNUMBER(Q837),ISNUMBER(N837),Q837&lt;N837),"Berangkat sebelum laycan",IF(NOT(ISNUMBER(AE837)),"S belum ada","OK"))))))</f>
        <v/>
      </c>
    </row>
    <row r="838" customFormat="false" ht="15" hidden="false" customHeight="false" outlineLevel="0" collapsed="false">
      <c r="A838" s="16" t="str">
        <f aca="false">IF(B838="","",ROW()-4)</f>
        <v/>
      </c>
      <c r="B838" s="12"/>
      <c r="C838" s="16"/>
      <c r="D838" s="16"/>
      <c r="E838" s="16"/>
      <c r="F838" s="16"/>
      <c r="G838" s="16"/>
      <c r="H838" s="16"/>
      <c r="I838" s="16"/>
      <c r="J838" s="16"/>
      <c r="K838" s="16"/>
      <c r="L838" s="13"/>
      <c r="M838" s="13"/>
      <c r="N838" s="13"/>
      <c r="O838" s="13"/>
      <c r="P838" s="13"/>
      <c r="Q838" s="13"/>
      <c r="R838" s="13"/>
      <c r="S838" s="13"/>
      <c r="T838" s="13"/>
      <c r="U838" s="12"/>
      <c r="V838" s="14"/>
      <c r="W838" s="16"/>
      <c r="X838" s="16"/>
      <c r="Y838" s="16"/>
      <c r="Z838" s="16"/>
      <c r="AA838" s="15" t="str">
        <f aca="false">IF(AND(ISNUMBER(L838),ISNUMBER(M838)),M838-L838,"")</f>
        <v/>
      </c>
      <c r="AB838" s="15" t="str">
        <f aca="false">IF(AND(ISNUMBER(M838),ISNUMBER(P838)),P838-M838,"")</f>
        <v/>
      </c>
      <c r="AC838" s="15" t="str">
        <f aca="false">IF(AND(ISNUMBER(L838),ISNUMBER(P838)),P838-L838,"")</f>
        <v/>
      </c>
      <c r="AD838" s="15" t="str">
        <f aca="false">IF(AND(ISNUMBER(P838),ISNUMBER(Q838)),Q838-P838,"")</f>
        <v/>
      </c>
      <c r="AE838" s="15" t="str">
        <f aca="false">IF(AND(ISNUMBER(Q838),ISNUMBER(R838)),R838-Q838,IF(ISNUMBER(Y838),Y838,""))</f>
        <v/>
      </c>
      <c r="AF838" s="15" t="str">
        <f aca="false">IF(AND(ISNUMBER(R838),ISNUMBER(S838)),S838-R838,"")</f>
        <v/>
      </c>
      <c r="AG838" s="15" t="str">
        <f aca="false">IF(AND(ISNUMBER(S838),ISNUMBER(T838)),T838-S838,"")</f>
        <v/>
      </c>
      <c r="AH838" s="15" t="str">
        <f aca="false">IF(AND(ISNUMBER(L838),ISNUMBER(T838)),T838-L838,"")</f>
        <v/>
      </c>
      <c r="AI838" s="15" t="str">
        <f aca="false">IF(AND(ISNUMBER(O838),ISNUMBER(Q838)),Q838-O838,"")</f>
        <v/>
      </c>
      <c r="AJ838" s="15" t="str">
        <f aca="false">IF(B838="","",COUNT(L838:M838,P838:T838)&amp;"/7")</f>
        <v/>
      </c>
      <c r="AK838" s="15" t="str">
        <f aca="false">IF(B838="","",IF(OR(AND(ISNUMBER(L838),ISNUMBER(M838),M838&lt;L838),AND(ISNUMBER(M838),ISNUMBER(P838),P838&lt;M838),AND(ISNUMBER(P838),ISNUMBER(Q838),Q838&lt;P838),AND(ISNUMBER(Q838),ISNUMBER(R838),R838&lt;Q838),AND(ISNUMBER(R838),ISNUMBER(S838),S838&lt;R838),AND(ISNUMBER(S838),ISNUMBER(T838),T838&lt;S838),AND(ISNUMBER(N838),ISNUMBER(O838),O838&lt;N838)),"Urutan tanggal salah",IF(AND(ISNUMBER(Q838),ISNUMBER(R838),ISNUMBER(Y838),ABS(R838-Q838-Y838)&gt;2),"S tanggal ≠ Sailing tercatat",IF(AND(ISNUMBER(Q838),ISNUMBER(O838),ABS(Q838-O838)&gt;60),"Cek tahun laycan",IF(AND(ISNUMBER(Q838),ISNUMBER(N838),Q838&lt;N838),"Berangkat sebelum laycan",IF(NOT(ISNUMBER(AE838)),"S belum ada","OK"))))))</f>
        <v/>
      </c>
    </row>
    <row r="839" customFormat="false" ht="15" hidden="false" customHeight="false" outlineLevel="0" collapsed="false">
      <c r="A839" s="16" t="str">
        <f aca="false">IF(B839="","",ROW()-4)</f>
        <v/>
      </c>
      <c r="B839" s="12"/>
      <c r="C839" s="16"/>
      <c r="D839" s="16"/>
      <c r="E839" s="16"/>
      <c r="F839" s="16"/>
      <c r="G839" s="16"/>
      <c r="H839" s="16"/>
      <c r="I839" s="16"/>
      <c r="J839" s="16"/>
      <c r="K839" s="16"/>
      <c r="L839" s="13"/>
      <c r="M839" s="13"/>
      <c r="N839" s="13"/>
      <c r="O839" s="13"/>
      <c r="P839" s="13"/>
      <c r="Q839" s="13"/>
      <c r="R839" s="13"/>
      <c r="S839" s="13"/>
      <c r="T839" s="13"/>
      <c r="U839" s="12"/>
      <c r="V839" s="14"/>
      <c r="W839" s="16"/>
      <c r="X839" s="16"/>
      <c r="Y839" s="16"/>
      <c r="Z839" s="16"/>
      <c r="AA839" s="15" t="str">
        <f aca="false">IF(AND(ISNUMBER(L839),ISNUMBER(M839)),M839-L839,"")</f>
        <v/>
      </c>
      <c r="AB839" s="15" t="str">
        <f aca="false">IF(AND(ISNUMBER(M839),ISNUMBER(P839)),P839-M839,"")</f>
        <v/>
      </c>
      <c r="AC839" s="15" t="str">
        <f aca="false">IF(AND(ISNUMBER(L839),ISNUMBER(P839)),P839-L839,"")</f>
        <v/>
      </c>
      <c r="AD839" s="15" t="str">
        <f aca="false">IF(AND(ISNUMBER(P839),ISNUMBER(Q839)),Q839-P839,"")</f>
        <v/>
      </c>
      <c r="AE839" s="15" t="str">
        <f aca="false">IF(AND(ISNUMBER(Q839),ISNUMBER(R839)),R839-Q839,IF(ISNUMBER(Y839),Y839,""))</f>
        <v/>
      </c>
      <c r="AF839" s="15" t="str">
        <f aca="false">IF(AND(ISNUMBER(R839),ISNUMBER(S839)),S839-R839,"")</f>
        <v/>
      </c>
      <c r="AG839" s="15" t="str">
        <f aca="false">IF(AND(ISNUMBER(S839),ISNUMBER(T839)),T839-S839,"")</f>
        <v/>
      </c>
      <c r="AH839" s="15" t="str">
        <f aca="false">IF(AND(ISNUMBER(L839),ISNUMBER(T839)),T839-L839,"")</f>
        <v/>
      </c>
      <c r="AI839" s="15" t="str">
        <f aca="false">IF(AND(ISNUMBER(O839),ISNUMBER(Q839)),Q839-O839,"")</f>
        <v/>
      </c>
      <c r="AJ839" s="15" t="str">
        <f aca="false">IF(B839="","",COUNT(L839:M839,P839:T839)&amp;"/7")</f>
        <v/>
      </c>
      <c r="AK839" s="15" t="str">
        <f aca="false">IF(B839="","",IF(OR(AND(ISNUMBER(L839),ISNUMBER(M839),M839&lt;L839),AND(ISNUMBER(M839),ISNUMBER(P839),P839&lt;M839),AND(ISNUMBER(P839),ISNUMBER(Q839),Q839&lt;P839),AND(ISNUMBER(Q839),ISNUMBER(R839),R839&lt;Q839),AND(ISNUMBER(R839),ISNUMBER(S839),S839&lt;R839),AND(ISNUMBER(S839),ISNUMBER(T839),T839&lt;S839),AND(ISNUMBER(N839),ISNUMBER(O839),O839&lt;N839)),"Urutan tanggal salah",IF(AND(ISNUMBER(Q839),ISNUMBER(R839),ISNUMBER(Y839),ABS(R839-Q839-Y839)&gt;2),"S tanggal ≠ Sailing tercatat",IF(AND(ISNUMBER(Q839),ISNUMBER(O839),ABS(Q839-O839)&gt;60),"Cek tahun laycan",IF(AND(ISNUMBER(Q839),ISNUMBER(N839),Q839&lt;N839),"Berangkat sebelum laycan",IF(NOT(ISNUMBER(AE839)),"S belum ada","OK"))))))</f>
        <v/>
      </c>
    </row>
    <row r="840" customFormat="false" ht="15" hidden="false" customHeight="false" outlineLevel="0" collapsed="false">
      <c r="A840" s="16" t="str">
        <f aca="false">IF(B840="","",ROW()-4)</f>
        <v/>
      </c>
      <c r="B840" s="12"/>
      <c r="C840" s="16"/>
      <c r="D840" s="16"/>
      <c r="E840" s="16"/>
      <c r="F840" s="16"/>
      <c r="G840" s="16"/>
      <c r="H840" s="16"/>
      <c r="I840" s="16"/>
      <c r="J840" s="16"/>
      <c r="K840" s="16"/>
      <c r="L840" s="13"/>
      <c r="M840" s="13"/>
      <c r="N840" s="13"/>
      <c r="O840" s="13"/>
      <c r="P840" s="13"/>
      <c r="Q840" s="13"/>
      <c r="R840" s="13"/>
      <c r="S840" s="13"/>
      <c r="T840" s="13"/>
      <c r="U840" s="12"/>
      <c r="V840" s="14"/>
      <c r="W840" s="16"/>
      <c r="X840" s="16"/>
      <c r="Y840" s="16"/>
      <c r="Z840" s="16"/>
      <c r="AA840" s="15" t="str">
        <f aca="false">IF(AND(ISNUMBER(L840),ISNUMBER(M840)),M840-L840,"")</f>
        <v/>
      </c>
      <c r="AB840" s="15" t="str">
        <f aca="false">IF(AND(ISNUMBER(M840),ISNUMBER(P840)),P840-M840,"")</f>
        <v/>
      </c>
      <c r="AC840" s="15" t="str">
        <f aca="false">IF(AND(ISNUMBER(L840),ISNUMBER(P840)),P840-L840,"")</f>
        <v/>
      </c>
      <c r="AD840" s="15" t="str">
        <f aca="false">IF(AND(ISNUMBER(P840),ISNUMBER(Q840)),Q840-P840,"")</f>
        <v/>
      </c>
      <c r="AE840" s="15" t="str">
        <f aca="false">IF(AND(ISNUMBER(Q840),ISNUMBER(R840)),R840-Q840,IF(ISNUMBER(Y840),Y840,""))</f>
        <v/>
      </c>
      <c r="AF840" s="15" t="str">
        <f aca="false">IF(AND(ISNUMBER(R840),ISNUMBER(S840)),S840-R840,"")</f>
        <v/>
      </c>
      <c r="AG840" s="15" t="str">
        <f aca="false">IF(AND(ISNUMBER(S840),ISNUMBER(T840)),T840-S840,"")</f>
        <v/>
      </c>
      <c r="AH840" s="15" t="str">
        <f aca="false">IF(AND(ISNUMBER(L840),ISNUMBER(T840)),T840-L840,"")</f>
        <v/>
      </c>
      <c r="AI840" s="15" t="str">
        <f aca="false">IF(AND(ISNUMBER(O840),ISNUMBER(Q840)),Q840-O840,"")</f>
        <v/>
      </c>
      <c r="AJ840" s="15" t="str">
        <f aca="false">IF(B840="","",COUNT(L840:M840,P840:T840)&amp;"/7")</f>
        <v/>
      </c>
      <c r="AK840" s="15" t="str">
        <f aca="false">IF(B840="","",IF(OR(AND(ISNUMBER(L840),ISNUMBER(M840),M840&lt;L840),AND(ISNUMBER(M840),ISNUMBER(P840),P840&lt;M840),AND(ISNUMBER(P840),ISNUMBER(Q840),Q840&lt;P840),AND(ISNUMBER(Q840),ISNUMBER(R840),R840&lt;Q840),AND(ISNUMBER(R840),ISNUMBER(S840),S840&lt;R840),AND(ISNUMBER(S840),ISNUMBER(T840),T840&lt;S840),AND(ISNUMBER(N840),ISNUMBER(O840),O840&lt;N840)),"Urutan tanggal salah",IF(AND(ISNUMBER(Q840),ISNUMBER(R840),ISNUMBER(Y840),ABS(R840-Q840-Y840)&gt;2),"S tanggal ≠ Sailing tercatat",IF(AND(ISNUMBER(Q840),ISNUMBER(O840),ABS(Q840-O840)&gt;60),"Cek tahun laycan",IF(AND(ISNUMBER(Q840),ISNUMBER(N840),Q840&lt;N840),"Berangkat sebelum laycan",IF(NOT(ISNUMBER(AE840)),"S belum ada","OK"))))))</f>
        <v/>
      </c>
    </row>
    <row r="841" customFormat="false" ht="15" hidden="false" customHeight="false" outlineLevel="0" collapsed="false">
      <c r="A841" s="16" t="str">
        <f aca="false">IF(B841="","",ROW()-4)</f>
        <v/>
      </c>
      <c r="B841" s="12"/>
      <c r="C841" s="16"/>
      <c r="D841" s="16"/>
      <c r="E841" s="16"/>
      <c r="F841" s="16"/>
      <c r="G841" s="16"/>
      <c r="H841" s="16"/>
      <c r="I841" s="16"/>
      <c r="J841" s="16"/>
      <c r="K841" s="16"/>
      <c r="L841" s="13"/>
      <c r="M841" s="13"/>
      <c r="N841" s="13"/>
      <c r="O841" s="13"/>
      <c r="P841" s="13"/>
      <c r="Q841" s="13"/>
      <c r="R841" s="13"/>
      <c r="S841" s="13"/>
      <c r="T841" s="13"/>
      <c r="U841" s="12"/>
      <c r="V841" s="14"/>
      <c r="W841" s="16"/>
      <c r="X841" s="16"/>
      <c r="Y841" s="16"/>
      <c r="Z841" s="16"/>
      <c r="AA841" s="15" t="str">
        <f aca="false">IF(AND(ISNUMBER(L841),ISNUMBER(M841)),M841-L841,"")</f>
        <v/>
      </c>
      <c r="AB841" s="15" t="str">
        <f aca="false">IF(AND(ISNUMBER(M841),ISNUMBER(P841)),P841-M841,"")</f>
        <v/>
      </c>
      <c r="AC841" s="15" t="str">
        <f aca="false">IF(AND(ISNUMBER(L841),ISNUMBER(P841)),P841-L841,"")</f>
        <v/>
      </c>
      <c r="AD841" s="15" t="str">
        <f aca="false">IF(AND(ISNUMBER(P841),ISNUMBER(Q841)),Q841-P841,"")</f>
        <v/>
      </c>
      <c r="AE841" s="15" t="str">
        <f aca="false">IF(AND(ISNUMBER(Q841),ISNUMBER(R841)),R841-Q841,IF(ISNUMBER(Y841),Y841,""))</f>
        <v/>
      </c>
      <c r="AF841" s="15" t="str">
        <f aca="false">IF(AND(ISNUMBER(R841),ISNUMBER(S841)),S841-R841,"")</f>
        <v/>
      </c>
      <c r="AG841" s="15" t="str">
        <f aca="false">IF(AND(ISNUMBER(S841),ISNUMBER(T841)),T841-S841,"")</f>
        <v/>
      </c>
      <c r="AH841" s="15" t="str">
        <f aca="false">IF(AND(ISNUMBER(L841),ISNUMBER(T841)),T841-L841,"")</f>
        <v/>
      </c>
      <c r="AI841" s="15" t="str">
        <f aca="false">IF(AND(ISNUMBER(O841),ISNUMBER(Q841)),Q841-O841,"")</f>
        <v/>
      </c>
      <c r="AJ841" s="15" t="str">
        <f aca="false">IF(B841="","",COUNT(L841:M841,P841:T841)&amp;"/7")</f>
        <v/>
      </c>
      <c r="AK841" s="15" t="str">
        <f aca="false">IF(B841="","",IF(OR(AND(ISNUMBER(L841),ISNUMBER(M841),M841&lt;L841),AND(ISNUMBER(M841),ISNUMBER(P841),P841&lt;M841),AND(ISNUMBER(P841),ISNUMBER(Q841),Q841&lt;P841),AND(ISNUMBER(Q841),ISNUMBER(R841),R841&lt;Q841),AND(ISNUMBER(R841),ISNUMBER(S841),S841&lt;R841),AND(ISNUMBER(S841),ISNUMBER(T841),T841&lt;S841),AND(ISNUMBER(N841),ISNUMBER(O841),O841&lt;N841)),"Urutan tanggal salah",IF(AND(ISNUMBER(Q841),ISNUMBER(R841),ISNUMBER(Y841),ABS(R841-Q841-Y841)&gt;2),"S tanggal ≠ Sailing tercatat",IF(AND(ISNUMBER(Q841),ISNUMBER(O841),ABS(Q841-O841)&gt;60),"Cek tahun laycan",IF(AND(ISNUMBER(Q841),ISNUMBER(N841),Q841&lt;N841),"Berangkat sebelum laycan",IF(NOT(ISNUMBER(AE841)),"S belum ada","OK"))))))</f>
        <v/>
      </c>
    </row>
    <row r="842" customFormat="false" ht="15" hidden="false" customHeight="false" outlineLevel="0" collapsed="false">
      <c r="A842" s="16" t="str">
        <f aca="false">IF(B842="","",ROW()-4)</f>
        <v/>
      </c>
      <c r="B842" s="12"/>
      <c r="C842" s="16"/>
      <c r="D842" s="16"/>
      <c r="E842" s="16"/>
      <c r="F842" s="16"/>
      <c r="G842" s="16"/>
      <c r="H842" s="16"/>
      <c r="I842" s="16"/>
      <c r="J842" s="16"/>
      <c r="K842" s="16"/>
      <c r="L842" s="13"/>
      <c r="M842" s="13"/>
      <c r="N842" s="13"/>
      <c r="O842" s="13"/>
      <c r="P842" s="13"/>
      <c r="Q842" s="13"/>
      <c r="R842" s="13"/>
      <c r="S842" s="13"/>
      <c r="T842" s="13"/>
      <c r="U842" s="12"/>
      <c r="V842" s="14"/>
      <c r="W842" s="16"/>
      <c r="X842" s="16"/>
      <c r="Y842" s="16"/>
      <c r="Z842" s="16"/>
      <c r="AA842" s="15" t="str">
        <f aca="false">IF(AND(ISNUMBER(L842),ISNUMBER(M842)),M842-L842,"")</f>
        <v/>
      </c>
      <c r="AB842" s="15" t="str">
        <f aca="false">IF(AND(ISNUMBER(M842),ISNUMBER(P842)),P842-M842,"")</f>
        <v/>
      </c>
      <c r="AC842" s="15" t="str">
        <f aca="false">IF(AND(ISNUMBER(L842),ISNUMBER(P842)),P842-L842,"")</f>
        <v/>
      </c>
      <c r="AD842" s="15" t="str">
        <f aca="false">IF(AND(ISNUMBER(P842),ISNUMBER(Q842)),Q842-P842,"")</f>
        <v/>
      </c>
      <c r="AE842" s="15" t="str">
        <f aca="false">IF(AND(ISNUMBER(Q842),ISNUMBER(R842)),R842-Q842,IF(ISNUMBER(Y842),Y842,""))</f>
        <v/>
      </c>
      <c r="AF842" s="15" t="str">
        <f aca="false">IF(AND(ISNUMBER(R842),ISNUMBER(S842)),S842-R842,"")</f>
        <v/>
      </c>
      <c r="AG842" s="15" t="str">
        <f aca="false">IF(AND(ISNUMBER(S842),ISNUMBER(T842)),T842-S842,"")</f>
        <v/>
      </c>
      <c r="AH842" s="15" t="str">
        <f aca="false">IF(AND(ISNUMBER(L842),ISNUMBER(T842)),T842-L842,"")</f>
        <v/>
      </c>
      <c r="AI842" s="15" t="str">
        <f aca="false">IF(AND(ISNUMBER(O842),ISNUMBER(Q842)),Q842-O842,"")</f>
        <v/>
      </c>
      <c r="AJ842" s="15" t="str">
        <f aca="false">IF(B842="","",COUNT(L842:M842,P842:T842)&amp;"/7")</f>
        <v/>
      </c>
      <c r="AK842" s="15" t="str">
        <f aca="false">IF(B842="","",IF(OR(AND(ISNUMBER(L842),ISNUMBER(M842),M842&lt;L842),AND(ISNUMBER(M842),ISNUMBER(P842),P842&lt;M842),AND(ISNUMBER(P842),ISNUMBER(Q842),Q842&lt;P842),AND(ISNUMBER(Q842),ISNUMBER(R842),R842&lt;Q842),AND(ISNUMBER(R842),ISNUMBER(S842),S842&lt;R842),AND(ISNUMBER(S842),ISNUMBER(T842),T842&lt;S842),AND(ISNUMBER(N842),ISNUMBER(O842),O842&lt;N842)),"Urutan tanggal salah",IF(AND(ISNUMBER(Q842),ISNUMBER(R842),ISNUMBER(Y842),ABS(R842-Q842-Y842)&gt;2),"S tanggal ≠ Sailing tercatat",IF(AND(ISNUMBER(Q842),ISNUMBER(O842),ABS(Q842-O842)&gt;60),"Cek tahun laycan",IF(AND(ISNUMBER(Q842),ISNUMBER(N842),Q842&lt;N842),"Berangkat sebelum laycan",IF(NOT(ISNUMBER(AE842)),"S belum ada","OK"))))))</f>
        <v/>
      </c>
    </row>
    <row r="843" customFormat="false" ht="15" hidden="false" customHeight="false" outlineLevel="0" collapsed="false">
      <c r="A843" s="16" t="str">
        <f aca="false">IF(B843="","",ROW()-4)</f>
        <v/>
      </c>
      <c r="B843" s="12"/>
      <c r="C843" s="16"/>
      <c r="D843" s="16"/>
      <c r="E843" s="16"/>
      <c r="F843" s="16"/>
      <c r="G843" s="16"/>
      <c r="H843" s="16"/>
      <c r="I843" s="16"/>
      <c r="J843" s="16"/>
      <c r="K843" s="16"/>
      <c r="L843" s="13"/>
      <c r="M843" s="13"/>
      <c r="N843" s="13"/>
      <c r="O843" s="13"/>
      <c r="P843" s="13"/>
      <c r="Q843" s="13"/>
      <c r="R843" s="13"/>
      <c r="S843" s="13"/>
      <c r="T843" s="13"/>
      <c r="U843" s="12"/>
      <c r="V843" s="14"/>
      <c r="W843" s="16"/>
      <c r="X843" s="16"/>
      <c r="Y843" s="16"/>
      <c r="Z843" s="16"/>
      <c r="AA843" s="15" t="str">
        <f aca="false">IF(AND(ISNUMBER(L843),ISNUMBER(M843)),M843-L843,"")</f>
        <v/>
      </c>
      <c r="AB843" s="15" t="str">
        <f aca="false">IF(AND(ISNUMBER(M843),ISNUMBER(P843)),P843-M843,"")</f>
        <v/>
      </c>
      <c r="AC843" s="15" t="str">
        <f aca="false">IF(AND(ISNUMBER(L843),ISNUMBER(P843)),P843-L843,"")</f>
        <v/>
      </c>
      <c r="AD843" s="15" t="str">
        <f aca="false">IF(AND(ISNUMBER(P843),ISNUMBER(Q843)),Q843-P843,"")</f>
        <v/>
      </c>
      <c r="AE843" s="15" t="str">
        <f aca="false">IF(AND(ISNUMBER(Q843),ISNUMBER(R843)),R843-Q843,IF(ISNUMBER(Y843),Y843,""))</f>
        <v/>
      </c>
      <c r="AF843" s="15" t="str">
        <f aca="false">IF(AND(ISNUMBER(R843),ISNUMBER(S843)),S843-R843,"")</f>
        <v/>
      </c>
      <c r="AG843" s="15" t="str">
        <f aca="false">IF(AND(ISNUMBER(S843),ISNUMBER(T843)),T843-S843,"")</f>
        <v/>
      </c>
      <c r="AH843" s="15" t="str">
        <f aca="false">IF(AND(ISNUMBER(L843),ISNUMBER(T843)),T843-L843,"")</f>
        <v/>
      </c>
      <c r="AI843" s="15" t="str">
        <f aca="false">IF(AND(ISNUMBER(O843),ISNUMBER(Q843)),Q843-O843,"")</f>
        <v/>
      </c>
      <c r="AJ843" s="15" t="str">
        <f aca="false">IF(B843="","",COUNT(L843:M843,P843:T843)&amp;"/7")</f>
        <v/>
      </c>
      <c r="AK843" s="15" t="str">
        <f aca="false">IF(B843="","",IF(OR(AND(ISNUMBER(L843),ISNUMBER(M843),M843&lt;L843),AND(ISNUMBER(M843),ISNUMBER(P843),P843&lt;M843),AND(ISNUMBER(P843),ISNUMBER(Q843),Q843&lt;P843),AND(ISNUMBER(Q843),ISNUMBER(R843),R843&lt;Q843),AND(ISNUMBER(R843),ISNUMBER(S843),S843&lt;R843),AND(ISNUMBER(S843),ISNUMBER(T843),T843&lt;S843),AND(ISNUMBER(N843),ISNUMBER(O843),O843&lt;N843)),"Urutan tanggal salah",IF(AND(ISNUMBER(Q843),ISNUMBER(R843),ISNUMBER(Y843),ABS(R843-Q843-Y843)&gt;2),"S tanggal ≠ Sailing tercatat",IF(AND(ISNUMBER(Q843),ISNUMBER(O843),ABS(Q843-O843)&gt;60),"Cek tahun laycan",IF(AND(ISNUMBER(Q843),ISNUMBER(N843),Q843&lt;N843),"Berangkat sebelum laycan",IF(NOT(ISNUMBER(AE843)),"S belum ada","OK"))))))</f>
        <v/>
      </c>
    </row>
    <row r="844" customFormat="false" ht="15" hidden="false" customHeight="false" outlineLevel="0" collapsed="false">
      <c r="A844" s="16" t="str">
        <f aca="false">IF(B844="","",ROW()-4)</f>
        <v/>
      </c>
      <c r="B844" s="12"/>
      <c r="C844" s="16"/>
      <c r="D844" s="16"/>
      <c r="E844" s="16"/>
      <c r="F844" s="16"/>
      <c r="G844" s="16"/>
      <c r="H844" s="16"/>
      <c r="I844" s="16"/>
      <c r="J844" s="16"/>
      <c r="K844" s="16"/>
      <c r="L844" s="13"/>
      <c r="M844" s="13"/>
      <c r="N844" s="13"/>
      <c r="O844" s="13"/>
      <c r="P844" s="13"/>
      <c r="Q844" s="13"/>
      <c r="R844" s="13"/>
      <c r="S844" s="13"/>
      <c r="T844" s="13"/>
      <c r="U844" s="12"/>
      <c r="V844" s="14"/>
      <c r="W844" s="16"/>
      <c r="X844" s="16"/>
      <c r="Y844" s="16"/>
      <c r="Z844" s="16"/>
      <c r="AA844" s="15" t="str">
        <f aca="false">IF(AND(ISNUMBER(L844),ISNUMBER(M844)),M844-L844,"")</f>
        <v/>
      </c>
      <c r="AB844" s="15" t="str">
        <f aca="false">IF(AND(ISNUMBER(M844),ISNUMBER(P844)),P844-M844,"")</f>
        <v/>
      </c>
      <c r="AC844" s="15" t="str">
        <f aca="false">IF(AND(ISNUMBER(L844),ISNUMBER(P844)),P844-L844,"")</f>
        <v/>
      </c>
      <c r="AD844" s="15" t="str">
        <f aca="false">IF(AND(ISNUMBER(P844),ISNUMBER(Q844)),Q844-P844,"")</f>
        <v/>
      </c>
      <c r="AE844" s="15" t="str">
        <f aca="false">IF(AND(ISNUMBER(Q844),ISNUMBER(R844)),R844-Q844,IF(ISNUMBER(Y844),Y844,""))</f>
        <v/>
      </c>
      <c r="AF844" s="15" t="str">
        <f aca="false">IF(AND(ISNUMBER(R844),ISNUMBER(S844)),S844-R844,"")</f>
        <v/>
      </c>
      <c r="AG844" s="15" t="str">
        <f aca="false">IF(AND(ISNUMBER(S844),ISNUMBER(T844)),T844-S844,"")</f>
        <v/>
      </c>
      <c r="AH844" s="15" t="str">
        <f aca="false">IF(AND(ISNUMBER(L844),ISNUMBER(T844)),T844-L844,"")</f>
        <v/>
      </c>
      <c r="AI844" s="15" t="str">
        <f aca="false">IF(AND(ISNUMBER(O844),ISNUMBER(Q844)),Q844-O844,"")</f>
        <v/>
      </c>
      <c r="AJ844" s="15" t="str">
        <f aca="false">IF(B844="","",COUNT(L844:M844,P844:T844)&amp;"/7")</f>
        <v/>
      </c>
      <c r="AK844" s="15" t="str">
        <f aca="false">IF(B844="","",IF(OR(AND(ISNUMBER(L844),ISNUMBER(M844),M844&lt;L844),AND(ISNUMBER(M844),ISNUMBER(P844),P844&lt;M844),AND(ISNUMBER(P844),ISNUMBER(Q844),Q844&lt;P844),AND(ISNUMBER(Q844),ISNUMBER(R844),R844&lt;Q844),AND(ISNUMBER(R844),ISNUMBER(S844),S844&lt;R844),AND(ISNUMBER(S844),ISNUMBER(T844),T844&lt;S844),AND(ISNUMBER(N844),ISNUMBER(O844),O844&lt;N844)),"Urutan tanggal salah",IF(AND(ISNUMBER(Q844),ISNUMBER(R844),ISNUMBER(Y844),ABS(R844-Q844-Y844)&gt;2),"S tanggal ≠ Sailing tercatat",IF(AND(ISNUMBER(Q844),ISNUMBER(O844),ABS(Q844-O844)&gt;60),"Cek tahun laycan",IF(AND(ISNUMBER(Q844),ISNUMBER(N844),Q844&lt;N844),"Berangkat sebelum laycan",IF(NOT(ISNUMBER(AE844)),"S belum ada","OK"))))))</f>
        <v/>
      </c>
    </row>
    <row r="845" customFormat="false" ht="15" hidden="false" customHeight="false" outlineLevel="0" collapsed="false">
      <c r="A845" s="16" t="str">
        <f aca="false">IF(B845="","",ROW()-4)</f>
        <v/>
      </c>
      <c r="B845" s="12"/>
      <c r="C845" s="16"/>
      <c r="D845" s="16"/>
      <c r="E845" s="16"/>
      <c r="F845" s="16"/>
      <c r="G845" s="16"/>
      <c r="H845" s="16"/>
      <c r="I845" s="16"/>
      <c r="J845" s="16"/>
      <c r="K845" s="16"/>
      <c r="L845" s="13"/>
      <c r="M845" s="13"/>
      <c r="N845" s="13"/>
      <c r="O845" s="13"/>
      <c r="P845" s="13"/>
      <c r="Q845" s="13"/>
      <c r="R845" s="13"/>
      <c r="S845" s="13"/>
      <c r="T845" s="13"/>
      <c r="U845" s="12"/>
      <c r="V845" s="14"/>
      <c r="W845" s="16"/>
      <c r="X845" s="16"/>
      <c r="Y845" s="16"/>
      <c r="Z845" s="16"/>
      <c r="AA845" s="15" t="str">
        <f aca="false">IF(AND(ISNUMBER(L845),ISNUMBER(M845)),M845-L845,"")</f>
        <v/>
      </c>
      <c r="AB845" s="15" t="str">
        <f aca="false">IF(AND(ISNUMBER(M845),ISNUMBER(P845)),P845-M845,"")</f>
        <v/>
      </c>
      <c r="AC845" s="15" t="str">
        <f aca="false">IF(AND(ISNUMBER(L845),ISNUMBER(P845)),P845-L845,"")</f>
        <v/>
      </c>
      <c r="AD845" s="15" t="str">
        <f aca="false">IF(AND(ISNUMBER(P845),ISNUMBER(Q845)),Q845-P845,"")</f>
        <v/>
      </c>
      <c r="AE845" s="15" t="str">
        <f aca="false">IF(AND(ISNUMBER(Q845),ISNUMBER(R845)),R845-Q845,IF(ISNUMBER(Y845),Y845,""))</f>
        <v/>
      </c>
      <c r="AF845" s="15" t="str">
        <f aca="false">IF(AND(ISNUMBER(R845),ISNUMBER(S845)),S845-R845,"")</f>
        <v/>
      </c>
      <c r="AG845" s="15" t="str">
        <f aca="false">IF(AND(ISNUMBER(S845),ISNUMBER(T845)),T845-S845,"")</f>
        <v/>
      </c>
      <c r="AH845" s="15" t="str">
        <f aca="false">IF(AND(ISNUMBER(L845),ISNUMBER(T845)),T845-L845,"")</f>
        <v/>
      </c>
      <c r="AI845" s="15" t="str">
        <f aca="false">IF(AND(ISNUMBER(O845),ISNUMBER(Q845)),Q845-O845,"")</f>
        <v/>
      </c>
      <c r="AJ845" s="15" t="str">
        <f aca="false">IF(B845="","",COUNT(L845:M845,P845:T845)&amp;"/7")</f>
        <v/>
      </c>
      <c r="AK845" s="15" t="str">
        <f aca="false">IF(B845="","",IF(OR(AND(ISNUMBER(L845),ISNUMBER(M845),M845&lt;L845),AND(ISNUMBER(M845),ISNUMBER(P845),P845&lt;M845),AND(ISNUMBER(P845),ISNUMBER(Q845),Q845&lt;P845),AND(ISNUMBER(Q845),ISNUMBER(R845),R845&lt;Q845),AND(ISNUMBER(R845),ISNUMBER(S845),S845&lt;R845),AND(ISNUMBER(S845),ISNUMBER(T845),T845&lt;S845),AND(ISNUMBER(N845),ISNUMBER(O845),O845&lt;N845)),"Urutan tanggal salah",IF(AND(ISNUMBER(Q845),ISNUMBER(R845),ISNUMBER(Y845),ABS(R845-Q845-Y845)&gt;2),"S tanggal ≠ Sailing tercatat",IF(AND(ISNUMBER(Q845),ISNUMBER(O845),ABS(Q845-O845)&gt;60),"Cek tahun laycan",IF(AND(ISNUMBER(Q845),ISNUMBER(N845),Q845&lt;N845),"Berangkat sebelum laycan",IF(NOT(ISNUMBER(AE845)),"S belum ada","OK"))))))</f>
        <v/>
      </c>
    </row>
    <row r="846" customFormat="false" ht="15" hidden="false" customHeight="false" outlineLevel="0" collapsed="false">
      <c r="A846" s="16" t="str">
        <f aca="false">IF(B846="","",ROW()-4)</f>
        <v/>
      </c>
      <c r="B846" s="12"/>
      <c r="C846" s="16"/>
      <c r="D846" s="16"/>
      <c r="E846" s="16"/>
      <c r="F846" s="16"/>
      <c r="G846" s="16"/>
      <c r="H846" s="16"/>
      <c r="I846" s="16"/>
      <c r="J846" s="16"/>
      <c r="K846" s="16"/>
      <c r="L846" s="13"/>
      <c r="M846" s="13"/>
      <c r="N846" s="13"/>
      <c r="O846" s="13"/>
      <c r="P846" s="13"/>
      <c r="Q846" s="13"/>
      <c r="R846" s="13"/>
      <c r="S846" s="13"/>
      <c r="T846" s="13"/>
      <c r="U846" s="12"/>
      <c r="V846" s="14"/>
      <c r="W846" s="16"/>
      <c r="X846" s="16"/>
      <c r="Y846" s="16"/>
      <c r="Z846" s="16"/>
      <c r="AA846" s="15" t="str">
        <f aca="false">IF(AND(ISNUMBER(L846),ISNUMBER(M846)),M846-L846,"")</f>
        <v/>
      </c>
      <c r="AB846" s="15" t="str">
        <f aca="false">IF(AND(ISNUMBER(M846),ISNUMBER(P846)),P846-M846,"")</f>
        <v/>
      </c>
      <c r="AC846" s="15" t="str">
        <f aca="false">IF(AND(ISNUMBER(L846),ISNUMBER(P846)),P846-L846,"")</f>
        <v/>
      </c>
      <c r="AD846" s="15" t="str">
        <f aca="false">IF(AND(ISNUMBER(P846),ISNUMBER(Q846)),Q846-P846,"")</f>
        <v/>
      </c>
      <c r="AE846" s="15" t="str">
        <f aca="false">IF(AND(ISNUMBER(Q846),ISNUMBER(R846)),R846-Q846,IF(ISNUMBER(Y846),Y846,""))</f>
        <v/>
      </c>
      <c r="AF846" s="15" t="str">
        <f aca="false">IF(AND(ISNUMBER(R846),ISNUMBER(S846)),S846-R846,"")</f>
        <v/>
      </c>
      <c r="AG846" s="15" t="str">
        <f aca="false">IF(AND(ISNUMBER(S846),ISNUMBER(T846)),T846-S846,"")</f>
        <v/>
      </c>
      <c r="AH846" s="15" t="str">
        <f aca="false">IF(AND(ISNUMBER(L846),ISNUMBER(T846)),T846-L846,"")</f>
        <v/>
      </c>
      <c r="AI846" s="15" t="str">
        <f aca="false">IF(AND(ISNUMBER(O846),ISNUMBER(Q846)),Q846-O846,"")</f>
        <v/>
      </c>
      <c r="AJ846" s="15" t="str">
        <f aca="false">IF(B846="","",COUNT(L846:M846,P846:T846)&amp;"/7")</f>
        <v/>
      </c>
      <c r="AK846" s="15" t="str">
        <f aca="false">IF(B846="","",IF(OR(AND(ISNUMBER(L846),ISNUMBER(M846),M846&lt;L846),AND(ISNUMBER(M846),ISNUMBER(P846),P846&lt;M846),AND(ISNUMBER(P846),ISNUMBER(Q846),Q846&lt;P846),AND(ISNUMBER(Q846),ISNUMBER(R846),R846&lt;Q846),AND(ISNUMBER(R846),ISNUMBER(S846),S846&lt;R846),AND(ISNUMBER(S846),ISNUMBER(T846),T846&lt;S846),AND(ISNUMBER(N846),ISNUMBER(O846),O846&lt;N846)),"Urutan tanggal salah",IF(AND(ISNUMBER(Q846),ISNUMBER(R846),ISNUMBER(Y846),ABS(R846-Q846-Y846)&gt;2),"S tanggal ≠ Sailing tercatat",IF(AND(ISNUMBER(Q846),ISNUMBER(O846),ABS(Q846-O846)&gt;60),"Cek tahun laycan",IF(AND(ISNUMBER(Q846),ISNUMBER(N846),Q846&lt;N846),"Berangkat sebelum laycan",IF(NOT(ISNUMBER(AE846)),"S belum ada","OK"))))))</f>
        <v/>
      </c>
    </row>
    <row r="847" customFormat="false" ht="15" hidden="false" customHeight="false" outlineLevel="0" collapsed="false">
      <c r="A847" s="16" t="str">
        <f aca="false">IF(B847="","",ROW()-4)</f>
        <v/>
      </c>
      <c r="B847" s="12"/>
      <c r="C847" s="16"/>
      <c r="D847" s="16"/>
      <c r="E847" s="16"/>
      <c r="F847" s="16"/>
      <c r="G847" s="16"/>
      <c r="H847" s="16"/>
      <c r="I847" s="16"/>
      <c r="J847" s="16"/>
      <c r="K847" s="16"/>
      <c r="L847" s="13"/>
      <c r="M847" s="13"/>
      <c r="N847" s="13"/>
      <c r="O847" s="13"/>
      <c r="P847" s="13"/>
      <c r="Q847" s="13"/>
      <c r="R847" s="13"/>
      <c r="S847" s="13"/>
      <c r="T847" s="13"/>
      <c r="U847" s="12"/>
      <c r="V847" s="14"/>
      <c r="W847" s="16"/>
      <c r="X847" s="16"/>
      <c r="Y847" s="16"/>
      <c r="Z847" s="16"/>
      <c r="AA847" s="15" t="str">
        <f aca="false">IF(AND(ISNUMBER(L847),ISNUMBER(M847)),M847-L847,"")</f>
        <v/>
      </c>
      <c r="AB847" s="15" t="str">
        <f aca="false">IF(AND(ISNUMBER(M847),ISNUMBER(P847)),P847-M847,"")</f>
        <v/>
      </c>
      <c r="AC847" s="15" t="str">
        <f aca="false">IF(AND(ISNUMBER(L847),ISNUMBER(P847)),P847-L847,"")</f>
        <v/>
      </c>
      <c r="AD847" s="15" t="str">
        <f aca="false">IF(AND(ISNUMBER(P847),ISNUMBER(Q847)),Q847-P847,"")</f>
        <v/>
      </c>
      <c r="AE847" s="15" t="str">
        <f aca="false">IF(AND(ISNUMBER(Q847),ISNUMBER(R847)),R847-Q847,IF(ISNUMBER(Y847),Y847,""))</f>
        <v/>
      </c>
      <c r="AF847" s="15" t="str">
        <f aca="false">IF(AND(ISNUMBER(R847),ISNUMBER(S847)),S847-R847,"")</f>
        <v/>
      </c>
      <c r="AG847" s="15" t="str">
        <f aca="false">IF(AND(ISNUMBER(S847),ISNUMBER(T847)),T847-S847,"")</f>
        <v/>
      </c>
      <c r="AH847" s="15" t="str">
        <f aca="false">IF(AND(ISNUMBER(L847),ISNUMBER(T847)),T847-L847,"")</f>
        <v/>
      </c>
      <c r="AI847" s="15" t="str">
        <f aca="false">IF(AND(ISNUMBER(O847),ISNUMBER(Q847)),Q847-O847,"")</f>
        <v/>
      </c>
      <c r="AJ847" s="15" t="str">
        <f aca="false">IF(B847="","",COUNT(L847:M847,P847:T847)&amp;"/7")</f>
        <v/>
      </c>
      <c r="AK847" s="15" t="str">
        <f aca="false">IF(B847="","",IF(OR(AND(ISNUMBER(L847),ISNUMBER(M847),M847&lt;L847),AND(ISNUMBER(M847),ISNUMBER(P847),P847&lt;M847),AND(ISNUMBER(P847),ISNUMBER(Q847),Q847&lt;P847),AND(ISNUMBER(Q847),ISNUMBER(R847),R847&lt;Q847),AND(ISNUMBER(R847),ISNUMBER(S847),S847&lt;R847),AND(ISNUMBER(S847),ISNUMBER(T847),T847&lt;S847),AND(ISNUMBER(N847),ISNUMBER(O847),O847&lt;N847)),"Urutan tanggal salah",IF(AND(ISNUMBER(Q847),ISNUMBER(R847),ISNUMBER(Y847),ABS(R847-Q847-Y847)&gt;2),"S tanggal ≠ Sailing tercatat",IF(AND(ISNUMBER(Q847),ISNUMBER(O847),ABS(Q847-O847)&gt;60),"Cek tahun laycan",IF(AND(ISNUMBER(Q847),ISNUMBER(N847),Q847&lt;N847),"Berangkat sebelum laycan",IF(NOT(ISNUMBER(AE847)),"S belum ada","OK"))))))</f>
        <v/>
      </c>
    </row>
    <row r="848" customFormat="false" ht="15" hidden="false" customHeight="false" outlineLevel="0" collapsed="false">
      <c r="A848" s="16" t="str">
        <f aca="false">IF(B848="","",ROW()-4)</f>
        <v/>
      </c>
      <c r="B848" s="12"/>
      <c r="C848" s="16"/>
      <c r="D848" s="16"/>
      <c r="E848" s="16"/>
      <c r="F848" s="16"/>
      <c r="G848" s="16"/>
      <c r="H848" s="16"/>
      <c r="I848" s="16"/>
      <c r="J848" s="16"/>
      <c r="K848" s="16"/>
      <c r="L848" s="13"/>
      <c r="M848" s="13"/>
      <c r="N848" s="13"/>
      <c r="O848" s="13"/>
      <c r="P848" s="13"/>
      <c r="Q848" s="13"/>
      <c r="R848" s="13"/>
      <c r="S848" s="13"/>
      <c r="T848" s="13"/>
      <c r="U848" s="12"/>
      <c r="V848" s="14"/>
      <c r="W848" s="16"/>
      <c r="X848" s="16"/>
      <c r="Y848" s="16"/>
      <c r="Z848" s="16"/>
      <c r="AA848" s="15" t="str">
        <f aca="false">IF(AND(ISNUMBER(L848),ISNUMBER(M848)),M848-L848,"")</f>
        <v/>
      </c>
      <c r="AB848" s="15" t="str">
        <f aca="false">IF(AND(ISNUMBER(M848),ISNUMBER(P848)),P848-M848,"")</f>
        <v/>
      </c>
      <c r="AC848" s="15" t="str">
        <f aca="false">IF(AND(ISNUMBER(L848),ISNUMBER(P848)),P848-L848,"")</f>
        <v/>
      </c>
      <c r="AD848" s="15" t="str">
        <f aca="false">IF(AND(ISNUMBER(P848),ISNUMBER(Q848)),Q848-P848,"")</f>
        <v/>
      </c>
      <c r="AE848" s="15" t="str">
        <f aca="false">IF(AND(ISNUMBER(Q848),ISNUMBER(R848)),R848-Q848,IF(ISNUMBER(Y848),Y848,""))</f>
        <v/>
      </c>
      <c r="AF848" s="15" t="str">
        <f aca="false">IF(AND(ISNUMBER(R848),ISNUMBER(S848)),S848-R848,"")</f>
        <v/>
      </c>
      <c r="AG848" s="15" t="str">
        <f aca="false">IF(AND(ISNUMBER(S848),ISNUMBER(T848)),T848-S848,"")</f>
        <v/>
      </c>
      <c r="AH848" s="15" t="str">
        <f aca="false">IF(AND(ISNUMBER(L848),ISNUMBER(T848)),T848-L848,"")</f>
        <v/>
      </c>
      <c r="AI848" s="15" t="str">
        <f aca="false">IF(AND(ISNUMBER(O848),ISNUMBER(Q848)),Q848-O848,"")</f>
        <v/>
      </c>
      <c r="AJ848" s="15" t="str">
        <f aca="false">IF(B848="","",COUNT(L848:M848,P848:T848)&amp;"/7")</f>
        <v/>
      </c>
      <c r="AK848" s="15" t="str">
        <f aca="false">IF(B848="","",IF(OR(AND(ISNUMBER(L848),ISNUMBER(M848),M848&lt;L848),AND(ISNUMBER(M848),ISNUMBER(P848),P848&lt;M848),AND(ISNUMBER(P848),ISNUMBER(Q848),Q848&lt;P848),AND(ISNUMBER(Q848),ISNUMBER(R848),R848&lt;Q848),AND(ISNUMBER(R848),ISNUMBER(S848),S848&lt;R848),AND(ISNUMBER(S848),ISNUMBER(T848),T848&lt;S848),AND(ISNUMBER(N848),ISNUMBER(O848),O848&lt;N848)),"Urutan tanggal salah",IF(AND(ISNUMBER(Q848),ISNUMBER(R848),ISNUMBER(Y848),ABS(R848-Q848-Y848)&gt;2),"S tanggal ≠ Sailing tercatat",IF(AND(ISNUMBER(Q848),ISNUMBER(O848),ABS(Q848-O848)&gt;60),"Cek tahun laycan",IF(AND(ISNUMBER(Q848),ISNUMBER(N848),Q848&lt;N848),"Berangkat sebelum laycan",IF(NOT(ISNUMBER(AE848)),"S belum ada","OK"))))))</f>
        <v/>
      </c>
    </row>
    <row r="849" customFormat="false" ht="15" hidden="false" customHeight="false" outlineLevel="0" collapsed="false">
      <c r="A849" s="16" t="str">
        <f aca="false">IF(B849="","",ROW()-4)</f>
        <v/>
      </c>
      <c r="B849" s="12"/>
      <c r="C849" s="16"/>
      <c r="D849" s="16"/>
      <c r="E849" s="16"/>
      <c r="F849" s="16"/>
      <c r="G849" s="16"/>
      <c r="H849" s="16"/>
      <c r="I849" s="16"/>
      <c r="J849" s="16"/>
      <c r="K849" s="16"/>
      <c r="L849" s="13"/>
      <c r="M849" s="13"/>
      <c r="N849" s="13"/>
      <c r="O849" s="13"/>
      <c r="P849" s="13"/>
      <c r="Q849" s="13"/>
      <c r="R849" s="13"/>
      <c r="S849" s="13"/>
      <c r="T849" s="13"/>
      <c r="U849" s="12"/>
      <c r="V849" s="14"/>
      <c r="W849" s="16"/>
      <c r="X849" s="16"/>
      <c r="Y849" s="16"/>
      <c r="Z849" s="16"/>
      <c r="AA849" s="15" t="str">
        <f aca="false">IF(AND(ISNUMBER(L849),ISNUMBER(M849)),M849-L849,"")</f>
        <v/>
      </c>
      <c r="AB849" s="15" t="str">
        <f aca="false">IF(AND(ISNUMBER(M849),ISNUMBER(P849)),P849-M849,"")</f>
        <v/>
      </c>
      <c r="AC849" s="15" t="str">
        <f aca="false">IF(AND(ISNUMBER(L849),ISNUMBER(P849)),P849-L849,"")</f>
        <v/>
      </c>
      <c r="AD849" s="15" t="str">
        <f aca="false">IF(AND(ISNUMBER(P849),ISNUMBER(Q849)),Q849-P849,"")</f>
        <v/>
      </c>
      <c r="AE849" s="15" t="str">
        <f aca="false">IF(AND(ISNUMBER(Q849),ISNUMBER(R849)),R849-Q849,IF(ISNUMBER(Y849),Y849,""))</f>
        <v/>
      </c>
      <c r="AF849" s="15" t="str">
        <f aca="false">IF(AND(ISNUMBER(R849),ISNUMBER(S849)),S849-R849,"")</f>
        <v/>
      </c>
      <c r="AG849" s="15" t="str">
        <f aca="false">IF(AND(ISNUMBER(S849),ISNUMBER(T849)),T849-S849,"")</f>
        <v/>
      </c>
      <c r="AH849" s="15" t="str">
        <f aca="false">IF(AND(ISNUMBER(L849),ISNUMBER(T849)),T849-L849,"")</f>
        <v/>
      </c>
      <c r="AI849" s="15" t="str">
        <f aca="false">IF(AND(ISNUMBER(O849),ISNUMBER(Q849)),Q849-O849,"")</f>
        <v/>
      </c>
      <c r="AJ849" s="15" t="str">
        <f aca="false">IF(B849="","",COUNT(L849:M849,P849:T849)&amp;"/7")</f>
        <v/>
      </c>
      <c r="AK849" s="15" t="str">
        <f aca="false">IF(B849="","",IF(OR(AND(ISNUMBER(L849),ISNUMBER(M849),M849&lt;L849),AND(ISNUMBER(M849),ISNUMBER(P849),P849&lt;M849),AND(ISNUMBER(P849),ISNUMBER(Q849),Q849&lt;P849),AND(ISNUMBER(Q849),ISNUMBER(R849),R849&lt;Q849),AND(ISNUMBER(R849),ISNUMBER(S849),S849&lt;R849),AND(ISNUMBER(S849),ISNUMBER(T849),T849&lt;S849),AND(ISNUMBER(N849),ISNUMBER(O849),O849&lt;N849)),"Urutan tanggal salah",IF(AND(ISNUMBER(Q849),ISNUMBER(R849),ISNUMBER(Y849),ABS(R849-Q849-Y849)&gt;2),"S tanggal ≠ Sailing tercatat",IF(AND(ISNUMBER(Q849),ISNUMBER(O849),ABS(Q849-O849)&gt;60),"Cek tahun laycan",IF(AND(ISNUMBER(Q849),ISNUMBER(N849),Q849&lt;N849),"Berangkat sebelum laycan",IF(NOT(ISNUMBER(AE849)),"S belum ada","OK"))))))</f>
        <v/>
      </c>
    </row>
    <row r="850" customFormat="false" ht="15" hidden="false" customHeight="false" outlineLevel="0" collapsed="false">
      <c r="A850" s="16" t="str">
        <f aca="false">IF(B850="","",ROW()-4)</f>
        <v/>
      </c>
      <c r="B850" s="12"/>
      <c r="C850" s="16"/>
      <c r="D850" s="16"/>
      <c r="E850" s="16"/>
      <c r="F850" s="16"/>
      <c r="G850" s="16"/>
      <c r="H850" s="16"/>
      <c r="I850" s="16"/>
      <c r="J850" s="16"/>
      <c r="K850" s="16"/>
      <c r="L850" s="13"/>
      <c r="M850" s="13"/>
      <c r="N850" s="13"/>
      <c r="O850" s="13"/>
      <c r="P850" s="13"/>
      <c r="Q850" s="13"/>
      <c r="R850" s="13"/>
      <c r="S850" s="13"/>
      <c r="T850" s="13"/>
      <c r="U850" s="12"/>
      <c r="V850" s="14"/>
      <c r="W850" s="16"/>
      <c r="X850" s="16"/>
      <c r="Y850" s="16"/>
      <c r="Z850" s="16"/>
      <c r="AA850" s="15" t="str">
        <f aca="false">IF(AND(ISNUMBER(L850),ISNUMBER(M850)),M850-L850,"")</f>
        <v/>
      </c>
      <c r="AB850" s="15" t="str">
        <f aca="false">IF(AND(ISNUMBER(M850),ISNUMBER(P850)),P850-M850,"")</f>
        <v/>
      </c>
      <c r="AC850" s="15" t="str">
        <f aca="false">IF(AND(ISNUMBER(L850),ISNUMBER(P850)),P850-L850,"")</f>
        <v/>
      </c>
      <c r="AD850" s="15" t="str">
        <f aca="false">IF(AND(ISNUMBER(P850),ISNUMBER(Q850)),Q850-P850,"")</f>
        <v/>
      </c>
      <c r="AE850" s="15" t="str">
        <f aca="false">IF(AND(ISNUMBER(Q850),ISNUMBER(R850)),R850-Q850,IF(ISNUMBER(Y850),Y850,""))</f>
        <v/>
      </c>
      <c r="AF850" s="15" t="str">
        <f aca="false">IF(AND(ISNUMBER(R850),ISNUMBER(S850)),S850-R850,"")</f>
        <v/>
      </c>
      <c r="AG850" s="15" t="str">
        <f aca="false">IF(AND(ISNUMBER(S850),ISNUMBER(T850)),T850-S850,"")</f>
        <v/>
      </c>
      <c r="AH850" s="15" t="str">
        <f aca="false">IF(AND(ISNUMBER(L850),ISNUMBER(T850)),T850-L850,"")</f>
        <v/>
      </c>
      <c r="AI850" s="15" t="str">
        <f aca="false">IF(AND(ISNUMBER(O850),ISNUMBER(Q850)),Q850-O850,"")</f>
        <v/>
      </c>
      <c r="AJ850" s="15" t="str">
        <f aca="false">IF(B850="","",COUNT(L850:M850,P850:T850)&amp;"/7")</f>
        <v/>
      </c>
      <c r="AK850" s="15" t="str">
        <f aca="false">IF(B850="","",IF(OR(AND(ISNUMBER(L850),ISNUMBER(M850),M850&lt;L850),AND(ISNUMBER(M850),ISNUMBER(P850),P850&lt;M850),AND(ISNUMBER(P850),ISNUMBER(Q850),Q850&lt;P850),AND(ISNUMBER(Q850),ISNUMBER(R850),R850&lt;Q850),AND(ISNUMBER(R850),ISNUMBER(S850),S850&lt;R850),AND(ISNUMBER(S850),ISNUMBER(T850),T850&lt;S850),AND(ISNUMBER(N850),ISNUMBER(O850),O850&lt;N850)),"Urutan tanggal salah",IF(AND(ISNUMBER(Q850),ISNUMBER(R850),ISNUMBER(Y850),ABS(R850-Q850-Y850)&gt;2),"S tanggal ≠ Sailing tercatat",IF(AND(ISNUMBER(Q850),ISNUMBER(O850),ABS(Q850-O850)&gt;60),"Cek tahun laycan",IF(AND(ISNUMBER(Q850),ISNUMBER(N850),Q850&lt;N850),"Berangkat sebelum laycan",IF(NOT(ISNUMBER(AE850)),"S belum ada","OK"))))))</f>
        <v/>
      </c>
    </row>
    <row r="851" customFormat="false" ht="15" hidden="false" customHeight="false" outlineLevel="0" collapsed="false">
      <c r="A851" s="16" t="str">
        <f aca="false">IF(B851="","",ROW()-4)</f>
        <v/>
      </c>
      <c r="B851" s="12"/>
      <c r="C851" s="16"/>
      <c r="D851" s="16"/>
      <c r="E851" s="16"/>
      <c r="F851" s="16"/>
      <c r="G851" s="16"/>
      <c r="H851" s="16"/>
      <c r="I851" s="16"/>
      <c r="J851" s="16"/>
      <c r="K851" s="16"/>
      <c r="L851" s="13"/>
      <c r="M851" s="13"/>
      <c r="N851" s="13"/>
      <c r="O851" s="13"/>
      <c r="P851" s="13"/>
      <c r="Q851" s="13"/>
      <c r="R851" s="13"/>
      <c r="S851" s="13"/>
      <c r="T851" s="13"/>
      <c r="U851" s="12"/>
      <c r="V851" s="14"/>
      <c r="W851" s="16"/>
      <c r="X851" s="16"/>
      <c r="Y851" s="16"/>
      <c r="Z851" s="16"/>
      <c r="AA851" s="15" t="str">
        <f aca="false">IF(AND(ISNUMBER(L851),ISNUMBER(M851)),M851-L851,"")</f>
        <v/>
      </c>
      <c r="AB851" s="15" t="str">
        <f aca="false">IF(AND(ISNUMBER(M851),ISNUMBER(P851)),P851-M851,"")</f>
        <v/>
      </c>
      <c r="AC851" s="15" t="str">
        <f aca="false">IF(AND(ISNUMBER(L851),ISNUMBER(P851)),P851-L851,"")</f>
        <v/>
      </c>
      <c r="AD851" s="15" t="str">
        <f aca="false">IF(AND(ISNUMBER(P851),ISNUMBER(Q851)),Q851-P851,"")</f>
        <v/>
      </c>
      <c r="AE851" s="15" t="str">
        <f aca="false">IF(AND(ISNUMBER(Q851),ISNUMBER(R851)),R851-Q851,IF(ISNUMBER(Y851),Y851,""))</f>
        <v/>
      </c>
      <c r="AF851" s="15" t="str">
        <f aca="false">IF(AND(ISNUMBER(R851),ISNUMBER(S851)),S851-R851,"")</f>
        <v/>
      </c>
      <c r="AG851" s="15" t="str">
        <f aca="false">IF(AND(ISNUMBER(S851),ISNUMBER(T851)),T851-S851,"")</f>
        <v/>
      </c>
      <c r="AH851" s="15" t="str">
        <f aca="false">IF(AND(ISNUMBER(L851),ISNUMBER(T851)),T851-L851,"")</f>
        <v/>
      </c>
      <c r="AI851" s="15" t="str">
        <f aca="false">IF(AND(ISNUMBER(O851),ISNUMBER(Q851)),Q851-O851,"")</f>
        <v/>
      </c>
      <c r="AJ851" s="15" t="str">
        <f aca="false">IF(B851="","",COUNT(L851:M851,P851:T851)&amp;"/7")</f>
        <v/>
      </c>
      <c r="AK851" s="15" t="str">
        <f aca="false">IF(B851="","",IF(OR(AND(ISNUMBER(L851),ISNUMBER(M851),M851&lt;L851),AND(ISNUMBER(M851),ISNUMBER(P851),P851&lt;M851),AND(ISNUMBER(P851),ISNUMBER(Q851),Q851&lt;P851),AND(ISNUMBER(Q851),ISNUMBER(R851),R851&lt;Q851),AND(ISNUMBER(R851),ISNUMBER(S851),S851&lt;R851),AND(ISNUMBER(S851),ISNUMBER(T851),T851&lt;S851),AND(ISNUMBER(N851),ISNUMBER(O851),O851&lt;N851)),"Urutan tanggal salah",IF(AND(ISNUMBER(Q851),ISNUMBER(R851),ISNUMBER(Y851),ABS(R851-Q851-Y851)&gt;2),"S tanggal ≠ Sailing tercatat",IF(AND(ISNUMBER(Q851),ISNUMBER(O851),ABS(Q851-O851)&gt;60),"Cek tahun laycan",IF(AND(ISNUMBER(Q851),ISNUMBER(N851),Q851&lt;N851),"Berangkat sebelum laycan",IF(NOT(ISNUMBER(AE851)),"S belum ada","OK"))))))</f>
        <v/>
      </c>
    </row>
    <row r="852" customFormat="false" ht="15" hidden="false" customHeight="false" outlineLevel="0" collapsed="false">
      <c r="A852" s="16" t="str">
        <f aca="false">IF(B852="","",ROW()-4)</f>
        <v/>
      </c>
      <c r="B852" s="12"/>
      <c r="C852" s="16"/>
      <c r="D852" s="16"/>
      <c r="E852" s="16"/>
      <c r="F852" s="16"/>
      <c r="G852" s="16"/>
      <c r="H852" s="16"/>
      <c r="I852" s="16"/>
      <c r="J852" s="16"/>
      <c r="K852" s="16"/>
      <c r="L852" s="13"/>
      <c r="M852" s="13"/>
      <c r="N852" s="13"/>
      <c r="O852" s="13"/>
      <c r="P852" s="13"/>
      <c r="Q852" s="13"/>
      <c r="R852" s="13"/>
      <c r="S852" s="13"/>
      <c r="T852" s="13"/>
      <c r="U852" s="12"/>
      <c r="V852" s="14"/>
      <c r="W852" s="16"/>
      <c r="X852" s="16"/>
      <c r="Y852" s="16"/>
      <c r="Z852" s="16"/>
      <c r="AA852" s="15" t="str">
        <f aca="false">IF(AND(ISNUMBER(L852),ISNUMBER(M852)),M852-L852,"")</f>
        <v/>
      </c>
      <c r="AB852" s="15" t="str">
        <f aca="false">IF(AND(ISNUMBER(M852),ISNUMBER(P852)),P852-M852,"")</f>
        <v/>
      </c>
      <c r="AC852" s="15" t="str">
        <f aca="false">IF(AND(ISNUMBER(L852),ISNUMBER(P852)),P852-L852,"")</f>
        <v/>
      </c>
      <c r="AD852" s="15" t="str">
        <f aca="false">IF(AND(ISNUMBER(P852),ISNUMBER(Q852)),Q852-P852,"")</f>
        <v/>
      </c>
      <c r="AE852" s="15" t="str">
        <f aca="false">IF(AND(ISNUMBER(Q852),ISNUMBER(R852)),R852-Q852,IF(ISNUMBER(Y852),Y852,""))</f>
        <v/>
      </c>
      <c r="AF852" s="15" t="str">
        <f aca="false">IF(AND(ISNUMBER(R852),ISNUMBER(S852)),S852-R852,"")</f>
        <v/>
      </c>
      <c r="AG852" s="15" t="str">
        <f aca="false">IF(AND(ISNUMBER(S852),ISNUMBER(T852)),T852-S852,"")</f>
        <v/>
      </c>
      <c r="AH852" s="15" t="str">
        <f aca="false">IF(AND(ISNUMBER(L852),ISNUMBER(T852)),T852-L852,"")</f>
        <v/>
      </c>
      <c r="AI852" s="15" t="str">
        <f aca="false">IF(AND(ISNUMBER(O852),ISNUMBER(Q852)),Q852-O852,"")</f>
        <v/>
      </c>
      <c r="AJ852" s="15" t="str">
        <f aca="false">IF(B852="","",COUNT(L852:M852,P852:T852)&amp;"/7")</f>
        <v/>
      </c>
      <c r="AK852" s="15" t="str">
        <f aca="false">IF(B852="","",IF(OR(AND(ISNUMBER(L852),ISNUMBER(M852),M852&lt;L852),AND(ISNUMBER(M852),ISNUMBER(P852),P852&lt;M852),AND(ISNUMBER(P852),ISNUMBER(Q852),Q852&lt;P852),AND(ISNUMBER(Q852),ISNUMBER(R852),R852&lt;Q852),AND(ISNUMBER(R852),ISNUMBER(S852),S852&lt;R852),AND(ISNUMBER(S852),ISNUMBER(T852),T852&lt;S852),AND(ISNUMBER(N852),ISNUMBER(O852),O852&lt;N852)),"Urutan tanggal salah",IF(AND(ISNUMBER(Q852),ISNUMBER(R852),ISNUMBER(Y852),ABS(R852-Q852-Y852)&gt;2),"S tanggal ≠ Sailing tercatat",IF(AND(ISNUMBER(Q852),ISNUMBER(O852),ABS(Q852-O852)&gt;60),"Cek tahun laycan",IF(AND(ISNUMBER(Q852),ISNUMBER(N852),Q852&lt;N852),"Berangkat sebelum laycan",IF(NOT(ISNUMBER(AE852)),"S belum ada","OK"))))))</f>
        <v/>
      </c>
    </row>
    <row r="853" customFormat="false" ht="15" hidden="false" customHeight="false" outlineLevel="0" collapsed="false">
      <c r="A853" s="16" t="str">
        <f aca="false">IF(B853="","",ROW()-4)</f>
        <v/>
      </c>
      <c r="B853" s="12"/>
      <c r="C853" s="16"/>
      <c r="D853" s="16"/>
      <c r="E853" s="16"/>
      <c r="F853" s="16"/>
      <c r="G853" s="16"/>
      <c r="H853" s="16"/>
      <c r="I853" s="16"/>
      <c r="J853" s="16"/>
      <c r="K853" s="16"/>
      <c r="L853" s="13"/>
      <c r="M853" s="13"/>
      <c r="N853" s="13"/>
      <c r="O853" s="13"/>
      <c r="P853" s="13"/>
      <c r="Q853" s="13"/>
      <c r="R853" s="13"/>
      <c r="S853" s="13"/>
      <c r="T853" s="13"/>
      <c r="U853" s="12"/>
      <c r="V853" s="14"/>
      <c r="W853" s="16"/>
      <c r="X853" s="16"/>
      <c r="Y853" s="16"/>
      <c r="Z853" s="16"/>
      <c r="AA853" s="15" t="str">
        <f aca="false">IF(AND(ISNUMBER(L853),ISNUMBER(M853)),M853-L853,"")</f>
        <v/>
      </c>
      <c r="AB853" s="15" t="str">
        <f aca="false">IF(AND(ISNUMBER(M853),ISNUMBER(P853)),P853-M853,"")</f>
        <v/>
      </c>
      <c r="AC853" s="15" t="str">
        <f aca="false">IF(AND(ISNUMBER(L853),ISNUMBER(P853)),P853-L853,"")</f>
        <v/>
      </c>
      <c r="AD853" s="15" t="str">
        <f aca="false">IF(AND(ISNUMBER(P853),ISNUMBER(Q853)),Q853-P853,"")</f>
        <v/>
      </c>
      <c r="AE853" s="15" t="str">
        <f aca="false">IF(AND(ISNUMBER(Q853),ISNUMBER(R853)),R853-Q853,IF(ISNUMBER(Y853),Y853,""))</f>
        <v/>
      </c>
      <c r="AF853" s="15" t="str">
        <f aca="false">IF(AND(ISNUMBER(R853),ISNUMBER(S853)),S853-R853,"")</f>
        <v/>
      </c>
      <c r="AG853" s="15" t="str">
        <f aca="false">IF(AND(ISNUMBER(S853),ISNUMBER(T853)),T853-S853,"")</f>
        <v/>
      </c>
      <c r="AH853" s="15" t="str">
        <f aca="false">IF(AND(ISNUMBER(L853),ISNUMBER(T853)),T853-L853,"")</f>
        <v/>
      </c>
      <c r="AI853" s="15" t="str">
        <f aca="false">IF(AND(ISNUMBER(O853),ISNUMBER(Q853)),Q853-O853,"")</f>
        <v/>
      </c>
      <c r="AJ853" s="15" t="str">
        <f aca="false">IF(B853="","",COUNT(L853:M853,P853:T853)&amp;"/7")</f>
        <v/>
      </c>
      <c r="AK853" s="15" t="str">
        <f aca="false">IF(B853="","",IF(OR(AND(ISNUMBER(L853),ISNUMBER(M853),M853&lt;L853),AND(ISNUMBER(M853),ISNUMBER(P853),P853&lt;M853),AND(ISNUMBER(P853),ISNUMBER(Q853),Q853&lt;P853),AND(ISNUMBER(Q853),ISNUMBER(R853),R853&lt;Q853),AND(ISNUMBER(R853),ISNUMBER(S853),S853&lt;R853),AND(ISNUMBER(S853),ISNUMBER(T853),T853&lt;S853),AND(ISNUMBER(N853),ISNUMBER(O853),O853&lt;N853)),"Urutan tanggal salah",IF(AND(ISNUMBER(Q853),ISNUMBER(R853),ISNUMBER(Y853),ABS(R853-Q853-Y853)&gt;2),"S tanggal ≠ Sailing tercatat",IF(AND(ISNUMBER(Q853),ISNUMBER(O853),ABS(Q853-O853)&gt;60),"Cek tahun laycan",IF(AND(ISNUMBER(Q853),ISNUMBER(N853),Q853&lt;N853),"Berangkat sebelum laycan",IF(NOT(ISNUMBER(AE853)),"S belum ada","OK"))))))</f>
        <v/>
      </c>
    </row>
    <row r="854" customFormat="false" ht="15" hidden="false" customHeight="false" outlineLevel="0" collapsed="false">
      <c r="A854" s="16" t="str">
        <f aca="false">IF(B854="","",ROW()-4)</f>
        <v/>
      </c>
      <c r="B854" s="12"/>
      <c r="C854" s="16"/>
      <c r="D854" s="16"/>
      <c r="E854" s="16"/>
      <c r="F854" s="16"/>
      <c r="G854" s="16"/>
      <c r="H854" s="16"/>
      <c r="I854" s="16"/>
      <c r="J854" s="16"/>
      <c r="K854" s="16"/>
      <c r="L854" s="13"/>
      <c r="M854" s="13"/>
      <c r="N854" s="13"/>
      <c r="O854" s="13"/>
      <c r="P854" s="13"/>
      <c r="Q854" s="13"/>
      <c r="R854" s="13"/>
      <c r="S854" s="13"/>
      <c r="T854" s="13"/>
      <c r="U854" s="12"/>
      <c r="V854" s="14"/>
      <c r="W854" s="16"/>
      <c r="X854" s="16"/>
      <c r="Y854" s="16"/>
      <c r="Z854" s="16"/>
      <c r="AA854" s="15" t="str">
        <f aca="false">IF(AND(ISNUMBER(L854),ISNUMBER(M854)),M854-L854,"")</f>
        <v/>
      </c>
      <c r="AB854" s="15" t="str">
        <f aca="false">IF(AND(ISNUMBER(M854),ISNUMBER(P854)),P854-M854,"")</f>
        <v/>
      </c>
      <c r="AC854" s="15" t="str">
        <f aca="false">IF(AND(ISNUMBER(L854),ISNUMBER(P854)),P854-L854,"")</f>
        <v/>
      </c>
      <c r="AD854" s="15" t="str">
        <f aca="false">IF(AND(ISNUMBER(P854),ISNUMBER(Q854)),Q854-P854,"")</f>
        <v/>
      </c>
      <c r="AE854" s="15" t="str">
        <f aca="false">IF(AND(ISNUMBER(Q854),ISNUMBER(R854)),R854-Q854,IF(ISNUMBER(Y854),Y854,""))</f>
        <v/>
      </c>
      <c r="AF854" s="15" t="str">
        <f aca="false">IF(AND(ISNUMBER(R854),ISNUMBER(S854)),S854-R854,"")</f>
        <v/>
      </c>
      <c r="AG854" s="15" t="str">
        <f aca="false">IF(AND(ISNUMBER(S854),ISNUMBER(T854)),T854-S854,"")</f>
        <v/>
      </c>
      <c r="AH854" s="15" t="str">
        <f aca="false">IF(AND(ISNUMBER(L854),ISNUMBER(T854)),T854-L854,"")</f>
        <v/>
      </c>
      <c r="AI854" s="15" t="str">
        <f aca="false">IF(AND(ISNUMBER(O854),ISNUMBER(Q854)),Q854-O854,"")</f>
        <v/>
      </c>
      <c r="AJ854" s="15" t="str">
        <f aca="false">IF(B854="","",COUNT(L854:M854,P854:T854)&amp;"/7")</f>
        <v/>
      </c>
      <c r="AK854" s="15" t="str">
        <f aca="false">IF(B854="","",IF(OR(AND(ISNUMBER(L854),ISNUMBER(M854),M854&lt;L854),AND(ISNUMBER(M854),ISNUMBER(P854),P854&lt;M854),AND(ISNUMBER(P854),ISNUMBER(Q854),Q854&lt;P854),AND(ISNUMBER(Q854),ISNUMBER(R854),R854&lt;Q854),AND(ISNUMBER(R854),ISNUMBER(S854),S854&lt;R854),AND(ISNUMBER(S854),ISNUMBER(T854),T854&lt;S854),AND(ISNUMBER(N854),ISNUMBER(O854),O854&lt;N854)),"Urutan tanggal salah",IF(AND(ISNUMBER(Q854),ISNUMBER(R854),ISNUMBER(Y854),ABS(R854-Q854-Y854)&gt;2),"S tanggal ≠ Sailing tercatat",IF(AND(ISNUMBER(Q854),ISNUMBER(O854),ABS(Q854-O854)&gt;60),"Cek tahun laycan",IF(AND(ISNUMBER(Q854),ISNUMBER(N854),Q854&lt;N854),"Berangkat sebelum laycan",IF(NOT(ISNUMBER(AE854)),"S belum ada","OK"))))))</f>
        <v/>
      </c>
    </row>
    <row r="855" customFormat="false" ht="15" hidden="false" customHeight="false" outlineLevel="0" collapsed="false">
      <c r="A855" s="16" t="str">
        <f aca="false">IF(B855="","",ROW()-4)</f>
        <v/>
      </c>
      <c r="B855" s="12"/>
      <c r="C855" s="16"/>
      <c r="D855" s="16"/>
      <c r="E855" s="16"/>
      <c r="F855" s="16"/>
      <c r="G855" s="16"/>
      <c r="H855" s="16"/>
      <c r="I855" s="16"/>
      <c r="J855" s="16"/>
      <c r="K855" s="16"/>
      <c r="L855" s="13"/>
      <c r="M855" s="13"/>
      <c r="N855" s="13"/>
      <c r="O855" s="13"/>
      <c r="P855" s="13"/>
      <c r="Q855" s="13"/>
      <c r="R855" s="13"/>
      <c r="S855" s="13"/>
      <c r="T855" s="13"/>
      <c r="U855" s="12"/>
      <c r="V855" s="14"/>
      <c r="W855" s="16"/>
      <c r="X855" s="16"/>
      <c r="Y855" s="16"/>
      <c r="Z855" s="16"/>
      <c r="AA855" s="15" t="str">
        <f aca="false">IF(AND(ISNUMBER(L855),ISNUMBER(M855)),M855-L855,"")</f>
        <v/>
      </c>
      <c r="AB855" s="15" t="str">
        <f aca="false">IF(AND(ISNUMBER(M855),ISNUMBER(P855)),P855-M855,"")</f>
        <v/>
      </c>
      <c r="AC855" s="15" t="str">
        <f aca="false">IF(AND(ISNUMBER(L855),ISNUMBER(P855)),P855-L855,"")</f>
        <v/>
      </c>
      <c r="AD855" s="15" t="str">
        <f aca="false">IF(AND(ISNUMBER(P855),ISNUMBER(Q855)),Q855-P855,"")</f>
        <v/>
      </c>
      <c r="AE855" s="15" t="str">
        <f aca="false">IF(AND(ISNUMBER(Q855),ISNUMBER(R855)),R855-Q855,IF(ISNUMBER(Y855),Y855,""))</f>
        <v/>
      </c>
      <c r="AF855" s="15" t="str">
        <f aca="false">IF(AND(ISNUMBER(R855),ISNUMBER(S855)),S855-R855,"")</f>
        <v/>
      </c>
      <c r="AG855" s="15" t="str">
        <f aca="false">IF(AND(ISNUMBER(S855),ISNUMBER(T855)),T855-S855,"")</f>
        <v/>
      </c>
      <c r="AH855" s="15" t="str">
        <f aca="false">IF(AND(ISNUMBER(L855),ISNUMBER(T855)),T855-L855,"")</f>
        <v/>
      </c>
      <c r="AI855" s="15" t="str">
        <f aca="false">IF(AND(ISNUMBER(O855),ISNUMBER(Q855)),Q855-O855,"")</f>
        <v/>
      </c>
      <c r="AJ855" s="15" t="str">
        <f aca="false">IF(B855="","",COUNT(L855:M855,P855:T855)&amp;"/7")</f>
        <v/>
      </c>
      <c r="AK855" s="15" t="str">
        <f aca="false">IF(B855="","",IF(OR(AND(ISNUMBER(L855),ISNUMBER(M855),M855&lt;L855),AND(ISNUMBER(M855),ISNUMBER(P855),P855&lt;M855),AND(ISNUMBER(P855),ISNUMBER(Q855),Q855&lt;P855),AND(ISNUMBER(Q855),ISNUMBER(R855),R855&lt;Q855),AND(ISNUMBER(R855),ISNUMBER(S855),S855&lt;R855),AND(ISNUMBER(S855),ISNUMBER(T855),T855&lt;S855),AND(ISNUMBER(N855),ISNUMBER(O855),O855&lt;N855)),"Urutan tanggal salah",IF(AND(ISNUMBER(Q855),ISNUMBER(R855),ISNUMBER(Y855),ABS(R855-Q855-Y855)&gt;2),"S tanggal ≠ Sailing tercatat",IF(AND(ISNUMBER(Q855),ISNUMBER(O855),ABS(Q855-O855)&gt;60),"Cek tahun laycan",IF(AND(ISNUMBER(Q855),ISNUMBER(N855),Q855&lt;N855),"Berangkat sebelum laycan",IF(NOT(ISNUMBER(AE855)),"S belum ada","OK"))))))</f>
        <v/>
      </c>
    </row>
    <row r="856" customFormat="false" ht="15" hidden="false" customHeight="false" outlineLevel="0" collapsed="false">
      <c r="A856" s="16" t="str">
        <f aca="false">IF(B856="","",ROW()-4)</f>
        <v/>
      </c>
      <c r="B856" s="12"/>
      <c r="C856" s="16"/>
      <c r="D856" s="16"/>
      <c r="E856" s="16"/>
      <c r="F856" s="16"/>
      <c r="G856" s="16"/>
      <c r="H856" s="16"/>
      <c r="I856" s="16"/>
      <c r="J856" s="16"/>
      <c r="K856" s="16"/>
      <c r="L856" s="13"/>
      <c r="M856" s="13"/>
      <c r="N856" s="13"/>
      <c r="O856" s="13"/>
      <c r="P856" s="13"/>
      <c r="Q856" s="13"/>
      <c r="R856" s="13"/>
      <c r="S856" s="13"/>
      <c r="T856" s="13"/>
      <c r="U856" s="12"/>
      <c r="V856" s="14"/>
      <c r="W856" s="16"/>
      <c r="X856" s="16"/>
      <c r="Y856" s="16"/>
      <c r="Z856" s="16"/>
      <c r="AA856" s="15" t="str">
        <f aca="false">IF(AND(ISNUMBER(L856),ISNUMBER(M856)),M856-L856,"")</f>
        <v/>
      </c>
      <c r="AB856" s="15" t="str">
        <f aca="false">IF(AND(ISNUMBER(M856),ISNUMBER(P856)),P856-M856,"")</f>
        <v/>
      </c>
      <c r="AC856" s="15" t="str">
        <f aca="false">IF(AND(ISNUMBER(L856),ISNUMBER(P856)),P856-L856,"")</f>
        <v/>
      </c>
      <c r="AD856" s="15" t="str">
        <f aca="false">IF(AND(ISNUMBER(P856),ISNUMBER(Q856)),Q856-P856,"")</f>
        <v/>
      </c>
      <c r="AE856" s="15" t="str">
        <f aca="false">IF(AND(ISNUMBER(Q856),ISNUMBER(R856)),R856-Q856,IF(ISNUMBER(Y856),Y856,""))</f>
        <v/>
      </c>
      <c r="AF856" s="15" t="str">
        <f aca="false">IF(AND(ISNUMBER(R856),ISNUMBER(S856)),S856-R856,"")</f>
        <v/>
      </c>
      <c r="AG856" s="15" t="str">
        <f aca="false">IF(AND(ISNUMBER(S856),ISNUMBER(T856)),T856-S856,"")</f>
        <v/>
      </c>
      <c r="AH856" s="15" t="str">
        <f aca="false">IF(AND(ISNUMBER(L856),ISNUMBER(T856)),T856-L856,"")</f>
        <v/>
      </c>
      <c r="AI856" s="15" t="str">
        <f aca="false">IF(AND(ISNUMBER(O856),ISNUMBER(Q856)),Q856-O856,"")</f>
        <v/>
      </c>
      <c r="AJ856" s="15" t="str">
        <f aca="false">IF(B856="","",COUNT(L856:M856,P856:T856)&amp;"/7")</f>
        <v/>
      </c>
      <c r="AK856" s="15" t="str">
        <f aca="false">IF(B856="","",IF(OR(AND(ISNUMBER(L856),ISNUMBER(M856),M856&lt;L856),AND(ISNUMBER(M856),ISNUMBER(P856),P856&lt;M856),AND(ISNUMBER(P856),ISNUMBER(Q856),Q856&lt;P856),AND(ISNUMBER(Q856),ISNUMBER(R856),R856&lt;Q856),AND(ISNUMBER(R856),ISNUMBER(S856),S856&lt;R856),AND(ISNUMBER(S856),ISNUMBER(T856),T856&lt;S856),AND(ISNUMBER(N856),ISNUMBER(O856),O856&lt;N856)),"Urutan tanggal salah",IF(AND(ISNUMBER(Q856),ISNUMBER(R856),ISNUMBER(Y856),ABS(R856-Q856-Y856)&gt;2),"S tanggal ≠ Sailing tercatat",IF(AND(ISNUMBER(Q856),ISNUMBER(O856),ABS(Q856-O856)&gt;60),"Cek tahun laycan",IF(AND(ISNUMBER(Q856),ISNUMBER(N856),Q856&lt;N856),"Berangkat sebelum laycan",IF(NOT(ISNUMBER(AE856)),"S belum ada","OK"))))))</f>
        <v/>
      </c>
    </row>
    <row r="857" customFormat="false" ht="15" hidden="false" customHeight="false" outlineLevel="0" collapsed="false">
      <c r="A857" s="16" t="str">
        <f aca="false">IF(B857="","",ROW()-4)</f>
        <v/>
      </c>
      <c r="B857" s="12"/>
      <c r="C857" s="16"/>
      <c r="D857" s="16"/>
      <c r="E857" s="16"/>
      <c r="F857" s="16"/>
      <c r="G857" s="16"/>
      <c r="H857" s="16"/>
      <c r="I857" s="16"/>
      <c r="J857" s="16"/>
      <c r="K857" s="16"/>
      <c r="L857" s="13"/>
      <c r="M857" s="13"/>
      <c r="N857" s="13"/>
      <c r="O857" s="13"/>
      <c r="P857" s="13"/>
      <c r="Q857" s="13"/>
      <c r="R857" s="13"/>
      <c r="S857" s="13"/>
      <c r="T857" s="13"/>
      <c r="U857" s="12"/>
      <c r="V857" s="14"/>
      <c r="W857" s="16"/>
      <c r="X857" s="16"/>
      <c r="Y857" s="16"/>
      <c r="Z857" s="16"/>
      <c r="AA857" s="15" t="str">
        <f aca="false">IF(AND(ISNUMBER(L857),ISNUMBER(M857)),M857-L857,"")</f>
        <v/>
      </c>
      <c r="AB857" s="15" t="str">
        <f aca="false">IF(AND(ISNUMBER(M857),ISNUMBER(P857)),P857-M857,"")</f>
        <v/>
      </c>
      <c r="AC857" s="15" t="str">
        <f aca="false">IF(AND(ISNUMBER(L857),ISNUMBER(P857)),P857-L857,"")</f>
        <v/>
      </c>
      <c r="AD857" s="15" t="str">
        <f aca="false">IF(AND(ISNUMBER(P857),ISNUMBER(Q857)),Q857-P857,"")</f>
        <v/>
      </c>
      <c r="AE857" s="15" t="str">
        <f aca="false">IF(AND(ISNUMBER(Q857),ISNUMBER(R857)),R857-Q857,IF(ISNUMBER(Y857),Y857,""))</f>
        <v/>
      </c>
      <c r="AF857" s="15" t="str">
        <f aca="false">IF(AND(ISNUMBER(R857),ISNUMBER(S857)),S857-R857,"")</f>
        <v/>
      </c>
      <c r="AG857" s="15" t="str">
        <f aca="false">IF(AND(ISNUMBER(S857),ISNUMBER(T857)),T857-S857,"")</f>
        <v/>
      </c>
      <c r="AH857" s="15" t="str">
        <f aca="false">IF(AND(ISNUMBER(L857),ISNUMBER(T857)),T857-L857,"")</f>
        <v/>
      </c>
      <c r="AI857" s="15" t="str">
        <f aca="false">IF(AND(ISNUMBER(O857),ISNUMBER(Q857)),Q857-O857,"")</f>
        <v/>
      </c>
      <c r="AJ857" s="15" t="str">
        <f aca="false">IF(B857="","",COUNT(L857:M857,P857:T857)&amp;"/7")</f>
        <v/>
      </c>
      <c r="AK857" s="15" t="str">
        <f aca="false">IF(B857="","",IF(OR(AND(ISNUMBER(L857),ISNUMBER(M857),M857&lt;L857),AND(ISNUMBER(M857),ISNUMBER(P857),P857&lt;M857),AND(ISNUMBER(P857),ISNUMBER(Q857),Q857&lt;P857),AND(ISNUMBER(Q857),ISNUMBER(R857),R857&lt;Q857),AND(ISNUMBER(R857),ISNUMBER(S857),S857&lt;R857),AND(ISNUMBER(S857),ISNUMBER(T857),T857&lt;S857),AND(ISNUMBER(N857),ISNUMBER(O857),O857&lt;N857)),"Urutan tanggal salah",IF(AND(ISNUMBER(Q857),ISNUMBER(R857),ISNUMBER(Y857),ABS(R857-Q857-Y857)&gt;2),"S tanggal ≠ Sailing tercatat",IF(AND(ISNUMBER(Q857),ISNUMBER(O857),ABS(Q857-O857)&gt;60),"Cek tahun laycan",IF(AND(ISNUMBER(Q857),ISNUMBER(N857),Q857&lt;N857),"Berangkat sebelum laycan",IF(NOT(ISNUMBER(AE857)),"S belum ada","OK"))))))</f>
        <v/>
      </c>
    </row>
    <row r="858" customFormat="false" ht="15" hidden="false" customHeight="false" outlineLevel="0" collapsed="false">
      <c r="A858" s="16" t="str">
        <f aca="false">IF(B858="","",ROW()-4)</f>
        <v/>
      </c>
      <c r="B858" s="12"/>
      <c r="C858" s="16"/>
      <c r="D858" s="16"/>
      <c r="E858" s="16"/>
      <c r="F858" s="16"/>
      <c r="G858" s="16"/>
      <c r="H858" s="16"/>
      <c r="I858" s="16"/>
      <c r="J858" s="16"/>
      <c r="K858" s="16"/>
      <c r="L858" s="13"/>
      <c r="M858" s="13"/>
      <c r="N858" s="13"/>
      <c r="O858" s="13"/>
      <c r="P858" s="13"/>
      <c r="Q858" s="13"/>
      <c r="R858" s="13"/>
      <c r="S858" s="13"/>
      <c r="T858" s="13"/>
      <c r="U858" s="12"/>
      <c r="V858" s="14"/>
      <c r="W858" s="16"/>
      <c r="X858" s="16"/>
      <c r="Y858" s="16"/>
      <c r="Z858" s="16"/>
      <c r="AA858" s="15" t="str">
        <f aca="false">IF(AND(ISNUMBER(L858),ISNUMBER(M858)),M858-L858,"")</f>
        <v/>
      </c>
      <c r="AB858" s="15" t="str">
        <f aca="false">IF(AND(ISNUMBER(M858),ISNUMBER(P858)),P858-M858,"")</f>
        <v/>
      </c>
      <c r="AC858" s="15" t="str">
        <f aca="false">IF(AND(ISNUMBER(L858),ISNUMBER(P858)),P858-L858,"")</f>
        <v/>
      </c>
      <c r="AD858" s="15" t="str">
        <f aca="false">IF(AND(ISNUMBER(P858),ISNUMBER(Q858)),Q858-P858,"")</f>
        <v/>
      </c>
      <c r="AE858" s="15" t="str">
        <f aca="false">IF(AND(ISNUMBER(Q858),ISNUMBER(R858)),R858-Q858,IF(ISNUMBER(Y858),Y858,""))</f>
        <v/>
      </c>
      <c r="AF858" s="15" t="str">
        <f aca="false">IF(AND(ISNUMBER(R858),ISNUMBER(S858)),S858-R858,"")</f>
        <v/>
      </c>
      <c r="AG858" s="15" t="str">
        <f aca="false">IF(AND(ISNUMBER(S858),ISNUMBER(T858)),T858-S858,"")</f>
        <v/>
      </c>
      <c r="AH858" s="15" t="str">
        <f aca="false">IF(AND(ISNUMBER(L858),ISNUMBER(T858)),T858-L858,"")</f>
        <v/>
      </c>
      <c r="AI858" s="15" t="str">
        <f aca="false">IF(AND(ISNUMBER(O858),ISNUMBER(Q858)),Q858-O858,"")</f>
        <v/>
      </c>
      <c r="AJ858" s="15" t="str">
        <f aca="false">IF(B858="","",COUNT(L858:M858,P858:T858)&amp;"/7")</f>
        <v/>
      </c>
      <c r="AK858" s="15" t="str">
        <f aca="false">IF(B858="","",IF(OR(AND(ISNUMBER(L858),ISNUMBER(M858),M858&lt;L858),AND(ISNUMBER(M858),ISNUMBER(P858),P858&lt;M858),AND(ISNUMBER(P858),ISNUMBER(Q858),Q858&lt;P858),AND(ISNUMBER(Q858),ISNUMBER(R858),R858&lt;Q858),AND(ISNUMBER(R858),ISNUMBER(S858),S858&lt;R858),AND(ISNUMBER(S858),ISNUMBER(T858),T858&lt;S858),AND(ISNUMBER(N858),ISNUMBER(O858),O858&lt;N858)),"Urutan tanggal salah",IF(AND(ISNUMBER(Q858),ISNUMBER(R858),ISNUMBER(Y858),ABS(R858-Q858-Y858)&gt;2),"S tanggal ≠ Sailing tercatat",IF(AND(ISNUMBER(Q858),ISNUMBER(O858),ABS(Q858-O858)&gt;60),"Cek tahun laycan",IF(AND(ISNUMBER(Q858),ISNUMBER(N858),Q858&lt;N858),"Berangkat sebelum laycan",IF(NOT(ISNUMBER(AE858)),"S belum ada","OK"))))))</f>
        <v/>
      </c>
    </row>
    <row r="859" customFormat="false" ht="15" hidden="false" customHeight="false" outlineLevel="0" collapsed="false">
      <c r="A859" s="16" t="str">
        <f aca="false">IF(B859="","",ROW()-4)</f>
        <v/>
      </c>
      <c r="B859" s="12"/>
      <c r="C859" s="16"/>
      <c r="D859" s="16"/>
      <c r="E859" s="16"/>
      <c r="F859" s="16"/>
      <c r="G859" s="16"/>
      <c r="H859" s="16"/>
      <c r="I859" s="16"/>
      <c r="J859" s="16"/>
      <c r="K859" s="16"/>
      <c r="L859" s="13"/>
      <c r="M859" s="13"/>
      <c r="N859" s="13"/>
      <c r="O859" s="13"/>
      <c r="P859" s="13"/>
      <c r="Q859" s="13"/>
      <c r="R859" s="13"/>
      <c r="S859" s="13"/>
      <c r="T859" s="13"/>
      <c r="U859" s="12"/>
      <c r="V859" s="14"/>
      <c r="W859" s="16"/>
      <c r="X859" s="16"/>
      <c r="Y859" s="16"/>
      <c r="Z859" s="16"/>
      <c r="AA859" s="15" t="str">
        <f aca="false">IF(AND(ISNUMBER(L859),ISNUMBER(M859)),M859-L859,"")</f>
        <v/>
      </c>
      <c r="AB859" s="15" t="str">
        <f aca="false">IF(AND(ISNUMBER(M859),ISNUMBER(P859)),P859-M859,"")</f>
        <v/>
      </c>
      <c r="AC859" s="15" t="str">
        <f aca="false">IF(AND(ISNUMBER(L859),ISNUMBER(P859)),P859-L859,"")</f>
        <v/>
      </c>
      <c r="AD859" s="15" t="str">
        <f aca="false">IF(AND(ISNUMBER(P859),ISNUMBER(Q859)),Q859-P859,"")</f>
        <v/>
      </c>
      <c r="AE859" s="15" t="str">
        <f aca="false">IF(AND(ISNUMBER(Q859),ISNUMBER(R859)),R859-Q859,IF(ISNUMBER(Y859),Y859,""))</f>
        <v/>
      </c>
      <c r="AF859" s="15" t="str">
        <f aca="false">IF(AND(ISNUMBER(R859),ISNUMBER(S859)),S859-R859,"")</f>
        <v/>
      </c>
      <c r="AG859" s="15" t="str">
        <f aca="false">IF(AND(ISNUMBER(S859),ISNUMBER(T859)),T859-S859,"")</f>
        <v/>
      </c>
      <c r="AH859" s="15" t="str">
        <f aca="false">IF(AND(ISNUMBER(L859),ISNUMBER(T859)),T859-L859,"")</f>
        <v/>
      </c>
      <c r="AI859" s="15" t="str">
        <f aca="false">IF(AND(ISNUMBER(O859),ISNUMBER(Q859)),Q859-O859,"")</f>
        <v/>
      </c>
      <c r="AJ859" s="15" t="str">
        <f aca="false">IF(B859="","",COUNT(L859:M859,P859:T859)&amp;"/7")</f>
        <v/>
      </c>
      <c r="AK859" s="15" t="str">
        <f aca="false">IF(B859="","",IF(OR(AND(ISNUMBER(L859),ISNUMBER(M859),M859&lt;L859),AND(ISNUMBER(M859),ISNUMBER(P859),P859&lt;M859),AND(ISNUMBER(P859),ISNUMBER(Q859),Q859&lt;P859),AND(ISNUMBER(Q859),ISNUMBER(R859),R859&lt;Q859),AND(ISNUMBER(R859),ISNUMBER(S859),S859&lt;R859),AND(ISNUMBER(S859),ISNUMBER(T859),T859&lt;S859),AND(ISNUMBER(N859),ISNUMBER(O859),O859&lt;N859)),"Urutan tanggal salah",IF(AND(ISNUMBER(Q859),ISNUMBER(R859),ISNUMBER(Y859),ABS(R859-Q859-Y859)&gt;2),"S tanggal ≠ Sailing tercatat",IF(AND(ISNUMBER(Q859),ISNUMBER(O859),ABS(Q859-O859)&gt;60),"Cek tahun laycan",IF(AND(ISNUMBER(Q859),ISNUMBER(N859),Q859&lt;N859),"Berangkat sebelum laycan",IF(NOT(ISNUMBER(AE859)),"S belum ada","OK"))))))</f>
        <v/>
      </c>
    </row>
    <row r="860" customFormat="false" ht="15" hidden="false" customHeight="false" outlineLevel="0" collapsed="false">
      <c r="A860" s="16" t="str">
        <f aca="false">IF(B860="","",ROW()-4)</f>
        <v/>
      </c>
      <c r="B860" s="12"/>
      <c r="C860" s="16"/>
      <c r="D860" s="16"/>
      <c r="E860" s="16"/>
      <c r="F860" s="16"/>
      <c r="G860" s="16"/>
      <c r="H860" s="16"/>
      <c r="I860" s="16"/>
      <c r="J860" s="16"/>
      <c r="K860" s="16"/>
      <c r="L860" s="13"/>
      <c r="M860" s="13"/>
      <c r="N860" s="13"/>
      <c r="O860" s="13"/>
      <c r="P860" s="13"/>
      <c r="Q860" s="13"/>
      <c r="R860" s="13"/>
      <c r="S860" s="13"/>
      <c r="T860" s="13"/>
      <c r="U860" s="12"/>
      <c r="V860" s="14"/>
      <c r="W860" s="16"/>
      <c r="X860" s="16"/>
      <c r="Y860" s="16"/>
      <c r="Z860" s="16"/>
      <c r="AA860" s="15" t="str">
        <f aca="false">IF(AND(ISNUMBER(L860),ISNUMBER(M860)),M860-L860,"")</f>
        <v/>
      </c>
      <c r="AB860" s="15" t="str">
        <f aca="false">IF(AND(ISNUMBER(M860),ISNUMBER(P860)),P860-M860,"")</f>
        <v/>
      </c>
      <c r="AC860" s="15" t="str">
        <f aca="false">IF(AND(ISNUMBER(L860),ISNUMBER(P860)),P860-L860,"")</f>
        <v/>
      </c>
      <c r="AD860" s="15" t="str">
        <f aca="false">IF(AND(ISNUMBER(P860),ISNUMBER(Q860)),Q860-P860,"")</f>
        <v/>
      </c>
      <c r="AE860" s="15" t="str">
        <f aca="false">IF(AND(ISNUMBER(Q860),ISNUMBER(R860)),R860-Q860,IF(ISNUMBER(Y860),Y860,""))</f>
        <v/>
      </c>
      <c r="AF860" s="15" t="str">
        <f aca="false">IF(AND(ISNUMBER(R860),ISNUMBER(S860)),S860-R860,"")</f>
        <v/>
      </c>
      <c r="AG860" s="15" t="str">
        <f aca="false">IF(AND(ISNUMBER(S860),ISNUMBER(T860)),T860-S860,"")</f>
        <v/>
      </c>
      <c r="AH860" s="15" t="str">
        <f aca="false">IF(AND(ISNUMBER(L860),ISNUMBER(T860)),T860-L860,"")</f>
        <v/>
      </c>
      <c r="AI860" s="15" t="str">
        <f aca="false">IF(AND(ISNUMBER(O860),ISNUMBER(Q860)),Q860-O860,"")</f>
        <v/>
      </c>
      <c r="AJ860" s="15" t="str">
        <f aca="false">IF(B860="","",COUNT(L860:M860,P860:T860)&amp;"/7")</f>
        <v/>
      </c>
      <c r="AK860" s="15" t="str">
        <f aca="false">IF(B860="","",IF(OR(AND(ISNUMBER(L860),ISNUMBER(M860),M860&lt;L860),AND(ISNUMBER(M860),ISNUMBER(P860),P860&lt;M860),AND(ISNUMBER(P860),ISNUMBER(Q860),Q860&lt;P860),AND(ISNUMBER(Q860),ISNUMBER(R860),R860&lt;Q860),AND(ISNUMBER(R860),ISNUMBER(S860),S860&lt;R860),AND(ISNUMBER(S860),ISNUMBER(T860),T860&lt;S860),AND(ISNUMBER(N860),ISNUMBER(O860),O860&lt;N860)),"Urutan tanggal salah",IF(AND(ISNUMBER(Q860),ISNUMBER(R860),ISNUMBER(Y860),ABS(R860-Q860-Y860)&gt;2),"S tanggal ≠ Sailing tercatat",IF(AND(ISNUMBER(Q860),ISNUMBER(O860),ABS(Q860-O860)&gt;60),"Cek tahun laycan",IF(AND(ISNUMBER(Q860),ISNUMBER(N860),Q860&lt;N860),"Berangkat sebelum laycan",IF(NOT(ISNUMBER(AE860)),"S belum ada","OK"))))))</f>
        <v/>
      </c>
    </row>
    <row r="861" customFormat="false" ht="15" hidden="false" customHeight="false" outlineLevel="0" collapsed="false">
      <c r="A861" s="16" t="str">
        <f aca="false">IF(B861="","",ROW()-4)</f>
        <v/>
      </c>
      <c r="B861" s="12"/>
      <c r="C861" s="16"/>
      <c r="D861" s="16"/>
      <c r="E861" s="16"/>
      <c r="F861" s="16"/>
      <c r="G861" s="16"/>
      <c r="H861" s="16"/>
      <c r="I861" s="16"/>
      <c r="J861" s="16"/>
      <c r="K861" s="16"/>
      <c r="L861" s="13"/>
      <c r="M861" s="13"/>
      <c r="N861" s="13"/>
      <c r="O861" s="13"/>
      <c r="P861" s="13"/>
      <c r="Q861" s="13"/>
      <c r="R861" s="13"/>
      <c r="S861" s="13"/>
      <c r="T861" s="13"/>
      <c r="U861" s="12"/>
      <c r="V861" s="14"/>
      <c r="W861" s="16"/>
      <c r="X861" s="16"/>
      <c r="Y861" s="16"/>
      <c r="Z861" s="16"/>
      <c r="AA861" s="15" t="str">
        <f aca="false">IF(AND(ISNUMBER(L861),ISNUMBER(M861)),M861-L861,"")</f>
        <v/>
      </c>
      <c r="AB861" s="15" t="str">
        <f aca="false">IF(AND(ISNUMBER(M861),ISNUMBER(P861)),P861-M861,"")</f>
        <v/>
      </c>
      <c r="AC861" s="15" t="str">
        <f aca="false">IF(AND(ISNUMBER(L861),ISNUMBER(P861)),P861-L861,"")</f>
        <v/>
      </c>
      <c r="AD861" s="15" t="str">
        <f aca="false">IF(AND(ISNUMBER(P861),ISNUMBER(Q861)),Q861-P861,"")</f>
        <v/>
      </c>
      <c r="AE861" s="15" t="str">
        <f aca="false">IF(AND(ISNUMBER(Q861),ISNUMBER(R861)),R861-Q861,IF(ISNUMBER(Y861),Y861,""))</f>
        <v/>
      </c>
      <c r="AF861" s="15" t="str">
        <f aca="false">IF(AND(ISNUMBER(R861),ISNUMBER(S861)),S861-R861,"")</f>
        <v/>
      </c>
      <c r="AG861" s="15" t="str">
        <f aca="false">IF(AND(ISNUMBER(S861),ISNUMBER(T861)),T861-S861,"")</f>
        <v/>
      </c>
      <c r="AH861" s="15" t="str">
        <f aca="false">IF(AND(ISNUMBER(L861),ISNUMBER(T861)),T861-L861,"")</f>
        <v/>
      </c>
      <c r="AI861" s="15" t="str">
        <f aca="false">IF(AND(ISNUMBER(O861),ISNUMBER(Q861)),Q861-O861,"")</f>
        <v/>
      </c>
      <c r="AJ861" s="15" t="str">
        <f aca="false">IF(B861="","",COUNT(L861:M861,P861:T861)&amp;"/7")</f>
        <v/>
      </c>
      <c r="AK861" s="15" t="str">
        <f aca="false">IF(B861="","",IF(OR(AND(ISNUMBER(L861),ISNUMBER(M861),M861&lt;L861),AND(ISNUMBER(M861),ISNUMBER(P861),P861&lt;M861),AND(ISNUMBER(P861),ISNUMBER(Q861),Q861&lt;P861),AND(ISNUMBER(Q861),ISNUMBER(R861),R861&lt;Q861),AND(ISNUMBER(R861),ISNUMBER(S861),S861&lt;R861),AND(ISNUMBER(S861),ISNUMBER(T861),T861&lt;S861),AND(ISNUMBER(N861),ISNUMBER(O861),O861&lt;N861)),"Urutan tanggal salah",IF(AND(ISNUMBER(Q861),ISNUMBER(R861),ISNUMBER(Y861),ABS(R861-Q861-Y861)&gt;2),"S tanggal ≠ Sailing tercatat",IF(AND(ISNUMBER(Q861),ISNUMBER(O861),ABS(Q861-O861)&gt;60),"Cek tahun laycan",IF(AND(ISNUMBER(Q861),ISNUMBER(N861),Q861&lt;N861),"Berangkat sebelum laycan",IF(NOT(ISNUMBER(AE861)),"S belum ada","OK"))))))</f>
        <v/>
      </c>
    </row>
    <row r="862" customFormat="false" ht="15" hidden="false" customHeight="false" outlineLevel="0" collapsed="false">
      <c r="A862" s="16" t="str">
        <f aca="false">IF(B862="","",ROW()-4)</f>
        <v/>
      </c>
      <c r="B862" s="12"/>
      <c r="C862" s="16"/>
      <c r="D862" s="16"/>
      <c r="E862" s="16"/>
      <c r="F862" s="16"/>
      <c r="G862" s="16"/>
      <c r="H862" s="16"/>
      <c r="I862" s="16"/>
      <c r="J862" s="16"/>
      <c r="K862" s="16"/>
      <c r="L862" s="13"/>
      <c r="M862" s="13"/>
      <c r="N862" s="13"/>
      <c r="O862" s="13"/>
      <c r="P862" s="13"/>
      <c r="Q862" s="13"/>
      <c r="R862" s="13"/>
      <c r="S862" s="13"/>
      <c r="T862" s="13"/>
      <c r="U862" s="12"/>
      <c r="V862" s="14"/>
      <c r="W862" s="16"/>
      <c r="X862" s="16"/>
      <c r="Y862" s="16"/>
      <c r="Z862" s="16"/>
      <c r="AA862" s="15" t="str">
        <f aca="false">IF(AND(ISNUMBER(L862),ISNUMBER(M862)),M862-L862,"")</f>
        <v/>
      </c>
      <c r="AB862" s="15" t="str">
        <f aca="false">IF(AND(ISNUMBER(M862),ISNUMBER(P862)),P862-M862,"")</f>
        <v/>
      </c>
      <c r="AC862" s="15" t="str">
        <f aca="false">IF(AND(ISNUMBER(L862),ISNUMBER(P862)),P862-L862,"")</f>
        <v/>
      </c>
      <c r="AD862" s="15" t="str">
        <f aca="false">IF(AND(ISNUMBER(P862),ISNUMBER(Q862)),Q862-P862,"")</f>
        <v/>
      </c>
      <c r="AE862" s="15" t="str">
        <f aca="false">IF(AND(ISNUMBER(Q862),ISNUMBER(R862)),R862-Q862,IF(ISNUMBER(Y862),Y862,""))</f>
        <v/>
      </c>
      <c r="AF862" s="15" t="str">
        <f aca="false">IF(AND(ISNUMBER(R862),ISNUMBER(S862)),S862-R862,"")</f>
        <v/>
      </c>
      <c r="AG862" s="15" t="str">
        <f aca="false">IF(AND(ISNUMBER(S862),ISNUMBER(T862)),T862-S862,"")</f>
        <v/>
      </c>
      <c r="AH862" s="15" t="str">
        <f aca="false">IF(AND(ISNUMBER(L862),ISNUMBER(T862)),T862-L862,"")</f>
        <v/>
      </c>
      <c r="AI862" s="15" t="str">
        <f aca="false">IF(AND(ISNUMBER(O862),ISNUMBER(Q862)),Q862-O862,"")</f>
        <v/>
      </c>
      <c r="AJ862" s="15" t="str">
        <f aca="false">IF(B862="","",COUNT(L862:M862,P862:T862)&amp;"/7")</f>
        <v/>
      </c>
      <c r="AK862" s="15" t="str">
        <f aca="false">IF(B862="","",IF(OR(AND(ISNUMBER(L862),ISNUMBER(M862),M862&lt;L862),AND(ISNUMBER(M862),ISNUMBER(P862),P862&lt;M862),AND(ISNUMBER(P862),ISNUMBER(Q862),Q862&lt;P862),AND(ISNUMBER(Q862),ISNUMBER(R862),R862&lt;Q862),AND(ISNUMBER(R862),ISNUMBER(S862),S862&lt;R862),AND(ISNUMBER(S862),ISNUMBER(T862),T862&lt;S862),AND(ISNUMBER(N862),ISNUMBER(O862),O862&lt;N862)),"Urutan tanggal salah",IF(AND(ISNUMBER(Q862),ISNUMBER(R862),ISNUMBER(Y862),ABS(R862-Q862-Y862)&gt;2),"S tanggal ≠ Sailing tercatat",IF(AND(ISNUMBER(Q862),ISNUMBER(O862),ABS(Q862-O862)&gt;60),"Cek tahun laycan",IF(AND(ISNUMBER(Q862),ISNUMBER(N862),Q862&lt;N862),"Berangkat sebelum laycan",IF(NOT(ISNUMBER(AE862)),"S belum ada","OK"))))))</f>
        <v/>
      </c>
    </row>
    <row r="863" customFormat="false" ht="15" hidden="false" customHeight="false" outlineLevel="0" collapsed="false">
      <c r="A863" s="16" t="str">
        <f aca="false">IF(B863="","",ROW()-4)</f>
        <v/>
      </c>
      <c r="B863" s="12"/>
      <c r="C863" s="16"/>
      <c r="D863" s="16"/>
      <c r="E863" s="16"/>
      <c r="F863" s="16"/>
      <c r="G863" s="16"/>
      <c r="H863" s="16"/>
      <c r="I863" s="16"/>
      <c r="J863" s="16"/>
      <c r="K863" s="16"/>
      <c r="L863" s="13"/>
      <c r="M863" s="13"/>
      <c r="N863" s="13"/>
      <c r="O863" s="13"/>
      <c r="P863" s="13"/>
      <c r="Q863" s="13"/>
      <c r="R863" s="13"/>
      <c r="S863" s="13"/>
      <c r="T863" s="13"/>
      <c r="U863" s="12"/>
      <c r="V863" s="14"/>
      <c r="W863" s="16"/>
      <c r="X863" s="16"/>
      <c r="Y863" s="16"/>
      <c r="Z863" s="16"/>
      <c r="AA863" s="15" t="str">
        <f aca="false">IF(AND(ISNUMBER(L863),ISNUMBER(M863)),M863-L863,"")</f>
        <v/>
      </c>
      <c r="AB863" s="15" t="str">
        <f aca="false">IF(AND(ISNUMBER(M863),ISNUMBER(P863)),P863-M863,"")</f>
        <v/>
      </c>
      <c r="AC863" s="15" t="str">
        <f aca="false">IF(AND(ISNUMBER(L863),ISNUMBER(P863)),P863-L863,"")</f>
        <v/>
      </c>
      <c r="AD863" s="15" t="str">
        <f aca="false">IF(AND(ISNUMBER(P863),ISNUMBER(Q863)),Q863-P863,"")</f>
        <v/>
      </c>
      <c r="AE863" s="15" t="str">
        <f aca="false">IF(AND(ISNUMBER(Q863),ISNUMBER(R863)),R863-Q863,IF(ISNUMBER(Y863),Y863,""))</f>
        <v/>
      </c>
      <c r="AF863" s="15" t="str">
        <f aca="false">IF(AND(ISNUMBER(R863),ISNUMBER(S863)),S863-R863,"")</f>
        <v/>
      </c>
      <c r="AG863" s="15" t="str">
        <f aca="false">IF(AND(ISNUMBER(S863),ISNUMBER(T863)),T863-S863,"")</f>
        <v/>
      </c>
      <c r="AH863" s="15" t="str">
        <f aca="false">IF(AND(ISNUMBER(L863),ISNUMBER(T863)),T863-L863,"")</f>
        <v/>
      </c>
      <c r="AI863" s="15" t="str">
        <f aca="false">IF(AND(ISNUMBER(O863),ISNUMBER(Q863)),Q863-O863,"")</f>
        <v/>
      </c>
      <c r="AJ863" s="15" t="str">
        <f aca="false">IF(B863="","",COUNT(L863:M863,P863:T863)&amp;"/7")</f>
        <v/>
      </c>
      <c r="AK863" s="15" t="str">
        <f aca="false">IF(B863="","",IF(OR(AND(ISNUMBER(L863),ISNUMBER(M863),M863&lt;L863),AND(ISNUMBER(M863),ISNUMBER(P863),P863&lt;M863),AND(ISNUMBER(P863),ISNUMBER(Q863),Q863&lt;P863),AND(ISNUMBER(Q863),ISNUMBER(R863),R863&lt;Q863),AND(ISNUMBER(R863),ISNUMBER(S863),S863&lt;R863),AND(ISNUMBER(S863),ISNUMBER(T863),T863&lt;S863),AND(ISNUMBER(N863),ISNUMBER(O863),O863&lt;N863)),"Urutan tanggal salah",IF(AND(ISNUMBER(Q863),ISNUMBER(R863),ISNUMBER(Y863),ABS(R863-Q863-Y863)&gt;2),"S tanggal ≠ Sailing tercatat",IF(AND(ISNUMBER(Q863),ISNUMBER(O863),ABS(Q863-O863)&gt;60),"Cek tahun laycan",IF(AND(ISNUMBER(Q863),ISNUMBER(N863),Q863&lt;N863),"Berangkat sebelum laycan",IF(NOT(ISNUMBER(AE863)),"S belum ada","OK"))))))</f>
        <v/>
      </c>
    </row>
    <row r="864" customFormat="false" ht="15" hidden="false" customHeight="false" outlineLevel="0" collapsed="false">
      <c r="A864" s="16" t="str">
        <f aca="false">IF(B864="","",ROW()-4)</f>
        <v/>
      </c>
      <c r="B864" s="12"/>
      <c r="C864" s="16"/>
      <c r="D864" s="16"/>
      <c r="E864" s="16"/>
      <c r="F864" s="16"/>
      <c r="G864" s="16"/>
      <c r="H864" s="16"/>
      <c r="I864" s="16"/>
      <c r="J864" s="16"/>
      <c r="K864" s="16"/>
      <c r="L864" s="13"/>
      <c r="M864" s="13"/>
      <c r="N864" s="13"/>
      <c r="O864" s="13"/>
      <c r="P864" s="13"/>
      <c r="Q864" s="13"/>
      <c r="R864" s="13"/>
      <c r="S864" s="13"/>
      <c r="T864" s="13"/>
      <c r="U864" s="12"/>
      <c r="V864" s="14"/>
      <c r="W864" s="16"/>
      <c r="X864" s="16"/>
      <c r="Y864" s="16"/>
      <c r="Z864" s="16"/>
      <c r="AA864" s="15" t="str">
        <f aca="false">IF(AND(ISNUMBER(L864),ISNUMBER(M864)),M864-L864,"")</f>
        <v/>
      </c>
      <c r="AB864" s="15" t="str">
        <f aca="false">IF(AND(ISNUMBER(M864),ISNUMBER(P864)),P864-M864,"")</f>
        <v/>
      </c>
      <c r="AC864" s="15" t="str">
        <f aca="false">IF(AND(ISNUMBER(L864),ISNUMBER(P864)),P864-L864,"")</f>
        <v/>
      </c>
      <c r="AD864" s="15" t="str">
        <f aca="false">IF(AND(ISNUMBER(P864),ISNUMBER(Q864)),Q864-P864,"")</f>
        <v/>
      </c>
      <c r="AE864" s="15" t="str">
        <f aca="false">IF(AND(ISNUMBER(Q864),ISNUMBER(R864)),R864-Q864,IF(ISNUMBER(Y864),Y864,""))</f>
        <v/>
      </c>
      <c r="AF864" s="15" t="str">
        <f aca="false">IF(AND(ISNUMBER(R864),ISNUMBER(S864)),S864-R864,"")</f>
        <v/>
      </c>
      <c r="AG864" s="15" t="str">
        <f aca="false">IF(AND(ISNUMBER(S864),ISNUMBER(T864)),T864-S864,"")</f>
        <v/>
      </c>
      <c r="AH864" s="15" t="str">
        <f aca="false">IF(AND(ISNUMBER(L864),ISNUMBER(T864)),T864-L864,"")</f>
        <v/>
      </c>
      <c r="AI864" s="15" t="str">
        <f aca="false">IF(AND(ISNUMBER(O864),ISNUMBER(Q864)),Q864-O864,"")</f>
        <v/>
      </c>
      <c r="AJ864" s="15" t="str">
        <f aca="false">IF(B864="","",COUNT(L864:M864,P864:T864)&amp;"/7")</f>
        <v/>
      </c>
      <c r="AK864" s="15" t="str">
        <f aca="false">IF(B864="","",IF(OR(AND(ISNUMBER(L864),ISNUMBER(M864),M864&lt;L864),AND(ISNUMBER(M864),ISNUMBER(P864),P864&lt;M864),AND(ISNUMBER(P864),ISNUMBER(Q864),Q864&lt;P864),AND(ISNUMBER(Q864),ISNUMBER(R864),R864&lt;Q864),AND(ISNUMBER(R864),ISNUMBER(S864),S864&lt;R864),AND(ISNUMBER(S864),ISNUMBER(T864),T864&lt;S864),AND(ISNUMBER(N864),ISNUMBER(O864),O864&lt;N864)),"Urutan tanggal salah",IF(AND(ISNUMBER(Q864),ISNUMBER(R864),ISNUMBER(Y864),ABS(R864-Q864-Y864)&gt;2),"S tanggal ≠ Sailing tercatat",IF(AND(ISNUMBER(Q864),ISNUMBER(O864),ABS(Q864-O864)&gt;60),"Cek tahun laycan",IF(AND(ISNUMBER(Q864),ISNUMBER(N864),Q864&lt;N864),"Berangkat sebelum laycan",IF(NOT(ISNUMBER(AE864)),"S belum ada","OK"))))))</f>
        <v/>
      </c>
    </row>
    <row r="865" customFormat="false" ht="15" hidden="false" customHeight="false" outlineLevel="0" collapsed="false">
      <c r="A865" s="16" t="str">
        <f aca="false">IF(B865="","",ROW()-4)</f>
        <v/>
      </c>
      <c r="B865" s="12"/>
      <c r="C865" s="16"/>
      <c r="D865" s="16"/>
      <c r="E865" s="16"/>
      <c r="F865" s="16"/>
      <c r="G865" s="16"/>
      <c r="H865" s="16"/>
      <c r="I865" s="16"/>
      <c r="J865" s="16"/>
      <c r="K865" s="16"/>
      <c r="L865" s="13"/>
      <c r="M865" s="13"/>
      <c r="N865" s="13"/>
      <c r="O865" s="13"/>
      <c r="P865" s="13"/>
      <c r="Q865" s="13"/>
      <c r="R865" s="13"/>
      <c r="S865" s="13"/>
      <c r="T865" s="13"/>
      <c r="U865" s="12"/>
      <c r="V865" s="14"/>
      <c r="W865" s="16"/>
      <c r="X865" s="16"/>
      <c r="Y865" s="16"/>
      <c r="Z865" s="16"/>
      <c r="AA865" s="15" t="str">
        <f aca="false">IF(AND(ISNUMBER(L865),ISNUMBER(M865)),M865-L865,"")</f>
        <v/>
      </c>
      <c r="AB865" s="15" t="str">
        <f aca="false">IF(AND(ISNUMBER(M865),ISNUMBER(P865)),P865-M865,"")</f>
        <v/>
      </c>
      <c r="AC865" s="15" t="str">
        <f aca="false">IF(AND(ISNUMBER(L865),ISNUMBER(P865)),P865-L865,"")</f>
        <v/>
      </c>
      <c r="AD865" s="15" t="str">
        <f aca="false">IF(AND(ISNUMBER(P865),ISNUMBER(Q865)),Q865-P865,"")</f>
        <v/>
      </c>
      <c r="AE865" s="15" t="str">
        <f aca="false">IF(AND(ISNUMBER(Q865),ISNUMBER(R865)),R865-Q865,IF(ISNUMBER(Y865),Y865,""))</f>
        <v/>
      </c>
      <c r="AF865" s="15" t="str">
        <f aca="false">IF(AND(ISNUMBER(R865),ISNUMBER(S865)),S865-R865,"")</f>
        <v/>
      </c>
      <c r="AG865" s="15" t="str">
        <f aca="false">IF(AND(ISNUMBER(S865),ISNUMBER(T865)),T865-S865,"")</f>
        <v/>
      </c>
      <c r="AH865" s="15" t="str">
        <f aca="false">IF(AND(ISNUMBER(L865),ISNUMBER(T865)),T865-L865,"")</f>
        <v/>
      </c>
      <c r="AI865" s="15" t="str">
        <f aca="false">IF(AND(ISNUMBER(O865),ISNUMBER(Q865)),Q865-O865,"")</f>
        <v/>
      </c>
      <c r="AJ865" s="15" t="str">
        <f aca="false">IF(B865="","",COUNT(L865:M865,P865:T865)&amp;"/7")</f>
        <v/>
      </c>
      <c r="AK865" s="15" t="str">
        <f aca="false">IF(B865="","",IF(OR(AND(ISNUMBER(L865),ISNUMBER(M865),M865&lt;L865),AND(ISNUMBER(M865),ISNUMBER(P865),P865&lt;M865),AND(ISNUMBER(P865),ISNUMBER(Q865),Q865&lt;P865),AND(ISNUMBER(Q865),ISNUMBER(R865),R865&lt;Q865),AND(ISNUMBER(R865),ISNUMBER(S865),S865&lt;R865),AND(ISNUMBER(S865),ISNUMBER(T865),T865&lt;S865),AND(ISNUMBER(N865),ISNUMBER(O865),O865&lt;N865)),"Urutan tanggal salah",IF(AND(ISNUMBER(Q865),ISNUMBER(R865),ISNUMBER(Y865),ABS(R865-Q865-Y865)&gt;2),"S tanggal ≠ Sailing tercatat",IF(AND(ISNUMBER(Q865),ISNUMBER(O865),ABS(Q865-O865)&gt;60),"Cek tahun laycan",IF(AND(ISNUMBER(Q865),ISNUMBER(N865),Q865&lt;N865),"Berangkat sebelum laycan",IF(NOT(ISNUMBER(AE865)),"S belum ada","OK"))))))</f>
        <v/>
      </c>
    </row>
    <row r="866" customFormat="false" ht="15" hidden="false" customHeight="false" outlineLevel="0" collapsed="false">
      <c r="A866" s="16" t="str">
        <f aca="false">IF(B866="","",ROW()-4)</f>
        <v/>
      </c>
      <c r="B866" s="12"/>
      <c r="C866" s="16"/>
      <c r="D866" s="16"/>
      <c r="E866" s="16"/>
      <c r="F866" s="16"/>
      <c r="G866" s="16"/>
      <c r="H866" s="16"/>
      <c r="I866" s="16"/>
      <c r="J866" s="16"/>
      <c r="K866" s="16"/>
      <c r="L866" s="13"/>
      <c r="M866" s="13"/>
      <c r="N866" s="13"/>
      <c r="O866" s="13"/>
      <c r="P866" s="13"/>
      <c r="Q866" s="13"/>
      <c r="R866" s="13"/>
      <c r="S866" s="13"/>
      <c r="T866" s="13"/>
      <c r="U866" s="12"/>
      <c r="V866" s="14"/>
      <c r="W866" s="16"/>
      <c r="X866" s="16"/>
      <c r="Y866" s="16"/>
      <c r="Z866" s="16"/>
      <c r="AA866" s="15" t="str">
        <f aca="false">IF(AND(ISNUMBER(L866),ISNUMBER(M866)),M866-L866,"")</f>
        <v/>
      </c>
      <c r="AB866" s="15" t="str">
        <f aca="false">IF(AND(ISNUMBER(M866),ISNUMBER(P866)),P866-M866,"")</f>
        <v/>
      </c>
      <c r="AC866" s="15" t="str">
        <f aca="false">IF(AND(ISNUMBER(L866),ISNUMBER(P866)),P866-L866,"")</f>
        <v/>
      </c>
      <c r="AD866" s="15" t="str">
        <f aca="false">IF(AND(ISNUMBER(P866),ISNUMBER(Q866)),Q866-P866,"")</f>
        <v/>
      </c>
      <c r="AE866" s="15" t="str">
        <f aca="false">IF(AND(ISNUMBER(Q866),ISNUMBER(R866)),R866-Q866,IF(ISNUMBER(Y866),Y866,""))</f>
        <v/>
      </c>
      <c r="AF866" s="15" t="str">
        <f aca="false">IF(AND(ISNUMBER(R866),ISNUMBER(S866)),S866-R866,"")</f>
        <v/>
      </c>
      <c r="AG866" s="15" t="str">
        <f aca="false">IF(AND(ISNUMBER(S866),ISNUMBER(T866)),T866-S866,"")</f>
        <v/>
      </c>
      <c r="AH866" s="15" t="str">
        <f aca="false">IF(AND(ISNUMBER(L866),ISNUMBER(T866)),T866-L866,"")</f>
        <v/>
      </c>
      <c r="AI866" s="15" t="str">
        <f aca="false">IF(AND(ISNUMBER(O866),ISNUMBER(Q866)),Q866-O866,"")</f>
        <v/>
      </c>
      <c r="AJ866" s="15" t="str">
        <f aca="false">IF(B866="","",COUNT(L866:M866,P866:T866)&amp;"/7")</f>
        <v/>
      </c>
      <c r="AK866" s="15" t="str">
        <f aca="false">IF(B866="","",IF(OR(AND(ISNUMBER(L866),ISNUMBER(M866),M866&lt;L866),AND(ISNUMBER(M866),ISNUMBER(P866),P866&lt;M866),AND(ISNUMBER(P866),ISNUMBER(Q866),Q866&lt;P866),AND(ISNUMBER(Q866),ISNUMBER(R866),R866&lt;Q866),AND(ISNUMBER(R866),ISNUMBER(S866),S866&lt;R866),AND(ISNUMBER(S866),ISNUMBER(T866),T866&lt;S866),AND(ISNUMBER(N866),ISNUMBER(O866),O866&lt;N866)),"Urutan tanggal salah",IF(AND(ISNUMBER(Q866),ISNUMBER(R866),ISNUMBER(Y866),ABS(R866-Q866-Y866)&gt;2),"S tanggal ≠ Sailing tercatat",IF(AND(ISNUMBER(Q866),ISNUMBER(O866),ABS(Q866-O866)&gt;60),"Cek tahun laycan",IF(AND(ISNUMBER(Q866),ISNUMBER(N866),Q866&lt;N866),"Berangkat sebelum laycan",IF(NOT(ISNUMBER(AE866)),"S belum ada","OK"))))))</f>
        <v/>
      </c>
    </row>
    <row r="867" customFormat="false" ht="15" hidden="false" customHeight="false" outlineLevel="0" collapsed="false">
      <c r="A867" s="16" t="str">
        <f aca="false">IF(B867="","",ROW()-4)</f>
        <v/>
      </c>
      <c r="B867" s="12"/>
      <c r="C867" s="16"/>
      <c r="D867" s="16"/>
      <c r="E867" s="16"/>
      <c r="F867" s="16"/>
      <c r="G867" s="16"/>
      <c r="H867" s="16"/>
      <c r="I867" s="16"/>
      <c r="J867" s="16"/>
      <c r="K867" s="16"/>
      <c r="L867" s="13"/>
      <c r="M867" s="13"/>
      <c r="N867" s="13"/>
      <c r="O867" s="13"/>
      <c r="P867" s="13"/>
      <c r="Q867" s="13"/>
      <c r="R867" s="13"/>
      <c r="S867" s="13"/>
      <c r="T867" s="13"/>
      <c r="U867" s="12"/>
      <c r="V867" s="14"/>
      <c r="W867" s="16"/>
      <c r="X867" s="16"/>
      <c r="Y867" s="16"/>
      <c r="Z867" s="16"/>
      <c r="AA867" s="15" t="str">
        <f aca="false">IF(AND(ISNUMBER(L867),ISNUMBER(M867)),M867-L867,"")</f>
        <v/>
      </c>
      <c r="AB867" s="15" t="str">
        <f aca="false">IF(AND(ISNUMBER(M867),ISNUMBER(P867)),P867-M867,"")</f>
        <v/>
      </c>
      <c r="AC867" s="15" t="str">
        <f aca="false">IF(AND(ISNUMBER(L867),ISNUMBER(P867)),P867-L867,"")</f>
        <v/>
      </c>
      <c r="AD867" s="15" t="str">
        <f aca="false">IF(AND(ISNUMBER(P867),ISNUMBER(Q867)),Q867-P867,"")</f>
        <v/>
      </c>
      <c r="AE867" s="15" t="str">
        <f aca="false">IF(AND(ISNUMBER(Q867),ISNUMBER(R867)),R867-Q867,IF(ISNUMBER(Y867),Y867,""))</f>
        <v/>
      </c>
      <c r="AF867" s="15" t="str">
        <f aca="false">IF(AND(ISNUMBER(R867),ISNUMBER(S867)),S867-R867,"")</f>
        <v/>
      </c>
      <c r="AG867" s="15" t="str">
        <f aca="false">IF(AND(ISNUMBER(S867),ISNUMBER(T867)),T867-S867,"")</f>
        <v/>
      </c>
      <c r="AH867" s="15" t="str">
        <f aca="false">IF(AND(ISNUMBER(L867),ISNUMBER(T867)),T867-L867,"")</f>
        <v/>
      </c>
      <c r="AI867" s="15" t="str">
        <f aca="false">IF(AND(ISNUMBER(O867),ISNUMBER(Q867)),Q867-O867,"")</f>
        <v/>
      </c>
      <c r="AJ867" s="15" t="str">
        <f aca="false">IF(B867="","",COUNT(L867:M867,P867:T867)&amp;"/7")</f>
        <v/>
      </c>
      <c r="AK867" s="15" t="str">
        <f aca="false">IF(B867="","",IF(OR(AND(ISNUMBER(L867),ISNUMBER(M867),M867&lt;L867),AND(ISNUMBER(M867),ISNUMBER(P867),P867&lt;M867),AND(ISNUMBER(P867),ISNUMBER(Q867),Q867&lt;P867),AND(ISNUMBER(Q867),ISNUMBER(R867),R867&lt;Q867),AND(ISNUMBER(R867),ISNUMBER(S867),S867&lt;R867),AND(ISNUMBER(S867),ISNUMBER(T867),T867&lt;S867),AND(ISNUMBER(N867),ISNUMBER(O867),O867&lt;N867)),"Urutan tanggal salah",IF(AND(ISNUMBER(Q867),ISNUMBER(R867),ISNUMBER(Y867),ABS(R867-Q867-Y867)&gt;2),"S tanggal ≠ Sailing tercatat",IF(AND(ISNUMBER(Q867),ISNUMBER(O867),ABS(Q867-O867)&gt;60),"Cek tahun laycan",IF(AND(ISNUMBER(Q867),ISNUMBER(N867),Q867&lt;N867),"Berangkat sebelum laycan",IF(NOT(ISNUMBER(AE867)),"S belum ada","OK"))))))</f>
        <v/>
      </c>
    </row>
    <row r="868" customFormat="false" ht="15" hidden="false" customHeight="false" outlineLevel="0" collapsed="false">
      <c r="A868" s="16" t="str">
        <f aca="false">IF(B868="","",ROW()-4)</f>
        <v/>
      </c>
      <c r="B868" s="12"/>
      <c r="C868" s="16"/>
      <c r="D868" s="16"/>
      <c r="E868" s="16"/>
      <c r="F868" s="16"/>
      <c r="G868" s="16"/>
      <c r="H868" s="16"/>
      <c r="I868" s="16"/>
      <c r="J868" s="16"/>
      <c r="K868" s="16"/>
      <c r="L868" s="13"/>
      <c r="M868" s="13"/>
      <c r="N868" s="13"/>
      <c r="O868" s="13"/>
      <c r="P868" s="13"/>
      <c r="Q868" s="13"/>
      <c r="R868" s="13"/>
      <c r="S868" s="13"/>
      <c r="T868" s="13"/>
      <c r="U868" s="12"/>
      <c r="V868" s="14"/>
      <c r="W868" s="16"/>
      <c r="X868" s="16"/>
      <c r="Y868" s="16"/>
      <c r="Z868" s="16"/>
      <c r="AA868" s="15" t="str">
        <f aca="false">IF(AND(ISNUMBER(L868),ISNUMBER(M868)),M868-L868,"")</f>
        <v/>
      </c>
      <c r="AB868" s="15" t="str">
        <f aca="false">IF(AND(ISNUMBER(M868),ISNUMBER(P868)),P868-M868,"")</f>
        <v/>
      </c>
      <c r="AC868" s="15" t="str">
        <f aca="false">IF(AND(ISNUMBER(L868),ISNUMBER(P868)),P868-L868,"")</f>
        <v/>
      </c>
      <c r="AD868" s="15" t="str">
        <f aca="false">IF(AND(ISNUMBER(P868),ISNUMBER(Q868)),Q868-P868,"")</f>
        <v/>
      </c>
      <c r="AE868" s="15" t="str">
        <f aca="false">IF(AND(ISNUMBER(Q868),ISNUMBER(R868)),R868-Q868,IF(ISNUMBER(Y868),Y868,""))</f>
        <v/>
      </c>
      <c r="AF868" s="15" t="str">
        <f aca="false">IF(AND(ISNUMBER(R868),ISNUMBER(S868)),S868-R868,"")</f>
        <v/>
      </c>
      <c r="AG868" s="15" t="str">
        <f aca="false">IF(AND(ISNUMBER(S868),ISNUMBER(T868)),T868-S868,"")</f>
        <v/>
      </c>
      <c r="AH868" s="15" t="str">
        <f aca="false">IF(AND(ISNUMBER(L868),ISNUMBER(T868)),T868-L868,"")</f>
        <v/>
      </c>
      <c r="AI868" s="15" t="str">
        <f aca="false">IF(AND(ISNUMBER(O868),ISNUMBER(Q868)),Q868-O868,"")</f>
        <v/>
      </c>
      <c r="AJ868" s="15" t="str">
        <f aca="false">IF(B868="","",COUNT(L868:M868,P868:T868)&amp;"/7")</f>
        <v/>
      </c>
      <c r="AK868" s="15" t="str">
        <f aca="false">IF(B868="","",IF(OR(AND(ISNUMBER(L868),ISNUMBER(M868),M868&lt;L868),AND(ISNUMBER(M868),ISNUMBER(P868),P868&lt;M868),AND(ISNUMBER(P868),ISNUMBER(Q868),Q868&lt;P868),AND(ISNUMBER(Q868),ISNUMBER(R868),R868&lt;Q868),AND(ISNUMBER(R868),ISNUMBER(S868),S868&lt;R868),AND(ISNUMBER(S868),ISNUMBER(T868),T868&lt;S868),AND(ISNUMBER(N868),ISNUMBER(O868),O868&lt;N868)),"Urutan tanggal salah",IF(AND(ISNUMBER(Q868),ISNUMBER(R868),ISNUMBER(Y868),ABS(R868-Q868-Y868)&gt;2),"S tanggal ≠ Sailing tercatat",IF(AND(ISNUMBER(Q868),ISNUMBER(O868),ABS(Q868-O868)&gt;60),"Cek tahun laycan",IF(AND(ISNUMBER(Q868),ISNUMBER(N868),Q868&lt;N868),"Berangkat sebelum laycan",IF(NOT(ISNUMBER(AE868)),"S belum ada","OK"))))))</f>
        <v/>
      </c>
    </row>
    <row r="869" customFormat="false" ht="15" hidden="false" customHeight="false" outlineLevel="0" collapsed="false">
      <c r="A869" s="16" t="str">
        <f aca="false">IF(B869="","",ROW()-4)</f>
        <v/>
      </c>
      <c r="B869" s="12"/>
      <c r="C869" s="16"/>
      <c r="D869" s="16"/>
      <c r="E869" s="16"/>
      <c r="F869" s="16"/>
      <c r="G869" s="16"/>
      <c r="H869" s="16"/>
      <c r="I869" s="16"/>
      <c r="J869" s="16"/>
      <c r="K869" s="16"/>
      <c r="L869" s="13"/>
      <c r="M869" s="13"/>
      <c r="N869" s="13"/>
      <c r="O869" s="13"/>
      <c r="P869" s="13"/>
      <c r="Q869" s="13"/>
      <c r="R869" s="13"/>
      <c r="S869" s="13"/>
      <c r="T869" s="13"/>
      <c r="U869" s="12"/>
      <c r="V869" s="14"/>
      <c r="W869" s="16"/>
      <c r="X869" s="16"/>
      <c r="Y869" s="16"/>
      <c r="Z869" s="16"/>
      <c r="AA869" s="15" t="str">
        <f aca="false">IF(AND(ISNUMBER(L869),ISNUMBER(M869)),M869-L869,"")</f>
        <v/>
      </c>
      <c r="AB869" s="15" t="str">
        <f aca="false">IF(AND(ISNUMBER(M869),ISNUMBER(P869)),P869-M869,"")</f>
        <v/>
      </c>
      <c r="AC869" s="15" t="str">
        <f aca="false">IF(AND(ISNUMBER(L869),ISNUMBER(P869)),P869-L869,"")</f>
        <v/>
      </c>
      <c r="AD869" s="15" t="str">
        <f aca="false">IF(AND(ISNUMBER(P869),ISNUMBER(Q869)),Q869-P869,"")</f>
        <v/>
      </c>
      <c r="AE869" s="15" t="str">
        <f aca="false">IF(AND(ISNUMBER(Q869),ISNUMBER(R869)),R869-Q869,IF(ISNUMBER(Y869),Y869,""))</f>
        <v/>
      </c>
      <c r="AF869" s="15" t="str">
        <f aca="false">IF(AND(ISNUMBER(R869),ISNUMBER(S869)),S869-R869,"")</f>
        <v/>
      </c>
      <c r="AG869" s="15" t="str">
        <f aca="false">IF(AND(ISNUMBER(S869),ISNUMBER(T869)),T869-S869,"")</f>
        <v/>
      </c>
      <c r="AH869" s="15" t="str">
        <f aca="false">IF(AND(ISNUMBER(L869),ISNUMBER(T869)),T869-L869,"")</f>
        <v/>
      </c>
      <c r="AI869" s="15" t="str">
        <f aca="false">IF(AND(ISNUMBER(O869),ISNUMBER(Q869)),Q869-O869,"")</f>
        <v/>
      </c>
      <c r="AJ869" s="15" t="str">
        <f aca="false">IF(B869="","",COUNT(L869:M869,P869:T869)&amp;"/7")</f>
        <v/>
      </c>
      <c r="AK869" s="15" t="str">
        <f aca="false">IF(B869="","",IF(OR(AND(ISNUMBER(L869),ISNUMBER(M869),M869&lt;L869),AND(ISNUMBER(M869),ISNUMBER(P869),P869&lt;M869),AND(ISNUMBER(P869),ISNUMBER(Q869),Q869&lt;P869),AND(ISNUMBER(Q869),ISNUMBER(R869),R869&lt;Q869),AND(ISNUMBER(R869),ISNUMBER(S869),S869&lt;R869),AND(ISNUMBER(S869),ISNUMBER(T869),T869&lt;S869),AND(ISNUMBER(N869),ISNUMBER(O869),O869&lt;N869)),"Urutan tanggal salah",IF(AND(ISNUMBER(Q869),ISNUMBER(R869),ISNUMBER(Y869),ABS(R869-Q869-Y869)&gt;2),"S tanggal ≠ Sailing tercatat",IF(AND(ISNUMBER(Q869),ISNUMBER(O869),ABS(Q869-O869)&gt;60),"Cek tahun laycan",IF(AND(ISNUMBER(Q869),ISNUMBER(N869),Q869&lt;N869),"Berangkat sebelum laycan",IF(NOT(ISNUMBER(AE869)),"S belum ada","OK"))))))</f>
        <v/>
      </c>
    </row>
    <row r="870" customFormat="false" ht="15" hidden="false" customHeight="false" outlineLevel="0" collapsed="false">
      <c r="A870" s="16" t="str">
        <f aca="false">IF(B870="","",ROW()-4)</f>
        <v/>
      </c>
      <c r="B870" s="12"/>
      <c r="C870" s="16"/>
      <c r="D870" s="16"/>
      <c r="E870" s="16"/>
      <c r="F870" s="16"/>
      <c r="G870" s="16"/>
      <c r="H870" s="16"/>
      <c r="I870" s="16"/>
      <c r="J870" s="16"/>
      <c r="K870" s="16"/>
      <c r="L870" s="13"/>
      <c r="M870" s="13"/>
      <c r="N870" s="13"/>
      <c r="O870" s="13"/>
      <c r="P870" s="13"/>
      <c r="Q870" s="13"/>
      <c r="R870" s="13"/>
      <c r="S870" s="13"/>
      <c r="T870" s="13"/>
      <c r="U870" s="12"/>
      <c r="V870" s="14"/>
      <c r="W870" s="16"/>
      <c r="X870" s="16"/>
      <c r="Y870" s="16"/>
      <c r="Z870" s="16"/>
      <c r="AA870" s="15" t="str">
        <f aca="false">IF(AND(ISNUMBER(L870),ISNUMBER(M870)),M870-L870,"")</f>
        <v/>
      </c>
      <c r="AB870" s="15" t="str">
        <f aca="false">IF(AND(ISNUMBER(M870),ISNUMBER(P870)),P870-M870,"")</f>
        <v/>
      </c>
      <c r="AC870" s="15" t="str">
        <f aca="false">IF(AND(ISNUMBER(L870),ISNUMBER(P870)),P870-L870,"")</f>
        <v/>
      </c>
      <c r="AD870" s="15" t="str">
        <f aca="false">IF(AND(ISNUMBER(P870),ISNUMBER(Q870)),Q870-P870,"")</f>
        <v/>
      </c>
      <c r="AE870" s="15" t="str">
        <f aca="false">IF(AND(ISNUMBER(Q870),ISNUMBER(R870)),R870-Q870,IF(ISNUMBER(Y870),Y870,""))</f>
        <v/>
      </c>
      <c r="AF870" s="15" t="str">
        <f aca="false">IF(AND(ISNUMBER(R870),ISNUMBER(S870)),S870-R870,"")</f>
        <v/>
      </c>
      <c r="AG870" s="15" t="str">
        <f aca="false">IF(AND(ISNUMBER(S870),ISNUMBER(T870)),T870-S870,"")</f>
        <v/>
      </c>
      <c r="AH870" s="15" t="str">
        <f aca="false">IF(AND(ISNUMBER(L870),ISNUMBER(T870)),T870-L870,"")</f>
        <v/>
      </c>
      <c r="AI870" s="15" t="str">
        <f aca="false">IF(AND(ISNUMBER(O870),ISNUMBER(Q870)),Q870-O870,"")</f>
        <v/>
      </c>
      <c r="AJ870" s="15" t="str">
        <f aca="false">IF(B870="","",COUNT(L870:M870,P870:T870)&amp;"/7")</f>
        <v/>
      </c>
      <c r="AK870" s="15" t="str">
        <f aca="false">IF(B870="","",IF(OR(AND(ISNUMBER(L870),ISNUMBER(M870),M870&lt;L870),AND(ISNUMBER(M870),ISNUMBER(P870),P870&lt;M870),AND(ISNUMBER(P870),ISNUMBER(Q870),Q870&lt;P870),AND(ISNUMBER(Q870),ISNUMBER(R870),R870&lt;Q870),AND(ISNUMBER(R870),ISNUMBER(S870),S870&lt;R870),AND(ISNUMBER(S870),ISNUMBER(T870),T870&lt;S870),AND(ISNUMBER(N870),ISNUMBER(O870),O870&lt;N870)),"Urutan tanggal salah",IF(AND(ISNUMBER(Q870),ISNUMBER(R870),ISNUMBER(Y870),ABS(R870-Q870-Y870)&gt;2),"S tanggal ≠ Sailing tercatat",IF(AND(ISNUMBER(Q870),ISNUMBER(O870),ABS(Q870-O870)&gt;60),"Cek tahun laycan",IF(AND(ISNUMBER(Q870),ISNUMBER(N870),Q870&lt;N870),"Berangkat sebelum laycan",IF(NOT(ISNUMBER(AE870)),"S belum ada","OK"))))))</f>
        <v/>
      </c>
    </row>
    <row r="871" customFormat="false" ht="15" hidden="false" customHeight="false" outlineLevel="0" collapsed="false">
      <c r="A871" s="16" t="str">
        <f aca="false">IF(B871="","",ROW()-4)</f>
        <v/>
      </c>
      <c r="B871" s="12"/>
      <c r="C871" s="16"/>
      <c r="D871" s="16"/>
      <c r="E871" s="16"/>
      <c r="F871" s="16"/>
      <c r="G871" s="16"/>
      <c r="H871" s="16"/>
      <c r="I871" s="16"/>
      <c r="J871" s="16"/>
      <c r="K871" s="16"/>
      <c r="L871" s="13"/>
      <c r="M871" s="13"/>
      <c r="N871" s="13"/>
      <c r="O871" s="13"/>
      <c r="P871" s="13"/>
      <c r="Q871" s="13"/>
      <c r="R871" s="13"/>
      <c r="S871" s="13"/>
      <c r="T871" s="13"/>
      <c r="U871" s="12"/>
      <c r="V871" s="14"/>
      <c r="W871" s="16"/>
      <c r="X871" s="16"/>
      <c r="Y871" s="16"/>
      <c r="Z871" s="16"/>
      <c r="AA871" s="15" t="str">
        <f aca="false">IF(AND(ISNUMBER(L871),ISNUMBER(M871)),M871-L871,"")</f>
        <v/>
      </c>
      <c r="AB871" s="15" t="str">
        <f aca="false">IF(AND(ISNUMBER(M871),ISNUMBER(P871)),P871-M871,"")</f>
        <v/>
      </c>
      <c r="AC871" s="15" t="str">
        <f aca="false">IF(AND(ISNUMBER(L871),ISNUMBER(P871)),P871-L871,"")</f>
        <v/>
      </c>
      <c r="AD871" s="15" t="str">
        <f aca="false">IF(AND(ISNUMBER(P871),ISNUMBER(Q871)),Q871-P871,"")</f>
        <v/>
      </c>
      <c r="AE871" s="15" t="str">
        <f aca="false">IF(AND(ISNUMBER(Q871),ISNUMBER(R871)),R871-Q871,IF(ISNUMBER(Y871),Y871,""))</f>
        <v/>
      </c>
      <c r="AF871" s="15" t="str">
        <f aca="false">IF(AND(ISNUMBER(R871),ISNUMBER(S871)),S871-R871,"")</f>
        <v/>
      </c>
      <c r="AG871" s="15" t="str">
        <f aca="false">IF(AND(ISNUMBER(S871),ISNUMBER(T871)),T871-S871,"")</f>
        <v/>
      </c>
      <c r="AH871" s="15" t="str">
        <f aca="false">IF(AND(ISNUMBER(L871),ISNUMBER(T871)),T871-L871,"")</f>
        <v/>
      </c>
      <c r="AI871" s="15" t="str">
        <f aca="false">IF(AND(ISNUMBER(O871),ISNUMBER(Q871)),Q871-O871,"")</f>
        <v/>
      </c>
      <c r="AJ871" s="15" t="str">
        <f aca="false">IF(B871="","",COUNT(L871:M871,P871:T871)&amp;"/7")</f>
        <v/>
      </c>
      <c r="AK871" s="15" t="str">
        <f aca="false">IF(B871="","",IF(OR(AND(ISNUMBER(L871),ISNUMBER(M871),M871&lt;L871),AND(ISNUMBER(M871),ISNUMBER(P871),P871&lt;M871),AND(ISNUMBER(P871),ISNUMBER(Q871),Q871&lt;P871),AND(ISNUMBER(Q871),ISNUMBER(R871),R871&lt;Q871),AND(ISNUMBER(R871),ISNUMBER(S871),S871&lt;R871),AND(ISNUMBER(S871),ISNUMBER(T871),T871&lt;S871),AND(ISNUMBER(N871),ISNUMBER(O871),O871&lt;N871)),"Urutan tanggal salah",IF(AND(ISNUMBER(Q871),ISNUMBER(R871),ISNUMBER(Y871),ABS(R871-Q871-Y871)&gt;2),"S tanggal ≠ Sailing tercatat",IF(AND(ISNUMBER(Q871),ISNUMBER(O871),ABS(Q871-O871)&gt;60),"Cek tahun laycan",IF(AND(ISNUMBER(Q871),ISNUMBER(N871),Q871&lt;N871),"Berangkat sebelum laycan",IF(NOT(ISNUMBER(AE871)),"S belum ada","OK"))))))</f>
        <v/>
      </c>
    </row>
    <row r="872" customFormat="false" ht="15" hidden="false" customHeight="false" outlineLevel="0" collapsed="false">
      <c r="A872" s="16" t="str">
        <f aca="false">IF(B872="","",ROW()-4)</f>
        <v/>
      </c>
      <c r="B872" s="12"/>
      <c r="C872" s="16"/>
      <c r="D872" s="16"/>
      <c r="E872" s="16"/>
      <c r="F872" s="16"/>
      <c r="G872" s="16"/>
      <c r="H872" s="16"/>
      <c r="I872" s="16"/>
      <c r="J872" s="16"/>
      <c r="K872" s="16"/>
      <c r="L872" s="13"/>
      <c r="M872" s="13"/>
      <c r="N872" s="13"/>
      <c r="O872" s="13"/>
      <c r="P872" s="13"/>
      <c r="Q872" s="13"/>
      <c r="R872" s="13"/>
      <c r="S872" s="13"/>
      <c r="T872" s="13"/>
      <c r="U872" s="12"/>
      <c r="V872" s="14"/>
      <c r="W872" s="16"/>
      <c r="X872" s="16"/>
      <c r="Y872" s="16"/>
      <c r="Z872" s="16"/>
      <c r="AA872" s="15" t="str">
        <f aca="false">IF(AND(ISNUMBER(L872),ISNUMBER(M872)),M872-L872,"")</f>
        <v/>
      </c>
      <c r="AB872" s="15" t="str">
        <f aca="false">IF(AND(ISNUMBER(M872),ISNUMBER(P872)),P872-M872,"")</f>
        <v/>
      </c>
      <c r="AC872" s="15" t="str">
        <f aca="false">IF(AND(ISNUMBER(L872),ISNUMBER(P872)),P872-L872,"")</f>
        <v/>
      </c>
      <c r="AD872" s="15" t="str">
        <f aca="false">IF(AND(ISNUMBER(P872),ISNUMBER(Q872)),Q872-P872,"")</f>
        <v/>
      </c>
      <c r="AE872" s="15" t="str">
        <f aca="false">IF(AND(ISNUMBER(Q872),ISNUMBER(R872)),R872-Q872,IF(ISNUMBER(Y872),Y872,""))</f>
        <v/>
      </c>
      <c r="AF872" s="15" t="str">
        <f aca="false">IF(AND(ISNUMBER(R872),ISNUMBER(S872)),S872-R872,"")</f>
        <v/>
      </c>
      <c r="AG872" s="15" t="str">
        <f aca="false">IF(AND(ISNUMBER(S872),ISNUMBER(T872)),T872-S872,"")</f>
        <v/>
      </c>
      <c r="AH872" s="15" t="str">
        <f aca="false">IF(AND(ISNUMBER(L872),ISNUMBER(T872)),T872-L872,"")</f>
        <v/>
      </c>
      <c r="AI872" s="15" t="str">
        <f aca="false">IF(AND(ISNUMBER(O872),ISNUMBER(Q872)),Q872-O872,"")</f>
        <v/>
      </c>
      <c r="AJ872" s="15" t="str">
        <f aca="false">IF(B872="","",COUNT(L872:M872,P872:T872)&amp;"/7")</f>
        <v/>
      </c>
      <c r="AK872" s="15" t="str">
        <f aca="false">IF(B872="","",IF(OR(AND(ISNUMBER(L872),ISNUMBER(M872),M872&lt;L872),AND(ISNUMBER(M872),ISNUMBER(P872),P872&lt;M872),AND(ISNUMBER(P872),ISNUMBER(Q872),Q872&lt;P872),AND(ISNUMBER(Q872),ISNUMBER(R872),R872&lt;Q872),AND(ISNUMBER(R872),ISNUMBER(S872),S872&lt;R872),AND(ISNUMBER(S872),ISNUMBER(T872),T872&lt;S872),AND(ISNUMBER(N872),ISNUMBER(O872),O872&lt;N872)),"Urutan tanggal salah",IF(AND(ISNUMBER(Q872),ISNUMBER(R872),ISNUMBER(Y872),ABS(R872-Q872-Y872)&gt;2),"S tanggal ≠ Sailing tercatat",IF(AND(ISNUMBER(Q872),ISNUMBER(O872),ABS(Q872-O872)&gt;60),"Cek tahun laycan",IF(AND(ISNUMBER(Q872),ISNUMBER(N872),Q872&lt;N872),"Berangkat sebelum laycan",IF(NOT(ISNUMBER(AE872)),"S belum ada","OK"))))))</f>
        <v/>
      </c>
    </row>
    <row r="873" customFormat="false" ht="15" hidden="false" customHeight="false" outlineLevel="0" collapsed="false">
      <c r="A873" s="16" t="str">
        <f aca="false">IF(B873="","",ROW()-4)</f>
        <v/>
      </c>
      <c r="B873" s="12"/>
      <c r="C873" s="16"/>
      <c r="D873" s="16"/>
      <c r="E873" s="16"/>
      <c r="F873" s="16"/>
      <c r="G873" s="16"/>
      <c r="H873" s="16"/>
      <c r="I873" s="16"/>
      <c r="J873" s="16"/>
      <c r="K873" s="16"/>
      <c r="L873" s="13"/>
      <c r="M873" s="13"/>
      <c r="N873" s="13"/>
      <c r="O873" s="13"/>
      <c r="P873" s="13"/>
      <c r="Q873" s="13"/>
      <c r="R873" s="13"/>
      <c r="S873" s="13"/>
      <c r="T873" s="13"/>
      <c r="U873" s="12"/>
      <c r="V873" s="14"/>
      <c r="W873" s="16"/>
      <c r="X873" s="16"/>
      <c r="Y873" s="16"/>
      <c r="Z873" s="16"/>
      <c r="AA873" s="15" t="str">
        <f aca="false">IF(AND(ISNUMBER(L873),ISNUMBER(M873)),M873-L873,"")</f>
        <v/>
      </c>
      <c r="AB873" s="15" t="str">
        <f aca="false">IF(AND(ISNUMBER(M873),ISNUMBER(P873)),P873-M873,"")</f>
        <v/>
      </c>
      <c r="AC873" s="15" t="str">
        <f aca="false">IF(AND(ISNUMBER(L873),ISNUMBER(P873)),P873-L873,"")</f>
        <v/>
      </c>
      <c r="AD873" s="15" t="str">
        <f aca="false">IF(AND(ISNUMBER(P873),ISNUMBER(Q873)),Q873-P873,"")</f>
        <v/>
      </c>
      <c r="AE873" s="15" t="str">
        <f aca="false">IF(AND(ISNUMBER(Q873),ISNUMBER(R873)),R873-Q873,IF(ISNUMBER(Y873),Y873,""))</f>
        <v/>
      </c>
      <c r="AF873" s="15" t="str">
        <f aca="false">IF(AND(ISNUMBER(R873),ISNUMBER(S873)),S873-R873,"")</f>
        <v/>
      </c>
      <c r="AG873" s="15" t="str">
        <f aca="false">IF(AND(ISNUMBER(S873),ISNUMBER(T873)),T873-S873,"")</f>
        <v/>
      </c>
      <c r="AH873" s="15" t="str">
        <f aca="false">IF(AND(ISNUMBER(L873),ISNUMBER(T873)),T873-L873,"")</f>
        <v/>
      </c>
      <c r="AI873" s="15" t="str">
        <f aca="false">IF(AND(ISNUMBER(O873),ISNUMBER(Q873)),Q873-O873,"")</f>
        <v/>
      </c>
      <c r="AJ873" s="15" t="str">
        <f aca="false">IF(B873="","",COUNT(L873:M873,P873:T873)&amp;"/7")</f>
        <v/>
      </c>
      <c r="AK873" s="15" t="str">
        <f aca="false">IF(B873="","",IF(OR(AND(ISNUMBER(L873),ISNUMBER(M873),M873&lt;L873),AND(ISNUMBER(M873),ISNUMBER(P873),P873&lt;M873),AND(ISNUMBER(P873),ISNUMBER(Q873),Q873&lt;P873),AND(ISNUMBER(Q873),ISNUMBER(R873),R873&lt;Q873),AND(ISNUMBER(R873),ISNUMBER(S873),S873&lt;R873),AND(ISNUMBER(S873),ISNUMBER(T873),T873&lt;S873),AND(ISNUMBER(N873),ISNUMBER(O873),O873&lt;N873)),"Urutan tanggal salah",IF(AND(ISNUMBER(Q873),ISNUMBER(R873),ISNUMBER(Y873),ABS(R873-Q873-Y873)&gt;2),"S tanggal ≠ Sailing tercatat",IF(AND(ISNUMBER(Q873),ISNUMBER(O873),ABS(Q873-O873)&gt;60),"Cek tahun laycan",IF(AND(ISNUMBER(Q873),ISNUMBER(N873),Q873&lt;N873),"Berangkat sebelum laycan",IF(NOT(ISNUMBER(AE873)),"S belum ada","OK"))))))</f>
        <v/>
      </c>
    </row>
    <row r="874" customFormat="false" ht="15" hidden="false" customHeight="false" outlineLevel="0" collapsed="false">
      <c r="A874" s="16" t="str">
        <f aca="false">IF(B874="","",ROW()-4)</f>
        <v/>
      </c>
      <c r="B874" s="12"/>
      <c r="C874" s="16"/>
      <c r="D874" s="16"/>
      <c r="E874" s="16"/>
      <c r="F874" s="16"/>
      <c r="G874" s="16"/>
      <c r="H874" s="16"/>
      <c r="I874" s="16"/>
      <c r="J874" s="16"/>
      <c r="K874" s="16"/>
      <c r="L874" s="13"/>
      <c r="M874" s="13"/>
      <c r="N874" s="13"/>
      <c r="O874" s="13"/>
      <c r="P874" s="13"/>
      <c r="Q874" s="13"/>
      <c r="R874" s="13"/>
      <c r="S874" s="13"/>
      <c r="T874" s="13"/>
      <c r="U874" s="12"/>
      <c r="V874" s="14"/>
      <c r="W874" s="16"/>
      <c r="X874" s="16"/>
      <c r="Y874" s="16"/>
      <c r="Z874" s="16"/>
      <c r="AA874" s="15" t="str">
        <f aca="false">IF(AND(ISNUMBER(L874),ISNUMBER(M874)),M874-L874,"")</f>
        <v/>
      </c>
      <c r="AB874" s="15" t="str">
        <f aca="false">IF(AND(ISNUMBER(M874),ISNUMBER(P874)),P874-M874,"")</f>
        <v/>
      </c>
      <c r="AC874" s="15" t="str">
        <f aca="false">IF(AND(ISNUMBER(L874),ISNUMBER(P874)),P874-L874,"")</f>
        <v/>
      </c>
      <c r="AD874" s="15" t="str">
        <f aca="false">IF(AND(ISNUMBER(P874),ISNUMBER(Q874)),Q874-P874,"")</f>
        <v/>
      </c>
      <c r="AE874" s="15" t="str">
        <f aca="false">IF(AND(ISNUMBER(Q874),ISNUMBER(R874)),R874-Q874,IF(ISNUMBER(Y874),Y874,""))</f>
        <v/>
      </c>
      <c r="AF874" s="15" t="str">
        <f aca="false">IF(AND(ISNUMBER(R874),ISNUMBER(S874)),S874-R874,"")</f>
        <v/>
      </c>
      <c r="AG874" s="15" t="str">
        <f aca="false">IF(AND(ISNUMBER(S874),ISNUMBER(T874)),T874-S874,"")</f>
        <v/>
      </c>
      <c r="AH874" s="15" t="str">
        <f aca="false">IF(AND(ISNUMBER(L874),ISNUMBER(T874)),T874-L874,"")</f>
        <v/>
      </c>
      <c r="AI874" s="15" t="str">
        <f aca="false">IF(AND(ISNUMBER(O874),ISNUMBER(Q874)),Q874-O874,"")</f>
        <v/>
      </c>
      <c r="AJ874" s="15" t="str">
        <f aca="false">IF(B874="","",COUNT(L874:M874,P874:T874)&amp;"/7")</f>
        <v/>
      </c>
      <c r="AK874" s="15" t="str">
        <f aca="false">IF(B874="","",IF(OR(AND(ISNUMBER(L874),ISNUMBER(M874),M874&lt;L874),AND(ISNUMBER(M874),ISNUMBER(P874),P874&lt;M874),AND(ISNUMBER(P874),ISNUMBER(Q874),Q874&lt;P874),AND(ISNUMBER(Q874),ISNUMBER(R874),R874&lt;Q874),AND(ISNUMBER(R874),ISNUMBER(S874),S874&lt;R874),AND(ISNUMBER(S874),ISNUMBER(T874),T874&lt;S874),AND(ISNUMBER(N874),ISNUMBER(O874),O874&lt;N874)),"Urutan tanggal salah",IF(AND(ISNUMBER(Q874),ISNUMBER(R874),ISNUMBER(Y874),ABS(R874-Q874-Y874)&gt;2),"S tanggal ≠ Sailing tercatat",IF(AND(ISNUMBER(Q874),ISNUMBER(O874),ABS(Q874-O874)&gt;60),"Cek tahun laycan",IF(AND(ISNUMBER(Q874),ISNUMBER(N874),Q874&lt;N874),"Berangkat sebelum laycan",IF(NOT(ISNUMBER(AE874)),"S belum ada","OK"))))))</f>
        <v/>
      </c>
    </row>
    <row r="875" customFormat="false" ht="15" hidden="false" customHeight="false" outlineLevel="0" collapsed="false">
      <c r="A875" s="16" t="str">
        <f aca="false">IF(B875="","",ROW()-4)</f>
        <v/>
      </c>
      <c r="B875" s="12"/>
      <c r="C875" s="16"/>
      <c r="D875" s="16"/>
      <c r="E875" s="16"/>
      <c r="F875" s="16"/>
      <c r="G875" s="16"/>
      <c r="H875" s="16"/>
      <c r="I875" s="16"/>
      <c r="J875" s="16"/>
      <c r="K875" s="16"/>
      <c r="L875" s="13"/>
      <c r="M875" s="13"/>
      <c r="N875" s="13"/>
      <c r="O875" s="13"/>
      <c r="P875" s="13"/>
      <c r="Q875" s="13"/>
      <c r="R875" s="13"/>
      <c r="S875" s="13"/>
      <c r="T875" s="13"/>
      <c r="U875" s="12"/>
      <c r="V875" s="14"/>
      <c r="W875" s="16"/>
      <c r="X875" s="16"/>
      <c r="Y875" s="16"/>
      <c r="Z875" s="16"/>
      <c r="AA875" s="15" t="str">
        <f aca="false">IF(AND(ISNUMBER(L875),ISNUMBER(M875)),M875-L875,"")</f>
        <v/>
      </c>
      <c r="AB875" s="15" t="str">
        <f aca="false">IF(AND(ISNUMBER(M875),ISNUMBER(P875)),P875-M875,"")</f>
        <v/>
      </c>
      <c r="AC875" s="15" t="str">
        <f aca="false">IF(AND(ISNUMBER(L875),ISNUMBER(P875)),P875-L875,"")</f>
        <v/>
      </c>
      <c r="AD875" s="15" t="str">
        <f aca="false">IF(AND(ISNUMBER(P875),ISNUMBER(Q875)),Q875-P875,"")</f>
        <v/>
      </c>
      <c r="AE875" s="15" t="str">
        <f aca="false">IF(AND(ISNUMBER(Q875),ISNUMBER(R875)),R875-Q875,IF(ISNUMBER(Y875),Y875,""))</f>
        <v/>
      </c>
      <c r="AF875" s="15" t="str">
        <f aca="false">IF(AND(ISNUMBER(R875),ISNUMBER(S875)),S875-R875,"")</f>
        <v/>
      </c>
      <c r="AG875" s="15" t="str">
        <f aca="false">IF(AND(ISNUMBER(S875),ISNUMBER(T875)),T875-S875,"")</f>
        <v/>
      </c>
      <c r="AH875" s="15" t="str">
        <f aca="false">IF(AND(ISNUMBER(L875),ISNUMBER(T875)),T875-L875,"")</f>
        <v/>
      </c>
      <c r="AI875" s="15" t="str">
        <f aca="false">IF(AND(ISNUMBER(O875),ISNUMBER(Q875)),Q875-O875,"")</f>
        <v/>
      </c>
      <c r="AJ875" s="15" t="str">
        <f aca="false">IF(B875="","",COUNT(L875:M875,P875:T875)&amp;"/7")</f>
        <v/>
      </c>
      <c r="AK875" s="15" t="str">
        <f aca="false">IF(B875="","",IF(OR(AND(ISNUMBER(L875),ISNUMBER(M875),M875&lt;L875),AND(ISNUMBER(M875),ISNUMBER(P875),P875&lt;M875),AND(ISNUMBER(P875),ISNUMBER(Q875),Q875&lt;P875),AND(ISNUMBER(Q875),ISNUMBER(R875),R875&lt;Q875),AND(ISNUMBER(R875),ISNUMBER(S875),S875&lt;R875),AND(ISNUMBER(S875),ISNUMBER(T875),T875&lt;S875),AND(ISNUMBER(N875),ISNUMBER(O875),O875&lt;N875)),"Urutan tanggal salah",IF(AND(ISNUMBER(Q875),ISNUMBER(R875),ISNUMBER(Y875),ABS(R875-Q875-Y875)&gt;2),"S tanggal ≠ Sailing tercatat",IF(AND(ISNUMBER(Q875),ISNUMBER(O875),ABS(Q875-O875)&gt;60),"Cek tahun laycan",IF(AND(ISNUMBER(Q875),ISNUMBER(N875),Q875&lt;N875),"Berangkat sebelum laycan",IF(NOT(ISNUMBER(AE875)),"S belum ada","OK"))))))</f>
        <v/>
      </c>
    </row>
    <row r="876" customFormat="false" ht="15" hidden="false" customHeight="false" outlineLevel="0" collapsed="false">
      <c r="A876" s="16" t="str">
        <f aca="false">IF(B876="","",ROW()-4)</f>
        <v/>
      </c>
      <c r="B876" s="12"/>
      <c r="C876" s="16"/>
      <c r="D876" s="16"/>
      <c r="E876" s="16"/>
      <c r="F876" s="16"/>
      <c r="G876" s="16"/>
      <c r="H876" s="16"/>
      <c r="I876" s="16"/>
      <c r="J876" s="16"/>
      <c r="K876" s="16"/>
      <c r="L876" s="13"/>
      <c r="M876" s="13"/>
      <c r="N876" s="13"/>
      <c r="O876" s="13"/>
      <c r="P876" s="13"/>
      <c r="Q876" s="13"/>
      <c r="R876" s="13"/>
      <c r="S876" s="13"/>
      <c r="T876" s="13"/>
      <c r="U876" s="12"/>
      <c r="V876" s="14"/>
      <c r="W876" s="16"/>
      <c r="X876" s="16"/>
      <c r="Y876" s="16"/>
      <c r="Z876" s="16"/>
      <c r="AA876" s="15" t="str">
        <f aca="false">IF(AND(ISNUMBER(L876),ISNUMBER(M876)),M876-L876,"")</f>
        <v/>
      </c>
      <c r="AB876" s="15" t="str">
        <f aca="false">IF(AND(ISNUMBER(M876),ISNUMBER(P876)),P876-M876,"")</f>
        <v/>
      </c>
      <c r="AC876" s="15" t="str">
        <f aca="false">IF(AND(ISNUMBER(L876),ISNUMBER(P876)),P876-L876,"")</f>
        <v/>
      </c>
      <c r="AD876" s="15" t="str">
        <f aca="false">IF(AND(ISNUMBER(P876),ISNUMBER(Q876)),Q876-P876,"")</f>
        <v/>
      </c>
      <c r="AE876" s="15" t="str">
        <f aca="false">IF(AND(ISNUMBER(Q876),ISNUMBER(R876)),R876-Q876,IF(ISNUMBER(Y876),Y876,""))</f>
        <v/>
      </c>
      <c r="AF876" s="15" t="str">
        <f aca="false">IF(AND(ISNUMBER(R876),ISNUMBER(S876)),S876-R876,"")</f>
        <v/>
      </c>
      <c r="AG876" s="15" t="str">
        <f aca="false">IF(AND(ISNUMBER(S876),ISNUMBER(T876)),T876-S876,"")</f>
        <v/>
      </c>
      <c r="AH876" s="15" t="str">
        <f aca="false">IF(AND(ISNUMBER(L876),ISNUMBER(T876)),T876-L876,"")</f>
        <v/>
      </c>
      <c r="AI876" s="15" t="str">
        <f aca="false">IF(AND(ISNUMBER(O876),ISNUMBER(Q876)),Q876-O876,"")</f>
        <v/>
      </c>
      <c r="AJ876" s="15" t="str">
        <f aca="false">IF(B876="","",COUNT(L876:M876,P876:T876)&amp;"/7")</f>
        <v/>
      </c>
      <c r="AK876" s="15" t="str">
        <f aca="false">IF(B876="","",IF(OR(AND(ISNUMBER(L876),ISNUMBER(M876),M876&lt;L876),AND(ISNUMBER(M876),ISNUMBER(P876),P876&lt;M876),AND(ISNUMBER(P876),ISNUMBER(Q876),Q876&lt;P876),AND(ISNUMBER(Q876),ISNUMBER(R876),R876&lt;Q876),AND(ISNUMBER(R876),ISNUMBER(S876),S876&lt;R876),AND(ISNUMBER(S876),ISNUMBER(T876),T876&lt;S876),AND(ISNUMBER(N876),ISNUMBER(O876),O876&lt;N876)),"Urutan tanggal salah",IF(AND(ISNUMBER(Q876),ISNUMBER(R876),ISNUMBER(Y876),ABS(R876-Q876-Y876)&gt;2),"S tanggal ≠ Sailing tercatat",IF(AND(ISNUMBER(Q876),ISNUMBER(O876),ABS(Q876-O876)&gt;60),"Cek tahun laycan",IF(AND(ISNUMBER(Q876),ISNUMBER(N876),Q876&lt;N876),"Berangkat sebelum laycan",IF(NOT(ISNUMBER(AE876)),"S belum ada","OK"))))))</f>
        <v/>
      </c>
    </row>
    <row r="877" customFormat="false" ht="15" hidden="false" customHeight="false" outlineLevel="0" collapsed="false">
      <c r="A877" s="16" t="str">
        <f aca="false">IF(B877="","",ROW()-4)</f>
        <v/>
      </c>
      <c r="B877" s="12"/>
      <c r="C877" s="16"/>
      <c r="D877" s="16"/>
      <c r="E877" s="16"/>
      <c r="F877" s="16"/>
      <c r="G877" s="16"/>
      <c r="H877" s="16"/>
      <c r="I877" s="16"/>
      <c r="J877" s="16"/>
      <c r="K877" s="16"/>
      <c r="L877" s="13"/>
      <c r="M877" s="13"/>
      <c r="N877" s="13"/>
      <c r="O877" s="13"/>
      <c r="P877" s="13"/>
      <c r="Q877" s="13"/>
      <c r="R877" s="13"/>
      <c r="S877" s="13"/>
      <c r="T877" s="13"/>
      <c r="U877" s="12"/>
      <c r="V877" s="14"/>
      <c r="W877" s="16"/>
      <c r="X877" s="16"/>
      <c r="Y877" s="16"/>
      <c r="Z877" s="16"/>
      <c r="AA877" s="15" t="str">
        <f aca="false">IF(AND(ISNUMBER(L877),ISNUMBER(M877)),M877-L877,"")</f>
        <v/>
      </c>
      <c r="AB877" s="15" t="str">
        <f aca="false">IF(AND(ISNUMBER(M877),ISNUMBER(P877)),P877-M877,"")</f>
        <v/>
      </c>
      <c r="AC877" s="15" t="str">
        <f aca="false">IF(AND(ISNUMBER(L877),ISNUMBER(P877)),P877-L877,"")</f>
        <v/>
      </c>
      <c r="AD877" s="15" t="str">
        <f aca="false">IF(AND(ISNUMBER(P877),ISNUMBER(Q877)),Q877-P877,"")</f>
        <v/>
      </c>
      <c r="AE877" s="15" t="str">
        <f aca="false">IF(AND(ISNUMBER(Q877),ISNUMBER(R877)),R877-Q877,IF(ISNUMBER(Y877),Y877,""))</f>
        <v/>
      </c>
      <c r="AF877" s="15" t="str">
        <f aca="false">IF(AND(ISNUMBER(R877),ISNUMBER(S877)),S877-R877,"")</f>
        <v/>
      </c>
      <c r="AG877" s="15" t="str">
        <f aca="false">IF(AND(ISNUMBER(S877),ISNUMBER(T877)),T877-S877,"")</f>
        <v/>
      </c>
      <c r="AH877" s="15" t="str">
        <f aca="false">IF(AND(ISNUMBER(L877),ISNUMBER(T877)),T877-L877,"")</f>
        <v/>
      </c>
      <c r="AI877" s="15" t="str">
        <f aca="false">IF(AND(ISNUMBER(O877),ISNUMBER(Q877)),Q877-O877,"")</f>
        <v/>
      </c>
      <c r="AJ877" s="15" t="str">
        <f aca="false">IF(B877="","",COUNT(L877:M877,P877:T877)&amp;"/7")</f>
        <v/>
      </c>
      <c r="AK877" s="15" t="str">
        <f aca="false">IF(B877="","",IF(OR(AND(ISNUMBER(L877),ISNUMBER(M877),M877&lt;L877),AND(ISNUMBER(M877),ISNUMBER(P877),P877&lt;M877),AND(ISNUMBER(P877),ISNUMBER(Q877),Q877&lt;P877),AND(ISNUMBER(Q877),ISNUMBER(R877),R877&lt;Q877),AND(ISNUMBER(R877),ISNUMBER(S877),S877&lt;R877),AND(ISNUMBER(S877),ISNUMBER(T877),T877&lt;S877),AND(ISNUMBER(N877),ISNUMBER(O877),O877&lt;N877)),"Urutan tanggal salah",IF(AND(ISNUMBER(Q877),ISNUMBER(R877),ISNUMBER(Y877),ABS(R877-Q877-Y877)&gt;2),"S tanggal ≠ Sailing tercatat",IF(AND(ISNUMBER(Q877),ISNUMBER(O877),ABS(Q877-O877)&gt;60),"Cek tahun laycan",IF(AND(ISNUMBER(Q877),ISNUMBER(N877),Q877&lt;N877),"Berangkat sebelum laycan",IF(NOT(ISNUMBER(AE877)),"S belum ada","OK"))))))</f>
        <v/>
      </c>
    </row>
    <row r="878" customFormat="false" ht="15" hidden="false" customHeight="false" outlineLevel="0" collapsed="false">
      <c r="A878" s="16" t="str">
        <f aca="false">IF(B878="","",ROW()-4)</f>
        <v/>
      </c>
      <c r="B878" s="12"/>
      <c r="C878" s="16"/>
      <c r="D878" s="16"/>
      <c r="E878" s="16"/>
      <c r="F878" s="16"/>
      <c r="G878" s="16"/>
      <c r="H878" s="16"/>
      <c r="I878" s="16"/>
      <c r="J878" s="16"/>
      <c r="K878" s="16"/>
      <c r="L878" s="13"/>
      <c r="M878" s="13"/>
      <c r="N878" s="13"/>
      <c r="O878" s="13"/>
      <c r="P878" s="13"/>
      <c r="Q878" s="13"/>
      <c r="R878" s="13"/>
      <c r="S878" s="13"/>
      <c r="T878" s="13"/>
      <c r="U878" s="12"/>
      <c r="V878" s="14"/>
      <c r="W878" s="16"/>
      <c r="X878" s="16"/>
      <c r="Y878" s="16"/>
      <c r="Z878" s="16"/>
      <c r="AA878" s="15" t="str">
        <f aca="false">IF(AND(ISNUMBER(L878),ISNUMBER(M878)),M878-L878,"")</f>
        <v/>
      </c>
      <c r="AB878" s="15" t="str">
        <f aca="false">IF(AND(ISNUMBER(M878),ISNUMBER(P878)),P878-M878,"")</f>
        <v/>
      </c>
      <c r="AC878" s="15" t="str">
        <f aca="false">IF(AND(ISNUMBER(L878),ISNUMBER(P878)),P878-L878,"")</f>
        <v/>
      </c>
      <c r="AD878" s="15" t="str">
        <f aca="false">IF(AND(ISNUMBER(P878),ISNUMBER(Q878)),Q878-P878,"")</f>
        <v/>
      </c>
      <c r="AE878" s="15" t="str">
        <f aca="false">IF(AND(ISNUMBER(Q878),ISNUMBER(R878)),R878-Q878,IF(ISNUMBER(Y878),Y878,""))</f>
        <v/>
      </c>
      <c r="AF878" s="15" t="str">
        <f aca="false">IF(AND(ISNUMBER(R878),ISNUMBER(S878)),S878-R878,"")</f>
        <v/>
      </c>
      <c r="AG878" s="15" t="str">
        <f aca="false">IF(AND(ISNUMBER(S878),ISNUMBER(T878)),T878-S878,"")</f>
        <v/>
      </c>
      <c r="AH878" s="15" t="str">
        <f aca="false">IF(AND(ISNUMBER(L878),ISNUMBER(T878)),T878-L878,"")</f>
        <v/>
      </c>
      <c r="AI878" s="15" t="str">
        <f aca="false">IF(AND(ISNUMBER(O878),ISNUMBER(Q878)),Q878-O878,"")</f>
        <v/>
      </c>
      <c r="AJ878" s="15" t="str">
        <f aca="false">IF(B878="","",COUNT(L878:M878,P878:T878)&amp;"/7")</f>
        <v/>
      </c>
      <c r="AK878" s="15" t="str">
        <f aca="false">IF(B878="","",IF(OR(AND(ISNUMBER(L878),ISNUMBER(M878),M878&lt;L878),AND(ISNUMBER(M878),ISNUMBER(P878),P878&lt;M878),AND(ISNUMBER(P878),ISNUMBER(Q878),Q878&lt;P878),AND(ISNUMBER(Q878),ISNUMBER(R878),R878&lt;Q878),AND(ISNUMBER(R878),ISNUMBER(S878),S878&lt;R878),AND(ISNUMBER(S878),ISNUMBER(T878),T878&lt;S878),AND(ISNUMBER(N878),ISNUMBER(O878),O878&lt;N878)),"Urutan tanggal salah",IF(AND(ISNUMBER(Q878),ISNUMBER(R878),ISNUMBER(Y878),ABS(R878-Q878-Y878)&gt;2),"S tanggal ≠ Sailing tercatat",IF(AND(ISNUMBER(Q878),ISNUMBER(O878),ABS(Q878-O878)&gt;60),"Cek tahun laycan",IF(AND(ISNUMBER(Q878),ISNUMBER(N878),Q878&lt;N878),"Berangkat sebelum laycan",IF(NOT(ISNUMBER(AE878)),"S belum ada","OK"))))))</f>
        <v/>
      </c>
    </row>
    <row r="879" customFormat="false" ht="15" hidden="false" customHeight="false" outlineLevel="0" collapsed="false">
      <c r="A879" s="16" t="str">
        <f aca="false">IF(B879="","",ROW()-4)</f>
        <v/>
      </c>
      <c r="B879" s="12"/>
      <c r="C879" s="16"/>
      <c r="D879" s="16"/>
      <c r="E879" s="16"/>
      <c r="F879" s="16"/>
      <c r="G879" s="16"/>
      <c r="H879" s="16"/>
      <c r="I879" s="16"/>
      <c r="J879" s="16"/>
      <c r="K879" s="16"/>
      <c r="L879" s="13"/>
      <c r="M879" s="13"/>
      <c r="N879" s="13"/>
      <c r="O879" s="13"/>
      <c r="P879" s="13"/>
      <c r="Q879" s="13"/>
      <c r="R879" s="13"/>
      <c r="S879" s="13"/>
      <c r="T879" s="13"/>
      <c r="U879" s="12"/>
      <c r="V879" s="14"/>
      <c r="W879" s="16"/>
      <c r="X879" s="16"/>
      <c r="Y879" s="16"/>
      <c r="Z879" s="16"/>
      <c r="AA879" s="15" t="str">
        <f aca="false">IF(AND(ISNUMBER(L879),ISNUMBER(M879)),M879-L879,"")</f>
        <v/>
      </c>
      <c r="AB879" s="15" t="str">
        <f aca="false">IF(AND(ISNUMBER(M879),ISNUMBER(P879)),P879-M879,"")</f>
        <v/>
      </c>
      <c r="AC879" s="15" t="str">
        <f aca="false">IF(AND(ISNUMBER(L879),ISNUMBER(P879)),P879-L879,"")</f>
        <v/>
      </c>
      <c r="AD879" s="15" t="str">
        <f aca="false">IF(AND(ISNUMBER(P879),ISNUMBER(Q879)),Q879-P879,"")</f>
        <v/>
      </c>
      <c r="AE879" s="15" t="str">
        <f aca="false">IF(AND(ISNUMBER(Q879),ISNUMBER(R879)),R879-Q879,IF(ISNUMBER(Y879),Y879,""))</f>
        <v/>
      </c>
      <c r="AF879" s="15" t="str">
        <f aca="false">IF(AND(ISNUMBER(R879),ISNUMBER(S879)),S879-R879,"")</f>
        <v/>
      </c>
      <c r="AG879" s="15" t="str">
        <f aca="false">IF(AND(ISNUMBER(S879),ISNUMBER(T879)),T879-S879,"")</f>
        <v/>
      </c>
      <c r="AH879" s="15" t="str">
        <f aca="false">IF(AND(ISNUMBER(L879),ISNUMBER(T879)),T879-L879,"")</f>
        <v/>
      </c>
      <c r="AI879" s="15" t="str">
        <f aca="false">IF(AND(ISNUMBER(O879),ISNUMBER(Q879)),Q879-O879,"")</f>
        <v/>
      </c>
      <c r="AJ879" s="15" t="str">
        <f aca="false">IF(B879="","",COUNT(L879:M879,P879:T879)&amp;"/7")</f>
        <v/>
      </c>
      <c r="AK879" s="15" t="str">
        <f aca="false">IF(B879="","",IF(OR(AND(ISNUMBER(L879),ISNUMBER(M879),M879&lt;L879),AND(ISNUMBER(M879),ISNUMBER(P879),P879&lt;M879),AND(ISNUMBER(P879),ISNUMBER(Q879),Q879&lt;P879),AND(ISNUMBER(Q879),ISNUMBER(R879),R879&lt;Q879),AND(ISNUMBER(R879),ISNUMBER(S879),S879&lt;R879),AND(ISNUMBER(S879),ISNUMBER(T879),T879&lt;S879),AND(ISNUMBER(N879),ISNUMBER(O879),O879&lt;N879)),"Urutan tanggal salah",IF(AND(ISNUMBER(Q879),ISNUMBER(R879),ISNUMBER(Y879),ABS(R879-Q879-Y879)&gt;2),"S tanggal ≠ Sailing tercatat",IF(AND(ISNUMBER(Q879),ISNUMBER(O879),ABS(Q879-O879)&gt;60),"Cek tahun laycan",IF(AND(ISNUMBER(Q879),ISNUMBER(N879),Q879&lt;N879),"Berangkat sebelum laycan",IF(NOT(ISNUMBER(AE879)),"S belum ada","OK"))))))</f>
        <v/>
      </c>
    </row>
    <row r="880" customFormat="false" ht="15" hidden="false" customHeight="false" outlineLevel="0" collapsed="false">
      <c r="A880" s="16" t="str">
        <f aca="false">IF(B880="","",ROW()-4)</f>
        <v/>
      </c>
      <c r="B880" s="12"/>
      <c r="C880" s="16"/>
      <c r="D880" s="16"/>
      <c r="E880" s="16"/>
      <c r="F880" s="16"/>
      <c r="G880" s="16"/>
      <c r="H880" s="16"/>
      <c r="I880" s="16"/>
      <c r="J880" s="16"/>
      <c r="K880" s="16"/>
      <c r="L880" s="13"/>
      <c r="M880" s="13"/>
      <c r="N880" s="13"/>
      <c r="O880" s="13"/>
      <c r="P880" s="13"/>
      <c r="Q880" s="13"/>
      <c r="R880" s="13"/>
      <c r="S880" s="13"/>
      <c r="T880" s="13"/>
      <c r="U880" s="12"/>
      <c r="V880" s="14"/>
      <c r="W880" s="16"/>
      <c r="X880" s="16"/>
      <c r="Y880" s="16"/>
      <c r="Z880" s="16"/>
      <c r="AA880" s="15" t="str">
        <f aca="false">IF(AND(ISNUMBER(L880),ISNUMBER(M880)),M880-L880,"")</f>
        <v/>
      </c>
      <c r="AB880" s="15" t="str">
        <f aca="false">IF(AND(ISNUMBER(M880),ISNUMBER(P880)),P880-M880,"")</f>
        <v/>
      </c>
      <c r="AC880" s="15" t="str">
        <f aca="false">IF(AND(ISNUMBER(L880),ISNUMBER(P880)),P880-L880,"")</f>
        <v/>
      </c>
      <c r="AD880" s="15" t="str">
        <f aca="false">IF(AND(ISNUMBER(P880),ISNUMBER(Q880)),Q880-P880,"")</f>
        <v/>
      </c>
      <c r="AE880" s="15" t="str">
        <f aca="false">IF(AND(ISNUMBER(Q880),ISNUMBER(R880)),R880-Q880,IF(ISNUMBER(Y880),Y880,""))</f>
        <v/>
      </c>
      <c r="AF880" s="15" t="str">
        <f aca="false">IF(AND(ISNUMBER(R880),ISNUMBER(S880)),S880-R880,"")</f>
        <v/>
      </c>
      <c r="AG880" s="15" t="str">
        <f aca="false">IF(AND(ISNUMBER(S880),ISNUMBER(T880)),T880-S880,"")</f>
        <v/>
      </c>
      <c r="AH880" s="15" t="str">
        <f aca="false">IF(AND(ISNUMBER(L880),ISNUMBER(T880)),T880-L880,"")</f>
        <v/>
      </c>
      <c r="AI880" s="15" t="str">
        <f aca="false">IF(AND(ISNUMBER(O880),ISNUMBER(Q880)),Q880-O880,"")</f>
        <v/>
      </c>
      <c r="AJ880" s="15" t="str">
        <f aca="false">IF(B880="","",COUNT(L880:M880,P880:T880)&amp;"/7")</f>
        <v/>
      </c>
      <c r="AK880" s="15" t="str">
        <f aca="false">IF(B880="","",IF(OR(AND(ISNUMBER(L880),ISNUMBER(M880),M880&lt;L880),AND(ISNUMBER(M880),ISNUMBER(P880),P880&lt;M880),AND(ISNUMBER(P880),ISNUMBER(Q880),Q880&lt;P880),AND(ISNUMBER(Q880),ISNUMBER(R880),R880&lt;Q880),AND(ISNUMBER(R880),ISNUMBER(S880),S880&lt;R880),AND(ISNUMBER(S880),ISNUMBER(T880),T880&lt;S880),AND(ISNUMBER(N880),ISNUMBER(O880),O880&lt;N880)),"Urutan tanggal salah",IF(AND(ISNUMBER(Q880),ISNUMBER(R880),ISNUMBER(Y880),ABS(R880-Q880-Y880)&gt;2),"S tanggal ≠ Sailing tercatat",IF(AND(ISNUMBER(Q880),ISNUMBER(O880),ABS(Q880-O880)&gt;60),"Cek tahun laycan",IF(AND(ISNUMBER(Q880),ISNUMBER(N880),Q880&lt;N880),"Berangkat sebelum laycan",IF(NOT(ISNUMBER(AE880)),"S belum ada","OK"))))))</f>
        <v/>
      </c>
    </row>
    <row r="881" customFormat="false" ht="15" hidden="false" customHeight="false" outlineLevel="0" collapsed="false">
      <c r="A881" s="16" t="str">
        <f aca="false">IF(B881="","",ROW()-4)</f>
        <v/>
      </c>
      <c r="B881" s="12"/>
      <c r="C881" s="16"/>
      <c r="D881" s="16"/>
      <c r="E881" s="16"/>
      <c r="F881" s="16"/>
      <c r="G881" s="16"/>
      <c r="H881" s="16"/>
      <c r="I881" s="16"/>
      <c r="J881" s="16"/>
      <c r="K881" s="16"/>
      <c r="L881" s="13"/>
      <c r="M881" s="13"/>
      <c r="N881" s="13"/>
      <c r="O881" s="13"/>
      <c r="P881" s="13"/>
      <c r="Q881" s="13"/>
      <c r="R881" s="13"/>
      <c r="S881" s="13"/>
      <c r="T881" s="13"/>
      <c r="U881" s="12"/>
      <c r="V881" s="14"/>
      <c r="W881" s="16"/>
      <c r="X881" s="16"/>
      <c r="Y881" s="16"/>
      <c r="Z881" s="16"/>
      <c r="AA881" s="15" t="str">
        <f aca="false">IF(AND(ISNUMBER(L881),ISNUMBER(M881)),M881-L881,"")</f>
        <v/>
      </c>
      <c r="AB881" s="15" t="str">
        <f aca="false">IF(AND(ISNUMBER(M881),ISNUMBER(P881)),P881-M881,"")</f>
        <v/>
      </c>
      <c r="AC881" s="15" t="str">
        <f aca="false">IF(AND(ISNUMBER(L881),ISNUMBER(P881)),P881-L881,"")</f>
        <v/>
      </c>
      <c r="AD881" s="15" t="str">
        <f aca="false">IF(AND(ISNUMBER(P881),ISNUMBER(Q881)),Q881-P881,"")</f>
        <v/>
      </c>
      <c r="AE881" s="15" t="str">
        <f aca="false">IF(AND(ISNUMBER(Q881),ISNUMBER(R881)),R881-Q881,IF(ISNUMBER(Y881),Y881,""))</f>
        <v/>
      </c>
      <c r="AF881" s="15" t="str">
        <f aca="false">IF(AND(ISNUMBER(R881),ISNUMBER(S881)),S881-R881,"")</f>
        <v/>
      </c>
      <c r="AG881" s="15" t="str">
        <f aca="false">IF(AND(ISNUMBER(S881),ISNUMBER(T881)),T881-S881,"")</f>
        <v/>
      </c>
      <c r="AH881" s="15" t="str">
        <f aca="false">IF(AND(ISNUMBER(L881),ISNUMBER(T881)),T881-L881,"")</f>
        <v/>
      </c>
      <c r="AI881" s="15" t="str">
        <f aca="false">IF(AND(ISNUMBER(O881),ISNUMBER(Q881)),Q881-O881,"")</f>
        <v/>
      </c>
      <c r="AJ881" s="15" t="str">
        <f aca="false">IF(B881="","",COUNT(L881:M881,P881:T881)&amp;"/7")</f>
        <v/>
      </c>
      <c r="AK881" s="15" t="str">
        <f aca="false">IF(B881="","",IF(OR(AND(ISNUMBER(L881),ISNUMBER(M881),M881&lt;L881),AND(ISNUMBER(M881),ISNUMBER(P881),P881&lt;M881),AND(ISNUMBER(P881),ISNUMBER(Q881),Q881&lt;P881),AND(ISNUMBER(Q881),ISNUMBER(R881),R881&lt;Q881),AND(ISNUMBER(R881),ISNUMBER(S881),S881&lt;R881),AND(ISNUMBER(S881),ISNUMBER(T881),T881&lt;S881),AND(ISNUMBER(N881),ISNUMBER(O881),O881&lt;N881)),"Urutan tanggal salah",IF(AND(ISNUMBER(Q881),ISNUMBER(R881),ISNUMBER(Y881),ABS(R881-Q881-Y881)&gt;2),"S tanggal ≠ Sailing tercatat",IF(AND(ISNUMBER(Q881),ISNUMBER(O881),ABS(Q881-O881)&gt;60),"Cek tahun laycan",IF(AND(ISNUMBER(Q881),ISNUMBER(N881),Q881&lt;N881),"Berangkat sebelum laycan",IF(NOT(ISNUMBER(AE881)),"S belum ada","OK"))))))</f>
        <v/>
      </c>
    </row>
    <row r="882" customFormat="false" ht="15" hidden="false" customHeight="false" outlineLevel="0" collapsed="false">
      <c r="A882" s="16" t="str">
        <f aca="false">IF(B882="","",ROW()-4)</f>
        <v/>
      </c>
      <c r="B882" s="12"/>
      <c r="C882" s="16"/>
      <c r="D882" s="16"/>
      <c r="E882" s="16"/>
      <c r="F882" s="16"/>
      <c r="G882" s="16"/>
      <c r="H882" s="16"/>
      <c r="I882" s="16"/>
      <c r="J882" s="16"/>
      <c r="K882" s="16"/>
      <c r="L882" s="13"/>
      <c r="M882" s="13"/>
      <c r="N882" s="13"/>
      <c r="O882" s="13"/>
      <c r="P882" s="13"/>
      <c r="Q882" s="13"/>
      <c r="R882" s="13"/>
      <c r="S882" s="13"/>
      <c r="T882" s="13"/>
      <c r="U882" s="12"/>
      <c r="V882" s="14"/>
      <c r="W882" s="16"/>
      <c r="X882" s="16"/>
      <c r="Y882" s="16"/>
      <c r="Z882" s="16"/>
      <c r="AA882" s="15" t="str">
        <f aca="false">IF(AND(ISNUMBER(L882),ISNUMBER(M882)),M882-L882,"")</f>
        <v/>
      </c>
      <c r="AB882" s="15" t="str">
        <f aca="false">IF(AND(ISNUMBER(M882),ISNUMBER(P882)),P882-M882,"")</f>
        <v/>
      </c>
      <c r="AC882" s="15" t="str">
        <f aca="false">IF(AND(ISNUMBER(L882),ISNUMBER(P882)),P882-L882,"")</f>
        <v/>
      </c>
      <c r="AD882" s="15" t="str">
        <f aca="false">IF(AND(ISNUMBER(P882),ISNUMBER(Q882)),Q882-P882,"")</f>
        <v/>
      </c>
      <c r="AE882" s="15" t="str">
        <f aca="false">IF(AND(ISNUMBER(Q882),ISNUMBER(R882)),R882-Q882,IF(ISNUMBER(Y882),Y882,""))</f>
        <v/>
      </c>
      <c r="AF882" s="15" t="str">
        <f aca="false">IF(AND(ISNUMBER(R882),ISNUMBER(S882)),S882-R882,"")</f>
        <v/>
      </c>
      <c r="AG882" s="15" t="str">
        <f aca="false">IF(AND(ISNUMBER(S882),ISNUMBER(T882)),T882-S882,"")</f>
        <v/>
      </c>
      <c r="AH882" s="15" t="str">
        <f aca="false">IF(AND(ISNUMBER(L882),ISNUMBER(T882)),T882-L882,"")</f>
        <v/>
      </c>
      <c r="AI882" s="15" t="str">
        <f aca="false">IF(AND(ISNUMBER(O882),ISNUMBER(Q882)),Q882-O882,"")</f>
        <v/>
      </c>
      <c r="AJ882" s="15" t="str">
        <f aca="false">IF(B882="","",COUNT(L882:M882,P882:T882)&amp;"/7")</f>
        <v/>
      </c>
      <c r="AK882" s="15" t="str">
        <f aca="false">IF(B882="","",IF(OR(AND(ISNUMBER(L882),ISNUMBER(M882),M882&lt;L882),AND(ISNUMBER(M882),ISNUMBER(P882),P882&lt;M882),AND(ISNUMBER(P882),ISNUMBER(Q882),Q882&lt;P882),AND(ISNUMBER(Q882),ISNUMBER(R882),R882&lt;Q882),AND(ISNUMBER(R882),ISNUMBER(S882),S882&lt;R882),AND(ISNUMBER(S882),ISNUMBER(T882),T882&lt;S882),AND(ISNUMBER(N882),ISNUMBER(O882),O882&lt;N882)),"Urutan tanggal salah",IF(AND(ISNUMBER(Q882),ISNUMBER(R882),ISNUMBER(Y882),ABS(R882-Q882-Y882)&gt;2),"S tanggal ≠ Sailing tercatat",IF(AND(ISNUMBER(Q882),ISNUMBER(O882),ABS(Q882-O882)&gt;60),"Cek tahun laycan",IF(AND(ISNUMBER(Q882),ISNUMBER(N882),Q882&lt;N882),"Berangkat sebelum laycan",IF(NOT(ISNUMBER(AE882)),"S belum ada","OK"))))))</f>
        <v/>
      </c>
    </row>
    <row r="883" customFormat="false" ht="15" hidden="false" customHeight="false" outlineLevel="0" collapsed="false">
      <c r="A883" s="16" t="str">
        <f aca="false">IF(B883="","",ROW()-4)</f>
        <v/>
      </c>
      <c r="B883" s="12"/>
      <c r="C883" s="16"/>
      <c r="D883" s="16"/>
      <c r="E883" s="16"/>
      <c r="F883" s="16"/>
      <c r="G883" s="16"/>
      <c r="H883" s="16"/>
      <c r="I883" s="16"/>
      <c r="J883" s="16"/>
      <c r="K883" s="16"/>
      <c r="L883" s="13"/>
      <c r="M883" s="13"/>
      <c r="N883" s="13"/>
      <c r="O883" s="13"/>
      <c r="P883" s="13"/>
      <c r="Q883" s="13"/>
      <c r="R883" s="13"/>
      <c r="S883" s="13"/>
      <c r="T883" s="13"/>
      <c r="U883" s="12"/>
      <c r="V883" s="14"/>
      <c r="W883" s="16"/>
      <c r="X883" s="16"/>
      <c r="Y883" s="16"/>
      <c r="Z883" s="16"/>
      <c r="AA883" s="15" t="str">
        <f aca="false">IF(AND(ISNUMBER(L883),ISNUMBER(M883)),M883-L883,"")</f>
        <v/>
      </c>
      <c r="AB883" s="15" t="str">
        <f aca="false">IF(AND(ISNUMBER(M883),ISNUMBER(P883)),P883-M883,"")</f>
        <v/>
      </c>
      <c r="AC883" s="15" t="str">
        <f aca="false">IF(AND(ISNUMBER(L883),ISNUMBER(P883)),P883-L883,"")</f>
        <v/>
      </c>
      <c r="AD883" s="15" t="str">
        <f aca="false">IF(AND(ISNUMBER(P883),ISNUMBER(Q883)),Q883-P883,"")</f>
        <v/>
      </c>
      <c r="AE883" s="15" t="str">
        <f aca="false">IF(AND(ISNUMBER(Q883),ISNUMBER(R883)),R883-Q883,IF(ISNUMBER(Y883),Y883,""))</f>
        <v/>
      </c>
      <c r="AF883" s="15" t="str">
        <f aca="false">IF(AND(ISNUMBER(R883),ISNUMBER(S883)),S883-R883,"")</f>
        <v/>
      </c>
      <c r="AG883" s="15" t="str">
        <f aca="false">IF(AND(ISNUMBER(S883),ISNUMBER(T883)),T883-S883,"")</f>
        <v/>
      </c>
      <c r="AH883" s="15" t="str">
        <f aca="false">IF(AND(ISNUMBER(L883),ISNUMBER(T883)),T883-L883,"")</f>
        <v/>
      </c>
      <c r="AI883" s="15" t="str">
        <f aca="false">IF(AND(ISNUMBER(O883),ISNUMBER(Q883)),Q883-O883,"")</f>
        <v/>
      </c>
      <c r="AJ883" s="15" t="str">
        <f aca="false">IF(B883="","",COUNT(L883:M883,P883:T883)&amp;"/7")</f>
        <v/>
      </c>
      <c r="AK883" s="15" t="str">
        <f aca="false">IF(B883="","",IF(OR(AND(ISNUMBER(L883),ISNUMBER(M883),M883&lt;L883),AND(ISNUMBER(M883),ISNUMBER(P883),P883&lt;M883),AND(ISNUMBER(P883),ISNUMBER(Q883),Q883&lt;P883),AND(ISNUMBER(Q883),ISNUMBER(R883),R883&lt;Q883),AND(ISNUMBER(R883),ISNUMBER(S883),S883&lt;R883),AND(ISNUMBER(S883),ISNUMBER(T883),T883&lt;S883),AND(ISNUMBER(N883),ISNUMBER(O883),O883&lt;N883)),"Urutan tanggal salah",IF(AND(ISNUMBER(Q883),ISNUMBER(R883),ISNUMBER(Y883),ABS(R883-Q883-Y883)&gt;2),"S tanggal ≠ Sailing tercatat",IF(AND(ISNUMBER(Q883),ISNUMBER(O883),ABS(Q883-O883)&gt;60),"Cek tahun laycan",IF(AND(ISNUMBER(Q883),ISNUMBER(N883),Q883&lt;N883),"Berangkat sebelum laycan",IF(NOT(ISNUMBER(AE883)),"S belum ada","OK"))))))</f>
        <v/>
      </c>
    </row>
    <row r="884" customFormat="false" ht="15" hidden="false" customHeight="false" outlineLevel="0" collapsed="false">
      <c r="A884" s="16" t="str">
        <f aca="false">IF(B884="","",ROW()-4)</f>
        <v/>
      </c>
      <c r="B884" s="12"/>
      <c r="C884" s="16"/>
      <c r="D884" s="16"/>
      <c r="E884" s="16"/>
      <c r="F884" s="16"/>
      <c r="G884" s="16"/>
      <c r="H884" s="16"/>
      <c r="I884" s="16"/>
      <c r="J884" s="16"/>
      <c r="K884" s="16"/>
      <c r="L884" s="13"/>
      <c r="M884" s="13"/>
      <c r="N884" s="13"/>
      <c r="O884" s="13"/>
      <c r="P884" s="13"/>
      <c r="Q884" s="13"/>
      <c r="R884" s="13"/>
      <c r="S884" s="13"/>
      <c r="T884" s="13"/>
      <c r="U884" s="12"/>
      <c r="V884" s="14"/>
      <c r="W884" s="16"/>
      <c r="X884" s="16"/>
      <c r="Y884" s="16"/>
      <c r="Z884" s="16"/>
      <c r="AA884" s="15" t="str">
        <f aca="false">IF(AND(ISNUMBER(L884),ISNUMBER(M884)),M884-L884,"")</f>
        <v/>
      </c>
      <c r="AB884" s="15" t="str">
        <f aca="false">IF(AND(ISNUMBER(M884),ISNUMBER(P884)),P884-M884,"")</f>
        <v/>
      </c>
      <c r="AC884" s="15" t="str">
        <f aca="false">IF(AND(ISNUMBER(L884),ISNUMBER(P884)),P884-L884,"")</f>
        <v/>
      </c>
      <c r="AD884" s="15" t="str">
        <f aca="false">IF(AND(ISNUMBER(P884),ISNUMBER(Q884)),Q884-P884,"")</f>
        <v/>
      </c>
      <c r="AE884" s="15" t="str">
        <f aca="false">IF(AND(ISNUMBER(Q884),ISNUMBER(R884)),R884-Q884,IF(ISNUMBER(Y884),Y884,""))</f>
        <v/>
      </c>
      <c r="AF884" s="15" t="str">
        <f aca="false">IF(AND(ISNUMBER(R884),ISNUMBER(S884)),S884-R884,"")</f>
        <v/>
      </c>
      <c r="AG884" s="15" t="str">
        <f aca="false">IF(AND(ISNUMBER(S884),ISNUMBER(T884)),T884-S884,"")</f>
        <v/>
      </c>
      <c r="AH884" s="15" t="str">
        <f aca="false">IF(AND(ISNUMBER(L884),ISNUMBER(T884)),T884-L884,"")</f>
        <v/>
      </c>
      <c r="AI884" s="15" t="str">
        <f aca="false">IF(AND(ISNUMBER(O884),ISNUMBER(Q884)),Q884-O884,"")</f>
        <v/>
      </c>
      <c r="AJ884" s="15" t="str">
        <f aca="false">IF(B884="","",COUNT(L884:M884,P884:T884)&amp;"/7")</f>
        <v/>
      </c>
      <c r="AK884" s="15" t="str">
        <f aca="false">IF(B884="","",IF(OR(AND(ISNUMBER(L884),ISNUMBER(M884),M884&lt;L884),AND(ISNUMBER(M884),ISNUMBER(P884),P884&lt;M884),AND(ISNUMBER(P884),ISNUMBER(Q884),Q884&lt;P884),AND(ISNUMBER(Q884),ISNUMBER(R884),R884&lt;Q884),AND(ISNUMBER(R884),ISNUMBER(S884),S884&lt;R884),AND(ISNUMBER(S884),ISNUMBER(T884),T884&lt;S884),AND(ISNUMBER(N884),ISNUMBER(O884),O884&lt;N884)),"Urutan tanggal salah",IF(AND(ISNUMBER(Q884),ISNUMBER(R884),ISNUMBER(Y884),ABS(R884-Q884-Y884)&gt;2),"S tanggal ≠ Sailing tercatat",IF(AND(ISNUMBER(Q884),ISNUMBER(O884),ABS(Q884-O884)&gt;60),"Cek tahun laycan",IF(AND(ISNUMBER(Q884),ISNUMBER(N884),Q884&lt;N884),"Berangkat sebelum laycan",IF(NOT(ISNUMBER(AE884)),"S belum ada","OK"))))))</f>
        <v/>
      </c>
    </row>
    <row r="885" customFormat="false" ht="15" hidden="false" customHeight="false" outlineLevel="0" collapsed="false">
      <c r="A885" s="16" t="str">
        <f aca="false">IF(B885="","",ROW()-4)</f>
        <v/>
      </c>
      <c r="B885" s="12"/>
      <c r="C885" s="16"/>
      <c r="D885" s="16"/>
      <c r="E885" s="16"/>
      <c r="F885" s="16"/>
      <c r="G885" s="16"/>
      <c r="H885" s="16"/>
      <c r="I885" s="16"/>
      <c r="J885" s="16"/>
      <c r="K885" s="16"/>
      <c r="L885" s="13"/>
      <c r="M885" s="13"/>
      <c r="N885" s="13"/>
      <c r="O885" s="13"/>
      <c r="P885" s="13"/>
      <c r="Q885" s="13"/>
      <c r="R885" s="13"/>
      <c r="S885" s="13"/>
      <c r="T885" s="13"/>
      <c r="U885" s="12"/>
      <c r="V885" s="14"/>
      <c r="W885" s="16"/>
      <c r="X885" s="16"/>
      <c r="Y885" s="16"/>
      <c r="Z885" s="16"/>
      <c r="AA885" s="15" t="str">
        <f aca="false">IF(AND(ISNUMBER(L885),ISNUMBER(M885)),M885-L885,"")</f>
        <v/>
      </c>
      <c r="AB885" s="15" t="str">
        <f aca="false">IF(AND(ISNUMBER(M885),ISNUMBER(P885)),P885-M885,"")</f>
        <v/>
      </c>
      <c r="AC885" s="15" t="str">
        <f aca="false">IF(AND(ISNUMBER(L885),ISNUMBER(P885)),P885-L885,"")</f>
        <v/>
      </c>
      <c r="AD885" s="15" t="str">
        <f aca="false">IF(AND(ISNUMBER(P885),ISNUMBER(Q885)),Q885-P885,"")</f>
        <v/>
      </c>
      <c r="AE885" s="15" t="str">
        <f aca="false">IF(AND(ISNUMBER(Q885),ISNUMBER(R885)),R885-Q885,IF(ISNUMBER(Y885),Y885,""))</f>
        <v/>
      </c>
      <c r="AF885" s="15" t="str">
        <f aca="false">IF(AND(ISNUMBER(R885),ISNUMBER(S885)),S885-R885,"")</f>
        <v/>
      </c>
      <c r="AG885" s="15" t="str">
        <f aca="false">IF(AND(ISNUMBER(S885),ISNUMBER(T885)),T885-S885,"")</f>
        <v/>
      </c>
      <c r="AH885" s="15" t="str">
        <f aca="false">IF(AND(ISNUMBER(L885),ISNUMBER(T885)),T885-L885,"")</f>
        <v/>
      </c>
      <c r="AI885" s="15" t="str">
        <f aca="false">IF(AND(ISNUMBER(O885),ISNUMBER(Q885)),Q885-O885,"")</f>
        <v/>
      </c>
      <c r="AJ885" s="15" t="str">
        <f aca="false">IF(B885="","",COUNT(L885:M885,P885:T885)&amp;"/7")</f>
        <v/>
      </c>
      <c r="AK885" s="15" t="str">
        <f aca="false">IF(B885="","",IF(OR(AND(ISNUMBER(L885),ISNUMBER(M885),M885&lt;L885),AND(ISNUMBER(M885),ISNUMBER(P885),P885&lt;M885),AND(ISNUMBER(P885),ISNUMBER(Q885),Q885&lt;P885),AND(ISNUMBER(Q885),ISNUMBER(R885),R885&lt;Q885),AND(ISNUMBER(R885),ISNUMBER(S885),S885&lt;R885),AND(ISNUMBER(S885),ISNUMBER(T885),T885&lt;S885),AND(ISNUMBER(N885),ISNUMBER(O885),O885&lt;N885)),"Urutan tanggal salah",IF(AND(ISNUMBER(Q885),ISNUMBER(R885),ISNUMBER(Y885),ABS(R885-Q885-Y885)&gt;2),"S tanggal ≠ Sailing tercatat",IF(AND(ISNUMBER(Q885),ISNUMBER(O885),ABS(Q885-O885)&gt;60),"Cek tahun laycan",IF(AND(ISNUMBER(Q885),ISNUMBER(N885),Q885&lt;N885),"Berangkat sebelum laycan",IF(NOT(ISNUMBER(AE885)),"S belum ada","OK"))))))</f>
        <v/>
      </c>
    </row>
    <row r="886" customFormat="false" ht="15" hidden="false" customHeight="false" outlineLevel="0" collapsed="false">
      <c r="A886" s="16" t="str">
        <f aca="false">IF(B886="","",ROW()-4)</f>
        <v/>
      </c>
      <c r="B886" s="12"/>
      <c r="C886" s="16"/>
      <c r="D886" s="16"/>
      <c r="E886" s="16"/>
      <c r="F886" s="16"/>
      <c r="G886" s="16"/>
      <c r="H886" s="16"/>
      <c r="I886" s="16"/>
      <c r="J886" s="16"/>
      <c r="K886" s="16"/>
      <c r="L886" s="13"/>
      <c r="M886" s="13"/>
      <c r="N886" s="13"/>
      <c r="O886" s="13"/>
      <c r="P886" s="13"/>
      <c r="Q886" s="13"/>
      <c r="R886" s="13"/>
      <c r="S886" s="13"/>
      <c r="T886" s="13"/>
      <c r="U886" s="12"/>
      <c r="V886" s="14"/>
      <c r="W886" s="16"/>
      <c r="X886" s="16"/>
      <c r="Y886" s="16"/>
      <c r="Z886" s="16"/>
      <c r="AA886" s="15" t="str">
        <f aca="false">IF(AND(ISNUMBER(L886),ISNUMBER(M886)),M886-L886,"")</f>
        <v/>
      </c>
      <c r="AB886" s="15" t="str">
        <f aca="false">IF(AND(ISNUMBER(M886),ISNUMBER(P886)),P886-M886,"")</f>
        <v/>
      </c>
      <c r="AC886" s="15" t="str">
        <f aca="false">IF(AND(ISNUMBER(L886),ISNUMBER(P886)),P886-L886,"")</f>
        <v/>
      </c>
      <c r="AD886" s="15" t="str">
        <f aca="false">IF(AND(ISNUMBER(P886),ISNUMBER(Q886)),Q886-P886,"")</f>
        <v/>
      </c>
      <c r="AE886" s="15" t="str">
        <f aca="false">IF(AND(ISNUMBER(Q886),ISNUMBER(R886)),R886-Q886,IF(ISNUMBER(Y886),Y886,""))</f>
        <v/>
      </c>
      <c r="AF886" s="15" t="str">
        <f aca="false">IF(AND(ISNUMBER(R886),ISNUMBER(S886)),S886-R886,"")</f>
        <v/>
      </c>
      <c r="AG886" s="15" t="str">
        <f aca="false">IF(AND(ISNUMBER(S886),ISNUMBER(T886)),T886-S886,"")</f>
        <v/>
      </c>
      <c r="AH886" s="15" t="str">
        <f aca="false">IF(AND(ISNUMBER(L886),ISNUMBER(T886)),T886-L886,"")</f>
        <v/>
      </c>
      <c r="AI886" s="15" t="str">
        <f aca="false">IF(AND(ISNUMBER(O886),ISNUMBER(Q886)),Q886-O886,"")</f>
        <v/>
      </c>
      <c r="AJ886" s="15" t="str">
        <f aca="false">IF(B886="","",COUNT(L886:M886,P886:T886)&amp;"/7")</f>
        <v/>
      </c>
      <c r="AK886" s="15" t="str">
        <f aca="false">IF(B886="","",IF(OR(AND(ISNUMBER(L886),ISNUMBER(M886),M886&lt;L886),AND(ISNUMBER(M886),ISNUMBER(P886),P886&lt;M886),AND(ISNUMBER(P886),ISNUMBER(Q886),Q886&lt;P886),AND(ISNUMBER(Q886),ISNUMBER(R886),R886&lt;Q886),AND(ISNUMBER(R886),ISNUMBER(S886),S886&lt;R886),AND(ISNUMBER(S886),ISNUMBER(T886),T886&lt;S886),AND(ISNUMBER(N886),ISNUMBER(O886),O886&lt;N886)),"Urutan tanggal salah",IF(AND(ISNUMBER(Q886),ISNUMBER(R886),ISNUMBER(Y886),ABS(R886-Q886-Y886)&gt;2),"S tanggal ≠ Sailing tercatat",IF(AND(ISNUMBER(Q886),ISNUMBER(O886),ABS(Q886-O886)&gt;60),"Cek tahun laycan",IF(AND(ISNUMBER(Q886),ISNUMBER(N886),Q886&lt;N886),"Berangkat sebelum laycan",IF(NOT(ISNUMBER(AE886)),"S belum ada","OK"))))))</f>
        <v/>
      </c>
    </row>
    <row r="887" customFormat="false" ht="15" hidden="false" customHeight="false" outlineLevel="0" collapsed="false">
      <c r="A887" s="16" t="str">
        <f aca="false">IF(B887="","",ROW()-4)</f>
        <v/>
      </c>
      <c r="B887" s="12"/>
      <c r="C887" s="16"/>
      <c r="D887" s="16"/>
      <c r="E887" s="16"/>
      <c r="F887" s="16"/>
      <c r="G887" s="16"/>
      <c r="H887" s="16"/>
      <c r="I887" s="16"/>
      <c r="J887" s="16"/>
      <c r="K887" s="16"/>
      <c r="L887" s="13"/>
      <c r="M887" s="13"/>
      <c r="N887" s="13"/>
      <c r="O887" s="13"/>
      <c r="P887" s="13"/>
      <c r="Q887" s="13"/>
      <c r="R887" s="13"/>
      <c r="S887" s="13"/>
      <c r="T887" s="13"/>
      <c r="U887" s="12"/>
      <c r="V887" s="14"/>
      <c r="W887" s="16"/>
      <c r="X887" s="16"/>
      <c r="Y887" s="16"/>
      <c r="Z887" s="16"/>
      <c r="AA887" s="15" t="str">
        <f aca="false">IF(AND(ISNUMBER(L887),ISNUMBER(M887)),M887-L887,"")</f>
        <v/>
      </c>
      <c r="AB887" s="15" t="str">
        <f aca="false">IF(AND(ISNUMBER(M887),ISNUMBER(P887)),P887-M887,"")</f>
        <v/>
      </c>
      <c r="AC887" s="15" t="str">
        <f aca="false">IF(AND(ISNUMBER(L887),ISNUMBER(P887)),P887-L887,"")</f>
        <v/>
      </c>
      <c r="AD887" s="15" t="str">
        <f aca="false">IF(AND(ISNUMBER(P887),ISNUMBER(Q887)),Q887-P887,"")</f>
        <v/>
      </c>
      <c r="AE887" s="15" t="str">
        <f aca="false">IF(AND(ISNUMBER(Q887),ISNUMBER(R887)),R887-Q887,IF(ISNUMBER(Y887),Y887,""))</f>
        <v/>
      </c>
      <c r="AF887" s="15" t="str">
        <f aca="false">IF(AND(ISNUMBER(R887),ISNUMBER(S887)),S887-R887,"")</f>
        <v/>
      </c>
      <c r="AG887" s="15" t="str">
        <f aca="false">IF(AND(ISNUMBER(S887),ISNUMBER(T887)),T887-S887,"")</f>
        <v/>
      </c>
      <c r="AH887" s="15" t="str">
        <f aca="false">IF(AND(ISNUMBER(L887),ISNUMBER(T887)),T887-L887,"")</f>
        <v/>
      </c>
      <c r="AI887" s="15" t="str">
        <f aca="false">IF(AND(ISNUMBER(O887),ISNUMBER(Q887)),Q887-O887,"")</f>
        <v/>
      </c>
      <c r="AJ887" s="15" t="str">
        <f aca="false">IF(B887="","",COUNT(L887:M887,P887:T887)&amp;"/7")</f>
        <v/>
      </c>
      <c r="AK887" s="15" t="str">
        <f aca="false">IF(B887="","",IF(OR(AND(ISNUMBER(L887),ISNUMBER(M887),M887&lt;L887),AND(ISNUMBER(M887),ISNUMBER(P887),P887&lt;M887),AND(ISNUMBER(P887),ISNUMBER(Q887),Q887&lt;P887),AND(ISNUMBER(Q887),ISNUMBER(R887),R887&lt;Q887),AND(ISNUMBER(R887),ISNUMBER(S887),S887&lt;R887),AND(ISNUMBER(S887),ISNUMBER(T887),T887&lt;S887),AND(ISNUMBER(N887),ISNUMBER(O887),O887&lt;N887)),"Urutan tanggal salah",IF(AND(ISNUMBER(Q887),ISNUMBER(R887),ISNUMBER(Y887),ABS(R887-Q887-Y887)&gt;2),"S tanggal ≠ Sailing tercatat",IF(AND(ISNUMBER(Q887),ISNUMBER(O887),ABS(Q887-O887)&gt;60),"Cek tahun laycan",IF(AND(ISNUMBER(Q887),ISNUMBER(N887),Q887&lt;N887),"Berangkat sebelum laycan",IF(NOT(ISNUMBER(AE887)),"S belum ada","OK"))))))</f>
        <v/>
      </c>
    </row>
    <row r="888" customFormat="false" ht="15" hidden="false" customHeight="false" outlineLevel="0" collapsed="false">
      <c r="A888" s="16" t="str">
        <f aca="false">IF(B888="","",ROW()-4)</f>
        <v/>
      </c>
      <c r="B888" s="12"/>
      <c r="C888" s="16"/>
      <c r="D888" s="16"/>
      <c r="E888" s="16"/>
      <c r="F888" s="16"/>
      <c r="G888" s="16"/>
      <c r="H888" s="16"/>
      <c r="I888" s="16"/>
      <c r="J888" s="16"/>
      <c r="K888" s="16"/>
      <c r="L888" s="13"/>
      <c r="M888" s="13"/>
      <c r="N888" s="13"/>
      <c r="O888" s="13"/>
      <c r="P888" s="13"/>
      <c r="Q888" s="13"/>
      <c r="R888" s="13"/>
      <c r="S888" s="13"/>
      <c r="T888" s="13"/>
      <c r="U888" s="12"/>
      <c r="V888" s="14"/>
      <c r="W888" s="16"/>
      <c r="X888" s="16"/>
      <c r="Y888" s="16"/>
      <c r="Z888" s="16"/>
      <c r="AA888" s="15" t="str">
        <f aca="false">IF(AND(ISNUMBER(L888),ISNUMBER(M888)),M888-L888,"")</f>
        <v/>
      </c>
      <c r="AB888" s="15" t="str">
        <f aca="false">IF(AND(ISNUMBER(M888),ISNUMBER(P888)),P888-M888,"")</f>
        <v/>
      </c>
      <c r="AC888" s="15" t="str">
        <f aca="false">IF(AND(ISNUMBER(L888),ISNUMBER(P888)),P888-L888,"")</f>
        <v/>
      </c>
      <c r="AD888" s="15" t="str">
        <f aca="false">IF(AND(ISNUMBER(P888),ISNUMBER(Q888)),Q888-P888,"")</f>
        <v/>
      </c>
      <c r="AE888" s="15" t="str">
        <f aca="false">IF(AND(ISNUMBER(Q888),ISNUMBER(R888)),R888-Q888,IF(ISNUMBER(Y888),Y888,""))</f>
        <v/>
      </c>
      <c r="AF888" s="15" t="str">
        <f aca="false">IF(AND(ISNUMBER(R888),ISNUMBER(S888)),S888-R888,"")</f>
        <v/>
      </c>
      <c r="AG888" s="15" t="str">
        <f aca="false">IF(AND(ISNUMBER(S888),ISNUMBER(T888)),T888-S888,"")</f>
        <v/>
      </c>
      <c r="AH888" s="15" t="str">
        <f aca="false">IF(AND(ISNUMBER(L888),ISNUMBER(T888)),T888-L888,"")</f>
        <v/>
      </c>
      <c r="AI888" s="15" t="str">
        <f aca="false">IF(AND(ISNUMBER(O888),ISNUMBER(Q888)),Q888-O888,"")</f>
        <v/>
      </c>
      <c r="AJ888" s="15" t="str">
        <f aca="false">IF(B888="","",COUNT(L888:M888,P888:T888)&amp;"/7")</f>
        <v/>
      </c>
      <c r="AK888" s="15" t="str">
        <f aca="false">IF(B888="","",IF(OR(AND(ISNUMBER(L888),ISNUMBER(M888),M888&lt;L888),AND(ISNUMBER(M888),ISNUMBER(P888),P888&lt;M888),AND(ISNUMBER(P888),ISNUMBER(Q888),Q888&lt;P888),AND(ISNUMBER(Q888),ISNUMBER(R888),R888&lt;Q888),AND(ISNUMBER(R888),ISNUMBER(S888),S888&lt;R888),AND(ISNUMBER(S888),ISNUMBER(T888),T888&lt;S888),AND(ISNUMBER(N888),ISNUMBER(O888),O888&lt;N888)),"Urutan tanggal salah",IF(AND(ISNUMBER(Q888),ISNUMBER(R888),ISNUMBER(Y888),ABS(R888-Q888-Y888)&gt;2),"S tanggal ≠ Sailing tercatat",IF(AND(ISNUMBER(Q888),ISNUMBER(O888),ABS(Q888-O888)&gt;60),"Cek tahun laycan",IF(AND(ISNUMBER(Q888),ISNUMBER(N888),Q888&lt;N888),"Berangkat sebelum laycan",IF(NOT(ISNUMBER(AE888)),"S belum ada","OK"))))))</f>
        <v/>
      </c>
    </row>
    <row r="889" customFormat="false" ht="15" hidden="false" customHeight="false" outlineLevel="0" collapsed="false">
      <c r="A889" s="16" t="str">
        <f aca="false">IF(B889="","",ROW()-4)</f>
        <v/>
      </c>
      <c r="B889" s="12"/>
      <c r="C889" s="16"/>
      <c r="D889" s="16"/>
      <c r="E889" s="16"/>
      <c r="F889" s="16"/>
      <c r="G889" s="16"/>
      <c r="H889" s="16"/>
      <c r="I889" s="16"/>
      <c r="J889" s="16"/>
      <c r="K889" s="16"/>
      <c r="L889" s="13"/>
      <c r="M889" s="13"/>
      <c r="N889" s="13"/>
      <c r="O889" s="13"/>
      <c r="P889" s="13"/>
      <c r="Q889" s="13"/>
      <c r="R889" s="13"/>
      <c r="S889" s="13"/>
      <c r="T889" s="13"/>
      <c r="U889" s="12"/>
      <c r="V889" s="14"/>
      <c r="W889" s="16"/>
      <c r="X889" s="16"/>
      <c r="Y889" s="16"/>
      <c r="Z889" s="16"/>
      <c r="AA889" s="15" t="str">
        <f aca="false">IF(AND(ISNUMBER(L889),ISNUMBER(M889)),M889-L889,"")</f>
        <v/>
      </c>
      <c r="AB889" s="15" t="str">
        <f aca="false">IF(AND(ISNUMBER(M889),ISNUMBER(P889)),P889-M889,"")</f>
        <v/>
      </c>
      <c r="AC889" s="15" t="str">
        <f aca="false">IF(AND(ISNUMBER(L889),ISNUMBER(P889)),P889-L889,"")</f>
        <v/>
      </c>
      <c r="AD889" s="15" t="str">
        <f aca="false">IF(AND(ISNUMBER(P889),ISNUMBER(Q889)),Q889-P889,"")</f>
        <v/>
      </c>
      <c r="AE889" s="15" t="str">
        <f aca="false">IF(AND(ISNUMBER(Q889),ISNUMBER(R889)),R889-Q889,IF(ISNUMBER(Y889),Y889,""))</f>
        <v/>
      </c>
      <c r="AF889" s="15" t="str">
        <f aca="false">IF(AND(ISNUMBER(R889),ISNUMBER(S889)),S889-R889,"")</f>
        <v/>
      </c>
      <c r="AG889" s="15" t="str">
        <f aca="false">IF(AND(ISNUMBER(S889),ISNUMBER(T889)),T889-S889,"")</f>
        <v/>
      </c>
      <c r="AH889" s="15" t="str">
        <f aca="false">IF(AND(ISNUMBER(L889),ISNUMBER(T889)),T889-L889,"")</f>
        <v/>
      </c>
      <c r="AI889" s="15" t="str">
        <f aca="false">IF(AND(ISNUMBER(O889),ISNUMBER(Q889)),Q889-O889,"")</f>
        <v/>
      </c>
      <c r="AJ889" s="15" t="str">
        <f aca="false">IF(B889="","",COUNT(L889:M889,P889:T889)&amp;"/7")</f>
        <v/>
      </c>
      <c r="AK889" s="15" t="str">
        <f aca="false">IF(B889="","",IF(OR(AND(ISNUMBER(L889),ISNUMBER(M889),M889&lt;L889),AND(ISNUMBER(M889),ISNUMBER(P889),P889&lt;M889),AND(ISNUMBER(P889),ISNUMBER(Q889),Q889&lt;P889),AND(ISNUMBER(Q889),ISNUMBER(R889),R889&lt;Q889),AND(ISNUMBER(R889),ISNUMBER(S889),S889&lt;R889),AND(ISNUMBER(S889),ISNUMBER(T889),T889&lt;S889),AND(ISNUMBER(N889),ISNUMBER(O889),O889&lt;N889)),"Urutan tanggal salah",IF(AND(ISNUMBER(Q889),ISNUMBER(R889),ISNUMBER(Y889),ABS(R889-Q889-Y889)&gt;2),"S tanggal ≠ Sailing tercatat",IF(AND(ISNUMBER(Q889),ISNUMBER(O889),ABS(Q889-O889)&gt;60),"Cek tahun laycan",IF(AND(ISNUMBER(Q889),ISNUMBER(N889),Q889&lt;N889),"Berangkat sebelum laycan",IF(NOT(ISNUMBER(AE889)),"S belum ada","OK"))))))</f>
        <v/>
      </c>
    </row>
    <row r="890" customFormat="false" ht="15" hidden="false" customHeight="false" outlineLevel="0" collapsed="false">
      <c r="A890" s="16" t="str">
        <f aca="false">IF(B890="","",ROW()-4)</f>
        <v/>
      </c>
      <c r="B890" s="12"/>
      <c r="C890" s="16"/>
      <c r="D890" s="16"/>
      <c r="E890" s="16"/>
      <c r="F890" s="16"/>
      <c r="G890" s="16"/>
      <c r="H890" s="16"/>
      <c r="I890" s="16"/>
      <c r="J890" s="16"/>
      <c r="K890" s="16"/>
      <c r="L890" s="13"/>
      <c r="M890" s="13"/>
      <c r="N890" s="13"/>
      <c r="O890" s="13"/>
      <c r="P890" s="13"/>
      <c r="Q890" s="13"/>
      <c r="R890" s="13"/>
      <c r="S890" s="13"/>
      <c r="T890" s="13"/>
      <c r="U890" s="12"/>
      <c r="V890" s="14"/>
      <c r="W890" s="16"/>
      <c r="X890" s="16"/>
      <c r="Y890" s="16"/>
      <c r="Z890" s="16"/>
      <c r="AA890" s="15" t="str">
        <f aca="false">IF(AND(ISNUMBER(L890),ISNUMBER(M890)),M890-L890,"")</f>
        <v/>
      </c>
      <c r="AB890" s="15" t="str">
        <f aca="false">IF(AND(ISNUMBER(M890),ISNUMBER(P890)),P890-M890,"")</f>
        <v/>
      </c>
      <c r="AC890" s="15" t="str">
        <f aca="false">IF(AND(ISNUMBER(L890),ISNUMBER(P890)),P890-L890,"")</f>
        <v/>
      </c>
      <c r="AD890" s="15" t="str">
        <f aca="false">IF(AND(ISNUMBER(P890),ISNUMBER(Q890)),Q890-P890,"")</f>
        <v/>
      </c>
      <c r="AE890" s="15" t="str">
        <f aca="false">IF(AND(ISNUMBER(Q890),ISNUMBER(R890)),R890-Q890,IF(ISNUMBER(Y890),Y890,""))</f>
        <v/>
      </c>
      <c r="AF890" s="15" t="str">
        <f aca="false">IF(AND(ISNUMBER(R890),ISNUMBER(S890)),S890-R890,"")</f>
        <v/>
      </c>
      <c r="AG890" s="15" t="str">
        <f aca="false">IF(AND(ISNUMBER(S890),ISNUMBER(T890)),T890-S890,"")</f>
        <v/>
      </c>
      <c r="AH890" s="15" t="str">
        <f aca="false">IF(AND(ISNUMBER(L890),ISNUMBER(T890)),T890-L890,"")</f>
        <v/>
      </c>
      <c r="AI890" s="15" t="str">
        <f aca="false">IF(AND(ISNUMBER(O890),ISNUMBER(Q890)),Q890-O890,"")</f>
        <v/>
      </c>
      <c r="AJ890" s="15" t="str">
        <f aca="false">IF(B890="","",COUNT(L890:M890,P890:T890)&amp;"/7")</f>
        <v/>
      </c>
      <c r="AK890" s="15" t="str">
        <f aca="false">IF(B890="","",IF(OR(AND(ISNUMBER(L890),ISNUMBER(M890),M890&lt;L890),AND(ISNUMBER(M890),ISNUMBER(P890),P890&lt;M890),AND(ISNUMBER(P890),ISNUMBER(Q890),Q890&lt;P890),AND(ISNUMBER(Q890),ISNUMBER(R890),R890&lt;Q890),AND(ISNUMBER(R890),ISNUMBER(S890),S890&lt;R890),AND(ISNUMBER(S890),ISNUMBER(T890),T890&lt;S890),AND(ISNUMBER(N890),ISNUMBER(O890),O890&lt;N890)),"Urutan tanggal salah",IF(AND(ISNUMBER(Q890),ISNUMBER(R890),ISNUMBER(Y890),ABS(R890-Q890-Y890)&gt;2),"S tanggal ≠ Sailing tercatat",IF(AND(ISNUMBER(Q890),ISNUMBER(O890),ABS(Q890-O890)&gt;60),"Cek tahun laycan",IF(AND(ISNUMBER(Q890),ISNUMBER(N890),Q890&lt;N890),"Berangkat sebelum laycan",IF(NOT(ISNUMBER(AE890)),"S belum ada","OK"))))))</f>
        <v/>
      </c>
    </row>
    <row r="891" customFormat="false" ht="15" hidden="false" customHeight="false" outlineLevel="0" collapsed="false">
      <c r="A891" s="16" t="str">
        <f aca="false">IF(B891="","",ROW()-4)</f>
        <v/>
      </c>
      <c r="B891" s="12"/>
      <c r="C891" s="16"/>
      <c r="D891" s="16"/>
      <c r="E891" s="16"/>
      <c r="F891" s="16"/>
      <c r="G891" s="16"/>
      <c r="H891" s="16"/>
      <c r="I891" s="16"/>
      <c r="J891" s="16"/>
      <c r="K891" s="16"/>
      <c r="L891" s="13"/>
      <c r="M891" s="13"/>
      <c r="N891" s="13"/>
      <c r="O891" s="13"/>
      <c r="P891" s="13"/>
      <c r="Q891" s="13"/>
      <c r="R891" s="13"/>
      <c r="S891" s="13"/>
      <c r="T891" s="13"/>
      <c r="U891" s="12"/>
      <c r="V891" s="14"/>
      <c r="W891" s="16"/>
      <c r="X891" s="16"/>
      <c r="Y891" s="16"/>
      <c r="Z891" s="16"/>
      <c r="AA891" s="15" t="str">
        <f aca="false">IF(AND(ISNUMBER(L891),ISNUMBER(M891)),M891-L891,"")</f>
        <v/>
      </c>
      <c r="AB891" s="15" t="str">
        <f aca="false">IF(AND(ISNUMBER(M891),ISNUMBER(P891)),P891-M891,"")</f>
        <v/>
      </c>
      <c r="AC891" s="15" t="str">
        <f aca="false">IF(AND(ISNUMBER(L891),ISNUMBER(P891)),P891-L891,"")</f>
        <v/>
      </c>
      <c r="AD891" s="15" t="str">
        <f aca="false">IF(AND(ISNUMBER(P891),ISNUMBER(Q891)),Q891-P891,"")</f>
        <v/>
      </c>
      <c r="AE891" s="15" t="str">
        <f aca="false">IF(AND(ISNUMBER(Q891),ISNUMBER(R891)),R891-Q891,IF(ISNUMBER(Y891),Y891,""))</f>
        <v/>
      </c>
      <c r="AF891" s="15" t="str">
        <f aca="false">IF(AND(ISNUMBER(R891),ISNUMBER(S891)),S891-R891,"")</f>
        <v/>
      </c>
      <c r="AG891" s="15" t="str">
        <f aca="false">IF(AND(ISNUMBER(S891),ISNUMBER(T891)),T891-S891,"")</f>
        <v/>
      </c>
      <c r="AH891" s="15" t="str">
        <f aca="false">IF(AND(ISNUMBER(L891),ISNUMBER(T891)),T891-L891,"")</f>
        <v/>
      </c>
      <c r="AI891" s="15" t="str">
        <f aca="false">IF(AND(ISNUMBER(O891),ISNUMBER(Q891)),Q891-O891,"")</f>
        <v/>
      </c>
      <c r="AJ891" s="15" t="str">
        <f aca="false">IF(B891="","",COUNT(L891:M891,P891:T891)&amp;"/7")</f>
        <v/>
      </c>
      <c r="AK891" s="15" t="str">
        <f aca="false">IF(B891="","",IF(OR(AND(ISNUMBER(L891),ISNUMBER(M891),M891&lt;L891),AND(ISNUMBER(M891),ISNUMBER(P891),P891&lt;M891),AND(ISNUMBER(P891),ISNUMBER(Q891),Q891&lt;P891),AND(ISNUMBER(Q891),ISNUMBER(R891),R891&lt;Q891),AND(ISNUMBER(R891),ISNUMBER(S891),S891&lt;R891),AND(ISNUMBER(S891),ISNUMBER(T891),T891&lt;S891),AND(ISNUMBER(N891),ISNUMBER(O891),O891&lt;N891)),"Urutan tanggal salah",IF(AND(ISNUMBER(Q891),ISNUMBER(R891),ISNUMBER(Y891),ABS(R891-Q891-Y891)&gt;2),"S tanggal ≠ Sailing tercatat",IF(AND(ISNUMBER(Q891),ISNUMBER(O891),ABS(Q891-O891)&gt;60),"Cek tahun laycan",IF(AND(ISNUMBER(Q891),ISNUMBER(N891),Q891&lt;N891),"Berangkat sebelum laycan",IF(NOT(ISNUMBER(AE891)),"S belum ada","OK"))))))</f>
        <v/>
      </c>
    </row>
    <row r="892" customFormat="false" ht="15" hidden="false" customHeight="false" outlineLevel="0" collapsed="false">
      <c r="A892" s="16" t="str">
        <f aca="false">IF(B892="","",ROW()-4)</f>
        <v/>
      </c>
      <c r="B892" s="12"/>
      <c r="C892" s="16"/>
      <c r="D892" s="16"/>
      <c r="E892" s="16"/>
      <c r="F892" s="16"/>
      <c r="G892" s="16"/>
      <c r="H892" s="16"/>
      <c r="I892" s="16"/>
      <c r="J892" s="16"/>
      <c r="K892" s="16"/>
      <c r="L892" s="13"/>
      <c r="M892" s="13"/>
      <c r="N892" s="13"/>
      <c r="O892" s="13"/>
      <c r="P892" s="13"/>
      <c r="Q892" s="13"/>
      <c r="R892" s="13"/>
      <c r="S892" s="13"/>
      <c r="T892" s="13"/>
      <c r="U892" s="12"/>
      <c r="V892" s="14"/>
      <c r="W892" s="16"/>
      <c r="X892" s="16"/>
      <c r="Y892" s="16"/>
      <c r="Z892" s="16"/>
      <c r="AA892" s="15" t="str">
        <f aca="false">IF(AND(ISNUMBER(L892),ISNUMBER(M892)),M892-L892,"")</f>
        <v/>
      </c>
      <c r="AB892" s="15" t="str">
        <f aca="false">IF(AND(ISNUMBER(M892),ISNUMBER(P892)),P892-M892,"")</f>
        <v/>
      </c>
      <c r="AC892" s="15" t="str">
        <f aca="false">IF(AND(ISNUMBER(L892),ISNUMBER(P892)),P892-L892,"")</f>
        <v/>
      </c>
      <c r="AD892" s="15" t="str">
        <f aca="false">IF(AND(ISNUMBER(P892),ISNUMBER(Q892)),Q892-P892,"")</f>
        <v/>
      </c>
      <c r="AE892" s="15" t="str">
        <f aca="false">IF(AND(ISNUMBER(Q892),ISNUMBER(R892)),R892-Q892,IF(ISNUMBER(Y892),Y892,""))</f>
        <v/>
      </c>
      <c r="AF892" s="15" t="str">
        <f aca="false">IF(AND(ISNUMBER(R892),ISNUMBER(S892)),S892-R892,"")</f>
        <v/>
      </c>
      <c r="AG892" s="15" t="str">
        <f aca="false">IF(AND(ISNUMBER(S892),ISNUMBER(T892)),T892-S892,"")</f>
        <v/>
      </c>
      <c r="AH892" s="15" t="str">
        <f aca="false">IF(AND(ISNUMBER(L892),ISNUMBER(T892)),T892-L892,"")</f>
        <v/>
      </c>
      <c r="AI892" s="15" t="str">
        <f aca="false">IF(AND(ISNUMBER(O892),ISNUMBER(Q892)),Q892-O892,"")</f>
        <v/>
      </c>
      <c r="AJ892" s="15" t="str">
        <f aca="false">IF(B892="","",COUNT(L892:M892,P892:T892)&amp;"/7")</f>
        <v/>
      </c>
      <c r="AK892" s="15" t="str">
        <f aca="false">IF(B892="","",IF(OR(AND(ISNUMBER(L892),ISNUMBER(M892),M892&lt;L892),AND(ISNUMBER(M892),ISNUMBER(P892),P892&lt;M892),AND(ISNUMBER(P892),ISNUMBER(Q892),Q892&lt;P892),AND(ISNUMBER(Q892),ISNUMBER(R892),R892&lt;Q892),AND(ISNUMBER(R892),ISNUMBER(S892),S892&lt;R892),AND(ISNUMBER(S892),ISNUMBER(T892),T892&lt;S892),AND(ISNUMBER(N892),ISNUMBER(O892),O892&lt;N892)),"Urutan tanggal salah",IF(AND(ISNUMBER(Q892),ISNUMBER(R892),ISNUMBER(Y892),ABS(R892-Q892-Y892)&gt;2),"S tanggal ≠ Sailing tercatat",IF(AND(ISNUMBER(Q892),ISNUMBER(O892),ABS(Q892-O892)&gt;60),"Cek tahun laycan",IF(AND(ISNUMBER(Q892),ISNUMBER(N892),Q892&lt;N892),"Berangkat sebelum laycan",IF(NOT(ISNUMBER(AE892)),"S belum ada","OK"))))))</f>
        <v/>
      </c>
    </row>
    <row r="893" customFormat="false" ht="15" hidden="false" customHeight="false" outlineLevel="0" collapsed="false">
      <c r="A893" s="16" t="str">
        <f aca="false">IF(B893="","",ROW()-4)</f>
        <v/>
      </c>
      <c r="B893" s="12"/>
      <c r="C893" s="16"/>
      <c r="D893" s="16"/>
      <c r="E893" s="16"/>
      <c r="F893" s="16"/>
      <c r="G893" s="16"/>
      <c r="H893" s="16"/>
      <c r="I893" s="16"/>
      <c r="J893" s="16"/>
      <c r="K893" s="16"/>
      <c r="L893" s="13"/>
      <c r="M893" s="13"/>
      <c r="N893" s="13"/>
      <c r="O893" s="13"/>
      <c r="P893" s="13"/>
      <c r="Q893" s="13"/>
      <c r="R893" s="13"/>
      <c r="S893" s="13"/>
      <c r="T893" s="13"/>
      <c r="U893" s="12"/>
      <c r="V893" s="14"/>
      <c r="W893" s="16"/>
      <c r="X893" s="16"/>
      <c r="Y893" s="16"/>
      <c r="Z893" s="16"/>
      <c r="AA893" s="15" t="str">
        <f aca="false">IF(AND(ISNUMBER(L893),ISNUMBER(M893)),M893-L893,"")</f>
        <v/>
      </c>
      <c r="AB893" s="15" t="str">
        <f aca="false">IF(AND(ISNUMBER(M893),ISNUMBER(P893)),P893-M893,"")</f>
        <v/>
      </c>
      <c r="AC893" s="15" t="str">
        <f aca="false">IF(AND(ISNUMBER(L893),ISNUMBER(P893)),P893-L893,"")</f>
        <v/>
      </c>
      <c r="AD893" s="15" t="str">
        <f aca="false">IF(AND(ISNUMBER(P893),ISNUMBER(Q893)),Q893-P893,"")</f>
        <v/>
      </c>
      <c r="AE893" s="15" t="str">
        <f aca="false">IF(AND(ISNUMBER(Q893),ISNUMBER(R893)),R893-Q893,IF(ISNUMBER(Y893),Y893,""))</f>
        <v/>
      </c>
      <c r="AF893" s="15" t="str">
        <f aca="false">IF(AND(ISNUMBER(R893),ISNUMBER(S893)),S893-R893,"")</f>
        <v/>
      </c>
      <c r="AG893" s="15" t="str">
        <f aca="false">IF(AND(ISNUMBER(S893),ISNUMBER(T893)),T893-S893,"")</f>
        <v/>
      </c>
      <c r="AH893" s="15" t="str">
        <f aca="false">IF(AND(ISNUMBER(L893),ISNUMBER(T893)),T893-L893,"")</f>
        <v/>
      </c>
      <c r="AI893" s="15" t="str">
        <f aca="false">IF(AND(ISNUMBER(O893),ISNUMBER(Q893)),Q893-O893,"")</f>
        <v/>
      </c>
      <c r="AJ893" s="15" t="str">
        <f aca="false">IF(B893="","",COUNT(L893:M893,P893:T893)&amp;"/7")</f>
        <v/>
      </c>
      <c r="AK893" s="15" t="str">
        <f aca="false">IF(B893="","",IF(OR(AND(ISNUMBER(L893),ISNUMBER(M893),M893&lt;L893),AND(ISNUMBER(M893),ISNUMBER(P893),P893&lt;M893),AND(ISNUMBER(P893),ISNUMBER(Q893),Q893&lt;P893),AND(ISNUMBER(Q893),ISNUMBER(R893),R893&lt;Q893),AND(ISNUMBER(R893),ISNUMBER(S893),S893&lt;R893),AND(ISNUMBER(S893),ISNUMBER(T893),T893&lt;S893),AND(ISNUMBER(N893),ISNUMBER(O893),O893&lt;N893)),"Urutan tanggal salah",IF(AND(ISNUMBER(Q893),ISNUMBER(R893),ISNUMBER(Y893),ABS(R893-Q893-Y893)&gt;2),"S tanggal ≠ Sailing tercatat",IF(AND(ISNUMBER(Q893),ISNUMBER(O893),ABS(Q893-O893)&gt;60),"Cek tahun laycan",IF(AND(ISNUMBER(Q893),ISNUMBER(N893),Q893&lt;N893),"Berangkat sebelum laycan",IF(NOT(ISNUMBER(AE893)),"S belum ada","OK"))))))</f>
        <v/>
      </c>
    </row>
    <row r="894" customFormat="false" ht="15" hidden="false" customHeight="false" outlineLevel="0" collapsed="false">
      <c r="A894" s="16" t="str">
        <f aca="false">IF(B894="","",ROW()-4)</f>
        <v/>
      </c>
      <c r="B894" s="12"/>
      <c r="C894" s="16"/>
      <c r="D894" s="16"/>
      <c r="E894" s="16"/>
      <c r="F894" s="16"/>
      <c r="G894" s="16"/>
      <c r="H894" s="16"/>
      <c r="I894" s="16"/>
      <c r="J894" s="16"/>
      <c r="K894" s="16"/>
      <c r="L894" s="13"/>
      <c r="M894" s="13"/>
      <c r="N894" s="13"/>
      <c r="O894" s="13"/>
      <c r="P894" s="13"/>
      <c r="Q894" s="13"/>
      <c r="R894" s="13"/>
      <c r="S894" s="13"/>
      <c r="T894" s="13"/>
      <c r="U894" s="12"/>
      <c r="V894" s="14"/>
      <c r="W894" s="16"/>
      <c r="X894" s="16"/>
      <c r="Y894" s="16"/>
      <c r="Z894" s="16"/>
      <c r="AA894" s="15" t="str">
        <f aca="false">IF(AND(ISNUMBER(L894),ISNUMBER(M894)),M894-L894,"")</f>
        <v/>
      </c>
      <c r="AB894" s="15" t="str">
        <f aca="false">IF(AND(ISNUMBER(M894),ISNUMBER(P894)),P894-M894,"")</f>
        <v/>
      </c>
      <c r="AC894" s="15" t="str">
        <f aca="false">IF(AND(ISNUMBER(L894),ISNUMBER(P894)),P894-L894,"")</f>
        <v/>
      </c>
      <c r="AD894" s="15" t="str">
        <f aca="false">IF(AND(ISNUMBER(P894),ISNUMBER(Q894)),Q894-P894,"")</f>
        <v/>
      </c>
      <c r="AE894" s="15" t="str">
        <f aca="false">IF(AND(ISNUMBER(Q894),ISNUMBER(R894)),R894-Q894,IF(ISNUMBER(Y894),Y894,""))</f>
        <v/>
      </c>
      <c r="AF894" s="15" t="str">
        <f aca="false">IF(AND(ISNUMBER(R894),ISNUMBER(S894)),S894-R894,"")</f>
        <v/>
      </c>
      <c r="AG894" s="15" t="str">
        <f aca="false">IF(AND(ISNUMBER(S894),ISNUMBER(T894)),T894-S894,"")</f>
        <v/>
      </c>
      <c r="AH894" s="15" t="str">
        <f aca="false">IF(AND(ISNUMBER(L894),ISNUMBER(T894)),T894-L894,"")</f>
        <v/>
      </c>
      <c r="AI894" s="15" t="str">
        <f aca="false">IF(AND(ISNUMBER(O894),ISNUMBER(Q894)),Q894-O894,"")</f>
        <v/>
      </c>
      <c r="AJ894" s="15" t="str">
        <f aca="false">IF(B894="","",COUNT(L894:M894,P894:T894)&amp;"/7")</f>
        <v/>
      </c>
      <c r="AK894" s="15" t="str">
        <f aca="false">IF(B894="","",IF(OR(AND(ISNUMBER(L894),ISNUMBER(M894),M894&lt;L894),AND(ISNUMBER(M894),ISNUMBER(P894),P894&lt;M894),AND(ISNUMBER(P894),ISNUMBER(Q894),Q894&lt;P894),AND(ISNUMBER(Q894),ISNUMBER(R894),R894&lt;Q894),AND(ISNUMBER(R894),ISNUMBER(S894),S894&lt;R894),AND(ISNUMBER(S894),ISNUMBER(T894),T894&lt;S894),AND(ISNUMBER(N894),ISNUMBER(O894),O894&lt;N894)),"Urutan tanggal salah",IF(AND(ISNUMBER(Q894),ISNUMBER(R894),ISNUMBER(Y894),ABS(R894-Q894-Y894)&gt;2),"S tanggal ≠ Sailing tercatat",IF(AND(ISNUMBER(Q894),ISNUMBER(O894),ABS(Q894-O894)&gt;60),"Cek tahun laycan",IF(AND(ISNUMBER(Q894),ISNUMBER(N894),Q894&lt;N894),"Berangkat sebelum laycan",IF(NOT(ISNUMBER(AE894)),"S belum ada","OK"))))))</f>
        <v/>
      </c>
    </row>
    <row r="895" customFormat="false" ht="15" hidden="false" customHeight="false" outlineLevel="0" collapsed="false">
      <c r="A895" s="16" t="str">
        <f aca="false">IF(B895="","",ROW()-4)</f>
        <v/>
      </c>
      <c r="B895" s="12"/>
      <c r="C895" s="16"/>
      <c r="D895" s="16"/>
      <c r="E895" s="16"/>
      <c r="F895" s="16"/>
      <c r="G895" s="16"/>
      <c r="H895" s="16"/>
      <c r="I895" s="16"/>
      <c r="J895" s="16"/>
      <c r="K895" s="16"/>
      <c r="L895" s="13"/>
      <c r="M895" s="13"/>
      <c r="N895" s="13"/>
      <c r="O895" s="13"/>
      <c r="P895" s="13"/>
      <c r="Q895" s="13"/>
      <c r="R895" s="13"/>
      <c r="S895" s="13"/>
      <c r="T895" s="13"/>
      <c r="U895" s="12"/>
      <c r="V895" s="14"/>
      <c r="W895" s="16"/>
      <c r="X895" s="16"/>
      <c r="Y895" s="16"/>
      <c r="Z895" s="16"/>
      <c r="AA895" s="15" t="str">
        <f aca="false">IF(AND(ISNUMBER(L895),ISNUMBER(M895)),M895-L895,"")</f>
        <v/>
      </c>
      <c r="AB895" s="15" t="str">
        <f aca="false">IF(AND(ISNUMBER(M895),ISNUMBER(P895)),P895-M895,"")</f>
        <v/>
      </c>
      <c r="AC895" s="15" t="str">
        <f aca="false">IF(AND(ISNUMBER(L895),ISNUMBER(P895)),P895-L895,"")</f>
        <v/>
      </c>
      <c r="AD895" s="15" t="str">
        <f aca="false">IF(AND(ISNUMBER(P895),ISNUMBER(Q895)),Q895-P895,"")</f>
        <v/>
      </c>
      <c r="AE895" s="15" t="str">
        <f aca="false">IF(AND(ISNUMBER(Q895),ISNUMBER(R895)),R895-Q895,IF(ISNUMBER(Y895),Y895,""))</f>
        <v/>
      </c>
      <c r="AF895" s="15" t="str">
        <f aca="false">IF(AND(ISNUMBER(R895),ISNUMBER(S895)),S895-R895,"")</f>
        <v/>
      </c>
      <c r="AG895" s="15" t="str">
        <f aca="false">IF(AND(ISNUMBER(S895),ISNUMBER(T895)),T895-S895,"")</f>
        <v/>
      </c>
      <c r="AH895" s="15" t="str">
        <f aca="false">IF(AND(ISNUMBER(L895),ISNUMBER(T895)),T895-L895,"")</f>
        <v/>
      </c>
      <c r="AI895" s="15" t="str">
        <f aca="false">IF(AND(ISNUMBER(O895),ISNUMBER(Q895)),Q895-O895,"")</f>
        <v/>
      </c>
      <c r="AJ895" s="15" t="str">
        <f aca="false">IF(B895="","",COUNT(L895:M895,P895:T895)&amp;"/7")</f>
        <v/>
      </c>
      <c r="AK895" s="15" t="str">
        <f aca="false">IF(B895="","",IF(OR(AND(ISNUMBER(L895),ISNUMBER(M895),M895&lt;L895),AND(ISNUMBER(M895),ISNUMBER(P895),P895&lt;M895),AND(ISNUMBER(P895),ISNUMBER(Q895),Q895&lt;P895),AND(ISNUMBER(Q895),ISNUMBER(R895),R895&lt;Q895),AND(ISNUMBER(R895),ISNUMBER(S895),S895&lt;R895),AND(ISNUMBER(S895),ISNUMBER(T895),T895&lt;S895),AND(ISNUMBER(N895),ISNUMBER(O895),O895&lt;N895)),"Urutan tanggal salah",IF(AND(ISNUMBER(Q895),ISNUMBER(R895),ISNUMBER(Y895),ABS(R895-Q895-Y895)&gt;2),"S tanggal ≠ Sailing tercatat",IF(AND(ISNUMBER(Q895),ISNUMBER(O895),ABS(Q895-O895)&gt;60),"Cek tahun laycan",IF(AND(ISNUMBER(Q895),ISNUMBER(N895),Q895&lt;N895),"Berangkat sebelum laycan",IF(NOT(ISNUMBER(AE895)),"S belum ada","OK"))))))</f>
        <v/>
      </c>
    </row>
    <row r="896" customFormat="false" ht="15" hidden="false" customHeight="false" outlineLevel="0" collapsed="false">
      <c r="A896" s="16" t="str">
        <f aca="false">IF(B896="","",ROW()-4)</f>
        <v/>
      </c>
      <c r="B896" s="12"/>
      <c r="C896" s="16"/>
      <c r="D896" s="16"/>
      <c r="E896" s="16"/>
      <c r="F896" s="16"/>
      <c r="G896" s="16"/>
      <c r="H896" s="16"/>
      <c r="I896" s="16"/>
      <c r="J896" s="16"/>
      <c r="K896" s="16"/>
      <c r="L896" s="13"/>
      <c r="M896" s="13"/>
      <c r="N896" s="13"/>
      <c r="O896" s="13"/>
      <c r="P896" s="13"/>
      <c r="Q896" s="13"/>
      <c r="R896" s="13"/>
      <c r="S896" s="13"/>
      <c r="T896" s="13"/>
      <c r="U896" s="12"/>
      <c r="V896" s="14"/>
      <c r="W896" s="16"/>
      <c r="X896" s="16"/>
      <c r="Y896" s="16"/>
      <c r="Z896" s="16"/>
      <c r="AA896" s="15" t="str">
        <f aca="false">IF(AND(ISNUMBER(L896),ISNUMBER(M896)),M896-L896,"")</f>
        <v/>
      </c>
      <c r="AB896" s="15" t="str">
        <f aca="false">IF(AND(ISNUMBER(M896),ISNUMBER(P896)),P896-M896,"")</f>
        <v/>
      </c>
      <c r="AC896" s="15" t="str">
        <f aca="false">IF(AND(ISNUMBER(L896),ISNUMBER(P896)),P896-L896,"")</f>
        <v/>
      </c>
      <c r="AD896" s="15" t="str">
        <f aca="false">IF(AND(ISNUMBER(P896),ISNUMBER(Q896)),Q896-P896,"")</f>
        <v/>
      </c>
      <c r="AE896" s="15" t="str">
        <f aca="false">IF(AND(ISNUMBER(Q896),ISNUMBER(R896)),R896-Q896,IF(ISNUMBER(Y896),Y896,""))</f>
        <v/>
      </c>
      <c r="AF896" s="15" t="str">
        <f aca="false">IF(AND(ISNUMBER(R896),ISNUMBER(S896)),S896-R896,"")</f>
        <v/>
      </c>
      <c r="AG896" s="15" t="str">
        <f aca="false">IF(AND(ISNUMBER(S896),ISNUMBER(T896)),T896-S896,"")</f>
        <v/>
      </c>
      <c r="AH896" s="15" t="str">
        <f aca="false">IF(AND(ISNUMBER(L896),ISNUMBER(T896)),T896-L896,"")</f>
        <v/>
      </c>
      <c r="AI896" s="15" t="str">
        <f aca="false">IF(AND(ISNUMBER(O896),ISNUMBER(Q896)),Q896-O896,"")</f>
        <v/>
      </c>
      <c r="AJ896" s="15" t="str">
        <f aca="false">IF(B896="","",COUNT(L896:M896,P896:T896)&amp;"/7")</f>
        <v/>
      </c>
      <c r="AK896" s="15" t="str">
        <f aca="false">IF(B896="","",IF(OR(AND(ISNUMBER(L896),ISNUMBER(M896),M896&lt;L896),AND(ISNUMBER(M896),ISNUMBER(P896),P896&lt;M896),AND(ISNUMBER(P896),ISNUMBER(Q896),Q896&lt;P896),AND(ISNUMBER(Q896),ISNUMBER(R896),R896&lt;Q896),AND(ISNUMBER(R896),ISNUMBER(S896),S896&lt;R896),AND(ISNUMBER(S896),ISNUMBER(T896),T896&lt;S896),AND(ISNUMBER(N896),ISNUMBER(O896),O896&lt;N896)),"Urutan tanggal salah",IF(AND(ISNUMBER(Q896),ISNUMBER(R896),ISNUMBER(Y896),ABS(R896-Q896-Y896)&gt;2),"S tanggal ≠ Sailing tercatat",IF(AND(ISNUMBER(Q896),ISNUMBER(O896),ABS(Q896-O896)&gt;60),"Cek tahun laycan",IF(AND(ISNUMBER(Q896),ISNUMBER(N896),Q896&lt;N896),"Berangkat sebelum laycan",IF(NOT(ISNUMBER(AE896)),"S belum ada","OK"))))))</f>
        <v/>
      </c>
    </row>
    <row r="897" customFormat="false" ht="15" hidden="false" customHeight="false" outlineLevel="0" collapsed="false">
      <c r="A897" s="16" t="str">
        <f aca="false">IF(B897="","",ROW()-4)</f>
        <v/>
      </c>
      <c r="B897" s="12"/>
      <c r="C897" s="16"/>
      <c r="D897" s="16"/>
      <c r="E897" s="16"/>
      <c r="F897" s="16"/>
      <c r="G897" s="16"/>
      <c r="H897" s="16"/>
      <c r="I897" s="16"/>
      <c r="J897" s="16"/>
      <c r="K897" s="16"/>
      <c r="L897" s="13"/>
      <c r="M897" s="13"/>
      <c r="N897" s="13"/>
      <c r="O897" s="13"/>
      <c r="P897" s="13"/>
      <c r="Q897" s="13"/>
      <c r="R897" s="13"/>
      <c r="S897" s="13"/>
      <c r="T897" s="13"/>
      <c r="U897" s="12"/>
      <c r="V897" s="14"/>
      <c r="W897" s="16"/>
      <c r="X897" s="16"/>
      <c r="Y897" s="16"/>
      <c r="Z897" s="16"/>
      <c r="AA897" s="15" t="str">
        <f aca="false">IF(AND(ISNUMBER(L897),ISNUMBER(M897)),M897-L897,"")</f>
        <v/>
      </c>
      <c r="AB897" s="15" t="str">
        <f aca="false">IF(AND(ISNUMBER(M897),ISNUMBER(P897)),P897-M897,"")</f>
        <v/>
      </c>
      <c r="AC897" s="15" t="str">
        <f aca="false">IF(AND(ISNUMBER(L897),ISNUMBER(P897)),P897-L897,"")</f>
        <v/>
      </c>
      <c r="AD897" s="15" t="str">
        <f aca="false">IF(AND(ISNUMBER(P897),ISNUMBER(Q897)),Q897-P897,"")</f>
        <v/>
      </c>
      <c r="AE897" s="15" t="str">
        <f aca="false">IF(AND(ISNUMBER(Q897),ISNUMBER(R897)),R897-Q897,IF(ISNUMBER(Y897),Y897,""))</f>
        <v/>
      </c>
      <c r="AF897" s="15" t="str">
        <f aca="false">IF(AND(ISNUMBER(R897),ISNUMBER(S897)),S897-R897,"")</f>
        <v/>
      </c>
      <c r="AG897" s="15" t="str">
        <f aca="false">IF(AND(ISNUMBER(S897),ISNUMBER(T897)),T897-S897,"")</f>
        <v/>
      </c>
      <c r="AH897" s="15" t="str">
        <f aca="false">IF(AND(ISNUMBER(L897),ISNUMBER(T897)),T897-L897,"")</f>
        <v/>
      </c>
      <c r="AI897" s="15" t="str">
        <f aca="false">IF(AND(ISNUMBER(O897),ISNUMBER(Q897)),Q897-O897,"")</f>
        <v/>
      </c>
      <c r="AJ897" s="15" t="str">
        <f aca="false">IF(B897="","",COUNT(L897:M897,P897:T897)&amp;"/7")</f>
        <v/>
      </c>
      <c r="AK897" s="15" t="str">
        <f aca="false">IF(B897="","",IF(OR(AND(ISNUMBER(L897),ISNUMBER(M897),M897&lt;L897),AND(ISNUMBER(M897),ISNUMBER(P897),P897&lt;M897),AND(ISNUMBER(P897),ISNUMBER(Q897),Q897&lt;P897),AND(ISNUMBER(Q897),ISNUMBER(R897),R897&lt;Q897),AND(ISNUMBER(R897),ISNUMBER(S897),S897&lt;R897),AND(ISNUMBER(S897),ISNUMBER(T897),T897&lt;S897),AND(ISNUMBER(N897),ISNUMBER(O897),O897&lt;N897)),"Urutan tanggal salah",IF(AND(ISNUMBER(Q897),ISNUMBER(R897),ISNUMBER(Y897),ABS(R897-Q897-Y897)&gt;2),"S tanggal ≠ Sailing tercatat",IF(AND(ISNUMBER(Q897),ISNUMBER(O897),ABS(Q897-O897)&gt;60),"Cek tahun laycan",IF(AND(ISNUMBER(Q897),ISNUMBER(N897),Q897&lt;N897),"Berangkat sebelum laycan",IF(NOT(ISNUMBER(AE897)),"S belum ada","OK"))))))</f>
        <v/>
      </c>
    </row>
    <row r="898" customFormat="false" ht="15" hidden="false" customHeight="false" outlineLevel="0" collapsed="false">
      <c r="A898" s="16" t="str">
        <f aca="false">IF(B898="","",ROW()-4)</f>
        <v/>
      </c>
      <c r="B898" s="12"/>
      <c r="C898" s="16"/>
      <c r="D898" s="16"/>
      <c r="E898" s="16"/>
      <c r="F898" s="16"/>
      <c r="G898" s="16"/>
      <c r="H898" s="16"/>
      <c r="I898" s="16"/>
      <c r="J898" s="16"/>
      <c r="K898" s="16"/>
      <c r="L898" s="13"/>
      <c r="M898" s="13"/>
      <c r="N898" s="13"/>
      <c r="O898" s="13"/>
      <c r="P898" s="13"/>
      <c r="Q898" s="13"/>
      <c r="R898" s="13"/>
      <c r="S898" s="13"/>
      <c r="T898" s="13"/>
      <c r="U898" s="12"/>
      <c r="V898" s="14"/>
      <c r="W898" s="16"/>
      <c r="X898" s="16"/>
      <c r="Y898" s="16"/>
      <c r="Z898" s="16"/>
      <c r="AA898" s="15" t="str">
        <f aca="false">IF(AND(ISNUMBER(L898),ISNUMBER(M898)),M898-L898,"")</f>
        <v/>
      </c>
      <c r="AB898" s="15" t="str">
        <f aca="false">IF(AND(ISNUMBER(M898),ISNUMBER(P898)),P898-M898,"")</f>
        <v/>
      </c>
      <c r="AC898" s="15" t="str">
        <f aca="false">IF(AND(ISNUMBER(L898),ISNUMBER(P898)),P898-L898,"")</f>
        <v/>
      </c>
      <c r="AD898" s="15" t="str">
        <f aca="false">IF(AND(ISNUMBER(P898),ISNUMBER(Q898)),Q898-P898,"")</f>
        <v/>
      </c>
      <c r="AE898" s="15" t="str">
        <f aca="false">IF(AND(ISNUMBER(Q898),ISNUMBER(R898)),R898-Q898,IF(ISNUMBER(Y898),Y898,""))</f>
        <v/>
      </c>
      <c r="AF898" s="15" t="str">
        <f aca="false">IF(AND(ISNUMBER(R898),ISNUMBER(S898)),S898-R898,"")</f>
        <v/>
      </c>
      <c r="AG898" s="15" t="str">
        <f aca="false">IF(AND(ISNUMBER(S898),ISNUMBER(T898)),T898-S898,"")</f>
        <v/>
      </c>
      <c r="AH898" s="15" t="str">
        <f aca="false">IF(AND(ISNUMBER(L898),ISNUMBER(T898)),T898-L898,"")</f>
        <v/>
      </c>
      <c r="AI898" s="15" t="str">
        <f aca="false">IF(AND(ISNUMBER(O898),ISNUMBER(Q898)),Q898-O898,"")</f>
        <v/>
      </c>
      <c r="AJ898" s="15" t="str">
        <f aca="false">IF(B898="","",COUNT(L898:M898,P898:T898)&amp;"/7")</f>
        <v/>
      </c>
      <c r="AK898" s="15" t="str">
        <f aca="false">IF(B898="","",IF(OR(AND(ISNUMBER(L898),ISNUMBER(M898),M898&lt;L898),AND(ISNUMBER(M898),ISNUMBER(P898),P898&lt;M898),AND(ISNUMBER(P898),ISNUMBER(Q898),Q898&lt;P898),AND(ISNUMBER(Q898),ISNUMBER(R898),R898&lt;Q898),AND(ISNUMBER(R898),ISNUMBER(S898),S898&lt;R898),AND(ISNUMBER(S898),ISNUMBER(T898),T898&lt;S898),AND(ISNUMBER(N898),ISNUMBER(O898),O898&lt;N898)),"Urutan tanggal salah",IF(AND(ISNUMBER(Q898),ISNUMBER(R898),ISNUMBER(Y898),ABS(R898-Q898-Y898)&gt;2),"S tanggal ≠ Sailing tercatat",IF(AND(ISNUMBER(Q898),ISNUMBER(O898),ABS(Q898-O898)&gt;60),"Cek tahun laycan",IF(AND(ISNUMBER(Q898),ISNUMBER(N898),Q898&lt;N898),"Berangkat sebelum laycan",IF(NOT(ISNUMBER(AE898)),"S belum ada","OK"))))))</f>
        <v/>
      </c>
    </row>
    <row r="899" customFormat="false" ht="15" hidden="false" customHeight="false" outlineLevel="0" collapsed="false">
      <c r="A899" s="16" t="str">
        <f aca="false">IF(B899="","",ROW()-4)</f>
        <v/>
      </c>
      <c r="B899" s="12"/>
      <c r="C899" s="16"/>
      <c r="D899" s="16"/>
      <c r="E899" s="16"/>
      <c r="F899" s="16"/>
      <c r="G899" s="16"/>
      <c r="H899" s="16"/>
      <c r="I899" s="16"/>
      <c r="J899" s="16"/>
      <c r="K899" s="16"/>
      <c r="L899" s="13"/>
      <c r="M899" s="13"/>
      <c r="N899" s="13"/>
      <c r="O899" s="13"/>
      <c r="P899" s="13"/>
      <c r="Q899" s="13"/>
      <c r="R899" s="13"/>
      <c r="S899" s="13"/>
      <c r="T899" s="13"/>
      <c r="U899" s="12"/>
      <c r="V899" s="14"/>
      <c r="W899" s="16"/>
      <c r="X899" s="16"/>
      <c r="Y899" s="16"/>
      <c r="Z899" s="16"/>
      <c r="AA899" s="15" t="str">
        <f aca="false">IF(AND(ISNUMBER(L899),ISNUMBER(M899)),M899-L899,"")</f>
        <v/>
      </c>
      <c r="AB899" s="15" t="str">
        <f aca="false">IF(AND(ISNUMBER(M899),ISNUMBER(P899)),P899-M899,"")</f>
        <v/>
      </c>
      <c r="AC899" s="15" t="str">
        <f aca="false">IF(AND(ISNUMBER(L899),ISNUMBER(P899)),P899-L899,"")</f>
        <v/>
      </c>
      <c r="AD899" s="15" t="str">
        <f aca="false">IF(AND(ISNUMBER(P899),ISNUMBER(Q899)),Q899-P899,"")</f>
        <v/>
      </c>
      <c r="AE899" s="15" t="str">
        <f aca="false">IF(AND(ISNUMBER(Q899),ISNUMBER(R899)),R899-Q899,IF(ISNUMBER(Y899),Y899,""))</f>
        <v/>
      </c>
      <c r="AF899" s="15" t="str">
        <f aca="false">IF(AND(ISNUMBER(R899),ISNUMBER(S899)),S899-R899,"")</f>
        <v/>
      </c>
      <c r="AG899" s="15" t="str">
        <f aca="false">IF(AND(ISNUMBER(S899),ISNUMBER(T899)),T899-S899,"")</f>
        <v/>
      </c>
      <c r="AH899" s="15" t="str">
        <f aca="false">IF(AND(ISNUMBER(L899),ISNUMBER(T899)),T899-L899,"")</f>
        <v/>
      </c>
      <c r="AI899" s="15" t="str">
        <f aca="false">IF(AND(ISNUMBER(O899),ISNUMBER(Q899)),Q899-O899,"")</f>
        <v/>
      </c>
      <c r="AJ899" s="15" t="str">
        <f aca="false">IF(B899="","",COUNT(L899:M899,P899:T899)&amp;"/7")</f>
        <v/>
      </c>
      <c r="AK899" s="15" t="str">
        <f aca="false">IF(B899="","",IF(OR(AND(ISNUMBER(L899),ISNUMBER(M899),M899&lt;L899),AND(ISNUMBER(M899),ISNUMBER(P899),P899&lt;M899),AND(ISNUMBER(P899),ISNUMBER(Q899),Q899&lt;P899),AND(ISNUMBER(Q899),ISNUMBER(R899),R899&lt;Q899),AND(ISNUMBER(R899),ISNUMBER(S899),S899&lt;R899),AND(ISNUMBER(S899),ISNUMBER(T899),T899&lt;S899),AND(ISNUMBER(N899),ISNUMBER(O899),O899&lt;N899)),"Urutan tanggal salah",IF(AND(ISNUMBER(Q899),ISNUMBER(R899),ISNUMBER(Y899),ABS(R899-Q899-Y899)&gt;2),"S tanggal ≠ Sailing tercatat",IF(AND(ISNUMBER(Q899),ISNUMBER(O899),ABS(Q899-O899)&gt;60),"Cek tahun laycan",IF(AND(ISNUMBER(Q899),ISNUMBER(N899),Q899&lt;N899),"Berangkat sebelum laycan",IF(NOT(ISNUMBER(AE899)),"S belum ada","OK"))))))</f>
        <v/>
      </c>
    </row>
    <row r="900" customFormat="false" ht="15" hidden="false" customHeight="false" outlineLevel="0" collapsed="false">
      <c r="A900" s="16" t="str">
        <f aca="false">IF(B900="","",ROW()-4)</f>
        <v/>
      </c>
      <c r="B900" s="12"/>
      <c r="C900" s="16"/>
      <c r="D900" s="16"/>
      <c r="E900" s="16"/>
      <c r="F900" s="16"/>
      <c r="G900" s="16"/>
      <c r="H900" s="16"/>
      <c r="I900" s="16"/>
      <c r="J900" s="16"/>
      <c r="K900" s="16"/>
      <c r="L900" s="13"/>
      <c r="M900" s="13"/>
      <c r="N900" s="13"/>
      <c r="O900" s="13"/>
      <c r="P900" s="13"/>
      <c r="Q900" s="13"/>
      <c r="R900" s="13"/>
      <c r="S900" s="13"/>
      <c r="T900" s="13"/>
      <c r="U900" s="12"/>
      <c r="V900" s="14"/>
      <c r="W900" s="16"/>
      <c r="X900" s="16"/>
      <c r="Y900" s="16"/>
      <c r="Z900" s="16"/>
      <c r="AA900" s="15" t="str">
        <f aca="false">IF(AND(ISNUMBER(L900),ISNUMBER(M900)),M900-L900,"")</f>
        <v/>
      </c>
      <c r="AB900" s="15" t="str">
        <f aca="false">IF(AND(ISNUMBER(M900),ISNUMBER(P900)),P900-M900,"")</f>
        <v/>
      </c>
      <c r="AC900" s="15" t="str">
        <f aca="false">IF(AND(ISNUMBER(L900),ISNUMBER(P900)),P900-L900,"")</f>
        <v/>
      </c>
      <c r="AD900" s="15" t="str">
        <f aca="false">IF(AND(ISNUMBER(P900),ISNUMBER(Q900)),Q900-P900,"")</f>
        <v/>
      </c>
      <c r="AE900" s="15" t="str">
        <f aca="false">IF(AND(ISNUMBER(Q900),ISNUMBER(R900)),R900-Q900,IF(ISNUMBER(Y900),Y900,""))</f>
        <v/>
      </c>
      <c r="AF900" s="15" t="str">
        <f aca="false">IF(AND(ISNUMBER(R900),ISNUMBER(S900)),S900-R900,"")</f>
        <v/>
      </c>
      <c r="AG900" s="15" t="str">
        <f aca="false">IF(AND(ISNUMBER(S900),ISNUMBER(T900)),T900-S900,"")</f>
        <v/>
      </c>
      <c r="AH900" s="15" t="str">
        <f aca="false">IF(AND(ISNUMBER(L900),ISNUMBER(T900)),T900-L900,"")</f>
        <v/>
      </c>
      <c r="AI900" s="15" t="str">
        <f aca="false">IF(AND(ISNUMBER(O900),ISNUMBER(Q900)),Q900-O900,"")</f>
        <v/>
      </c>
      <c r="AJ900" s="15" t="str">
        <f aca="false">IF(B900="","",COUNT(L900:M900,P900:T900)&amp;"/7")</f>
        <v/>
      </c>
      <c r="AK900" s="15" t="str">
        <f aca="false">IF(B900="","",IF(OR(AND(ISNUMBER(L900),ISNUMBER(M900),M900&lt;L900),AND(ISNUMBER(M900),ISNUMBER(P900),P900&lt;M900),AND(ISNUMBER(P900),ISNUMBER(Q900),Q900&lt;P900),AND(ISNUMBER(Q900),ISNUMBER(R900),R900&lt;Q900),AND(ISNUMBER(R900),ISNUMBER(S900),S900&lt;R900),AND(ISNUMBER(S900),ISNUMBER(T900),T900&lt;S900),AND(ISNUMBER(N900),ISNUMBER(O900),O900&lt;N900)),"Urutan tanggal salah",IF(AND(ISNUMBER(Q900),ISNUMBER(R900),ISNUMBER(Y900),ABS(R900-Q900-Y900)&gt;2),"S tanggal ≠ Sailing tercatat",IF(AND(ISNUMBER(Q900),ISNUMBER(O900),ABS(Q900-O900)&gt;60),"Cek tahun laycan",IF(AND(ISNUMBER(Q900),ISNUMBER(N900),Q900&lt;N900),"Berangkat sebelum laycan",IF(NOT(ISNUMBER(AE900)),"S belum ada","OK"))))))</f>
        <v/>
      </c>
    </row>
    <row r="901" customFormat="false" ht="15" hidden="false" customHeight="false" outlineLevel="0" collapsed="false">
      <c r="A901" s="16" t="str">
        <f aca="false">IF(B901="","",ROW()-4)</f>
        <v/>
      </c>
      <c r="B901" s="12"/>
      <c r="C901" s="16"/>
      <c r="D901" s="16"/>
      <c r="E901" s="16"/>
      <c r="F901" s="16"/>
      <c r="G901" s="16"/>
      <c r="H901" s="16"/>
      <c r="I901" s="16"/>
      <c r="J901" s="16"/>
      <c r="K901" s="16"/>
      <c r="L901" s="13"/>
      <c r="M901" s="13"/>
      <c r="N901" s="13"/>
      <c r="O901" s="13"/>
      <c r="P901" s="13"/>
      <c r="Q901" s="13"/>
      <c r="R901" s="13"/>
      <c r="S901" s="13"/>
      <c r="T901" s="13"/>
      <c r="U901" s="12"/>
      <c r="V901" s="14"/>
      <c r="W901" s="16"/>
      <c r="X901" s="16"/>
      <c r="Y901" s="16"/>
      <c r="Z901" s="16"/>
      <c r="AA901" s="15" t="str">
        <f aca="false">IF(AND(ISNUMBER(L901),ISNUMBER(M901)),M901-L901,"")</f>
        <v/>
      </c>
      <c r="AB901" s="15" t="str">
        <f aca="false">IF(AND(ISNUMBER(M901),ISNUMBER(P901)),P901-M901,"")</f>
        <v/>
      </c>
      <c r="AC901" s="15" t="str">
        <f aca="false">IF(AND(ISNUMBER(L901),ISNUMBER(P901)),P901-L901,"")</f>
        <v/>
      </c>
      <c r="AD901" s="15" t="str">
        <f aca="false">IF(AND(ISNUMBER(P901),ISNUMBER(Q901)),Q901-P901,"")</f>
        <v/>
      </c>
      <c r="AE901" s="15" t="str">
        <f aca="false">IF(AND(ISNUMBER(Q901),ISNUMBER(R901)),R901-Q901,IF(ISNUMBER(Y901),Y901,""))</f>
        <v/>
      </c>
      <c r="AF901" s="15" t="str">
        <f aca="false">IF(AND(ISNUMBER(R901),ISNUMBER(S901)),S901-R901,"")</f>
        <v/>
      </c>
      <c r="AG901" s="15" t="str">
        <f aca="false">IF(AND(ISNUMBER(S901),ISNUMBER(T901)),T901-S901,"")</f>
        <v/>
      </c>
      <c r="AH901" s="15" t="str">
        <f aca="false">IF(AND(ISNUMBER(L901),ISNUMBER(T901)),T901-L901,"")</f>
        <v/>
      </c>
      <c r="AI901" s="15" t="str">
        <f aca="false">IF(AND(ISNUMBER(O901),ISNUMBER(Q901)),Q901-O901,"")</f>
        <v/>
      </c>
      <c r="AJ901" s="15" t="str">
        <f aca="false">IF(B901="","",COUNT(L901:M901,P901:T901)&amp;"/7")</f>
        <v/>
      </c>
      <c r="AK901" s="15" t="str">
        <f aca="false">IF(B901="","",IF(OR(AND(ISNUMBER(L901),ISNUMBER(M901),M901&lt;L901),AND(ISNUMBER(M901),ISNUMBER(P901),P901&lt;M901),AND(ISNUMBER(P901),ISNUMBER(Q901),Q901&lt;P901),AND(ISNUMBER(Q901),ISNUMBER(R901),R901&lt;Q901),AND(ISNUMBER(R901),ISNUMBER(S901),S901&lt;R901),AND(ISNUMBER(S901),ISNUMBER(T901),T901&lt;S901),AND(ISNUMBER(N901),ISNUMBER(O901),O901&lt;N901)),"Urutan tanggal salah",IF(AND(ISNUMBER(Q901),ISNUMBER(R901),ISNUMBER(Y901),ABS(R901-Q901-Y901)&gt;2),"S tanggal ≠ Sailing tercatat",IF(AND(ISNUMBER(Q901),ISNUMBER(O901),ABS(Q901-O901)&gt;60),"Cek tahun laycan",IF(AND(ISNUMBER(Q901),ISNUMBER(N901),Q901&lt;N901),"Berangkat sebelum laycan",IF(NOT(ISNUMBER(AE901)),"S belum ada","OK"))))))</f>
        <v/>
      </c>
    </row>
    <row r="902" customFormat="false" ht="15" hidden="false" customHeight="false" outlineLevel="0" collapsed="false">
      <c r="A902" s="16" t="str">
        <f aca="false">IF(B902="","",ROW()-4)</f>
        <v/>
      </c>
      <c r="B902" s="12"/>
      <c r="C902" s="16"/>
      <c r="D902" s="16"/>
      <c r="E902" s="16"/>
      <c r="F902" s="16"/>
      <c r="G902" s="16"/>
      <c r="H902" s="16"/>
      <c r="I902" s="16"/>
      <c r="J902" s="16"/>
      <c r="K902" s="16"/>
      <c r="L902" s="13"/>
      <c r="M902" s="13"/>
      <c r="N902" s="13"/>
      <c r="O902" s="13"/>
      <c r="P902" s="13"/>
      <c r="Q902" s="13"/>
      <c r="R902" s="13"/>
      <c r="S902" s="13"/>
      <c r="T902" s="13"/>
      <c r="U902" s="12"/>
      <c r="V902" s="14"/>
      <c r="W902" s="16"/>
      <c r="X902" s="16"/>
      <c r="Y902" s="16"/>
      <c r="Z902" s="16"/>
      <c r="AA902" s="15" t="str">
        <f aca="false">IF(AND(ISNUMBER(L902),ISNUMBER(M902)),M902-L902,"")</f>
        <v/>
      </c>
      <c r="AB902" s="15" t="str">
        <f aca="false">IF(AND(ISNUMBER(M902),ISNUMBER(P902)),P902-M902,"")</f>
        <v/>
      </c>
      <c r="AC902" s="15" t="str">
        <f aca="false">IF(AND(ISNUMBER(L902),ISNUMBER(P902)),P902-L902,"")</f>
        <v/>
      </c>
      <c r="AD902" s="15" t="str">
        <f aca="false">IF(AND(ISNUMBER(P902),ISNUMBER(Q902)),Q902-P902,"")</f>
        <v/>
      </c>
      <c r="AE902" s="15" t="str">
        <f aca="false">IF(AND(ISNUMBER(Q902),ISNUMBER(R902)),R902-Q902,IF(ISNUMBER(Y902),Y902,""))</f>
        <v/>
      </c>
      <c r="AF902" s="15" t="str">
        <f aca="false">IF(AND(ISNUMBER(R902),ISNUMBER(S902)),S902-R902,"")</f>
        <v/>
      </c>
      <c r="AG902" s="15" t="str">
        <f aca="false">IF(AND(ISNUMBER(S902),ISNUMBER(T902)),T902-S902,"")</f>
        <v/>
      </c>
      <c r="AH902" s="15" t="str">
        <f aca="false">IF(AND(ISNUMBER(L902),ISNUMBER(T902)),T902-L902,"")</f>
        <v/>
      </c>
      <c r="AI902" s="15" t="str">
        <f aca="false">IF(AND(ISNUMBER(O902),ISNUMBER(Q902)),Q902-O902,"")</f>
        <v/>
      </c>
      <c r="AJ902" s="15" t="str">
        <f aca="false">IF(B902="","",COUNT(L902:M902,P902:T902)&amp;"/7")</f>
        <v/>
      </c>
      <c r="AK902" s="15" t="str">
        <f aca="false">IF(B902="","",IF(OR(AND(ISNUMBER(L902),ISNUMBER(M902),M902&lt;L902),AND(ISNUMBER(M902),ISNUMBER(P902),P902&lt;M902),AND(ISNUMBER(P902),ISNUMBER(Q902),Q902&lt;P902),AND(ISNUMBER(Q902),ISNUMBER(R902),R902&lt;Q902),AND(ISNUMBER(R902),ISNUMBER(S902),S902&lt;R902),AND(ISNUMBER(S902),ISNUMBER(T902),T902&lt;S902),AND(ISNUMBER(N902),ISNUMBER(O902),O902&lt;N902)),"Urutan tanggal salah",IF(AND(ISNUMBER(Q902),ISNUMBER(R902),ISNUMBER(Y902),ABS(R902-Q902-Y902)&gt;2),"S tanggal ≠ Sailing tercatat",IF(AND(ISNUMBER(Q902),ISNUMBER(O902),ABS(Q902-O902)&gt;60),"Cek tahun laycan",IF(AND(ISNUMBER(Q902),ISNUMBER(N902),Q902&lt;N902),"Berangkat sebelum laycan",IF(NOT(ISNUMBER(AE902)),"S belum ada","OK"))))))</f>
        <v/>
      </c>
    </row>
    <row r="903" customFormat="false" ht="15" hidden="false" customHeight="false" outlineLevel="0" collapsed="false">
      <c r="A903" s="16" t="str">
        <f aca="false">IF(B903="","",ROW()-4)</f>
        <v/>
      </c>
      <c r="B903" s="12"/>
      <c r="C903" s="16"/>
      <c r="D903" s="16"/>
      <c r="E903" s="16"/>
      <c r="F903" s="16"/>
      <c r="G903" s="16"/>
      <c r="H903" s="16"/>
      <c r="I903" s="16"/>
      <c r="J903" s="16"/>
      <c r="K903" s="16"/>
      <c r="L903" s="13"/>
      <c r="M903" s="13"/>
      <c r="N903" s="13"/>
      <c r="O903" s="13"/>
      <c r="P903" s="13"/>
      <c r="Q903" s="13"/>
      <c r="R903" s="13"/>
      <c r="S903" s="13"/>
      <c r="T903" s="13"/>
      <c r="U903" s="12"/>
      <c r="V903" s="14"/>
      <c r="W903" s="16"/>
      <c r="X903" s="16"/>
      <c r="Y903" s="16"/>
      <c r="Z903" s="16"/>
      <c r="AA903" s="15" t="str">
        <f aca="false">IF(AND(ISNUMBER(L903),ISNUMBER(M903)),M903-L903,"")</f>
        <v/>
      </c>
      <c r="AB903" s="15" t="str">
        <f aca="false">IF(AND(ISNUMBER(M903),ISNUMBER(P903)),P903-M903,"")</f>
        <v/>
      </c>
      <c r="AC903" s="15" t="str">
        <f aca="false">IF(AND(ISNUMBER(L903),ISNUMBER(P903)),P903-L903,"")</f>
        <v/>
      </c>
      <c r="AD903" s="15" t="str">
        <f aca="false">IF(AND(ISNUMBER(P903),ISNUMBER(Q903)),Q903-P903,"")</f>
        <v/>
      </c>
      <c r="AE903" s="15" t="str">
        <f aca="false">IF(AND(ISNUMBER(Q903),ISNUMBER(R903)),R903-Q903,IF(ISNUMBER(Y903),Y903,""))</f>
        <v/>
      </c>
      <c r="AF903" s="15" t="str">
        <f aca="false">IF(AND(ISNUMBER(R903),ISNUMBER(S903)),S903-R903,"")</f>
        <v/>
      </c>
      <c r="AG903" s="15" t="str">
        <f aca="false">IF(AND(ISNUMBER(S903),ISNUMBER(T903)),T903-S903,"")</f>
        <v/>
      </c>
      <c r="AH903" s="15" t="str">
        <f aca="false">IF(AND(ISNUMBER(L903),ISNUMBER(T903)),T903-L903,"")</f>
        <v/>
      </c>
      <c r="AI903" s="15" t="str">
        <f aca="false">IF(AND(ISNUMBER(O903),ISNUMBER(Q903)),Q903-O903,"")</f>
        <v/>
      </c>
      <c r="AJ903" s="15" t="str">
        <f aca="false">IF(B903="","",COUNT(L903:M903,P903:T903)&amp;"/7")</f>
        <v/>
      </c>
      <c r="AK903" s="15" t="str">
        <f aca="false">IF(B903="","",IF(OR(AND(ISNUMBER(L903),ISNUMBER(M903),M903&lt;L903),AND(ISNUMBER(M903),ISNUMBER(P903),P903&lt;M903),AND(ISNUMBER(P903),ISNUMBER(Q903),Q903&lt;P903),AND(ISNUMBER(Q903),ISNUMBER(R903),R903&lt;Q903),AND(ISNUMBER(R903),ISNUMBER(S903),S903&lt;R903),AND(ISNUMBER(S903),ISNUMBER(T903),T903&lt;S903),AND(ISNUMBER(N903),ISNUMBER(O903),O903&lt;N903)),"Urutan tanggal salah",IF(AND(ISNUMBER(Q903),ISNUMBER(R903),ISNUMBER(Y903),ABS(R903-Q903-Y903)&gt;2),"S tanggal ≠ Sailing tercatat",IF(AND(ISNUMBER(Q903),ISNUMBER(O903),ABS(Q903-O903)&gt;60),"Cek tahun laycan",IF(AND(ISNUMBER(Q903),ISNUMBER(N903),Q903&lt;N903),"Berangkat sebelum laycan",IF(NOT(ISNUMBER(AE903)),"S belum ada","OK"))))))</f>
        <v/>
      </c>
    </row>
    <row r="904" customFormat="false" ht="15" hidden="false" customHeight="false" outlineLevel="0" collapsed="false">
      <c r="A904" s="16" t="str">
        <f aca="false">IF(B904="","",ROW()-4)</f>
        <v/>
      </c>
      <c r="B904" s="12"/>
      <c r="C904" s="16"/>
      <c r="D904" s="16"/>
      <c r="E904" s="16"/>
      <c r="F904" s="16"/>
      <c r="G904" s="16"/>
      <c r="H904" s="16"/>
      <c r="I904" s="16"/>
      <c r="J904" s="16"/>
      <c r="K904" s="16"/>
      <c r="L904" s="13"/>
      <c r="M904" s="13"/>
      <c r="N904" s="13"/>
      <c r="O904" s="13"/>
      <c r="P904" s="13"/>
      <c r="Q904" s="13"/>
      <c r="R904" s="13"/>
      <c r="S904" s="13"/>
      <c r="T904" s="13"/>
      <c r="U904" s="12"/>
      <c r="V904" s="14"/>
      <c r="W904" s="16"/>
      <c r="X904" s="16"/>
      <c r="Y904" s="16"/>
      <c r="Z904" s="16"/>
      <c r="AA904" s="15" t="str">
        <f aca="false">IF(AND(ISNUMBER(L904),ISNUMBER(M904)),M904-L904,"")</f>
        <v/>
      </c>
      <c r="AB904" s="15" t="str">
        <f aca="false">IF(AND(ISNUMBER(M904),ISNUMBER(P904)),P904-M904,"")</f>
        <v/>
      </c>
      <c r="AC904" s="15" t="str">
        <f aca="false">IF(AND(ISNUMBER(L904),ISNUMBER(P904)),P904-L904,"")</f>
        <v/>
      </c>
      <c r="AD904" s="15" t="str">
        <f aca="false">IF(AND(ISNUMBER(P904),ISNUMBER(Q904)),Q904-P904,"")</f>
        <v/>
      </c>
      <c r="AE904" s="15" t="str">
        <f aca="false">IF(AND(ISNUMBER(Q904),ISNUMBER(R904)),R904-Q904,IF(ISNUMBER(Y904),Y904,""))</f>
        <v/>
      </c>
      <c r="AF904" s="15" t="str">
        <f aca="false">IF(AND(ISNUMBER(R904),ISNUMBER(S904)),S904-R904,"")</f>
        <v/>
      </c>
      <c r="AG904" s="15" t="str">
        <f aca="false">IF(AND(ISNUMBER(S904),ISNUMBER(T904)),T904-S904,"")</f>
        <v/>
      </c>
      <c r="AH904" s="15" t="str">
        <f aca="false">IF(AND(ISNUMBER(L904),ISNUMBER(T904)),T904-L904,"")</f>
        <v/>
      </c>
      <c r="AI904" s="15" t="str">
        <f aca="false">IF(AND(ISNUMBER(O904),ISNUMBER(Q904)),Q904-O904,"")</f>
        <v/>
      </c>
      <c r="AJ904" s="15" t="str">
        <f aca="false">IF(B904="","",COUNT(L904:M904,P904:T904)&amp;"/7")</f>
        <v/>
      </c>
      <c r="AK904" s="15" t="str">
        <f aca="false">IF(B904="","",IF(OR(AND(ISNUMBER(L904),ISNUMBER(M904),M904&lt;L904),AND(ISNUMBER(M904),ISNUMBER(P904),P904&lt;M904),AND(ISNUMBER(P904),ISNUMBER(Q904),Q904&lt;P904),AND(ISNUMBER(Q904),ISNUMBER(R904),R904&lt;Q904),AND(ISNUMBER(R904),ISNUMBER(S904),S904&lt;R904),AND(ISNUMBER(S904),ISNUMBER(T904),T904&lt;S904),AND(ISNUMBER(N904),ISNUMBER(O904),O904&lt;N904)),"Urutan tanggal salah",IF(AND(ISNUMBER(Q904),ISNUMBER(R904),ISNUMBER(Y904),ABS(R904-Q904-Y904)&gt;2),"S tanggal ≠ Sailing tercatat",IF(AND(ISNUMBER(Q904),ISNUMBER(O904),ABS(Q904-O904)&gt;60),"Cek tahun laycan",IF(AND(ISNUMBER(Q904),ISNUMBER(N904),Q904&lt;N904),"Berangkat sebelum laycan",IF(NOT(ISNUMBER(AE904)),"S belum ada","OK"))))))</f>
        <v/>
      </c>
    </row>
    <row r="905" customFormat="false" ht="15" hidden="false" customHeight="false" outlineLevel="0" collapsed="false">
      <c r="A905" s="16" t="str">
        <f aca="false">IF(B905="","",ROW()-4)</f>
        <v/>
      </c>
      <c r="B905" s="12"/>
      <c r="C905" s="16"/>
      <c r="D905" s="16"/>
      <c r="E905" s="16"/>
      <c r="F905" s="16"/>
      <c r="G905" s="16"/>
      <c r="H905" s="16"/>
      <c r="I905" s="16"/>
      <c r="J905" s="16"/>
      <c r="K905" s="16"/>
      <c r="L905" s="13"/>
      <c r="M905" s="13"/>
      <c r="N905" s="13"/>
      <c r="O905" s="13"/>
      <c r="P905" s="13"/>
      <c r="Q905" s="13"/>
      <c r="R905" s="13"/>
      <c r="S905" s="13"/>
      <c r="T905" s="13"/>
      <c r="U905" s="12"/>
      <c r="V905" s="14"/>
      <c r="W905" s="16"/>
      <c r="X905" s="16"/>
      <c r="Y905" s="16"/>
      <c r="Z905" s="16"/>
      <c r="AA905" s="15" t="str">
        <f aca="false">IF(AND(ISNUMBER(L905),ISNUMBER(M905)),M905-L905,"")</f>
        <v/>
      </c>
      <c r="AB905" s="15" t="str">
        <f aca="false">IF(AND(ISNUMBER(M905),ISNUMBER(P905)),P905-M905,"")</f>
        <v/>
      </c>
      <c r="AC905" s="15" t="str">
        <f aca="false">IF(AND(ISNUMBER(L905),ISNUMBER(P905)),P905-L905,"")</f>
        <v/>
      </c>
      <c r="AD905" s="15" t="str">
        <f aca="false">IF(AND(ISNUMBER(P905),ISNUMBER(Q905)),Q905-P905,"")</f>
        <v/>
      </c>
      <c r="AE905" s="15" t="str">
        <f aca="false">IF(AND(ISNUMBER(Q905),ISNUMBER(R905)),R905-Q905,IF(ISNUMBER(Y905),Y905,""))</f>
        <v/>
      </c>
      <c r="AF905" s="15" t="str">
        <f aca="false">IF(AND(ISNUMBER(R905),ISNUMBER(S905)),S905-R905,"")</f>
        <v/>
      </c>
      <c r="AG905" s="15" t="str">
        <f aca="false">IF(AND(ISNUMBER(S905),ISNUMBER(T905)),T905-S905,"")</f>
        <v/>
      </c>
      <c r="AH905" s="15" t="str">
        <f aca="false">IF(AND(ISNUMBER(L905),ISNUMBER(T905)),T905-L905,"")</f>
        <v/>
      </c>
      <c r="AI905" s="15" t="str">
        <f aca="false">IF(AND(ISNUMBER(O905),ISNUMBER(Q905)),Q905-O905,"")</f>
        <v/>
      </c>
      <c r="AJ905" s="15" t="str">
        <f aca="false">IF(B905="","",COUNT(L905:M905,P905:T905)&amp;"/7")</f>
        <v/>
      </c>
      <c r="AK905" s="15" t="str">
        <f aca="false">IF(B905="","",IF(OR(AND(ISNUMBER(L905),ISNUMBER(M905),M905&lt;L905),AND(ISNUMBER(M905),ISNUMBER(P905),P905&lt;M905),AND(ISNUMBER(P905),ISNUMBER(Q905),Q905&lt;P905),AND(ISNUMBER(Q905),ISNUMBER(R905),R905&lt;Q905),AND(ISNUMBER(R905),ISNUMBER(S905),S905&lt;R905),AND(ISNUMBER(S905),ISNUMBER(T905),T905&lt;S905),AND(ISNUMBER(N905),ISNUMBER(O905),O905&lt;N905)),"Urutan tanggal salah",IF(AND(ISNUMBER(Q905),ISNUMBER(R905),ISNUMBER(Y905),ABS(R905-Q905-Y905)&gt;2),"S tanggal ≠ Sailing tercatat",IF(AND(ISNUMBER(Q905),ISNUMBER(O905),ABS(Q905-O905)&gt;60),"Cek tahun laycan",IF(AND(ISNUMBER(Q905),ISNUMBER(N905),Q905&lt;N905),"Berangkat sebelum laycan",IF(NOT(ISNUMBER(AE905)),"S belum ada","OK"))))))</f>
        <v/>
      </c>
    </row>
    <row r="906" customFormat="false" ht="15" hidden="false" customHeight="false" outlineLevel="0" collapsed="false">
      <c r="A906" s="16" t="str">
        <f aca="false">IF(B906="","",ROW()-4)</f>
        <v/>
      </c>
      <c r="B906" s="12"/>
      <c r="C906" s="16"/>
      <c r="D906" s="16"/>
      <c r="E906" s="16"/>
      <c r="F906" s="16"/>
      <c r="G906" s="16"/>
      <c r="H906" s="16"/>
      <c r="I906" s="16"/>
      <c r="J906" s="16"/>
      <c r="K906" s="16"/>
      <c r="L906" s="13"/>
      <c r="M906" s="13"/>
      <c r="N906" s="13"/>
      <c r="O906" s="13"/>
      <c r="P906" s="13"/>
      <c r="Q906" s="13"/>
      <c r="R906" s="13"/>
      <c r="S906" s="13"/>
      <c r="T906" s="13"/>
      <c r="U906" s="12"/>
      <c r="V906" s="14"/>
      <c r="W906" s="16"/>
      <c r="X906" s="16"/>
      <c r="Y906" s="16"/>
      <c r="Z906" s="16"/>
      <c r="AA906" s="15" t="str">
        <f aca="false">IF(AND(ISNUMBER(L906),ISNUMBER(M906)),M906-L906,"")</f>
        <v/>
      </c>
      <c r="AB906" s="15" t="str">
        <f aca="false">IF(AND(ISNUMBER(M906),ISNUMBER(P906)),P906-M906,"")</f>
        <v/>
      </c>
      <c r="AC906" s="15" t="str">
        <f aca="false">IF(AND(ISNUMBER(L906),ISNUMBER(P906)),P906-L906,"")</f>
        <v/>
      </c>
      <c r="AD906" s="15" t="str">
        <f aca="false">IF(AND(ISNUMBER(P906),ISNUMBER(Q906)),Q906-P906,"")</f>
        <v/>
      </c>
      <c r="AE906" s="15" t="str">
        <f aca="false">IF(AND(ISNUMBER(Q906),ISNUMBER(R906)),R906-Q906,IF(ISNUMBER(Y906),Y906,""))</f>
        <v/>
      </c>
      <c r="AF906" s="15" t="str">
        <f aca="false">IF(AND(ISNUMBER(R906),ISNUMBER(S906)),S906-R906,"")</f>
        <v/>
      </c>
      <c r="AG906" s="15" t="str">
        <f aca="false">IF(AND(ISNUMBER(S906),ISNUMBER(T906)),T906-S906,"")</f>
        <v/>
      </c>
      <c r="AH906" s="15" t="str">
        <f aca="false">IF(AND(ISNUMBER(L906),ISNUMBER(T906)),T906-L906,"")</f>
        <v/>
      </c>
      <c r="AI906" s="15" t="str">
        <f aca="false">IF(AND(ISNUMBER(O906),ISNUMBER(Q906)),Q906-O906,"")</f>
        <v/>
      </c>
      <c r="AJ906" s="15" t="str">
        <f aca="false">IF(B906="","",COUNT(L906:M906,P906:T906)&amp;"/7")</f>
        <v/>
      </c>
      <c r="AK906" s="15" t="str">
        <f aca="false">IF(B906="","",IF(OR(AND(ISNUMBER(L906),ISNUMBER(M906),M906&lt;L906),AND(ISNUMBER(M906),ISNUMBER(P906),P906&lt;M906),AND(ISNUMBER(P906),ISNUMBER(Q906),Q906&lt;P906),AND(ISNUMBER(Q906),ISNUMBER(R906),R906&lt;Q906),AND(ISNUMBER(R906),ISNUMBER(S906),S906&lt;R906),AND(ISNUMBER(S906),ISNUMBER(T906),T906&lt;S906),AND(ISNUMBER(N906),ISNUMBER(O906),O906&lt;N906)),"Urutan tanggal salah",IF(AND(ISNUMBER(Q906),ISNUMBER(R906),ISNUMBER(Y906),ABS(R906-Q906-Y906)&gt;2),"S tanggal ≠ Sailing tercatat",IF(AND(ISNUMBER(Q906),ISNUMBER(O906),ABS(Q906-O906)&gt;60),"Cek tahun laycan",IF(AND(ISNUMBER(Q906),ISNUMBER(N906),Q906&lt;N906),"Berangkat sebelum laycan",IF(NOT(ISNUMBER(AE906)),"S belum ada","OK"))))))</f>
        <v/>
      </c>
    </row>
    <row r="907" customFormat="false" ht="15" hidden="false" customHeight="false" outlineLevel="0" collapsed="false">
      <c r="A907" s="16" t="str">
        <f aca="false">IF(B907="","",ROW()-4)</f>
        <v/>
      </c>
      <c r="B907" s="12"/>
      <c r="C907" s="16"/>
      <c r="D907" s="16"/>
      <c r="E907" s="16"/>
      <c r="F907" s="16"/>
      <c r="G907" s="16"/>
      <c r="H907" s="16"/>
      <c r="I907" s="16"/>
      <c r="J907" s="16"/>
      <c r="K907" s="16"/>
      <c r="L907" s="13"/>
      <c r="M907" s="13"/>
      <c r="N907" s="13"/>
      <c r="O907" s="13"/>
      <c r="P907" s="13"/>
      <c r="Q907" s="13"/>
      <c r="R907" s="13"/>
      <c r="S907" s="13"/>
      <c r="T907" s="13"/>
      <c r="U907" s="12"/>
      <c r="V907" s="14"/>
      <c r="W907" s="16"/>
      <c r="X907" s="16"/>
      <c r="Y907" s="16"/>
      <c r="Z907" s="16"/>
      <c r="AA907" s="15" t="str">
        <f aca="false">IF(AND(ISNUMBER(L907),ISNUMBER(M907)),M907-L907,"")</f>
        <v/>
      </c>
      <c r="AB907" s="15" t="str">
        <f aca="false">IF(AND(ISNUMBER(M907),ISNUMBER(P907)),P907-M907,"")</f>
        <v/>
      </c>
      <c r="AC907" s="15" t="str">
        <f aca="false">IF(AND(ISNUMBER(L907),ISNUMBER(P907)),P907-L907,"")</f>
        <v/>
      </c>
      <c r="AD907" s="15" t="str">
        <f aca="false">IF(AND(ISNUMBER(P907),ISNUMBER(Q907)),Q907-P907,"")</f>
        <v/>
      </c>
      <c r="AE907" s="15" t="str">
        <f aca="false">IF(AND(ISNUMBER(Q907),ISNUMBER(R907)),R907-Q907,IF(ISNUMBER(Y907),Y907,""))</f>
        <v/>
      </c>
      <c r="AF907" s="15" t="str">
        <f aca="false">IF(AND(ISNUMBER(R907),ISNUMBER(S907)),S907-R907,"")</f>
        <v/>
      </c>
      <c r="AG907" s="15" t="str">
        <f aca="false">IF(AND(ISNUMBER(S907),ISNUMBER(T907)),T907-S907,"")</f>
        <v/>
      </c>
      <c r="AH907" s="15" t="str">
        <f aca="false">IF(AND(ISNUMBER(L907),ISNUMBER(T907)),T907-L907,"")</f>
        <v/>
      </c>
      <c r="AI907" s="15" t="str">
        <f aca="false">IF(AND(ISNUMBER(O907),ISNUMBER(Q907)),Q907-O907,"")</f>
        <v/>
      </c>
      <c r="AJ907" s="15" t="str">
        <f aca="false">IF(B907="","",COUNT(L907:M907,P907:T907)&amp;"/7")</f>
        <v/>
      </c>
      <c r="AK907" s="15" t="str">
        <f aca="false">IF(B907="","",IF(OR(AND(ISNUMBER(L907),ISNUMBER(M907),M907&lt;L907),AND(ISNUMBER(M907),ISNUMBER(P907),P907&lt;M907),AND(ISNUMBER(P907),ISNUMBER(Q907),Q907&lt;P907),AND(ISNUMBER(Q907),ISNUMBER(R907),R907&lt;Q907),AND(ISNUMBER(R907),ISNUMBER(S907),S907&lt;R907),AND(ISNUMBER(S907),ISNUMBER(T907),T907&lt;S907),AND(ISNUMBER(N907),ISNUMBER(O907),O907&lt;N907)),"Urutan tanggal salah",IF(AND(ISNUMBER(Q907),ISNUMBER(R907),ISNUMBER(Y907),ABS(R907-Q907-Y907)&gt;2),"S tanggal ≠ Sailing tercatat",IF(AND(ISNUMBER(Q907),ISNUMBER(O907),ABS(Q907-O907)&gt;60),"Cek tahun laycan",IF(AND(ISNUMBER(Q907),ISNUMBER(N907),Q907&lt;N907),"Berangkat sebelum laycan",IF(NOT(ISNUMBER(AE907)),"S belum ada","OK"))))))</f>
        <v/>
      </c>
    </row>
    <row r="908" customFormat="false" ht="15" hidden="false" customHeight="false" outlineLevel="0" collapsed="false">
      <c r="A908" s="16" t="str">
        <f aca="false">IF(B908="","",ROW()-4)</f>
        <v/>
      </c>
      <c r="B908" s="12"/>
      <c r="C908" s="16"/>
      <c r="D908" s="16"/>
      <c r="E908" s="16"/>
      <c r="F908" s="16"/>
      <c r="G908" s="16"/>
      <c r="H908" s="16"/>
      <c r="I908" s="16"/>
      <c r="J908" s="16"/>
      <c r="K908" s="16"/>
      <c r="L908" s="13"/>
      <c r="M908" s="13"/>
      <c r="N908" s="13"/>
      <c r="O908" s="13"/>
      <c r="P908" s="13"/>
      <c r="Q908" s="13"/>
      <c r="R908" s="13"/>
      <c r="S908" s="13"/>
      <c r="T908" s="13"/>
      <c r="U908" s="12"/>
      <c r="V908" s="14"/>
      <c r="W908" s="16"/>
      <c r="X908" s="16"/>
      <c r="Y908" s="16"/>
      <c r="Z908" s="16"/>
      <c r="AA908" s="15" t="str">
        <f aca="false">IF(AND(ISNUMBER(L908),ISNUMBER(M908)),M908-L908,"")</f>
        <v/>
      </c>
      <c r="AB908" s="15" t="str">
        <f aca="false">IF(AND(ISNUMBER(M908),ISNUMBER(P908)),P908-M908,"")</f>
        <v/>
      </c>
      <c r="AC908" s="15" t="str">
        <f aca="false">IF(AND(ISNUMBER(L908),ISNUMBER(P908)),P908-L908,"")</f>
        <v/>
      </c>
      <c r="AD908" s="15" t="str">
        <f aca="false">IF(AND(ISNUMBER(P908),ISNUMBER(Q908)),Q908-P908,"")</f>
        <v/>
      </c>
      <c r="AE908" s="15" t="str">
        <f aca="false">IF(AND(ISNUMBER(Q908),ISNUMBER(R908)),R908-Q908,IF(ISNUMBER(Y908),Y908,""))</f>
        <v/>
      </c>
      <c r="AF908" s="15" t="str">
        <f aca="false">IF(AND(ISNUMBER(R908),ISNUMBER(S908)),S908-R908,"")</f>
        <v/>
      </c>
      <c r="AG908" s="15" t="str">
        <f aca="false">IF(AND(ISNUMBER(S908),ISNUMBER(T908)),T908-S908,"")</f>
        <v/>
      </c>
      <c r="AH908" s="15" t="str">
        <f aca="false">IF(AND(ISNUMBER(L908),ISNUMBER(T908)),T908-L908,"")</f>
        <v/>
      </c>
      <c r="AI908" s="15" t="str">
        <f aca="false">IF(AND(ISNUMBER(O908),ISNUMBER(Q908)),Q908-O908,"")</f>
        <v/>
      </c>
      <c r="AJ908" s="15" t="str">
        <f aca="false">IF(B908="","",COUNT(L908:M908,P908:T908)&amp;"/7")</f>
        <v/>
      </c>
      <c r="AK908" s="15" t="str">
        <f aca="false">IF(B908="","",IF(OR(AND(ISNUMBER(L908),ISNUMBER(M908),M908&lt;L908),AND(ISNUMBER(M908),ISNUMBER(P908),P908&lt;M908),AND(ISNUMBER(P908),ISNUMBER(Q908),Q908&lt;P908),AND(ISNUMBER(Q908),ISNUMBER(R908),R908&lt;Q908),AND(ISNUMBER(R908),ISNUMBER(S908),S908&lt;R908),AND(ISNUMBER(S908),ISNUMBER(T908),T908&lt;S908),AND(ISNUMBER(N908),ISNUMBER(O908),O908&lt;N908)),"Urutan tanggal salah",IF(AND(ISNUMBER(Q908),ISNUMBER(R908),ISNUMBER(Y908),ABS(R908-Q908-Y908)&gt;2),"S tanggal ≠ Sailing tercatat",IF(AND(ISNUMBER(Q908),ISNUMBER(O908),ABS(Q908-O908)&gt;60),"Cek tahun laycan",IF(AND(ISNUMBER(Q908),ISNUMBER(N908),Q908&lt;N908),"Berangkat sebelum laycan",IF(NOT(ISNUMBER(AE908)),"S belum ada","OK"))))))</f>
        <v/>
      </c>
    </row>
    <row r="909" customFormat="false" ht="15" hidden="false" customHeight="false" outlineLevel="0" collapsed="false">
      <c r="A909" s="16" t="str">
        <f aca="false">IF(B909="","",ROW()-4)</f>
        <v/>
      </c>
      <c r="B909" s="12"/>
      <c r="C909" s="16"/>
      <c r="D909" s="16"/>
      <c r="E909" s="16"/>
      <c r="F909" s="16"/>
      <c r="G909" s="16"/>
      <c r="H909" s="16"/>
      <c r="I909" s="16"/>
      <c r="J909" s="16"/>
      <c r="K909" s="16"/>
      <c r="L909" s="13"/>
      <c r="M909" s="13"/>
      <c r="N909" s="13"/>
      <c r="O909" s="13"/>
      <c r="P909" s="13"/>
      <c r="Q909" s="13"/>
      <c r="R909" s="13"/>
      <c r="S909" s="13"/>
      <c r="T909" s="13"/>
      <c r="U909" s="12"/>
      <c r="V909" s="14"/>
      <c r="W909" s="16"/>
      <c r="X909" s="16"/>
      <c r="Y909" s="16"/>
      <c r="Z909" s="16"/>
      <c r="AA909" s="15" t="str">
        <f aca="false">IF(AND(ISNUMBER(L909),ISNUMBER(M909)),M909-L909,"")</f>
        <v/>
      </c>
      <c r="AB909" s="15" t="str">
        <f aca="false">IF(AND(ISNUMBER(M909),ISNUMBER(P909)),P909-M909,"")</f>
        <v/>
      </c>
      <c r="AC909" s="15" t="str">
        <f aca="false">IF(AND(ISNUMBER(L909),ISNUMBER(P909)),P909-L909,"")</f>
        <v/>
      </c>
      <c r="AD909" s="15" t="str">
        <f aca="false">IF(AND(ISNUMBER(P909),ISNUMBER(Q909)),Q909-P909,"")</f>
        <v/>
      </c>
      <c r="AE909" s="15" t="str">
        <f aca="false">IF(AND(ISNUMBER(Q909),ISNUMBER(R909)),R909-Q909,IF(ISNUMBER(Y909),Y909,""))</f>
        <v/>
      </c>
      <c r="AF909" s="15" t="str">
        <f aca="false">IF(AND(ISNUMBER(R909),ISNUMBER(S909)),S909-R909,"")</f>
        <v/>
      </c>
      <c r="AG909" s="15" t="str">
        <f aca="false">IF(AND(ISNUMBER(S909),ISNUMBER(T909)),T909-S909,"")</f>
        <v/>
      </c>
      <c r="AH909" s="15" t="str">
        <f aca="false">IF(AND(ISNUMBER(L909),ISNUMBER(T909)),T909-L909,"")</f>
        <v/>
      </c>
      <c r="AI909" s="15" t="str">
        <f aca="false">IF(AND(ISNUMBER(O909),ISNUMBER(Q909)),Q909-O909,"")</f>
        <v/>
      </c>
      <c r="AJ909" s="15" t="str">
        <f aca="false">IF(B909="","",COUNT(L909:M909,P909:T909)&amp;"/7")</f>
        <v/>
      </c>
      <c r="AK909" s="15" t="str">
        <f aca="false">IF(B909="","",IF(OR(AND(ISNUMBER(L909),ISNUMBER(M909),M909&lt;L909),AND(ISNUMBER(M909),ISNUMBER(P909),P909&lt;M909),AND(ISNUMBER(P909),ISNUMBER(Q909),Q909&lt;P909),AND(ISNUMBER(Q909),ISNUMBER(R909),R909&lt;Q909),AND(ISNUMBER(R909),ISNUMBER(S909),S909&lt;R909),AND(ISNUMBER(S909),ISNUMBER(T909),T909&lt;S909),AND(ISNUMBER(N909),ISNUMBER(O909),O909&lt;N909)),"Urutan tanggal salah",IF(AND(ISNUMBER(Q909),ISNUMBER(R909),ISNUMBER(Y909),ABS(R909-Q909-Y909)&gt;2),"S tanggal ≠ Sailing tercatat",IF(AND(ISNUMBER(Q909),ISNUMBER(O909),ABS(Q909-O909)&gt;60),"Cek tahun laycan",IF(AND(ISNUMBER(Q909),ISNUMBER(N909),Q909&lt;N909),"Berangkat sebelum laycan",IF(NOT(ISNUMBER(AE909)),"S belum ada","OK"))))))</f>
        <v/>
      </c>
    </row>
    <row r="910" customFormat="false" ht="15" hidden="false" customHeight="false" outlineLevel="0" collapsed="false">
      <c r="A910" s="16" t="str">
        <f aca="false">IF(B910="","",ROW()-4)</f>
        <v/>
      </c>
      <c r="B910" s="12"/>
      <c r="C910" s="16"/>
      <c r="D910" s="16"/>
      <c r="E910" s="16"/>
      <c r="F910" s="16"/>
      <c r="G910" s="16"/>
      <c r="H910" s="16"/>
      <c r="I910" s="16"/>
      <c r="J910" s="16"/>
      <c r="K910" s="16"/>
      <c r="L910" s="13"/>
      <c r="M910" s="13"/>
      <c r="N910" s="13"/>
      <c r="O910" s="13"/>
      <c r="P910" s="13"/>
      <c r="Q910" s="13"/>
      <c r="R910" s="13"/>
      <c r="S910" s="13"/>
      <c r="T910" s="13"/>
      <c r="U910" s="12"/>
      <c r="V910" s="14"/>
      <c r="W910" s="16"/>
      <c r="X910" s="16"/>
      <c r="Y910" s="16"/>
      <c r="Z910" s="16"/>
      <c r="AA910" s="15" t="str">
        <f aca="false">IF(AND(ISNUMBER(L910),ISNUMBER(M910)),M910-L910,"")</f>
        <v/>
      </c>
      <c r="AB910" s="15" t="str">
        <f aca="false">IF(AND(ISNUMBER(M910),ISNUMBER(P910)),P910-M910,"")</f>
        <v/>
      </c>
      <c r="AC910" s="15" t="str">
        <f aca="false">IF(AND(ISNUMBER(L910),ISNUMBER(P910)),P910-L910,"")</f>
        <v/>
      </c>
      <c r="AD910" s="15" t="str">
        <f aca="false">IF(AND(ISNUMBER(P910),ISNUMBER(Q910)),Q910-P910,"")</f>
        <v/>
      </c>
      <c r="AE910" s="15" t="str">
        <f aca="false">IF(AND(ISNUMBER(Q910),ISNUMBER(R910)),R910-Q910,IF(ISNUMBER(Y910),Y910,""))</f>
        <v/>
      </c>
      <c r="AF910" s="15" t="str">
        <f aca="false">IF(AND(ISNUMBER(R910),ISNUMBER(S910)),S910-R910,"")</f>
        <v/>
      </c>
      <c r="AG910" s="15" t="str">
        <f aca="false">IF(AND(ISNUMBER(S910),ISNUMBER(T910)),T910-S910,"")</f>
        <v/>
      </c>
      <c r="AH910" s="15" t="str">
        <f aca="false">IF(AND(ISNUMBER(L910),ISNUMBER(T910)),T910-L910,"")</f>
        <v/>
      </c>
      <c r="AI910" s="15" t="str">
        <f aca="false">IF(AND(ISNUMBER(O910),ISNUMBER(Q910)),Q910-O910,"")</f>
        <v/>
      </c>
      <c r="AJ910" s="15" t="str">
        <f aca="false">IF(B910="","",COUNT(L910:M910,P910:T910)&amp;"/7")</f>
        <v/>
      </c>
      <c r="AK910" s="15" t="str">
        <f aca="false">IF(B910="","",IF(OR(AND(ISNUMBER(L910),ISNUMBER(M910),M910&lt;L910),AND(ISNUMBER(M910),ISNUMBER(P910),P910&lt;M910),AND(ISNUMBER(P910),ISNUMBER(Q910),Q910&lt;P910),AND(ISNUMBER(Q910),ISNUMBER(R910),R910&lt;Q910),AND(ISNUMBER(R910),ISNUMBER(S910),S910&lt;R910),AND(ISNUMBER(S910),ISNUMBER(T910),T910&lt;S910),AND(ISNUMBER(N910),ISNUMBER(O910),O910&lt;N910)),"Urutan tanggal salah",IF(AND(ISNUMBER(Q910),ISNUMBER(R910),ISNUMBER(Y910),ABS(R910-Q910-Y910)&gt;2),"S tanggal ≠ Sailing tercatat",IF(AND(ISNUMBER(Q910),ISNUMBER(O910),ABS(Q910-O910)&gt;60),"Cek tahun laycan",IF(AND(ISNUMBER(Q910),ISNUMBER(N910),Q910&lt;N910),"Berangkat sebelum laycan",IF(NOT(ISNUMBER(AE910)),"S belum ada","OK"))))))</f>
        <v/>
      </c>
    </row>
    <row r="911" customFormat="false" ht="15" hidden="false" customHeight="false" outlineLevel="0" collapsed="false">
      <c r="A911" s="16" t="str">
        <f aca="false">IF(B911="","",ROW()-4)</f>
        <v/>
      </c>
      <c r="B911" s="12"/>
      <c r="C911" s="16"/>
      <c r="D911" s="16"/>
      <c r="E911" s="16"/>
      <c r="F911" s="16"/>
      <c r="G911" s="16"/>
      <c r="H911" s="16"/>
      <c r="I911" s="16"/>
      <c r="J911" s="16"/>
      <c r="K911" s="16"/>
      <c r="L911" s="13"/>
      <c r="M911" s="13"/>
      <c r="N911" s="13"/>
      <c r="O911" s="13"/>
      <c r="P911" s="13"/>
      <c r="Q911" s="13"/>
      <c r="R911" s="13"/>
      <c r="S911" s="13"/>
      <c r="T911" s="13"/>
      <c r="U911" s="12"/>
      <c r="V911" s="14"/>
      <c r="W911" s="16"/>
      <c r="X911" s="16"/>
      <c r="Y911" s="16"/>
      <c r="Z911" s="16"/>
      <c r="AA911" s="15" t="str">
        <f aca="false">IF(AND(ISNUMBER(L911),ISNUMBER(M911)),M911-L911,"")</f>
        <v/>
      </c>
      <c r="AB911" s="15" t="str">
        <f aca="false">IF(AND(ISNUMBER(M911),ISNUMBER(P911)),P911-M911,"")</f>
        <v/>
      </c>
      <c r="AC911" s="15" t="str">
        <f aca="false">IF(AND(ISNUMBER(L911),ISNUMBER(P911)),P911-L911,"")</f>
        <v/>
      </c>
      <c r="AD911" s="15" t="str">
        <f aca="false">IF(AND(ISNUMBER(P911),ISNUMBER(Q911)),Q911-P911,"")</f>
        <v/>
      </c>
      <c r="AE911" s="15" t="str">
        <f aca="false">IF(AND(ISNUMBER(Q911),ISNUMBER(R911)),R911-Q911,IF(ISNUMBER(Y911),Y911,""))</f>
        <v/>
      </c>
      <c r="AF911" s="15" t="str">
        <f aca="false">IF(AND(ISNUMBER(R911),ISNUMBER(S911)),S911-R911,"")</f>
        <v/>
      </c>
      <c r="AG911" s="15" t="str">
        <f aca="false">IF(AND(ISNUMBER(S911),ISNUMBER(T911)),T911-S911,"")</f>
        <v/>
      </c>
      <c r="AH911" s="15" t="str">
        <f aca="false">IF(AND(ISNUMBER(L911),ISNUMBER(T911)),T911-L911,"")</f>
        <v/>
      </c>
      <c r="AI911" s="15" t="str">
        <f aca="false">IF(AND(ISNUMBER(O911),ISNUMBER(Q911)),Q911-O911,"")</f>
        <v/>
      </c>
      <c r="AJ911" s="15" t="str">
        <f aca="false">IF(B911="","",COUNT(L911:M911,P911:T911)&amp;"/7")</f>
        <v/>
      </c>
      <c r="AK911" s="15" t="str">
        <f aca="false">IF(B911="","",IF(OR(AND(ISNUMBER(L911),ISNUMBER(M911),M911&lt;L911),AND(ISNUMBER(M911),ISNUMBER(P911),P911&lt;M911),AND(ISNUMBER(P911),ISNUMBER(Q911),Q911&lt;P911),AND(ISNUMBER(Q911),ISNUMBER(R911),R911&lt;Q911),AND(ISNUMBER(R911),ISNUMBER(S911),S911&lt;R911),AND(ISNUMBER(S911),ISNUMBER(T911),T911&lt;S911),AND(ISNUMBER(N911),ISNUMBER(O911),O911&lt;N911)),"Urutan tanggal salah",IF(AND(ISNUMBER(Q911),ISNUMBER(R911),ISNUMBER(Y911),ABS(R911-Q911-Y911)&gt;2),"S tanggal ≠ Sailing tercatat",IF(AND(ISNUMBER(Q911),ISNUMBER(O911),ABS(Q911-O911)&gt;60),"Cek tahun laycan",IF(AND(ISNUMBER(Q911),ISNUMBER(N911),Q911&lt;N911),"Berangkat sebelum laycan",IF(NOT(ISNUMBER(AE911)),"S belum ada","OK"))))))</f>
        <v/>
      </c>
    </row>
    <row r="912" customFormat="false" ht="15" hidden="false" customHeight="false" outlineLevel="0" collapsed="false">
      <c r="A912" s="16" t="str">
        <f aca="false">IF(B912="","",ROW()-4)</f>
        <v/>
      </c>
      <c r="B912" s="12"/>
      <c r="C912" s="16"/>
      <c r="D912" s="16"/>
      <c r="E912" s="16"/>
      <c r="F912" s="16"/>
      <c r="G912" s="16"/>
      <c r="H912" s="16"/>
      <c r="I912" s="16"/>
      <c r="J912" s="16"/>
      <c r="K912" s="16"/>
      <c r="L912" s="13"/>
      <c r="M912" s="13"/>
      <c r="N912" s="13"/>
      <c r="O912" s="13"/>
      <c r="P912" s="13"/>
      <c r="Q912" s="13"/>
      <c r="R912" s="13"/>
      <c r="S912" s="13"/>
      <c r="T912" s="13"/>
      <c r="U912" s="12"/>
      <c r="V912" s="14"/>
      <c r="W912" s="16"/>
      <c r="X912" s="16"/>
      <c r="Y912" s="16"/>
      <c r="Z912" s="16"/>
      <c r="AA912" s="15" t="str">
        <f aca="false">IF(AND(ISNUMBER(L912),ISNUMBER(M912)),M912-L912,"")</f>
        <v/>
      </c>
      <c r="AB912" s="15" t="str">
        <f aca="false">IF(AND(ISNUMBER(M912),ISNUMBER(P912)),P912-M912,"")</f>
        <v/>
      </c>
      <c r="AC912" s="15" t="str">
        <f aca="false">IF(AND(ISNUMBER(L912),ISNUMBER(P912)),P912-L912,"")</f>
        <v/>
      </c>
      <c r="AD912" s="15" t="str">
        <f aca="false">IF(AND(ISNUMBER(P912),ISNUMBER(Q912)),Q912-P912,"")</f>
        <v/>
      </c>
      <c r="AE912" s="15" t="str">
        <f aca="false">IF(AND(ISNUMBER(Q912),ISNUMBER(R912)),R912-Q912,IF(ISNUMBER(Y912),Y912,""))</f>
        <v/>
      </c>
      <c r="AF912" s="15" t="str">
        <f aca="false">IF(AND(ISNUMBER(R912),ISNUMBER(S912)),S912-R912,"")</f>
        <v/>
      </c>
      <c r="AG912" s="15" t="str">
        <f aca="false">IF(AND(ISNUMBER(S912),ISNUMBER(T912)),T912-S912,"")</f>
        <v/>
      </c>
      <c r="AH912" s="15" t="str">
        <f aca="false">IF(AND(ISNUMBER(L912),ISNUMBER(T912)),T912-L912,"")</f>
        <v/>
      </c>
      <c r="AI912" s="15" t="str">
        <f aca="false">IF(AND(ISNUMBER(O912),ISNUMBER(Q912)),Q912-O912,"")</f>
        <v/>
      </c>
      <c r="AJ912" s="15" t="str">
        <f aca="false">IF(B912="","",COUNT(L912:M912,P912:T912)&amp;"/7")</f>
        <v/>
      </c>
      <c r="AK912" s="15" t="str">
        <f aca="false">IF(B912="","",IF(OR(AND(ISNUMBER(L912),ISNUMBER(M912),M912&lt;L912),AND(ISNUMBER(M912),ISNUMBER(P912),P912&lt;M912),AND(ISNUMBER(P912),ISNUMBER(Q912),Q912&lt;P912),AND(ISNUMBER(Q912),ISNUMBER(R912),R912&lt;Q912),AND(ISNUMBER(R912),ISNUMBER(S912),S912&lt;R912),AND(ISNUMBER(S912),ISNUMBER(T912),T912&lt;S912),AND(ISNUMBER(N912),ISNUMBER(O912),O912&lt;N912)),"Urutan tanggal salah",IF(AND(ISNUMBER(Q912),ISNUMBER(R912),ISNUMBER(Y912),ABS(R912-Q912-Y912)&gt;2),"S tanggal ≠ Sailing tercatat",IF(AND(ISNUMBER(Q912),ISNUMBER(O912),ABS(Q912-O912)&gt;60),"Cek tahun laycan",IF(AND(ISNUMBER(Q912),ISNUMBER(N912),Q912&lt;N912),"Berangkat sebelum laycan",IF(NOT(ISNUMBER(AE912)),"S belum ada","OK"))))))</f>
        <v/>
      </c>
    </row>
    <row r="913" customFormat="false" ht="15" hidden="false" customHeight="false" outlineLevel="0" collapsed="false">
      <c r="A913" s="16" t="str">
        <f aca="false">IF(B913="","",ROW()-4)</f>
        <v/>
      </c>
      <c r="B913" s="12"/>
      <c r="C913" s="16"/>
      <c r="D913" s="16"/>
      <c r="E913" s="16"/>
      <c r="F913" s="16"/>
      <c r="G913" s="16"/>
      <c r="H913" s="16"/>
      <c r="I913" s="16"/>
      <c r="J913" s="16"/>
      <c r="K913" s="16"/>
      <c r="L913" s="13"/>
      <c r="M913" s="13"/>
      <c r="N913" s="13"/>
      <c r="O913" s="13"/>
      <c r="P913" s="13"/>
      <c r="Q913" s="13"/>
      <c r="R913" s="13"/>
      <c r="S913" s="13"/>
      <c r="T913" s="13"/>
      <c r="U913" s="12"/>
      <c r="V913" s="14"/>
      <c r="W913" s="16"/>
      <c r="X913" s="16"/>
      <c r="Y913" s="16"/>
      <c r="Z913" s="16"/>
      <c r="AA913" s="15" t="str">
        <f aca="false">IF(AND(ISNUMBER(L913),ISNUMBER(M913)),M913-L913,"")</f>
        <v/>
      </c>
      <c r="AB913" s="15" t="str">
        <f aca="false">IF(AND(ISNUMBER(M913),ISNUMBER(P913)),P913-M913,"")</f>
        <v/>
      </c>
      <c r="AC913" s="15" t="str">
        <f aca="false">IF(AND(ISNUMBER(L913),ISNUMBER(P913)),P913-L913,"")</f>
        <v/>
      </c>
      <c r="AD913" s="15" t="str">
        <f aca="false">IF(AND(ISNUMBER(P913),ISNUMBER(Q913)),Q913-P913,"")</f>
        <v/>
      </c>
      <c r="AE913" s="15" t="str">
        <f aca="false">IF(AND(ISNUMBER(Q913),ISNUMBER(R913)),R913-Q913,IF(ISNUMBER(Y913),Y913,""))</f>
        <v/>
      </c>
      <c r="AF913" s="15" t="str">
        <f aca="false">IF(AND(ISNUMBER(R913),ISNUMBER(S913)),S913-R913,"")</f>
        <v/>
      </c>
      <c r="AG913" s="15" t="str">
        <f aca="false">IF(AND(ISNUMBER(S913),ISNUMBER(T913)),T913-S913,"")</f>
        <v/>
      </c>
      <c r="AH913" s="15" t="str">
        <f aca="false">IF(AND(ISNUMBER(L913),ISNUMBER(T913)),T913-L913,"")</f>
        <v/>
      </c>
      <c r="AI913" s="15" t="str">
        <f aca="false">IF(AND(ISNUMBER(O913),ISNUMBER(Q913)),Q913-O913,"")</f>
        <v/>
      </c>
      <c r="AJ913" s="15" t="str">
        <f aca="false">IF(B913="","",COUNT(L913:M913,P913:T913)&amp;"/7")</f>
        <v/>
      </c>
      <c r="AK913" s="15" t="str">
        <f aca="false">IF(B913="","",IF(OR(AND(ISNUMBER(L913),ISNUMBER(M913),M913&lt;L913),AND(ISNUMBER(M913),ISNUMBER(P913),P913&lt;M913),AND(ISNUMBER(P913),ISNUMBER(Q913),Q913&lt;P913),AND(ISNUMBER(Q913),ISNUMBER(R913),R913&lt;Q913),AND(ISNUMBER(R913),ISNUMBER(S913),S913&lt;R913),AND(ISNUMBER(S913),ISNUMBER(T913),T913&lt;S913),AND(ISNUMBER(N913),ISNUMBER(O913),O913&lt;N913)),"Urutan tanggal salah",IF(AND(ISNUMBER(Q913),ISNUMBER(R913),ISNUMBER(Y913),ABS(R913-Q913-Y913)&gt;2),"S tanggal ≠ Sailing tercatat",IF(AND(ISNUMBER(Q913),ISNUMBER(O913),ABS(Q913-O913)&gt;60),"Cek tahun laycan",IF(AND(ISNUMBER(Q913),ISNUMBER(N913),Q913&lt;N913),"Berangkat sebelum laycan",IF(NOT(ISNUMBER(AE913)),"S belum ada","OK"))))))</f>
        <v/>
      </c>
    </row>
    <row r="914" customFormat="false" ht="15" hidden="false" customHeight="false" outlineLevel="0" collapsed="false">
      <c r="A914" s="16" t="str">
        <f aca="false">IF(B914="","",ROW()-4)</f>
        <v/>
      </c>
      <c r="B914" s="12"/>
      <c r="C914" s="16"/>
      <c r="D914" s="16"/>
      <c r="E914" s="16"/>
      <c r="F914" s="16"/>
      <c r="G914" s="16"/>
      <c r="H914" s="16"/>
      <c r="I914" s="16"/>
      <c r="J914" s="16"/>
      <c r="K914" s="16"/>
      <c r="L914" s="13"/>
      <c r="M914" s="13"/>
      <c r="N914" s="13"/>
      <c r="O914" s="13"/>
      <c r="P914" s="13"/>
      <c r="Q914" s="13"/>
      <c r="R914" s="13"/>
      <c r="S914" s="13"/>
      <c r="T914" s="13"/>
      <c r="U914" s="12"/>
      <c r="V914" s="14"/>
      <c r="W914" s="16"/>
      <c r="X914" s="16"/>
      <c r="Y914" s="16"/>
      <c r="Z914" s="16"/>
      <c r="AA914" s="15" t="str">
        <f aca="false">IF(AND(ISNUMBER(L914),ISNUMBER(M914)),M914-L914,"")</f>
        <v/>
      </c>
      <c r="AB914" s="15" t="str">
        <f aca="false">IF(AND(ISNUMBER(M914),ISNUMBER(P914)),P914-M914,"")</f>
        <v/>
      </c>
      <c r="AC914" s="15" t="str">
        <f aca="false">IF(AND(ISNUMBER(L914),ISNUMBER(P914)),P914-L914,"")</f>
        <v/>
      </c>
      <c r="AD914" s="15" t="str">
        <f aca="false">IF(AND(ISNUMBER(P914),ISNUMBER(Q914)),Q914-P914,"")</f>
        <v/>
      </c>
      <c r="AE914" s="15" t="str">
        <f aca="false">IF(AND(ISNUMBER(Q914),ISNUMBER(R914)),R914-Q914,IF(ISNUMBER(Y914),Y914,""))</f>
        <v/>
      </c>
      <c r="AF914" s="15" t="str">
        <f aca="false">IF(AND(ISNUMBER(R914),ISNUMBER(S914)),S914-R914,"")</f>
        <v/>
      </c>
      <c r="AG914" s="15" t="str">
        <f aca="false">IF(AND(ISNUMBER(S914),ISNUMBER(T914)),T914-S914,"")</f>
        <v/>
      </c>
      <c r="AH914" s="15" t="str">
        <f aca="false">IF(AND(ISNUMBER(L914),ISNUMBER(T914)),T914-L914,"")</f>
        <v/>
      </c>
      <c r="AI914" s="15" t="str">
        <f aca="false">IF(AND(ISNUMBER(O914),ISNUMBER(Q914)),Q914-O914,"")</f>
        <v/>
      </c>
      <c r="AJ914" s="15" t="str">
        <f aca="false">IF(B914="","",COUNT(L914:M914,P914:T914)&amp;"/7")</f>
        <v/>
      </c>
      <c r="AK914" s="15" t="str">
        <f aca="false">IF(B914="","",IF(OR(AND(ISNUMBER(L914),ISNUMBER(M914),M914&lt;L914),AND(ISNUMBER(M914),ISNUMBER(P914),P914&lt;M914),AND(ISNUMBER(P914),ISNUMBER(Q914),Q914&lt;P914),AND(ISNUMBER(Q914),ISNUMBER(R914),R914&lt;Q914),AND(ISNUMBER(R914),ISNUMBER(S914),S914&lt;R914),AND(ISNUMBER(S914),ISNUMBER(T914),T914&lt;S914),AND(ISNUMBER(N914),ISNUMBER(O914),O914&lt;N914)),"Urutan tanggal salah",IF(AND(ISNUMBER(Q914),ISNUMBER(R914),ISNUMBER(Y914),ABS(R914-Q914-Y914)&gt;2),"S tanggal ≠ Sailing tercatat",IF(AND(ISNUMBER(Q914),ISNUMBER(O914),ABS(Q914-O914)&gt;60),"Cek tahun laycan",IF(AND(ISNUMBER(Q914),ISNUMBER(N914),Q914&lt;N914),"Berangkat sebelum laycan",IF(NOT(ISNUMBER(AE914)),"S belum ada","OK"))))))</f>
        <v/>
      </c>
    </row>
    <row r="915" customFormat="false" ht="15" hidden="false" customHeight="false" outlineLevel="0" collapsed="false">
      <c r="A915" s="16" t="str">
        <f aca="false">IF(B915="","",ROW()-4)</f>
        <v/>
      </c>
      <c r="B915" s="12"/>
      <c r="C915" s="16"/>
      <c r="D915" s="16"/>
      <c r="E915" s="16"/>
      <c r="F915" s="16"/>
      <c r="G915" s="16"/>
      <c r="H915" s="16"/>
      <c r="I915" s="16"/>
      <c r="J915" s="16"/>
      <c r="K915" s="16"/>
      <c r="L915" s="13"/>
      <c r="M915" s="13"/>
      <c r="N915" s="13"/>
      <c r="O915" s="13"/>
      <c r="P915" s="13"/>
      <c r="Q915" s="13"/>
      <c r="R915" s="13"/>
      <c r="S915" s="13"/>
      <c r="T915" s="13"/>
      <c r="U915" s="12"/>
      <c r="V915" s="14"/>
      <c r="W915" s="16"/>
      <c r="X915" s="16"/>
      <c r="Y915" s="16"/>
      <c r="Z915" s="16"/>
      <c r="AA915" s="15" t="str">
        <f aca="false">IF(AND(ISNUMBER(L915),ISNUMBER(M915)),M915-L915,"")</f>
        <v/>
      </c>
      <c r="AB915" s="15" t="str">
        <f aca="false">IF(AND(ISNUMBER(M915),ISNUMBER(P915)),P915-M915,"")</f>
        <v/>
      </c>
      <c r="AC915" s="15" t="str">
        <f aca="false">IF(AND(ISNUMBER(L915),ISNUMBER(P915)),P915-L915,"")</f>
        <v/>
      </c>
      <c r="AD915" s="15" t="str">
        <f aca="false">IF(AND(ISNUMBER(P915),ISNUMBER(Q915)),Q915-P915,"")</f>
        <v/>
      </c>
      <c r="AE915" s="15" t="str">
        <f aca="false">IF(AND(ISNUMBER(Q915),ISNUMBER(R915)),R915-Q915,IF(ISNUMBER(Y915),Y915,""))</f>
        <v/>
      </c>
      <c r="AF915" s="15" t="str">
        <f aca="false">IF(AND(ISNUMBER(R915),ISNUMBER(S915)),S915-R915,"")</f>
        <v/>
      </c>
      <c r="AG915" s="15" t="str">
        <f aca="false">IF(AND(ISNUMBER(S915),ISNUMBER(T915)),T915-S915,"")</f>
        <v/>
      </c>
      <c r="AH915" s="15" t="str">
        <f aca="false">IF(AND(ISNUMBER(L915),ISNUMBER(T915)),T915-L915,"")</f>
        <v/>
      </c>
      <c r="AI915" s="15" t="str">
        <f aca="false">IF(AND(ISNUMBER(O915),ISNUMBER(Q915)),Q915-O915,"")</f>
        <v/>
      </c>
      <c r="AJ915" s="15" t="str">
        <f aca="false">IF(B915="","",COUNT(L915:M915,P915:T915)&amp;"/7")</f>
        <v/>
      </c>
      <c r="AK915" s="15" t="str">
        <f aca="false">IF(B915="","",IF(OR(AND(ISNUMBER(L915),ISNUMBER(M915),M915&lt;L915),AND(ISNUMBER(M915),ISNUMBER(P915),P915&lt;M915),AND(ISNUMBER(P915),ISNUMBER(Q915),Q915&lt;P915),AND(ISNUMBER(Q915),ISNUMBER(R915),R915&lt;Q915),AND(ISNUMBER(R915),ISNUMBER(S915),S915&lt;R915),AND(ISNUMBER(S915),ISNUMBER(T915),T915&lt;S915),AND(ISNUMBER(N915),ISNUMBER(O915),O915&lt;N915)),"Urutan tanggal salah",IF(AND(ISNUMBER(Q915),ISNUMBER(R915),ISNUMBER(Y915),ABS(R915-Q915-Y915)&gt;2),"S tanggal ≠ Sailing tercatat",IF(AND(ISNUMBER(Q915),ISNUMBER(O915),ABS(Q915-O915)&gt;60),"Cek tahun laycan",IF(AND(ISNUMBER(Q915),ISNUMBER(N915),Q915&lt;N915),"Berangkat sebelum laycan",IF(NOT(ISNUMBER(AE915)),"S belum ada","OK"))))))</f>
        <v/>
      </c>
    </row>
    <row r="916" customFormat="false" ht="15" hidden="false" customHeight="false" outlineLevel="0" collapsed="false">
      <c r="A916" s="16" t="str">
        <f aca="false">IF(B916="","",ROW()-4)</f>
        <v/>
      </c>
      <c r="B916" s="12"/>
      <c r="C916" s="16"/>
      <c r="D916" s="16"/>
      <c r="E916" s="16"/>
      <c r="F916" s="16"/>
      <c r="G916" s="16"/>
      <c r="H916" s="16"/>
      <c r="I916" s="16"/>
      <c r="J916" s="16"/>
      <c r="K916" s="16"/>
      <c r="L916" s="13"/>
      <c r="M916" s="13"/>
      <c r="N916" s="13"/>
      <c r="O916" s="13"/>
      <c r="P916" s="13"/>
      <c r="Q916" s="13"/>
      <c r="R916" s="13"/>
      <c r="S916" s="13"/>
      <c r="T916" s="13"/>
      <c r="U916" s="12"/>
      <c r="V916" s="14"/>
      <c r="W916" s="16"/>
      <c r="X916" s="16"/>
      <c r="Y916" s="16"/>
      <c r="Z916" s="16"/>
      <c r="AA916" s="15" t="str">
        <f aca="false">IF(AND(ISNUMBER(L916),ISNUMBER(M916)),M916-L916,"")</f>
        <v/>
      </c>
      <c r="AB916" s="15" t="str">
        <f aca="false">IF(AND(ISNUMBER(M916),ISNUMBER(P916)),P916-M916,"")</f>
        <v/>
      </c>
      <c r="AC916" s="15" t="str">
        <f aca="false">IF(AND(ISNUMBER(L916),ISNUMBER(P916)),P916-L916,"")</f>
        <v/>
      </c>
      <c r="AD916" s="15" t="str">
        <f aca="false">IF(AND(ISNUMBER(P916),ISNUMBER(Q916)),Q916-P916,"")</f>
        <v/>
      </c>
      <c r="AE916" s="15" t="str">
        <f aca="false">IF(AND(ISNUMBER(Q916),ISNUMBER(R916)),R916-Q916,IF(ISNUMBER(Y916),Y916,""))</f>
        <v/>
      </c>
      <c r="AF916" s="15" t="str">
        <f aca="false">IF(AND(ISNUMBER(R916),ISNUMBER(S916)),S916-R916,"")</f>
        <v/>
      </c>
      <c r="AG916" s="15" t="str">
        <f aca="false">IF(AND(ISNUMBER(S916),ISNUMBER(T916)),T916-S916,"")</f>
        <v/>
      </c>
      <c r="AH916" s="15" t="str">
        <f aca="false">IF(AND(ISNUMBER(L916),ISNUMBER(T916)),T916-L916,"")</f>
        <v/>
      </c>
      <c r="AI916" s="15" t="str">
        <f aca="false">IF(AND(ISNUMBER(O916),ISNUMBER(Q916)),Q916-O916,"")</f>
        <v/>
      </c>
      <c r="AJ916" s="15" t="str">
        <f aca="false">IF(B916="","",COUNT(L916:M916,P916:T916)&amp;"/7")</f>
        <v/>
      </c>
      <c r="AK916" s="15" t="str">
        <f aca="false">IF(B916="","",IF(OR(AND(ISNUMBER(L916),ISNUMBER(M916),M916&lt;L916),AND(ISNUMBER(M916),ISNUMBER(P916),P916&lt;M916),AND(ISNUMBER(P916),ISNUMBER(Q916),Q916&lt;P916),AND(ISNUMBER(Q916),ISNUMBER(R916),R916&lt;Q916),AND(ISNUMBER(R916),ISNUMBER(S916),S916&lt;R916),AND(ISNUMBER(S916),ISNUMBER(T916),T916&lt;S916),AND(ISNUMBER(N916),ISNUMBER(O916),O916&lt;N916)),"Urutan tanggal salah",IF(AND(ISNUMBER(Q916),ISNUMBER(R916),ISNUMBER(Y916),ABS(R916-Q916-Y916)&gt;2),"S tanggal ≠ Sailing tercatat",IF(AND(ISNUMBER(Q916),ISNUMBER(O916),ABS(Q916-O916)&gt;60),"Cek tahun laycan",IF(AND(ISNUMBER(Q916),ISNUMBER(N916),Q916&lt;N916),"Berangkat sebelum laycan",IF(NOT(ISNUMBER(AE916)),"S belum ada","OK"))))))</f>
        <v/>
      </c>
    </row>
    <row r="917" customFormat="false" ht="15" hidden="false" customHeight="false" outlineLevel="0" collapsed="false">
      <c r="A917" s="16" t="str">
        <f aca="false">IF(B917="","",ROW()-4)</f>
        <v/>
      </c>
      <c r="B917" s="12"/>
      <c r="C917" s="16"/>
      <c r="D917" s="16"/>
      <c r="E917" s="16"/>
      <c r="F917" s="16"/>
      <c r="G917" s="16"/>
      <c r="H917" s="16"/>
      <c r="I917" s="16"/>
      <c r="J917" s="16"/>
      <c r="K917" s="16"/>
      <c r="L917" s="13"/>
      <c r="M917" s="13"/>
      <c r="N917" s="13"/>
      <c r="O917" s="13"/>
      <c r="P917" s="13"/>
      <c r="Q917" s="13"/>
      <c r="R917" s="13"/>
      <c r="S917" s="13"/>
      <c r="T917" s="13"/>
      <c r="U917" s="12"/>
      <c r="V917" s="14"/>
      <c r="W917" s="16"/>
      <c r="X917" s="16"/>
      <c r="Y917" s="16"/>
      <c r="Z917" s="16"/>
      <c r="AA917" s="15" t="str">
        <f aca="false">IF(AND(ISNUMBER(L917),ISNUMBER(M917)),M917-L917,"")</f>
        <v/>
      </c>
      <c r="AB917" s="15" t="str">
        <f aca="false">IF(AND(ISNUMBER(M917),ISNUMBER(P917)),P917-M917,"")</f>
        <v/>
      </c>
      <c r="AC917" s="15" t="str">
        <f aca="false">IF(AND(ISNUMBER(L917),ISNUMBER(P917)),P917-L917,"")</f>
        <v/>
      </c>
      <c r="AD917" s="15" t="str">
        <f aca="false">IF(AND(ISNUMBER(P917),ISNUMBER(Q917)),Q917-P917,"")</f>
        <v/>
      </c>
      <c r="AE917" s="15" t="str">
        <f aca="false">IF(AND(ISNUMBER(Q917),ISNUMBER(R917)),R917-Q917,IF(ISNUMBER(Y917),Y917,""))</f>
        <v/>
      </c>
      <c r="AF917" s="15" t="str">
        <f aca="false">IF(AND(ISNUMBER(R917),ISNUMBER(S917)),S917-R917,"")</f>
        <v/>
      </c>
      <c r="AG917" s="15" t="str">
        <f aca="false">IF(AND(ISNUMBER(S917),ISNUMBER(T917)),T917-S917,"")</f>
        <v/>
      </c>
      <c r="AH917" s="15" t="str">
        <f aca="false">IF(AND(ISNUMBER(L917),ISNUMBER(T917)),T917-L917,"")</f>
        <v/>
      </c>
      <c r="AI917" s="15" t="str">
        <f aca="false">IF(AND(ISNUMBER(O917),ISNUMBER(Q917)),Q917-O917,"")</f>
        <v/>
      </c>
      <c r="AJ917" s="15" t="str">
        <f aca="false">IF(B917="","",COUNT(L917:M917,P917:T917)&amp;"/7")</f>
        <v/>
      </c>
      <c r="AK917" s="15" t="str">
        <f aca="false">IF(B917="","",IF(OR(AND(ISNUMBER(L917),ISNUMBER(M917),M917&lt;L917),AND(ISNUMBER(M917),ISNUMBER(P917),P917&lt;M917),AND(ISNUMBER(P917),ISNUMBER(Q917),Q917&lt;P917),AND(ISNUMBER(Q917),ISNUMBER(R917),R917&lt;Q917),AND(ISNUMBER(R917),ISNUMBER(S917),S917&lt;R917),AND(ISNUMBER(S917),ISNUMBER(T917),T917&lt;S917),AND(ISNUMBER(N917),ISNUMBER(O917),O917&lt;N917)),"Urutan tanggal salah",IF(AND(ISNUMBER(Q917),ISNUMBER(R917),ISNUMBER(Y917),ABS(R917-Q917-Y917)&gt;2),"S tanggal ≠ Sailing tercatat",IF(AND(ISNUMBER(Q917),ISNUMBER(O917),ABS(Q917-O917)&gt;60),"Cek tahun laycan",IF(AND(ISNUMBER(Q917),ISNUMBER(N917),Q917&lt;N917),"Berangkat sebelum laycan",IF(NOT(ISNUMBER(AE917)),"S belum ada","OK"))))))</f>
        <v/>
      </c>
    </row>
    <row r="918" customFormat="false" ht="15" hidden="false" customHeight="false" outlineLevel="0" collapsed="false">
      <c r="A918" s="16" t="str">
        <f aca="false">IF(B918="","",ROW()-4)</f>
        <v/>
      </c>
      <c r="B918" s="12"/>
      <c r="C918" s="16"/>
      <c r="D918" s="16"/>
      <c r="E918" s="16"/>
      <c r="F918" s="16"/>
      <c r="G918" s="16"/>
      <c r="H918" s="16"/>
      <c r="I918" s="16"/>
      <c r="J918" s="16"/>
      <c r="K918" s="16"/>
      <c r="L918" s="13"/>
      <c r="M918" s="13"/>
      <c r="N918" s="13"/>
      <c r="O918" s="13"/>
      <c r="P918" s="13"/>
      <c r="Q918" s="13"/>
      <c r="R918" s="13"/>
      <c r="S918" s="13"/>
      <c r="T918" s="13"/>
      <c r="U918" s="12"/>
      <c r="V918" s="14"/>
      <c r="W918" s="16"/>
      <c r="X918" s="16"/>
      <c r="Y918" s="16"/>
      <c r="Z918" s="16"/>
      <c r="AA918" s="15" t="str">
        <f aca="false">IF(AND(ISNUMBER(L918),ISNUMBER(M918)),M918-L918,"")</f>
        <v/>
      </c>
      <c r="AB918" s="15" t="str">
        <f aca="false">IF(AND(ISNUMBER(M918),ISNUMBER(P918)),P918-M918,"")</f>
        <v/>
      </c>
      <c r="AC918" s="15" t="str">
        <f aca="false">IF(AND(ISNUMBER(L918),ISNUMBER(P918)),P918-L918,"")</f>
        <v/>
      </c>
      <c r="AD918" s="15" t="str">
        <f aca="false">IF(AND(ISNUMBER(P918),ISNUMBER(Q918)),Q918-P918,"")</f>
        <v/>
      </c>
      <c r="AE918" s="15" t="str">
        <f aca="false">IF(AND(ISNUMBER(Q918),ISNUMBER(R918)),R918-Q918,IF(ISNUMBER(Y918),Y918,""))</f>
        <v/>
      </c>
      <c r="AF918" s="15" t="str">
        <f aca="false">IF(AND(ISNUMBER(R918),ISNUMBER(S918)),S918-R918,"")</f>
        <v/>
      </c>
      <c r="AG918" s="15" t="str">
        <f aca="false">IF(AND(ISNUMBER(S918),ISNUMBER(T918)),T918-S918,"")</f>
        <v/>
      </c>
      <c r="AH918" s="15" t="str">
        <f aca="false">IF(AND(ISNUMBER(L918),ISNUMBER(T918)),T918-L918,"")</f>
        <v/>
      </c>
      <c r="AI918" s="15" t="str">
        <f aca="false">IF(AND(ISNUMBER(O918),ISNUMBER(Q918)),Q918-O918,"")</f>
        <v/>
      </c>
      <c r="AJ918" s="15" t="str">
        <f aca="false">IF(B918="","",COUNT(L918:M918,P918:T918)&amp;"/7")</f>
        <v/>
      </c>
      <c r="AK918" s="15" t="str">
        <f aca="false">IF(B918="","",IF(OR(AND(ISNUMBER(L918),ISNUMBER(M918),M918&lt;L918),AND(ISNUMBER(M918),ISNUMBER(P918),P918&lt;M918),AND(ISNUMBER(P918),ISNUMBER(Q918),Q918&lt;P918),AND(ISNUMBER(Q918),ISNUMBER(R918),R918&lt;Q918),AND(ISNUMBER(R918),ISNUMBER(S918),S918&lt;R918),AND(ISNUMBER(S918),ISNUMBER(T918),T918&lt;S918),AND(ISNUMBER(N918),ISNUMBER(O918),O918&lt;N918)),"Urutan tanggal salah",IF(AND(ISNUMBER(Q918),ISNUMBER(R918),ISNUMBER(Y918),ABS(R918-Q918-Y918)&gt;2),"S tanggal ≠ Sailing tercatat",IF(AND(ISNUMBER(Q918),ISNUMBER(O918),ABS(Q918-O918)&gt;60),"Cek tahun laycan",IF(AND(ISNUMBER(Q918),ISNUMBER(N918),Q918&lt;N918),"Berangkat sebelum laycan",IF(NOT(ISNUMBER(AE918)),"S belum ada","OK"))))))</f>
        <v/>
      </c>
    </row>
    <row r="919" customFormat="false" ht="15" hidden="false" customHeight="false" outlineLevel="0" collapsed="false">
      <c r="A919" s="16" t="str">
        <f aca="false">IF(B919="","",ROW()-4)</f>
        <v/>
      </c>
      <c r="B919" s="12"/>
      <c r="C919" s="16"/>
      <c r="D919" s="16"/>
      <c r="E919" s="16"/>
      <c r="F919" s="16"/>
      <c r="G919" s="16"/>
      <c r="H919" s="16"/>
      <c r="I919" s="16"/>
      <c r="J919" s="16"/>
      <c r="K919" s="16"/>
      <c r="L919" s="13"/>
      <c r="M919" s="13"/>
      <c r="N919" s="13"/>
      <c r="O919" s="13"/>
      <c r="P919" s="13"/>
      <c r="Q919" s="13"/>
      <c r="R919" s="13"/>
      <c r="S919" s="13"/>
      <c r="T919" s="13"/>
      <c r="U919" s="12"/>
      <c r="V919" s="14"/>
      <c r="W919" s="16"/>
      <c r="X919" s="16"/>
      <c r="Y919" s="16"/>
      <c r="Z919" s="16"/>
      <c r="AA919" s="15" t="str">
        <f aca="false">IF(AND(ISNUMBER(L919),ISNUMBER(M919)),M919-L919,"")</f>
        <v/>
      </c>
      <c r="AB919" s="15" t="str">
        <f aca="false">IF(AND(ISNUMBER(M919),ISNUMBER(P919)),P919-M919,"")</f>
        <v/>
      </c>
      <c r="AC919" s="15" t="str">
        <f aca="false">IF(AND(ISNUMBER(L919),ISNUMBER(P919)),P919-L919,"")</f>
        <v/>
      </c>
      <c r="AD919" s="15" t="str">
        <f aca="false">IF(AND(ISNUMBER(P919),ISNUMBER(Q919)),Q919-P919,"")</f>
        <v/>
      </c>
      <c r="AE919" s="15" t="str">
        <f aca="false">IF(AND(ISNUMBER(Q919),ISNUMBER(R919)),R919-Q919,IF(ISNUMBER(Y919),Y919,""))</f>
        <v/>
      </c>
      <c r="AF919" s="15" t="str">
        <f aca="false">IF(AND(ISNUMBER(R919),ISNUMBER(S919)),S919-R919,"")</f>
        <v/>
      </c>
      <c r="AG919" s="15" t="str">
        <f aca="false">IF(AND(ISNUMBER(S919),ISNUMBER(T919)),T919-S919,"")</f>
        <v/>
      </c>
      <c r="AH919" s="15" t="str">
        <f aca="false">IF(AND(ISNUMBER(L919),ISNUMBER(T919)),T919-L919,"")</f>
        <v/>
      </c>
      <c r="AI919" s="15" t="str">
        <f aca="false">IF(AND(ISNUMBER(O919),ISNUMBER(Q919)),Q919-O919,"")</f>
        <v/>
      </c>
      <c r="AJ919" s="15" t="str">
        <f aca="false">IF(B919="","",COUNT(L919:M919,P919:T919)&amp;"/7")</f>
        <v/>
      </c>
      <c r="AK919" s="15" t="str">
        <f aca="false">IF(B919="","",IF(OR(AND(ISNUMBER(L919),ISNUMBER(M919),M919&lt;L919),AND(ISNUMBER(M919),ISNUMBER(P919),P919&lt;M919),AND(ISNUMBER(P919),ISNUMBER(Q919),Q919&lt;P919),AND(ISNUMBER(Q919),ISNUMBER(R919),R919&lt;Q919),AND(ISNUMBER(R919),ISNUMBER(S919),S919&lt;R919),AND(ISNUMBER(S919),ISNUMBER(T919),T919&lt;S919),AND(ISNUMBER(N919),ISNUMBER(O919),O919&lt;N919)),"Urutan tanggal salah",IF(AND(ISNUMBER(Q919),ISNUMBER(R919),ISNUMBER(Y919),ABS(R919-Q919-Y919)&gt;2),"S tanggal ≠ Sailing tercatat",IF(AND(ISNUMBER(Q919),ISNUMBER(O919),ABS(Q919-O919)&gt;60),"Cek tahun laycan",IF(AND(ISNUMBER(Q919),ISNUMBER(N919),Q919&lt;N919),"Berangkat sebelum laycan",IF(NOT(ISNUMBER(AE919)),"S belum ada","OK"))))))</f>
        <v/>
      </c>
    </row>
    <row r="920" customFormat="false" ht="15" hidden="false" customHeight="false" outlineLevel="0" collapsed="false">
      <c r="A920" s="16" t="str">
        <f aca="false">IF(B920="","",ROW()-4)</f>
        <v/>
      </c>
      <c r="B920" s="12"/>
      <c r="C920" s="16"/>
      <c r="D920" s="16"/>
      <c r="E920" s="16"/>
      <c r="F920" s="16"/>
      <c r="G920" s="16"/>
      <c r="H920" s="16"/>
      <c r="I920" s="16"/>
      <c r="J920" s="16"/>
      <c r="K920" s="16"/>
      <c r="L920" s="13"/>
      <c r="M920" s="13"/>
      <c r="N920" s="13"/>
      <c r="O920" s="13"/>
      <c r="P920" s="13"/>
      <c r="Q920" s="13"/>
      <c r="R920" s="13"/>
      <c r="S920" s="13"/>
      <c r="T920" s="13"/>
      <c r="U920" s="12"/>
      <c r="V920" s="14"/>
      <c r="W920" s="16"/>
      <c r="X920" s="16"/>
      <c r="Y920" s="16"/>
      <c r="Z920" s="16"/>
      <c r="AA920" s="15" t="str">
        <f aca="false">IF(AND(ISNUMBER(L920),ISNUMBER(M920)),M920-L920,"")</f>
        <v/>
      </c>
      <c r="AB920" s="15" t="str">
        <f aca="false">IF(AND(ISNUMBER(M920),ISNUMBER(P920)),P920-M920,"")</f>
        <v/>
      </c>
      <c r="AC920" s="15" t="str">
        <f aca="false">IF(AND(ISNUMBER(L920),ISNUMBER(P920)),P920-L920,"")</f>
        <v/>
      </c>
      <c r="AD920" s="15" t="str">
        <f aca="false">IF(AND(ISNUMBER(P920),ISNUMBER(Q920)),Q920-P920,"")</f>
        <v/>
      </c>
      <c r="AE920" s="15" t="str">
        <f aca="false">IF(AND(ISNUMBER(Q920),ISNUMBER(R920)),R920-Q920,IF(ISNUMBER(Y920),Y920,""))</f>
        <v/>
      </c>
      <c r="AF920" s="15" t="str">
        <f aca="false">IF(AND(ISNUMBER(R920),ISNUMBER(S920)),S920-R920,"")</f>
        <v/>
      </c>
      <c r="AG920" s="15" t="str">
        <f aca="false">IF(AND(ISNUMBER(S920),ISNUMBER(T920)),T920-S920,"")</f>
        <v/>
      </c>
      <c r="AH920" s="15" t="str">
        <f aca="false">IF(AND(ISNUMBER(L920),ISNUMBER(T920)),T920-L920,"")</f>
        <v/>
      </c>
      <c r="AI920" s="15" t="str">
        <f aca="false">IF(AND(ISNUMBER(O920),ISNUMBER(Q920)),Q920-O920,"")</f>
        <v/>
      </c>
      <c r="AJ920" s="15" t="str">
        <f aca="false">IF(B920="","",COUNT(L920:M920,P920:T920)&amp;"/7")</f>
        <v/>
      </c>
      <c r="AK920" s="15" t="str">
        <f aca="false">IF(B920="","",IF(OR(AND(ISNUMBER(L920),ISNUMBER(M920),M920&lt;L920),AND(ISNUMBER(M920),ISNUMBER(P920),P920&lt;M920),AND(ISNUMBER(P920),ISNUMBER(Q920),Q920&lt;P920),AND(ISNUMBER(Q920),ISNUMBER(R920),R920&lt;Q920),AND(ISNUMBER(R920),ISNUMBER(S920),S920&lt;R920),AND(ISNUMBER(S920),ISNUMBER(T920),T920&lt;S920),AND(ISNUMBER(N920),ISNUMBER(O920),O920&lt;N920)),"Urutan tanggal salah",IF(AND(ISNUMBER(Q920),ISNUMBER(R920),ISNUMBER(Y920),ABS(R920-Q920-Y920)&gt;2),"S tanggal ≠ Sailing tercatat",IF(AND(ISNUMBER(Q920),ISNUMBER(O920),ABS(Q920-O920)&gt;60),"Cek tahun laycan",IF(AND(ISNUMBER(Q920),ISNUMBER(N920),Q920&lt;N920),"Berangkat sebelum laycan",IF(NOT(ISNUMBER(AE920)),"S belum ada","OK"))))))</f>
        <v/>
      </c>
    </row>
    <row r="921" customFormat="false" ht="15" hidden="false" customHeight="false" outlineLevel="0" collapsed="false">
      <c r="A921" s="16" t="str">
        <f aca="false">IF(B921="","",ROW()-4)</f>
        <v/>
      </c>
      <c r="B921" s="12"/>
      <c r="C921" s="16"/>
      <c r="D921" s="16"/>
      <c r="E921" s="16"/>
      <c r="F921" s="16"/>
      <c r="G921" s="16"/>
      <c r="H921" s="16"/>
      <c r="I921" s="16"/>
      <c r="J921" s="16"/>
      <c r="K921" s="16"/>
      <c r="L921" s="13"/>
      <c r="M921" s="13"/>
      <c r="N921" s="13"/>
      <c r="O921" s="13"/>
      <c r="P921" s="13"/>
      <c r="Q921" s="13"/>
      <c r="R921" s="13"/>
      <c r="S921" s="13"/>
      <c r="T921" s="13"/>
      <c r="U921" s="12"/>
      <c r="V921" s="14"/>
      <c r="W921" s="16"/>
      <c r="X921" s="16"/>
      <c r="Y921" s="16"/>
      <c r="Z921" s="16"/>
      <c r="AA921" s="15" t="str">
        <f aca="false">IF(AND(ISNUMBER(L921),ISNUMBER(M921)),M921-L921,"")</f>
        <v/>
      </c>
      <c r="AB921" s="15" t="str">
        <f aca="false">IF(AND(ISNUMBER(M921),ISNUMBER(P921)),P921-M921,"")</f>
        <v/>
      </c>
      <c r="AC921" s="15" t="str">
        <f aca="false">IF(AND(ISNUMBER(L921),ISNUMBER(P921)),P921-L921,"")</f>
        <v/>
      </c>
      <c r="AD921" s="15" t="str">
        <f aca="false">IF(AND(ISNUMBER(P921),ISNUMBER(Q921)),Q921-P921,"")</f>
        <v/>
      </c>
      <c r="AE921" s="15" t="str">
        <f aca="false">IF(AND(ISNUMBER(Q921),ISNUMBER(R921)),R921-Q921,IF(ISNUMBER(Y921),Y921,""))</f>
        <v/>
      </c>
      <c r="AF921" s="15" t="str">
        <f aca="false">IF(AND(ISNUMBER(R921),ISNUMBER(S921)),S921-R921,"")</f>
        <v/>
      </c>
      <c r="AG921" s="15" t="str">
        <f aca="false">IF(AND(ISNUMBER(S921),ISNUMBER(T921)),T921-S921,"")</f>
        <v/>
      </c>
      <c r="AH921" s="15" t="str">
        <f aca="false">IF(AND(ISNUMBER(L921),ISNUMBER(T921)),T921-L921,"")</f>
        <v/>
      </c>
      <c r="AI921" s="15" t="str">
        <f aca="false">IF(AND(ISNUMBER(O921),ISNUMBER(Q921)),Q921-O921,"")</f>
        <v/>
      </c>
      <c r="AJ921" s="15" t="str">
        <f aca="false">IF(B921="","",COUNT(L921:M921,P921:T921)&amp;"/7")</f>
        <v/>
      </c>
      <c r="AK921" s="15" t="str">
        <f aca="false">IF(B921="","",IF(OR(AND(ISNUMBER(L921),ISNUMBER(M921),M921&lt;L921),AND(ISNUMBER(M921),ISNUMBER(P921),P921&lt;M921),AND(ISNUMBER(P921),ISNUMBER(Q921),Q921&lt;P921),AND(ISNUMBER(Q921),ISNUMBER(R921),R921&lt;Q921),AND(ISNUMBER(R921),ISNUMBER(S921),S921&lt;R921),AND(ISNUMBER(S921),ISNUMBER(T921),T921&lt;S921),AND(ISNUMBER(N921),ISNUMBER(O921),O921&lt;N921)),"Urutan tanggal salah",IF(AND(ISNUMBER(Q921),ISNUMBER(R921),ISNUMBER(Y921),ABS(R921-Q921-Y921)&gt;2),"S tanggal ≠ Sailing tercatat",IF(AND(ISNUMBER(Q921),ISNUMBER(O921),ABS(Q921-O921)&gt;60),"Cek tahun laycan",IF(AND(ISNUMBER(Q921),ISNUMBER(N921),Q921&lt;N921),"Berangkat sebelum laycan",IF(NOT(ISNUMBER(AE921)),"S belum ada","OK"))))))</f>
        <v/>
      </c>
    </row>
    <row r="922" customFormat="false" ht="15" hidden="false" customHeight="false" outlineLevel="0" collapsed="false">
      <c r="A922" s="16" t="str">
        <f aca="false">IF(B922="","",ROW()-4)</f>
        <v/>
      </c>
      <c r="B922" s="12"/>
      <c r="C922" s="16"/>
      <c r="D922" s="16"/>
      <c r="E922" s="16"/>
      <c r="F922" s="16"/>
      <c r="G922" s="16"/>
      <c r="H922" s="16"/>
      <c r="I922" s="16"/>
      <c r="J922" s="16"/>
      <c r="K922" s="16"/>
      <c r="L922" s="13"/>
      <c r="M922" s="13"/>
      <c r="N922" s="13"/>
      <c r="O922" s="13"/>
      <c r="P922" s="13"/>
      <c r="Q922" s="13"/>
      <c r="R922" s="13"/>
      <c r="S922" s="13"/>
      <c r="T922" s="13"/>
      <c r="U922" s="12"/>
      <c r="V922" s="14"/>
      <c r="W922" s="16"/>
      <c r="X922" s="16"/>
      <c r="Y922" s="16"/>
      <c r="Z922" s="16"/>
      <c r="AA922" s="15" t="str">
        <f aca="false">IF(AND(ISNUMBER(L922),ISNUMBER(M922)),M922-L922,"")</f>
        <v/>
      </c>
      <c r="AB922" s="15" t="str">
        <f aca="false">IF(AND(ISNUMBER(M922),ISNUMBER(P922)),P922-M922,"")</f>
        <v/>
      </c>
      <c r="AC922" s="15" t="str">
        <f aca="false">IF(AND(ISNUMBER(L922),ISNUMBER(P922)),P922-L922,"")</f>
        <v/>
      </c>
      <c r="AD922" s="15" t="str">
        <f aca="false">IF(AND(ISNUMBER(P922),ISNUMBER(Q922)),Q922-P922,"")</f>
        <v/>
      </c>
      <c r="AE922" s="15" t="str">
        <f aca="false">IF(AND(ISNUMBER(Q922),ISNUMBER(R922)),R922-Q922,IF(ISNUMBER(Y922),Y922,""))</f>
        <v/>
      </c>
      <c r="AF922" s="15" t="str">
        <f aca="false">IF(AND(ISNUMBER(R922),ISNUMBER(S922)),S922-R922,"")</f>
        <v/>
      </c>
      <c r="AG922" s="15" t="str">
        <f aca="false">IF(AND(ISNUMBER(S922),ISNUMBER(T922)),T922-S922,"")</f>
        <v/>
      </c>
      <c r="AH922" s="15" t="str">
        <f aca="false">IF(AND(ISNUMBER(L922),ISNUMBER(T922)),T922-L922,"")</f>
        <v/>
      </c>
      <c r="AI922" s="15" t="str">
        <f aca="false">IF(AND(ISNUMBER(O922),ISNUMBER(Q922)),Q922-O922,"")</f>
        <v/>
      </c>
      <c r="AJ922" s="15" t="str">
        <f aca="false">IF(B922="","",COUNT(L922:M922,P922:T922)&amp;"/7")</f>
        <v/>
      </c>
      <c r="AK922" s="15" t="str">
        <f aca="false">IF(B922="","",IF(OR(AND(ISNUMBER(L922),ISNUMBER(M922),M922&lt;L922),AND(ISNUMBER(M922),ISNUMBER(P922),P922&lt;M922),AND(ISNUMBER(P922),ISNUMBER(Q922),Q922&lt;P922),AND(ISNUMBER(Q922),ISNUMBER(R922),R922&lt;Q922),AND(ISNUMBER(R922),ISNUMBER(S922),S922&lt;R922),AND(ISNUMBER(S922),ISNUMBER(T922),T922&lt;S922),AND(ISNUMBER(N922),ISNUMBER(O922),O922&lt;N922)),"Urutan tanggal salah",IF(AND(ISNUMBER(Q922),ISNUMBER(R922),ISNUMBER(Y922),ABS(R922-Q922-Y922)&gt;2),"S tanggal ≠ Sailing tercatat",IF(AND(ISNUMBER(Q922),ISNUMBER(O922),ABS(Q922-O922)&gt;60),"Cek tahun laycan",IF(AND(ISNUMBER(Q922),ISNUMBER(N922),Q922&lt;N922),"Berangkat sebelum laycan",IF(NOT(ISNUMBER(AE922)),"S belum ada","OK"))))))</f>
        <v/>
      </c>
    </row>
    <row r="923" customFormat="false" ht="15" hidden="false" customHeight="false" outlineLevel="0" collapsed="false">
      <c r="A923" s="16" t="str">
        <f aca="false">IF(B923="","",ROW()-4)</f>
        <v/>
      </c>
      <c r="B923" s="12"/>
      <c r="C923" s="16"/>
      <c r="D923" s="16"/>
      <c r="E923" s="16"/>
      <c r="F923" s="16"/>
      <c r="G923" s="16"/>
      <c r="H923" s="16"/>
      <c r="I923" s="16"/>
      <c r="J923" s="16"/>
      <c r="K923" s="16"/>
      <c r="L923" s="13"/>
      <c r="M923" s="13"/>
      <c r="N923" s="13"/>
      <c r="O923" s="13"/>
      <c r="P923" s="13"/>
      <c r="Q923" s="13"/>
      <c r="R923" s="13"/>
      <c r="S923" s="13"/>
      <c r="T923" s="13"/>
      <c r="U923" s="12"/>
      <c r="V923" s="14"/>
      <c r="W923" s="16"/>
      <c r="X923" s="16"/>
      <c r="Y923" s="16"/>
      <c r="Z923" s="16"/>
      <c r="AA923" s="15" t="str">
        <f aca="false">IF(AND(ISNUMBER(L923),ISNUMBER(M923)),M923-L923,"")</f>
        <v/>
      </c>
      <c r="AB923" s="15" t="str">
        <f aca="false">IF(AND(ISNUMBER(M923),ISNUMBER(P923)),P923-M923,"")</f>
        <v/>
      </c>
      <c r="AC923" s="15" t="str">
        <f aca="false">IF(AND(ISNUMBER(L923),ISNUMBER(P923)),P923-L923,"")</f>
        <v/>
      </c>
      <c r="AD923" s="15" t="str">
        <f aca="false">IF(AND(ISNUMBER(P923),ISNUMBER(Q923)),Q923-P923,"")</f>
        <v/>
      </c>
      <c r="AE923" s="15" t="str">
        <f aca="false">IF(AND(ISNUMBER(Q923),ISNUMBER(R923)),R923-Q923,IF(ISNUMBER(Y923),Y923,""))</f>
        <v/>
      </c>
      <c r="AF923" s="15" t="str">
        <f aca="false">IF(AND(ISNUMBER(R923),ISNUMBER(S923)),S923-R923,"")</f>
        <v/>
      </c>
      <c r="AG923" s="15" t="str">
        <f aca="false">IF(AND(ISNUMBER(S923),ISNUMBER(T923)),T923-S923,"")</f>
        <v/>
      </c>
      <c r="AH923" s="15" t="str">
        <f aca="false">IF(AND(ISNUMBER(L923),ISNUMBER(T923)),T923-L923,"")</f>
        <v/>
      </c>
      <c r="AI923" s="15" t="str">
        <f aca="false">IF(AND(ISNUMBER(O923),ISNUMBER(Q923)),Q923-O923,"")</f>
        <v/>
      </c>
      <c r="AJ923" s="15" t="str">
        <f aca="false">IF(B923="","",COUNT(L923:M923,P923:T923)&amp;"/7")</f>
        <v/>
      </c>
      <c r="AK923" s="15" t="str">
        <f aca="false">IF(B923="","",IF(OR(AND(ISNUMBER(L923),ISNUMBER(M923),M923&lt;L923),AND(ISNUMBER(M923),ISNUMBER(P923),P923&lt;M923),AND(ISNUMBER(P923),ISNUMBER(Q923),Q923&lt;P923),AND(ISNUMBER(Q923),ISNUMBER(R923),R923&lt;Q923),AND(ISNUMBER(R923),ISNUMBER(S923),S923&lt;R923),AND(ISNUMBER(S923),ISNUMBER(T923),T923&lt;S923),AND(ISNUMBER(N923),ISNUMBER(O923),O923&lt;N923)),"Urutan tanggal salah",IF(AND(ISNUMBER(Q923),ISNUMBER(R923),ISNUMBER(Y923),ABS(R923-Q923-Y923)&gt;2),"S tanggal ≠ Sailing tercatat",IF(AND(ISNUMBER(Q923),ISNUMBER(O923),ABS(Q923-O923)&gt;60),"Cek tahun laycan",IF(AND(ISNUMBER(Q923),ISNUMBER(N923),Q923&lt;N923),"Berangkat sebelum laycan",IF(NOT(ISNUMBER(AE923)),"S belum ada","OK"))))))</f>
        <v/>
      </c>
    </row>
    <row r="924" customFormat="false" ht="15" hidden="false" customHeight="false" outlineLevel="0" collapsed="false">
      <c r="A924" s="16" t="str">
        <f aca="false">IF(B924="","",ROW()-4)</f>
        <v/>
      </c>
      <c r="B924" s="12"/>
      <c r="C924" s="16"/>
      <c r="D924" s="16"/>
      <c r="E924" s="16"/>
      <c r="F924" s="16"/>
      <c r="G924" s="16"/>
      <c r="H924" s="16"/>
      <c r="I924" s="16"/>
      <c r="J924" s="16"/>
      <c r="K924" s="16"/>
      <c r="L924" s="13"/>
      <c r="M924" s="13"/>
      <c r="N924" s="13"/>
      <c r="O924" s="13"/>
      <c r="P924" s="13"/>
      <c r="Q924" s="13"/>
      <c r="R924" s="13"/>
      <c r="S924" s="13"/>
      <c r="T924" s="13"/>
      <c r="U924" s="12"/>
      <c r="V924" s="14"/>
      <c r="W924" s="16"/>
      <c r="X924" s="16"/>
      <c r="Y924" s="16"/>
      <c r="Z924" s="16"/>
      <c r="AA924" s="15" t="str">
        <f aca="false">IF(AND(ISNUMBER(L924),ISNUMBER(M924)),M924-L924,"")</f>
        <v/>
      </c>
      <c r="AB924" s="15" t="str">
        <f aca="false">IF(AND(ISNUMBER(M924),ISNUMBER(P924)),P924-M924,"")</f>
        <v/>
      </c>
      <c r="AC924" s="15" t="str">
        <f aca="false">IF(AND(ISNUMBER(L924),ISNUMBER(P924)),P924-L924,"")</f>
        <v/>
      </c>
      <c r="AD924" s="15" t="str">
        <f aca="false">IF(AND(ISNUMBER(P924),ISNUMBER(Q924)),Q924-P924,"")</f>
        <v/>
      </c>
      <c r="AE924" s="15" t="str">
        <f aca="false">IF(AND(ISNUMBER(Q924),ISNUMBER(R924)),R924-Q924,IF(ISNUMBER(Y924),Y924,""))</f>
        <v/>
      </c>
      <c r="AF924" s="15" t="str">
        <f aca="false">IF(AND(ISNUMBER(R924),ISNUMBER(S924)),S924-R924,"")</f>
        <v/>
      </c>
      <c r="AG924" s="15" t="str">
        <f aca="false">IF(AND(ISNUMBER(S924),ISNUMBER(T924)),T924-S924,"")</f>
        <v/>
      </c>
      <c r="AH924" s="15" t="str">
        <f aca="false">IF(AND(ISNUMBER(L924),ISNUMBER(T924)),T924-L924,"")</f>
        <v/>
      </c>
      <c r="AI924" s="15" t="str">
        <f aca="false">IF(AND(ISNUMBER(O924),ISNUMBER(Q924)),Q924-O924,"")</f>
        <v/>
      </c>
      <c r="AJ924" s="15" t="str">
        <f aca="false">IF(B924="","",COUNT(L924:M924,P924:T924)&amp;"/7")</f>
        <v/>
      </c>
      <c r="AK924" s="15" t="str">
        <f aca="false">IF(B924="","",IF(OR(AND(ISNUMBER(L924),ISNUMBER(M924),M924&lt;L924),AND(ISNUMBER(M924),ISNUMBER(P924),P924&lt;M924),AND(ISNUMBER(P924),ISNUMBER(Q924),Q924&lt;P924),AND(ISNUMBER(Q924),ISNUMBER(R924),R924&lt;Q924),AND(ISNUMBER(R924),ISNUMBER(S924),S924&lt;R924),AND(ISNUMBER(S924),ISNUMBER(T924),T924&lt;S924),AND(ISNUMBER(N924),ISNUMBER(O924),O924&lt;N924)),"Urutan tanggal salah",IF(AND(ISNUMBER(Q924),ISNUMBER(R924),ISNUMBER(Y924),ABS(R924-Q924-Y924)&gt;2),"S tanggal ≠ Sailing tercatat",IF(AND(ISNUMBER(Q924),ISNUMBER(O924),ABS(Q924-O924)&gt;60),"Cek tahun laycan",IF(AND(ISNUMBER(Q924),ISNUMBER(N924),Q924&lt;N924),"Berangkat sebelum laycan",IF(NOT(ISNUMBER(AE924)),"S belum ada","OK"))))))</f>
        <v/>
      </c>
    </row>
    <row r="925" customFormat="false" ht="15" hidden="false" customHeight="false" outlineLevel="0" collapsed="false">
      <c r="A925" s="16" t="str">
        <f aca="false">IF(B925="","",ROW()-4)</f>
        <v/>
      </c>
      <c r="B925" s="12"/>
      <c r="C925" s="16"/>
      <c r="D925" s="16"/>
      <c r="E925" s="16"/>
      <c r="F925" s="16"/>
      <c r="G925" s="16"/>
      <c r="H925" s="16"/>
      <c r="I925" s="16"/>
      <c r="J925" s="16"/>
      <c r="K925" s="16"/>
      <c r="L925" s="13"/>
      <c r="M925" s="13"/>
      <c r="N925" s="13"/>
      <c r="O925" s="13"/>
      <c r="P925" s="13"/>
      <c r="Q925" s="13"/>
      <c r="R925" s="13"/>
      <c r="S925" s="13"/>
      <c r="T925" s="13"/>
      <c r="U925" s="12"/>
      <c r="V925" s="14"/>
      <c r="W925" s="16"/>
      <c r="X925" s="16"/>
      <c r="Y925" s="16"/>
      <c r="Z925" s="16"/>
      <c r="AA925" s="15" t="str">
        <f aca="false">IF(AND(ISNUMBER(L925),ISNUMBER(M925)),M925-L925,"")</f>
        <v/>
      </c>
      <c r="AB925" s="15" t="str">
        <f aca="false">IF(AND(ISNUMBER(M925),ISNUMBER(P925)),P925-M925,"")</f>
        <v/>
      </c>
      <c r="AC925" s="15" t="str">
        <f aca="false">IF(AND(ISNUMBER(L925),ISNUMBER(P925)),P925-L925,"")</f>
        <v/>
      </c>
      <c r="AD925" s="15" t="str">
        <f aca="false">IF(AND(ISNUMBER(P925),ISNUMBER(Q925)),Q925-P925,"")</f>
        <v/>
      </c>
      <c r="AE925" s="15" t="str">
        <f aca="false">IF(AND(ISNUMBER(Q925),ISNUMBER(R925)),R925-Q925,IF(ISNUMBER(Y925),Y925,""))</f>
        <v/>
      </c>
      <c r="AF925" s="15" t="str">
        <f aca="false">IF(AND(ISNUMBER(R925),ISNUMBER(S925)),S925-R925,"")</f>
        <v/>
      </c>
      <c r="AG925" s="15" t="str">
        <f aca="false">IF(AND(ISNUMBER(S925),ISNUMBER(T925)),T925-S925,"")</f>
        <v/>
      </c>
      <c r="AH925" s="15" t="str">
        <f aca="false">IF(AND(ISNUMBER(L925),ISNUMBER(T925)),T925-L925,"")</f>
        <v/>
      </c>
      <c r="AI925" s="15" t="str">
        <f aca="false">IF(AND(ISNUMBER(O925),ISNUMBER(Q925)),Q925-O925,"")</f>
        <v/>
      </c>
      <c r="AJ925" s="15" t="str">
        <f aca="false">IF(B925="","",COUNT(L925:M925,P925:T925)&amp;"/7")</f>
        <v/>
      </c>
      <c r="AK925" s="15" t="str">
        <f aca="false">IF(B925="","",IF(OR(AND(ISNUMBER(L925),ISNUMBER(M925),M925&lt;L925),AND(ISNUMBER(M925),ISNUMBER(P925),P925&lt;M925),AND(ISNUMBER(P925),ISNUMBER(Q925),Q925&lt;P925),AND(ISNUMBER(Q925),ISNUMBER(R925),R925&lt;Q925),AND(ISNUMBER(R925),ISNUMBER(S925),S925&lt;R925),AND(ISNUMBER(S925),ISNUMBER(T925),T925&lt;S925),AND(ISNUMBER(N925),ISNUMBER(O925),O925&lt;N925)),"Urutan tanggal salah",IF(AND(ISNUMBER(Q925),ISNUMBER(R925),ISNUMBER(Y925),ABS(R925-Q925-Y925)&gt;2),"S tanggal ≠ Sailing tercatat",IF(AND(ISNUMBER(Q925),ISNUMBER(O925),ABS(Q925-O925)&gt;60),"Cek tahun laycan",IF(AND(ISNUMBER(Q925),ISNUMBER(N925),Q925&lt;N925),"Berangkat sebelum laycan",IF(NOT(ISNUMBER(AE925)),"S belum ada","OK"))))))</f>
        <v/>
      </c>
    </row>
    <row r="926" customFormat="false" ht="15" hidden="false" customHeight="false" outlineLevel="0" collapsed="false">
      <c r="A926" s="16" t="str">
        <f aca="false">IF(B926="","",ROW()-4)</f>
        <v/>
      </c>
      <c r="B926" s="12"/>
      <c r="C926" s="16"/>
      <c r="D926" s="16"/>
      <c r="E926" s="16"/>
      <c r="F926" s="16"/>
      <c r="G926" s="16"/>
      <c r="H926" s="16"/>
      <c r="I926" s="16"/>
      <c r="J926" s="16"/>
      <c r="K926" s="16"/>
      <c r="L926" s="13"/>
      <c r="M926" s="13"/>
      <c r="N926" s="13"/>
      <c r="O926" s="13"/>
      <c r="P926" s="13"/>
      <c r="Q926" s="13"/>
      <c r="R926" s="13"/>
      <c r="S926" s="13"/>
      <c r="T926" s="13"/>
      <c r="U926" s="12"/>
      <c r="V926" s="14"/>
      <c r="W926" s="16"/>
      <c r="X926" s="16"/>
      <c r="Y926" s="16"/>
      <c r="Z926" s="16"/>
      <c r="AA926" s="15" t="str">
        <f aca="false">IF(AND(ISNUMBER(L926),ISNUMBER(M926)),M926-L926,"")</f>
        <v/>
      </c>
      <c r="AB926" s="15" t="str">
        <f aca="false">IF(AND(ISNUMBER(M926),ISNUMBER(P926)),P926-M926,"")</f>
        <v/>
      </c>
      <c r="AC926" s="15" t="str">
        <f aca="false">IF(AND(ISNUMBER(L926),ISNUMBER(P926)),P926-L926,"")</f>
        <v/>
      </c>
      <c r="AD926" s="15" t="str">
        <f aca="false">IF(AND(ISNUMBER(P926),ISNUMBER(Q926)),Q926-P926,"")</f>
        <v/>
      </c>
      <c r="AE926" s="15" t="str">
        <f aca="false">IF(AND(ISNUMBER(Q926),ISNUMBER(R926)),R926-Q926,IF(ISNUMBER(Y926),Y926,""))</f>
        <v/>
      </c>
      <c r="AF926" s="15" t="str">
        <f aca="false">IF(AND(ISNUMBER(R926),ISNUMBER(S926)),S926-R926,"")</f>
        <v/>
      </c>
      <c r="AG926" s="15" t="str">
        <f aca="false">IF(AND(ISNUMBER(S926),ISNUMBER(T926)),T926-S926,"")</f>
        <v/>
      </c>
      <c r="AH926" s="15" t="str">
        <f aca="false">IF(AND(ISNUMBER(L926),ISNUMBER(T926)),T926-L926,"")</f>
        <v/>
      </c>
      <c r="AI926" s="15" t="str">
        <f aca="false">IF(AND(ISNUMBER(O926),ISNUMBER(Q926)),Q926-O926,"")</f>
        <v/>
      </c>
      <c r="AJ926" s="15" t="str">
        <f aca="false">IF(B926="","",COUNT(L926:M926,P926:T926)&amp;"/7")</f>
        <v/>
      </c>
      <c r="AK926" s="15" t="str">
        <f aca="false">IF(B926="","",IF(OR(AND(ISNUMBER(L926),ISNUMBER(M926),M926&lt;L926),AND(ISNUMBER(M926),ISNUMBER(P926),P926&lt;M926),AND(ISNUMBER(P926),ISNUMBER(Q926),Q926&lt;P926),AND(ISNUMBER(Q926),ISNUMBER(R926),R926&lt;Q926),AND(ISNUMBER(R926),ISNUMBER(S926),S926&lt;R926),AND(ISNUMBER(S926),ISNUMBER(T926),T926&lt;S926),AND(ISNUMBER(N926),ISNUMBER(O926),O926&lt;N926)),"Urutan tanggal salah",IF(AND(ISNUMBER(Q926),ISNUMBER(R926),ISNUMBER(Y926),ABS(R926-Q926-Y926)&gt;2),"S tanggal ≠ Sailing tercatat",IF(AND(ISNUMBER(Q926),ISNUMBER(O926),ABS(Q926-O926)&gt;60),"Cek tahun laycan",IF(AND(ISNUMBER(Q926),ISNUMBER(N926),Q926&lt;N926),"Berangkat sebelum laycan",IF(NOT(ISNUMBER(AE926)),"S belum ada","OK"))))))</f>
        <v/>
      </c>
    </row>
    <row r="927" customFormat="false" ht="15" hidden="false" customHeight="false" outlineLevel="0" collapsed="false">
      <c r="A927" s="16" t="str">
        <f aca="false">IF(B927="","",ROW()-4)</f>
        <v/>
      </c>
      <c r="B927" s="12"/>
      <c r="C927" s="16"/>
      <c r="D927" s="16"/>
      <c r="E927" s="16"/>
      <c r="F927" s="16"/>
      <c r="G927" s="16"/>
      <c r="H927" s="16"/>
      <c r="I927" s="16"/>
      <c r="J927" s="16"/>
      <c r="K927" s="16"/>
      <c r="L927" s="13"/>
      <c r="M927" s="13"/>
      <c r="N927" s="13"/>
      <c r="O927" s="13"/>
      <c r="P927" s="13"/>
      <c r="Q927" s="13"/>
      <c r="R927" s="13"/>
      <c r="S927" s="13"/>
      <c r="T927" s="13"/>
      <c r="U927" s="12"/>
      <c r="V927" s="14"/>
      <c r="W927" s="16"/>
      <c r="X927" s="16"/>
      <c r="Y927" s="16"/>
      <c r="Z927" s="16"/>
      <c r="AA927" s="15" t="str">
        <f aca="false">IF(AND(ISNUMBER(L927),ISNUMBER(M927)),M927-L927,"")</f>
        <v/>
      </c>
      <c r="AB927" s="15" t="str">
        <f aca="false">IF(AND(ISNUMBER(M927),ISNUMBER(P927)),P927-M927,"")</f>
        <v/>
      </c>
      <c r="AC927" s="15" t="str">
        <f aca="false">IF(AND(ISNUMBER(L927),ISNUMBER(P927)),P927-L927,"")</f>
        <v/>
      </c>
      <c r="AD927" s="15" t="str">
        <f aca="false">IF(AND(ISNUMBER(P927),ISNUMBER(Q927)),Q927-P927,"")</f>
        <v/>
      </c>
      <c r="AE927" s="15" t="str">
        <f aca="false">IF(AND(ISNUMBER(Q927),ISNUMBER(R927)),R927-Q927,IF(ISNUMBER(Y927),Y927,""))</f>
        <v/>
      </c>
      <c r="AF927" s="15" t="str">
        <f aca="false">IF(AND(ISNUMBER(R927),ISNUMBER(S927)),S927-R927,"")</f>
        <v/>
      </c>
      <c r="AG927" s="15" t="str">
        <f aca="false">IF(AND(ISNUMBER(S927),ISNUMBER(T927)),T927-S927,"")</f>
        <v/>
      </c>
      <c r="AH927" s="15" t="str">
        <f aca="false">IF(AND(ISNUMBER(L927),ISNUMBER(T927)),T927-L927,"")</f>
        <v/>
      </c>
      <c r="AI927" s="15" t="str">
        <f aca="false">IF(AND(ISNUMBER(O927),ISNUMBER(Q927)),Q927-O927,"")</f>
        <v/>
      </c>
      <c r="AJ927" s="15" t="str">
        <f aca="false">IF(B927="","",COUNT(L927:M927,P927:T927)&amp;"/7")</f>
        <v/>
      </c>
      <c r="AK927" s="15" t="str">
        <f aca="false">IF(B927="","",IF(OR(AND(ISNUMBER(L927),ISNUMBER(M927),M927&lt;L927),AND(ISNUMBER(M927),ISNUMBER(P927),P927&lt;M927),AND(ISNUMBER(P927),ISNUMBER(Q927),Q927&lt;P927),AND(ISNUMBER(Q927),ISNUMBER(R927),R927&lt;Q927),AND(ISNUMBER(R927),ISNUMBER(S927),S927&lt;R927),AND(ISNUMBER(S927),ISNUMBER(T927),T927&lt;S927),AND(ISNUMBER(N927),ISNUMBER(O927),O927&lt;N927)),"Urutan tanggal salah",IF(AND(ISNUMBER(Q927),ISNUMBER(R927),ISNUMBER(Y927),ABS(R927-Q927-Y927)&gt;2),"S tanggal ≠ Sailing tercatat",IF(AND(ISNUMBER(Q927),ISNUMBER(O927),ABS(Q927-O927)&gt;60),"Cek tahun laycan",IF(AND(ISNUMBER(Q927),ISNUMBER(N927),Q927&lt;N927),"Berangkat sebelum laycan",IF(NOT(ISNUMBER(AE927)),"S belum ada","OK"))))))</f>
        <v/>
      </c>
    </row>
    <row r="928" customFormat="false" ht="15" hidden="false" customHeight="false" outlineLevel="0" collapsed="false">
      <c r="A928" s="16" t="str">
        <f aca="false">IF(B928="","",ROW()-4)</f>
        <v/>
      </c>
      <c r="B928" s="12"/>
      <c r="C928" s="16"/>
      <c r="D928" s="16"/>
      <c r="E928" s="16"/>
      <c r="F928" s="16"/>
      <c r="G928" s="16"/>
      <c r="H928" s="16"/>
      <c r="I928" s="16"/>
      <c r="J928" s="16"/>
      <c r="K928" s="16"/>
      <c r="L928" s="13"/>
      <c r="M928" s="13"/>
      <c r="N928" s="13"/>
      <c r="O928" s="13"/>
      <c r="P928" s="13"/>
      <c r="Q928" s="13"/>
      <c r="R928" s="13"/>
      <c r="S928" s="13"/>
      <c r="T928" s="13"/>
      <c r="U928" s="12"/>
      <c r="V928" s="14"/>
      <c r="W928" s="16"/>
      <c r="X928" s="16"/>
      <c r="Y928" s="16"/>
      <c r="Z928" s="16"/>
      <c r="AA928" s="15" t="str">
        <f aca="false">IF(AND(ISNUMBER(L928),ISNUMBER(M928)),M928-L928,"")</f>
        <v/>
      </c>
      <c r="AB928" s="15" t="str">
        <f aca="false">IF(AND(ISNUMBER(M928),ISNUMBER(P928)),P928-M928,"")</f>
        <v/>
      </c>
      <c r="AC928" s="15" t="str">
        <f aca="false">IF(AND(ISNUMBER(L928),ISNUMBER(P928)),P928-L928,"")</f>
        <v/>
      </c>
      <c r="AD928" s="15" t="str">
        <f aca="false">IF(AND(ISNUMBER(P928),ISNUMBER(Q928)),Q928-P928,"")</f>
        <v/>
      </c>
      <c r="AE928" s="15" t="str">
        <f aca="false">IF(AND(ISNUMBER(Q928),ISNUMBER(R928)),R928-Q928,IF(ISNUMBER(Y928),Y928,""))</f>
        <v/>
      </c>
      <c r="AF928" s="15" t="str">
        <f aca="false">IF(AND(ISNUMBER(R928),ISNUMBER(S928)),S928-R928,"")</f>
        <v/>
      </c>
      <c r="AG928" s="15" t="str">
        <f aca="false">IF(AND(ISNUMBER(S928),ISNUMBER(T928)),T928-S928,"")</f>
        <v/>
      </c>
      <c r="AH928" s="15" t="str">
        <f aca="false">IF(AND(ISNUMBER(L928),ISNUMBER(T928)),T928-L928,"")</f>
        <v/>
      </c>
      <c r="AI928" s="15" t="str">
        <f aca="false">IF(AND(ISNUMBER(O928),ISNUMBER(Q928)),Q928-O928,"")</f>
        <v/>
      </c>
      <c r="AJ928" s="15" t="str">
        <f aca="false">IF(B928="","",COUNT(L928:M928,P928:T928)&amp;"/7")</f>
        <v/>
      </c>
      <c r="AK928" s="15" t="str">
        <f aca="false">IF(B928="","",IF(OR(AND(ISNUMBER(L928),ISNUMBER(M928),M928&lt;L928),AND(ISNUMBER(M928),ISNUMBER(P928),P928&lt;M928),AND(ISNUMBER(P928),ISNUMBER(Q928),Q928&lt;P928),AND(ISNUMBER(Q928),ISNUMBER(R928),R928&lt;Q928),AND(ISNUMBER(R928),ISNUMBER(S928),S928&lt;R928),AND(ISNUMBER(S928),ISNUMBER(T928),T928&lt;S928),AND(ISNUMBER(N928),ISNUMBER(O928),O928&lt;N928)),"Urutan tanggal salah",IF(AND(ISNUMBER(Q928),ISNUMBER(R928),ISNUMBER(Y928),ABS(R928-Q928-Y928)&gt;2),"S tanggal ≠ Sailing tercatat",IF(AND(ISNUMBER(Q928),ISNUMBER(O928),ABS(Q928-O928)&gt;60),"Cek tahun laycan",IF(AND(ISNUMBER(Q928),ISNUMBER(N928),Q928&lt;N928),"Berangkat sebelum laycan",IF(NOT(ISNUMBER(AE928)),"S belum ada","OK"))))))</f>
        <v/>
      </c>
    </row>
    <row r="929" customFormat="false" ht="15" hidden="false" customHeight="false" outlineLevel="0" collapsed="false">
      <c r="A929" s="16" t="str">
        <f aca="false">IF(B929="","",ROW()-4)</f>
        <v/>
      </c>
      <c r="B929" s="12"/>
      <c r="C929" s="16"/>
      <c r="D929" s="16"/>
      <c r="E929" s="16"/>
      <c r="F929" s="16"/>
      <c r="G929" s="16"/>
      <c r="H929" s="16"/>
      <c r="I929" s="16"/>
      <c r="J929" s="16"/>
      <c r="K929" s="16"/>
      <c r="L929" s="13"/>
      <c r="M929" s="13"/>
      <c r="N929" s="13"/>
      <c r="O929" s="13"/>
      <c r="P929" s="13"/>
      <c r="Q929" s="13"/>
      <c r="R929" s="13"/>
      <c r="S929" s="13"/>
      <c r="T929" s="13"/>
      <c r="U929" s="12"/>
      <c r="V929" s="14"/>
      <c r="W929" s="16"/>
      <c r="X929" s="16"/>
      <c r="Y929" s="16"/>
      <c r="Z929" s="16"/>
      <c r="AA929" s="15" t="str">
        <f aca="false">IF(AND(ISNUMBER(L929),ISNUMBER(M929)),M929-L929,"")</f>
        <v/>
      </c>
      <c r="AB929" s="15" t="str">
        <f aca="false">IF(AND(ISNUMBER(M929),ISNUMBER(P929)),P929-M929,"")</f>
        <v/>
      </c>
      <c r="AC929" s="15" t="str">
        <f aca="false">IF(AND(ISNUMBER(L929),ISNUMBER(P929)),P929-L929,"")</f>
        <v/>
      </c>
      <c r="AD929" s="15" t="str">
        <f aca="false">IF(AND(ISNUMBER(P929),ISNUMBER(Q929)),Q929-P929,"")</f>
        <v/>
      </c>
      <c r="AE929" s="15" t="str">
        <f aca="false">IF(AND(ISNUMBER(Q929),ISNUMBER(R929)),R929-Q929,IF(ISNUMBER(Y929),Y929,""))</f>
        <v/>
      </c>
      <c r="AF929" s="15" t="str">
        <f aca="false">IF(AND(ISNUMBER(R929),ISNUMBER(S929)),S929-R929,"")</f>
        <v/>
      </c>
      <c r="AG929" s="15" t="str">
        <f aca="false">IF(AND(ISNUMBER(S929),ISNUMBER(T929)),T929-S929,"")</f>
        <v/>
      </c>
      <c r="AH929" s="15" t="str">
        <f aca="false">IF(AND(ISNUMBER(L929),ISNUMBER(T929)),T929-L929,"")</f>
        <v/>
      </c>
      <c r="AI929" s="15" t="str">
        <f aca="false">IF(AND(ISNUMBER(O929),ISNUMBER(Q929)),Q929-O929,"")</f>
        <v/>
      </c>
      <c r="AJ929" s="15" t="str">
        <f aca="false">IF(B929="","",COUNT(L929:M929,P929:T929)&amp;"/7")</f>
        <v/>
      </c>
      <c r="AK929" s="15" t="str">
        <f aca="false">IF(B929="","",IF(OR(AND(ISNUMBER(L929),ISNUMBER(M929),M929&lt;L929),AND(ISNUMBER(M929),ISNUMBER(P929),P929&lt;M929),AND(ISNUMBER(P929),ISNUMBER(Q929),Q929&lt;P929),AND(ISNUMBER(Q929),ISNUMBER(R929),R929&lt;Q929),AND(ISNUMBER(R929),ISNUMBER(S929),S929&lt;R929),AND(ISNUMBER(S929),ISNUMBER(T929),T929&lt;S929),AND(ISNUMBER(N929),ISNUMBER(O929),O929&lt;N929)),"Urutan tanggal salah",IF(AND(ISNUMBER(Q929),ISNUMBER(R929),ISNUMBER(Y929),ABS(R929-Q929-Y929)&gt;2),"S tanggal ≠ Sailing tercatat",IF(AND(ISNUMBER(Q929),ISNUMBER(O929),ABS(Q929-O929)&gt;60),"Cek tahun laycan",IF(AND(ISNUMBER(Q929),ISNUMBER(N929),Q929&lt;N929),"Berangkat sebelum laycan",IF(NOT(ISNUMBER(AE929)),"S belum ada","OK"))))))</f>
        <v/>
      </c>
    </row>
    <row r="930" customFormat="false" ht="15" hidden="false" customHeight="false" outlineLevel="0" collapsed="false">
      <c r="A930" s="16" t="str">
        <f aca="false">IF(B930="","",ROW()-4)</f>
        <v/>
      </c>
      <c r="B930" s="12"/>
      <c r="C930" s="16"/>
      <c r="D930" s="16"/>
      <c r="E930" s="16"/>
      <c r="F930" s="16"/>
      <c r="G930" s="16"/>
      <c r="H930" s="16"/>
      <c r="I930" s="16"/>
      <c r="J930" s="16"/>
      <c r="K930" s="16"/>
      <c r="L930" s="13"/>
      <c r="M930" s="13"/>
      <c r="N930" s="13"/>
      <c r="O930" s="13"/>
      <c r="P930" s="13"/>
      <c r="Q930" s="13"/>
      <c r="R930" s="13"/>
      <c r="S930" s="13"/>
      <c r="T930" s="13"/>
      <c r="U930" s="12"/>
      <c r="V930" s="14"/>
      <c r="W930" s="16"/>
      <c r="X930" s="16"/>
      <c r="Y930" s="16"/>
      <c r="Z930" s="16"/>
      <c r="AA930" s="15" t="str">
        <f aca="false">IF(AND(ISNUMBER(L930),ISNUMBER(M930)),M930-L930,"")</f>
        <v/>
      </c>
      <c r="AB930" s="15" t="str">
        <f aca="false">IF(AND(ISNUMBER(M930),ISNUMBER(P930)),P930-M930,"")</f>
        <v/>
      </c>
      <c r="AC930" s="15" t="str">
        <f aca="false">IF(AND(ISNUMBER(L930),ISNUMBER(P930)),P930-L930,"")</f>
        <v/>
      </c>
      <c r="AD930" s="15" t="str">
        <f aca="false">IF(AND(ISNUMBER(P930),ISNUMBER(Q930)),Q930-P930,"")</f>
        <v/>
      </c>
      <c r="AE930" s="15" t="str">
        <f aca="false">IF(AND(ISNUMBER(Q930),ISNUMBER(R930)),R930-Q930,IF(ISNUMBER(Y930),Y930,""))</f>
        <v/>
      </c>
      <c r="AF930" s="15" t="str">
        <f aca="false">IF(AND(ISNUMBER(R930),ISNUMBER(S930)),S930-R930,"")</f>
        <v/>
      </c>
      <c r="AG930" s="15" t="str">
        <f aca="false">IF(AND(ISNUMBER(S930),ISNUMBER(T930)),T930-S930,"")</f>
        <v/>
      </c>
      <c r="AH930" s="15" t="str">
        <f aca="false">IF(AND(ISNUMBER(L930),ISNUMBER(T930)),T930-L930,"")</f>
        <v/>
      </c>
      <c r="AI930" s="15" t="str">
        <f aca="false">IF(AND(ISNUMBER(O930),ISNUMBER(Q930)),Q930-O930,"")</f>
        <v/>
      </c>
      <c r="AJ930" s="15" t="str">
        <f aca="false">IF(B930="","",COUNT(L930:M930,P930:T930)&amp;"/7")</f>
        <v/>
      </c>
      <c r="AK930" s="15" t="str">
        <f aca="false">IF(B930="","",IF(OR(AND(ISNUMBER(L930),ISNUMBER(M930),M930&lt;L930),AND(ISNUMBER(M930),ISNUMBER(P930),P930&lt;M930),AND(ISNUMBER(P930),ISNUMBER(Q930),Q930&lt;P930),AND(ISNUMBER(Q930),ISNUMBER(R930),R930&lt;Q930),AND(ISNUMBER(R930),ISNUMBER(S930),S930&lt;R930),AND(ISNUMBER(S930),ISNUMBER(T930),T930&lt;S930),AND(ISNUMBER(N930),ISNUMBER(O930),O930&lt;N930)),"Urutan tanggal salah",IF(AND(ISNUMBER(Q930),ISNUMBER(R930),ISNUMBER(Y930),ABS(R930-Q930-Y930)&gt;2),"S tanggal ≠ Sailing tercatat",IF(AND(ISNUMBER(Q930),ISNUMBER(O930),ABS(Q930-O930)&gt;60),"Cek tahun laycan",IF(AND(ISNUMBER(Q930),ISNUMBER(N930),Q930&lt;N930),"Berangkat sebelum laycan",IF(NOT(ISNUMBER(AE930)),"S belum ada","OK"))))))</f>
        <v/>
      </c>
    </row>
    <row r="931" customFormat="false" ht="15" hidden="false" customHeight="false" outlineLevel="0" collapsed="false">
      <c r="A931" s="16" t="str">
        <f aca="false">IF(B931="","",ROW()-4)</f>
        <v/>
      </c>
      <c r="B931" s="12"/>
      <c r="C931" s="16"/>
      <c r="D931" s="16"/>
      <c r="E931" s="16"/>
      <c r="F931" s="16"/>
      <c r="G931" s="16"/>
      <c r="H931" s="16"/>
      <c r="I931" s="16"/>
      <c r="J931" s="16"/>
      <c r="K931" s="16"/>
      <c r="L931" s="13"/>
      <c r="M931" s="13"/>
      <c r="N931" s="13"/>
      <c r="O931" s="13"/>
      <c r="P931" s="13"/>
      <c r="Q931" s="13"/>
      <c r="R931" s="13"/>
      <c r="S931" s="13"/>
      <c r="T931" s="13"/>
      <c r="U931" s="12"/>
      <c r="V931" s="14"/>
      <c r="W931" s="16"/>
      <c r="X931" s="16"/>
      <c r="Y931" s="16"/>
      <c r="Z931" s="16"/>
      <c r="AA931" s="15" t="str">
        <f aca="false">IF(AND(ISNUMBER(L931),ISNUMBER(M931)),M931-L931,"")</f>
        <v/>
      </c>
      <c r="AB931" s="15" t="str">
        <f aca="false">IF(AND(ISNUMBER(M931),ISNUMBER(P931)),P931-M931,"")</f>
        <v/>
      </c>
      <c r="AC931" s="15" t="str">
        <f aca="false">IF(AND(ISNUMBER(L931),ISNUMBER(P931)),P931-L931,"")</f>
        <v/>
      </c>
      <c r="AD931" s="15" t="str">
        <f aca="false">IF(AND(ISNUMBER(P931),ISNUMBER(Q931)),Q931-P931,"")</f>
        <v/>
      </c>
      <c r="AE931" s="15" t="str">
        <f aca="false">IF(AND(ISNUMBER(Q931),ISNUMBER(R931)),R931-Q931,IF(ISNUMBER(Y931),Y931,""))</f>
        <v/>
      </c>
      <c r="AF931" s="15" t="str">
        <f aca="false">IF(AND(ISNUMBER(R931),ISNUMBER(S931)),S931-R931,"")</f>
        <v/>
      </c>
      <c r="AG931" s="15" t="str">
        <f aca="false">IF(AND(ISNUMBER(S931),ISNUMBER(T931)),T931-S931,"")</f>
        <v/>
      </c>
      <c r="AH931" s="15" t="str">
        <f aca="false">IF(AND(ISNUMBER(L931),ISNUMBER(T931)),T931-L931,"")</f>
        <v/>
      </c>
      <c r="AI931" s="15" t="str">
        <f aca="false">IF(AND(ISNUMBER(O931),ISNUMBER(Q931)),Q931-O931,"")</f>
        <v/>
      </c>
      <c r="AJ931" s="15" t="str">
        <f aca="false">IF(B931="","",COUNT(L931:M931,P931:T931)&amp;"/7")</f>
        <v/>
      </c>
      <c r="AK931" s="15" t="str">
        <f aca="false">IF(B931="","",IF(OR(AND(ISNUMBER(L931),ISNUMBER(M931),M931&lt;L931),AND(ISNUMBER(M931),ISNUMBER(P931),P931&lt;M931),AND(ISNUMBER(P931),ISNUMBER(Q931),Q931&lt;P931),AND(ISNUMBER(Q931),ISNUMBER(R931),R931&lt;Q931),AND(ISNUMBER(R931),ISNUMBER(S931),S931&lt;R931),AND(ISNUMBER(S931),ISNUMBER(T931),T931&lt;S931),AND(ISNUMBER(N931),ISNUMBER(O931),O931&lt;N931)),"Urutan tanggal salah",IF(AND(ISNUMBER(Q931),ISNUMBER(R931),ISNUMBER(Y931),ABS(R931-Q931-Y931)&gt;2),"S tanggal ≠ Sailing tercatat",IF(AND(ISNUMBER(Q931),ISNUMBER(O931),ABS(Q931-O931)&gt;60),"Cek tahun laycan",IF(AND(ISNUMBER(Q931),ISNUMBER(N931),Q931&lt;N931),"Berangkat sebelum laycan",IF(NOT(ISNUMBER(AE931)),"S belum ada","OK"))))))</f>
        <v/>
      </c>
    </row>
    <row r="932" customFormat="false" ht="15" hidden="false" customHeight="false" outlineLevel="0" collapsed="false">
      <c r="A932" s="16" t="str">
        <f aca="false">IF(B932="","",ROW()-4)</f>
        <v/>
      </c>
      <c r="B932" s="12"/>
      <c r="C932" s="16"/>
      <c r="D932" s="16"/>
      <c r="E932" s="16"/>
      <c r="F932" s="16"/>
      <c r="G932" s="16"/>
      <c r="H932" s="16"/>
      <c r="I932" s="16"/>
      <c r="J932" s="16"/>
      <c r="K932" s="16"/>
      <c r="L932" s="13"/>
      <c r="M932" s="13"/>
      <c r="N932" s="13"/>
      <c r="O932" s="13"/>
      <c r="P932" s="13"/>
      <c r="Q932" s="13"/>
      <c r="R932" s="13"/>
      <c r="S932" s="13"/>
      <c r="T932" s="13"/>
      <c r="U932" s="12"/>
      <c r="V932" s="14"/>
      <c r="W932" s="16"/>
      <c r="X932" s="16"/>
      <c r="Y932" s="16"/>
      <c r="Z932" s="16"/>
      <c r="AA932" s="15" t="str">
        <f aca="false">IF(AND(ISNUMBER(L932),ISNUMBER(M932)),M932-L932,"")</f>
        <v/>
      </c>
      <c r="AB932" s="15" t="str">
        <f aca="false">IF(AND(ISNUMBER(M932),ISNUMBER(P932)),P932-M932,"")</f>
        <v/>
      </c>
      <c r="AC932" s="15" t="str">
        <f aca="false">IF(AND(ISNUMBER(L932),ISNUMBER(P932)),P932-L932,"")</f>
        <v/>
      </c>
      <c r="AD932" s="15" t="str">
        <f aca="false">IF(AND(ISNUMBER(P932),ISNUMBER(Q932)),Q932-P932,"")</f>
        <v/>
      </c>
      <c r="AE932" s="15" t="str">
        <f aca="false">IF(AND(ISNUMBER(Q932),ISNUMBER(R932)),R932-Q932,IF(ISNUMBER(Y932),Y932,""))</f>
        <v/>
      </c>
      <c r="AF932" s="15" t="str">
        <f aca="false">IF(AND(ISNUMBER(R932),ISNUMBER(S932)),S932-R932,"")</f>
        <v/>
      </c>
      <c r="AG932" s="15" t="str">
        <f aca="false">IF(AND(ISNUMBER(S932),ISNUMBER(T932)),T932-S932,"")</f>
        <v/>
      </c>
      <c r="AH932" s="15" t="str">
        <f aca="false">IF(AND(ISNUMBER(L932),ISNUMBER(T932)),T932-L932,"")</f>
        <v/>
      </c>
      <c r="AI932" s="15" t="str">
        <f aca="false">IF(AND(ISNUMBER(O932),ISNUMBER(Q932)),Q932-O932,"")</f>
        <v/>
      </c>
      <c r="AJ932" s="15" t="str">
        <f aca="false">IF(B932="","",COUNT(L932:M932,P932:T932)&amp;"/7")</f>
        <v/>
      </c>
      <c r="AK932" s="15" t="str">
        <f aca="false">IF(B932="","",IF(OR(AND(ISNUMBER(L932),ISNUMBER(M932),M932&lt;L932),AND(ISNUMBER(M932),ISNUMBER(P932),P932&lt;M932),AND(ISNUMBER(P932),ISNUMBER(Q932),Q932&lt;P932),AND(ISNUMBER(Q932),ISNUMBER(R932),R932&lt;Q932),AND(ISNUMBER(R932),ISNUMBER(S932),S932&lt;R932),AND(ISNUMBER(S932),ISNUMBER(T932),T932&lt;S932),AND(ISNUMBER(N932),ISNUMBER(O932),O932&lt;N932)),"Urutan tanggal salah",IF(AND(ISNUMBER(Q932),ISNUMBER(R932),ISNUMBER(Y932),ABS(R932-Q932-Y932)&gt;2),"S tanggal ≠ Sailing tercatat",IF(AND(ISNUMBER(Q932),ISNUMBER(O932),ABS(Q932-O932)&gt;60),"Cek tahun laycan",IF(AND(ISNUMBER(Q932),ISNUMBER(N932),Q932&lt;N932),"Berangkat sebelum laycan",IF(NOT(ISNUMBER(AE932)),"S belum ada","OK"))))))</f>
        <v/>
      </c>
    </row>
    <row r="933" customFormat="false" ht="15" hidden="false" customHeight="false" outlineLevel="0" collapsed="false">
      <c r="A933" s="16" t="str">
        <f aca="false">IF(B933="","",ROW()-4)</f>
        <v/>
      </c>
      <c r="B933" s="12"/>
      <c r="C933" s="16"/>
      <c r="D933" s="16"/>
      <c r="E933" s="16"/>
      <c r="F933" s="16"/>
      <c r="G933" s="16"/>
      <c r="H933" s="16"/>
      <c r="I933" s="16"/>
      <c r="J933" s="16"/>
      <c r="K933" s="16"/>
      <c r="L933" s="13"/>
      <c r="M933" s="13"/>
      <c r="N933" s="13"/>
      <c r="O933" s="13"/>
      <c r="P933" s="13"/>
      <c r="Q933" s="13"/>
      <c r="R933" s="13"/>
      <c r="S933" s="13"/>
      <c r="T933" s="13"/>
      <c r="U933" s="12"/>
      <c r="V933" s="14"/>
      <c r="W933" s="16"/>
      <c r="X933" s="16"/>
      <c r="Y933" s="16"/>
      <c r="Z933" s="16"/>
      <c r="AA933" s="15" t="str">
        <f aca="false">IF(AND(ISNUMBER(L933),ISNUMBER(M933)),M933-L933,"")</f>
        <v/>
      </c>
      <c r="AB933" s="15" t="str">
        <f aca="false">IF(AND(ISNUMBER(M933),ISNUMBER(P933)),P933-M933,"")</f>
        <v/>
      </c>
      <c r="AC933" s="15" t="str">
        <f aca="false">IF(AND(ISNUMBER(L933),ISNUMBER(P933)),P933-L933,"")</f>
        <v/>
      </c>
      <c r="AD933" s="15" t="str">
        <f aca="false">IF(AND(ISNUMBER(P933),ISNUMBER(Q933)),Q933-P933,"")</f>
        <v/>
      </c>
      <c r="AE933" s="15" t="str">
        <f aca="false">IF(AND(ISNUMBER(Q933),ISNUMBER(R933)),R933-Q933,IF(ISNUMBER(Y933),Y933,""))</f>
        <v/>
      </c>
      <c r="AF933" s="15" t="str">
        <f aca="false">IF(AND(ISNUMBER(R933),ISNUMBER(S933)),S933-R933,"")</f>
        <v/>
      </c>
      <c r="AG933" s="15" t="str">
        <f aca="false">IF(AND(ISNUMBER(S933),ISNUMBER(T933)),T933-S933,"")</f>
        <v/>
      </c>
      <c r="AH933" s="15" t="str">
        <f aca="false">IF(AND(ISNUMBER(L933),ISNUMBER(T933)),T933-L933,"")</f>
        <v/>
      </c>
      <c r="AI933" s="15" t="str">
        <f aca="false">IF(AND(ISNUMBER(O933),ISNUMBER(Q933)),Q933-O933,"")</f>
        <v/>
      </c>
      <c r="AJ933" s="15" t="str">
        <f aca="false">IF(B933="","",COUNT(L933:M933,P933:T933)&amp;"/7")</f>
        <v/>
      </c>
      <c r="AK933" s="15" t="str">
        <f aca="false">IF(B933="","",IF(OR(AND(ISNUMBER(L933),ISNUMBER(M933),M933&lt;L933),AND(ISNUMBER(M933),ISNUMBER(P933),P933&lt;M933),AND(ISNUMBER(P933),ISNUMBER(Q933),Q933&lt;P933),AND(ISNUMBER(Q933),ISNUMBER(R933),R933&lt;Q933),AND(ISNUMBER(R933),ISNUMBER(S933),S933&lt;R933),AND(ISNUMBER(S933),ISNUMBER(T933),T933&lt;S933),AND(ISNUMBER(N933),ISNUMBER(O933),O933&lt;N933)),"Urutan tanggal salah",IF(AND(ISNUMBER(Q933),ISNUMBER(R933),ISNUMBER(Y933),ABS(R933-Q933-Y933)&gt;2),"S tanggal ≠ Sailing tercatat",IF(AND(ISNUMBER(Q933),ISNUMBER(O933),ABS(Q933-O933)&gt;60),"Cek tahun laycan",IF(AND(ISNUMBER(Q933),ISNUMBER(N933),Q933&lt;N933),"Berangkat sebelum laycan",IF(NOT(ISNUMBER(AE933)),"S belum ada","OK"))))))</f>
        <v/>
      </c>
    </row>
    <row r="934" customFormat="false" ht="15" hidden="false" customHeight="false" outlineLevel="0" collapsed="false">
      <c r="A934" s="16" t="str">
        <f aca="false">IF(B934="","",ROW()-4)</f>
        <v/>
      </c>
      <c r="B934" s="12"/>
      <c r="C934" s="16"/>
      <c r="D934" s="16"/>
      <c r="E934" s="16"/>
      <c r="F934" s="16"/>
      <c r="G934" s="16"/>
      <c r="H934" s="16"/>
      <c r="I934" s="16"/>
      <c r="J934" s="16"/>
      <c r="K934" s="16"/>
      <c r="L934" s="13"/>
      <c r="M934" s="13"/>
      <c r="N934" s="13"/>
      <c r="O934" s="13"/>
      <c r="P934" s="13"/>
      <c r="Q934" s="13"/>
      <c r="R934" s="13"/>
      <c r="S934" s="13"/>
      <c r="T934" s="13"/>
      <c r="U934" s="12"/>
      <c r="V934" s="14"/>
      <c r="W934" s="16"/>
      <c r="X934" s="16"/>
      <c r="Y934" s="16"/>
      <c r="Z934" s="16"/>
      <c r="AA934" s="15" t="str">
        <f aca="false">IF(AND(ISNUMBER(L934),ISNUMBER(M934)),M934-L934,"")</f>
        <v/>
      </c>
      <c r="AB934" s="15" t="str">
        <f aca="false">IF(AND(ISNUMBER(M934),ISNUMBER(P934)),P934-M934,"")</f>
        <v/>
      </c>
      <c r="AC934" s="15" t="str">
        <f aca="false">IF(AND(ISNUMBER(L934),ISNUMBER(P934)),P934-L934,"")</f>
        <v/>
      </c>
      <c r="AD934" s="15" t="str">
        <f aca="false">IF(AND(ISNUMBER(P934),ISNUMBER(Q934)),Q934-P934,"")</f>
        <v/>
      </c>
      <c r="AE934" s="15" t="str">
        <f aca="false">IF(AND(ISNUMBER(Q934),ISNUMBER(R934)),R934-Q934,IF(ISNUMBER(Y934),Y934,""))</f>
        <v/>
      </c>
      <c r="AF934" s="15" t="str">
        <f aca="false">IF(AND(ISNUMBER(R934),ISNUMBER(S934)),S934-R934,"")</f>
        <v/>
      </c>
      <c r="AG934" s="15" t="str">
        <f aca="false">IF(AND(ISNUMBER(S934),ISNUMBER(T934)),T934-S934,"")</f>
        <v/>
      </c>
      <c r="AH934" s="15" t="str">
        <f aca="false">IF(AND(ISNUMBER(L934),ISNUMBER(T934)),T934-L934,"")</f>
        <v/>
      </c>
      <c r="AI934" s="15" t="str">
        <f aca="false">IF(AND(ISNUMBER(O934),ISNUMBER(Q934)),Q934-O934,"")</f>
        <v/>
      </c>
      <c r="AJ934" s="15" t="str">
        <f aca="false">IF(B934="","",COUNT(L934:M934,P934:T934)&amp;"/7")</f>
        <v/>
      </c>
      <c r="AK934" s="15" t="str">
        <f aca="false">IF(B934="","",IF(OR(AND(ISNUMBER(L934),ISNUMBER(M934),M934&lt;L934),AND(ISNUMBER(M934),ISNUMBER(P934),P934&lt;M934),AND(ISNUMBER(P934),ISNUMBER(Q934),Q934&lt;P934),AND(ISNUMBER(Q934),ISNUMBER(R934),R934&lt;Q934),AND(ISNUMBER(R934),ISNUMBER(S934),S934&lt;R934),AND(ISNUMBER(S934),ISNUMBER(T934),T934&lt;S934),AND(ISNUMBER(N934),ISNUMBER(O934),O934&lt;N934)),"Urutan tanggal salah",IF(AND(ISNUMBER(Q934),ISNUMBER(R934),ISNUMBER(Y934),ABS(R934-Q934-Y934)&gt;2),"S tanggal ≠ Sailing tercatat",IF(AND(ISNUMBER(Q934),ISNUMBER(O934),ABS(Q934-O934)&gt;60),"Cek tahun laycan",IF(AND(ISNUMBER(Q934),ISNUMBER(N934),Q934&lt;N934),"Berangkat sebelum laycan",IF(NOT(ISNUMBER(AE934)),"S belum ada","OK"))))))</f>
        <v/>
      </c>
    </row>
    <row r="935" customFormat="false" ht="15" hidden="false" customHeight="false" outlineLevel="0" collapsed="false">
      <c r="A935" s="16" t="str">
        <f aca="false">IF(B935="","",ROW()-4)</f>
        <v/>
      </c>
      <c r="B935" s="12"/>
      <c r="C935" s="16"/>
      <c r="D935" s="16"/>
      <c r="E935" s="16"/>
      <c r="F935" s="16"/>
      <c r="G935" s="16"/>
      <c r="H935" s="16"/>
      <c r="I935" s="16"/>
      <c r="J935" s="16"/>
      <c r="K935" s="16"/>
      <c r="L935" s="13"/>
      <c r="M935" s="13"/>
      <c r="N935" s="13"/>
      <c r="O935" s="13"/>
      <c r="P935" s="13"/>
      <c r="Q935" s="13"/>
      <c r="R935" s="13"/>
      <c r="S935" s="13"/>
      <c r="T935" s="13"/>
      <c r="U935" s="12"/>
      <c r="V935" s="14"/>
      <c r="W935" s="16"/>
      <c r="X935" s="16"/>
      <c r="Y935" s="16"/>
      <c r="Z935" s="16"/>
      <c r="AA935" s="15" t="str">
        <f aca="false">IF(AND(ISNUMBER(L935),ISNUMBER(M935)),M935-L935,"")</f>
        <v/>
      </c>
      <c r="AB935" s="15" t="str">
        <f aca="false">IF(AND(ISNUMBER(M935),ISNUMBER(P935)),P935-M935,"")</f>
        <v/>
      </c>
      <c r="AC935" s="15" t="str">
        <f aca="false">IF(AND(ISNUMBER(L935),ISNUMBER(P935)),P935-L935,"")</f>
        <v/>
      </c>
      <c r="AD935" s="15" t="str">
        <f aca="false">IF(AND(ISNUMBER(P935),ISNUMBER(Q935)),Q935-P935,"")</f>
        <v/>
      </c>
      <c r="AE935" s="15" t="str">
        <f aca="false">IF(AND(ISNUMBER(Q935),ISNUMBER(R935)),R935-Q935,IF(ISNUMBER(Y935),Y935,""))</f>
        <v/>
      </c>
      <c r="AF935" s="15" t="str">
        <f aca="false">IF(AND(ISNUMBER(R935),ISNUMBER(S935)),S935-R935,"")</f>
        <v/>
      </c>
      <c r="AG935" s="15" t="str">
        <f aca="false">IF(AND(ISNUMBER(S935),ISNUMBER(T935)),T935-S935,"")</f>
        <v/>
      </c>
      <c r="AH935" s="15" t="str">
        <f aca="false">IF(AND(ISNUMBER(L935),ISNUMBER(T935)),T935-L935,"")</f>
        <v/>
      </c>
      <c r="AI935" s="15" t="str">
        <f aca="false">IF(AND(ISNUMBER(O935),ISNUMBER(Q935)),Q935-O935,"")</f>
        <v/>
      </c>
      <c r="AJ935" s="15" t="str">
        <f aca="false">IF(B935="","",COUNT(L935:M935,P935:T935)&amp;"/7")</f>
        <v/>
      </c>
      <c r="AK935" s="15" t="str">
        <f aca="false">IF(B935="","",IF(OR(AND(ISNUMBER(L935),ISNUMBER(M935),M935&lt;L935),AND(ISNUMBER(M935),ISNUMBER(P935),P935&lt;M935),AND(ISNUMBER(P935),ISNUMBER(Q935),Q935&lt;P935),AND(ISNUMBER(Q935),ISNUMBER(R935),R935&lt;Q935),AND(ISNUMBER(R935),ISNUMBER(S935),S935&lt;R935),AND(ISNUMBER(S935),ISNUMBER(T935),T935&lt;S935),AND(ISNUMBER(N935),ISNUMBER(O935),O935&lt;N935)),"Urutan tanggal salah",IF(AND(ISNUMBER(Q935),ISNUMBER(R935),ISNUMBER(Y935),ABS(R935-Q935-Y935)&gt;2),"S tanggal ≠ Sailing tercatat",IF(AND(ISNUMBER(Q935),ISNUMBER(O935),ABS(Q935-O935)&gt;60),"Cek tahun laycan",IF(AND(ISNUMBER(Q935),ISNUMBER(N935),Q935&lt;N935),"Berangkat sebelum laycan",IF(NOT(ISNUMBER(AE935)),"S belum ada","OK"))))))</f>
        <v/>
      </c>
    </row>
    <row r="936" customFormat="false" ht="15" hidden="false" customHeight="false" outlineLevel="0" collapsed="false">
      <c r="A936" s="16" t="str">
        <f aca="false">IF(B936="","",ROW()-4)</f>
        <v/>
      </c>
      <c r="B936" s="12"/>
      <c r="C936" s="16"/>
      <c r="D936" s="16"/>
      <c r="E936" s="16"/>
      <c r="F936" s="16"/>
      <c r="G936" s="16"/>
      <c r="H936" s="16"/>
      <c r="I936" s="16"/>
      <c r="J936" s="16"/>
      <c r="K936" s="16"/>
      <c r="L936" s="13"/>
      <c r="M936" s="13"/>
      <c r="N936" s="13"/>
      <c r="O936" s="13"/>
      <c r="P936" s="13"/>
      <c r="Q936" s="13"/>
      <c r="R936" s="13"/>
      <c r="S936" s="13"/>
      <c r="T936" s="13"/>
      <c r="U936" s="12"/>
      <c r="V936" s="14"/>
      <c r="W936" s="16"/>
      <c r="X936" s="16"/>
      <c r="Y936" s="16"/>
      <c r="Z936" s="16"/>
      <c r="AA936" s="15" t="str">
        <f aca="false">IF(AND(ISNUMBER(L936),ISNUMBER(M936)),M936-L936,"")</f>
        <v/>
      </c>
      <c r="AB936" s="15" t="str">
        <f aca="false">IF(AND(ISNUMBER(M936),ISNUMBER(P936)),P936-M936,"")</f>
        <v/>
      </c>
      <c r="AC936" s="15" t="str">
        <f aca="false">IF(AND(ISNUMBER(L936),ISNUMBER(P936)),P936-L936,"")</f>
        <v/>
      </c>
      <c r="AD936" s="15" t="str">
        <f aca="false">IF(AND(ISNUMBER(P936),ISNUMBER(Q936)),Q936-P936,"")</f>
        <v/>
      </c>
      <c r="AE936" s="15" t="str">
        <f aca="false">IF(AND(ISNUMBER(Q936),ISNUMBER(R936)),R936-Q936,IF(ISNUMBER(Y936),Y936,""))</f>
        <v/>
      </c>
      <c r="AF936" s="15" t="str">
        <f aca="false">IF(AND(ISNUMBER(R936),ISNUMBER(S936)),S936-R936,"")</f>
        <v/>
      </c>
      <c r="AG936" s="15" t="str">
        <f aca="false">IF(AND(ISNUMBER(S936),ISNUMBER(T936)),T936-S936,"")</f>
        <v/>
      </c>
      <c r="AH936" s="15" t="str">
        <f aca="false">IF(AND(ISNUMBER(L936),ISNUMBER(T936)),T936-L936,"")</f>
        <v/>
      </c>
      <c r="AI936" s="15" t="str">
        <f aca="false">IF(AND(ISNUMBER(O936),ISNUMBER(Q936)),Q936-O936,"")</f>
        <v/>
      </c>
      <c r="AJ936" s="15" t="str">
        <f aca="false">IF(B936="","",COUNT(L936:M936,P936:T936)&amp;"/7")</f>
        <v/>
      </c>
      <c r="AK936" s="15" t="str">
        <f aca="false">IF(B936="","",IF(OR(AND(ISNUMBER(L936),ISNUMBER(M936),M936&lt;L936),AND(ISNUMBER(M936),ISNUMBER(P936),P936&lt;M936),AND(ISNUMBER(P936),ISNUMBER(Q936),Q936&lt;P936),AND(ISNUMBER(Q936),ISNUMBER(R936),R936&lt;Q936),AND(ISNUMBER(R936),ISNUMBER(S936),S936&lt;R936),AND(ISNUMBER(S936),ISNUMBER(T936),T936&lt;S936),AND(ISNUMBER(N936),ISNUMBER(O936),O936&lt;N936)),"Urutan tanggal salah",IF(AND(ISNUMBER(Q936),ISNUMBER(R936),ISNUMBER(Y936),ABS(R936-Q936-Y936)&gt;2),"S tanggal ≠ Sailing tercatat",IF(AND(ISNUMBER(Q936),ISNUMBER(O936),ABS(Q936-O936)&gt;60),"Cek tahun laycan",IF(AND(ISNUMBER(Q936),ISNUMBER(N936),Q936&lt;N936),"Berangkat sebelum laycan",IF(NOT(ISNUMBER(AE936)),"S belum ada","OK"))))))</f>
        <v/>
      </c>
    </row>
    <row r="937" customFormat="false" ht="15" hidden="false" customHeight="false" outlineLevel="0" collapsed="false">
      <c r="A937" s="16" t="str">
        <f aca="false">IF(B937="","",ROW()-4)</f>
        <v/>
      </c>
      <c r="B937" s="12"/>
      <c r="C937" s="16"/>
      <c r="D937" s="16"/>
      <c r="E937" s="16"/>
      <c r="F937" s="16"/>
      <c r="G937" s="16"/>
      <c r="H937" s="16"/>
      <c r="I937" s="16"/>
      <c r="J937" s="16"/>
      <c r="K937" s="16"/>
      <c r="L937" s="13"/>
      <c r="M937" s="13"/>
      <c r="N937" s="13"/>
      <c r="O937" s="13"/>
      <c r="P937" s="13"/>
      <c r="Q937" s="13"/>
      <c r="R937" s="13"/>
      <c r="S937" s="13"/>
      <c r="T937" s="13"/>
      <c r="U937" s="12"/>
      <c r="V937" s="14"/>
      <c r="W937" s="16"/>
      <c r="X937" s="16"/>
      <c r="Y937" s="16"/>
      <c r="Z937" s="16"/>
      <c r="AA937" s="15" t="str">
        <f aca="false">IF(AND(ISNUMBER(L937),ISNUMBER(M937)),M937-L937,"")</f>
        <v/>
      </c>
      <c r="AB937" s="15" t="str">
        <f aca="false">IF(AND(ISNUMBER(M937),ISNUMBER(P937)),P937-M937,"")</f>
        <v/>
      </c>
      <c r="AC937" s="15" t="str">
        <f aca="false">IF(AND(ISNUMBER(L937),ISNUMBER(P937)),P937-L937,"")</f>
        <v/>
      </c>
      <c r="AD937" s="15" t="str">
        <f aca="false">IF(AND(ISNUMBER(P937),ISNUMBER(Q937)),Q937-P937,"")</f>
        <v/>
      </c>
      <c r="AE937" s="15" t="str">
        <f aca="false">IF(AND(ISNUMBER(Q937),ISNUMBER(R937)),R937-Q937,IF(ISNUMBER(Y937),Y937,""))</f>
        <v/>
      </c>
      <c r="AF937" s="15" t="str">
        <f aca="false">IF(AND(ISNUMBER(R937),ISNUMBER(S937)),S937-R937,"")</f>
        <v/>
      </c>
      <c r="AG937" s="15" t="str">
        <f aca="false">IF(AND(ISNUMBER(S937),ISNUMBER(T937)),T937-S937,"")</f>
        <v/>
      </c>
      <c r="AH937" s="15" t="str">
        <f aca="false">IF(AND(ISNUMBER(L937),ISNUMBER(T937)),T937-L937,"")</f>
        <v/>
      </c>
      <c r="AI937" s="15" t="str">
        <f aca="false">IF(AND(ISNUMBER(O937),ISNUMBER(Q937)),Q937-O937,"")</f>
        <v/>
      </c>
      <c r="AJ937" s="15" t="str">
        <f aca="false">IF(B937="","",COUNT(L937:M937,P937:T937)&amp;"/7")</f>
        <v/>
      </c>
      <c r="AK937" s="15" t="str">
        <f aca="false">IF(B937="","",IF(OR(AND(ISNUMBER(L937),ISNUMBER(M937),M937&lt;L937),AND(ISNUMBER(M937),ISNUMBER(P937),P937&lt;M937),AND(ISNUMBER(P937),ISNUMBER(Q937),Q937&lt;P937),AND(ISNUMBER(Q937),ISNUMBER(R937),R937&lt;Q937),AND(ISNUMBER(R937),ISNUMBER(S937),S937&lt;R937),AND(ISNUMBER(S937),ISNUMBER(T937),T937&lt;S937),AND(ISNUMBER(N937),ISNUMBER(O937),O937&lt;N937)),"Urutan tanggal salah",IF(AND(ISNUMBER(Q937),ISNUMBER(R937),ISNUMBER(Y937),ABS(R937-Q937-Y937)&gt;2),"S tanggal ≠ Sailing tercatat",IF(AND(ISNUMBER(Q937),ISNUMBER(O937),ABS(Q937-O937)&gt;60),"Cek tahun laycan",IF(AND(ISNUMBER(Q937),ISNUMBER(N937),Q937&lt;N937),"Berangkat sebelum laycan",IF(NOT(ISNUMBER(AE937)),"S belum ada","OK"))))))</f>
        <v/>
      </c>
    </row>
    <row r="938" customFormat="false" ht="15" hidden="false" customHeight="false" outlineLevel="0" collapsed="false">
      <c r="A938" s="16" t="str">
        <f aca="false">IF(B938="","",ROW()-4)</f>
        <v/>
      </c>
      <c r="B938" s="12"/>
      <c r="C938" s="16"/>
      <c r="D938" s="16"/>
      <c r="E938" s="16"/>
      <c r="F938" s="16"/>
      <c r="G938" s="16"/>
      <c r="H938" s="16"/>
      <c r="I938" s="16"/>
      <c r="J938" s="16"/>
      <c r="K938" s="16"/>
      <c r="L938" s="13"/>
      <c r="M938" s="13"/>
      <c r="N938" s="13"/>
      <c r="O938" s="13"/>
      <c r="P938" s="13"/>
      <c r="Q938" s="13"/>
      <c r="R938" s="13"/>
      <c r="S938" s="13"/>
      <c r="T938" s="13"/>
      <c r="U938" s="12"/>
      <c r="V938" s="14"/>
      <c r="W938" s="16"/>
      <c r="X938" s="16"/>
      <c r="Y938" s="16"/>
      <c r="Z938" s="16"/>
      <c r="AA938" s="15" t="str">
        <f aca="false">IF(AND(ISNUMBER(L938),ISNUMBER(M938)),M938-L938,"")</f>
        <v/>
      </c>
      <c r="AB938" s="15" t="str">
        <f aca="false">IF(AND(ISNUMBER(M938),ISNUMBER(P938)),P938-M938,"")</f>
        <v/>
      </c>
      <c r="AC938" s="15" t="str">
        <f aca="false">IF(AND(ISNUMBER(L938),ISNUMBER(P938)),P938-L938,"")</f>
        <v/>
      </c>
      <c r="AD938" s="15" t="str">
        <f aca="false">IF(AND(ISNUMBER(P938),ISNUMBER(Q938)),Q938-P938,"")</f>
        <v/>
      </c>
      <c r="AE938" s="15" t="str">
        <f aca="false">IF(AND(ISNUMBER(Q938),ISNUMBER(R938)),R938-Q938,IF(ISNUMBER(Y938),Y938,""))</f>
        <v/>
      </c>
      <c r="AF938" s="15" t="str">
        <f aca="false">IF(AND(ISNUMBER(R938),ISNUMBER(S938)),S938-R938,"")</f>
        <v/>
      </c>
      <c r="AG938" s="15" t="str">
        <f aca="false">IF(AND(ISNUMBER(S938),ISNUMBER(T938)),T938-S938,"")</f>
        <v/>
      </c>
      <c r="AH938" s="15" t="str">
        <f aca="false">IF(AND(ISNUMBER(L938),ISNUMBER(T938)),T938-L938,"")</f>
        <v/>
      </c>
      <c r="AI938" s="15" t="str">
        <f aca="false">IF(AND(ISNUMBER(O938),ISNUMBER(Q938)),Q938-O938,"")</f>
        <v/>
      </c>
      <c r="AJ938" s="15" t="str">
        <f aca="false">IF(B938="","",COUNT(L938:M938,P938:T938)&amp;"/7")</f>
        <v/>
      </c>
      <c r="AK938" s="15" t="str">
        <f aca="false">IF(B938="","",IF(OR(AND(ISNUMBER(L938),ISNUMBER(M938),M938&lt;L938),AND(ISNUMBER(M938),ISNUMBER(P938),P938&lt;M938),AND(ISNUMBER(P938),ISNUMBER(Q938),Q938&lt;P938),AND(ISNUMBER(Q938),ISNUMBER(R938),R938&lt;Q938),AND(ISNUMBER(R938),ISNUMBER(S938),S938&lt;R938),AND(ISNUMBER(S938),ISNUMBER(T938),T938&lt;S938),AND(ISNUMBER(N938),ISNUMBER(O938),O938&lt;N938)),"Urutan tanggal salah",IF(AND(ISNUMBER(Q938),ISNUMBER(R938),ISNUMBER(Y938),ABS(R938-Q938-Y938)&gt;2),"S tanggal ≠ Sailing tercatat",IF(AND(ISNUMBER(Q938),ISNUMBER(O938),ABS(Q938-O938)&gt;60),"Cek tahun laycan",IF(AND(ISNUMBER(Q938),ISNUMBER(N938),Q938&lt;N938),"Berangkat sebelum laycan",IF(NOT(ISNUMBER(AE938)),"S belum ada","OK"))))))</f>
        <v/>
      </c>
    </row>
    <row r="939" customFormat="false" ht="15" hidden="false" customHeight="false" outlineLevel="0" collapsed="false">
      <c r="A939" s="16" t="str">
        <f aca="false">IF(B939="","",ROW()-4)</f>
        <v/>
      </c>
      <c r="B939" s="12"/>
      <c r="C939" s="16"/>
      <c r="D939" s="16"/>
      <c r="E939" s="16"/>
      <c r="F939" s="16"/>
      <c r="G939" s="16"/>
      <c r="H939" s="16"/>
      <c r="I939" s="16"/>
      <c r="J939" s="16"/>
      <c r="K939" s="16"/>
      <c r="L939" s="13"/>
      <c r="M939" s="13"/>
      <c r="N939" s="13"/>
      <c r="O939" s="13"/>
      <c r="P939" s="13"/>
      <c r="Q939" s="13"/>
      <c r="R939" s="13"/>
      <c r="S939" s="13"/>
      <c r="T939" s="13"/>
      <c r="U939" s="12"/>
      <c r="V939" s="14"/>
      <c r="W939" s="16"/>
      <c r="X939" s="16"/>
      <c r="Y939" s="16"/>
      <c r="Z939" s="16"/>
      <c r="AA939" s="15" t="str">
        <f aca="false">IF(AND(ISNUMBER(L939),ISNUMBER(M939)),M939-L939,"")</f>
        <v/>
      </c>
      <c r="AB939" s="15" t="str">
        <f aca="false">IF(AND(ISNUMBER(M939),ISNUMBER(P939)),P939-M939,"")</f>
        <v/>
      </c>
      <c r="AC939" s="15" t="str">
        <f aca="false">IF(AND(ISNUMBER(L939),ISNUMBER(P939)),P939-L939,"")</f>
        <v/>
      </c>
      <c r="AD939" s="15" t="str">
        <f aca="false">IF(AND(ISNUMBER(P939),ISNUMBER(Q939)),Q939-P939,"")</f>
        <v/>
      </c>
      <c r="AE939" s="15" t="str">
        <f aca="false">IF(AND(ISNUMBER(Q939),ISNUMBER(R939)),R939-Q939,IF(ISNUMBER(Y939),Y939,""))</f>
        <v/>
      </c>
      <c r="AF939" s="15" t="str">
        <f aca="false">IF(AND(ISNUMBER(R939),ISNUMBER(S939)),S939-R939,"")</f>
        <v/>
      </c>
      <c r="AG939" s="15" t="str">
        <f aca="false">IF(AND(ISNUMBER(S939),ISNUMBER(T939)),T939-S939,"")</f>
        <v/>
      </c>
      <c r="AH939" s="15" t="str">
        <f aca="false">IF(AND(ISNUMBER(L939),ISNUMBER(T939)),T939-L939,"")</f>
        <v/>
      </c>
      <c r="AI939" s="15" t="str">
        <f aca="false">IF(AND(ISNUMBER(O939),ISNUMBER(Q939)),Q939-O939,"")</f>
        <v/>
      </c>
      <c r="AJ939" s="15" t="str">
        <f aca="false">IF(B939="","",COUNT(L939:M939,P939:T939)&amp;"/7")</f>
        <v/>
      </c>
      <c r="AK939" s="15" t="str">
        <f aca="false">IF(B939="","",IF(OR(AND(ISNUMBER(L939),ISNUMBER(M939),M939&lt;L939),AND(ISNUMBER(M939),ISNUMBER(P939),P939&lt;M939),AND(ISNUMBER(P939),ISNUMBER(Q939),Q939&lt;P939),AND(ISNUMBER(Q939),ISNUMBER(R939),R939&lt;Q939),AND(ISNUMBER(R939),ISNUMBER(S939),S939&lt;R939),AND(ISNUMBER(S939),ISNUMBER(T939),T939&lt;S939),AND(ISNUMBER(N939),ISNUMBER(O939),O939&lt;N939)),"Urutan tanggal salah",IF(AND(ISNUMBER(Q939),ISNUMBER(R939),ISNUMBER(Y939),ABS(R939-Q939-Y939)&gt;2),"S tanggal ≠ Sailing tercatat",IF(AND(ISNUMBER(Q939),ISNUMBER(O939),ABS(Q939-O939)&gt;60),"Cek tahun laycan",IF(AND(ISNUMBER(Q939),ISNUMBER(N939),Q939&lt;N939),"Berangkat sebelum laycan",IF(NOT(ISNUMBER(AE939)),"S belum ada","OK"))))))</f>
        <v/>
      </c>
    </row>
    <row r="940" customFormat="false" ht="15" hidden="false" customHeight="false" outlineLevel="0" collapsed="false">
      <c r="A940" s="16" t="str">
        <f aca="false">IF(B940="","",ROW()-4)</f>
        <v/>
      </c>
      <c r="B940" s="12"/>
      <c r="C940" s="16"/>
      <c r="D940" s="16"/>
      <c r="E940" s="16"/>
      <c r="F940" s="16"/>
      <c r="G940" s="16"/>
      <c r="H940" s="16"/>
      <c r="I940" s="16"/>
      <c r="J940" s="16"/>
      <c r="K940" s="16"/>
      <c r="L940" s="13"/>
      <c r="M940" s="13"/>
      <c r="N940" s="13"/>
      <c r="O940" s="13"/>
      <c r="P940" s="13"/>
      <c r="Q940" s="13"/>
      <c r="R940" s="13"/>
      <c r="S940" s="13"/>
      <c r="T940" s="13"/>
      <c r="U940" s="12"/>
      <c r="V940" s="14"/>
      <c r="W940" s="16"/>
      <c r="X940" s="16"/>
      <c r="Y940" s="16"/>
      <c r="Z940" s="16"/>
      <c r="AA940" s="15" t="str">
        <f aca="false">IF(AND(ISNUMBER(L940),ISNUMBER(M940)),M940-L940,"")</f>
        <v/>
      </c>
      <c r="AB940" s="15" t="str">
        <f aca="false">IF(AND(ISNUMBER(M940),ISNUMBER(P940)),P940-M940,"")</f>
        <v/>
      </c>
      <c r="AC940" s="15" t="str">
        <f aca="false">IF(AND(ISNUMBER(L940),ISNUMBER(P940)),P940-L940,"")</f>
        <v/>
      </c>
      <c r="AD940" s="15" t="str">
        <f aca="false">IF(AND(ISNUMBER(P940),ISNUMBER(Q940)),Q940-P940,"")</f>
        <v/>
      </c>
      <c r="AE940" s="15" t="str">
        <f aca="false">IF(AND(ISNUMBER(Q940),ISNUMBER(R940)),R940-Q940,IF(ISNUMBER(Y940),Y940,""))</f>
        <v/>
      </c>
      <c r="AF940" s="15" t="str">
        <f aca="false">IF(AND(ISNUMBER(R940),ISNUMBER(S940)),S940-R940,"")</f>
        <v/>
      </c>
      <c r="AG940" s="15" t="str">
        <f aca="false">IF(AND(ISNUMBER(S940),ISNUMBER(T940)),T940-S940,"")</f>
        <v/>
      </c>
      <c r="AH940" s="15" t="str">
        <f aca="false">IF(AND(ISNUMBER(L940),ISNUMBER(T940)),T940-L940,"")</f>
        <v/>
      </c>
      <c r="AI940" s="15" t="str">
        <f aca="false">IF(AND(ISNUMBER(O940),ISNUMBER(Q940)),Q940-O940,"")</f>
        <v/>
      </c>
      <c r="AJ940" s="15" t="str">
        <f aca="false">IF(B940="","",COUNT(L940:M940,P940:T940)&amp;"/7")</f>
        <v/>
      </c>
      <c r="AK940" s="15" t="str">
        <f aca="false">IF(B940="","",IF(OR(AND(ISNUMBER(L940),ISNUMBER(M940),M940&lt;L940),AND(ISNUMBER(M940),ISNUMBER(P940),P940&lt;M940),AND(ISNUMBER(P940),ISNUMBER(Q940),Q940&lt;P940),AND(ISNUMBER(Q940),ISNUMBER(R940),R940&lt;Q940),AND(ISNUMBER(R940),ISNUMBER(S940),S940&lt;R940),AND(ISNUMBER(S940),ISNUMBER(T940),T940&lt;S940),AND(ISNUMBER(N940),ISNUMBER(O940),O940&lt;N940)),"Urutan tanggal salah",IF(AND(ISNUMBER(Q940),ISNUMBER(R940),ISNUMBER(Y940),ABS(R940-Q940-Y940)&gt;2),"S tanggal ≠ Sailing tercatat",IF(AND(ISNUMBER(Q940),ISNUMBER(O940),ABS(Q940-O940)&gt;60),"Cek tahun laycan",IF(AND(ISNUMBER(Q940),ISNUMBER(N940),Q940&lt;N940),"Berangkat sebelum laycan",IF(NOT(ISNUMBER(AE940)),"S belum ada","OK"))))))</f>
        <v/>
      </c>
    </row>
    <row r="941" customFormat="false" ht="15" hidden="false" customHeight="false" outlineLevel="0" collapsed="false">
      <c r="A941" s="16" t="str">
        <f aca="false">IF(B941="","",ROW()-4)</f>
        <v/>
      </c>
      <c r="B941" s="12"/>
      <c r="C941" s="16"/>
      <c r="D941" s="16"/>
      <c r="E941" s="16"/>
      <c r="F941" s="16"/>
      <c r="G941" s="16"/>
      <c r="H941" s="16"/>
      <c r="I941" s="16"/>
      <c r="J941" s="16"/>
      <c r="K941" s="16"/>
      <c r="L941" s="13"/>
      <c r="M941" s="13"/>
      <c r="N941" s="13"/>
      <c r="O941" s="13"/>
      <c r="P941" s="13"/>
      <c r="Q941" s="13"/>
      <c r="R941" s="13"/>
      <c r="S941" s="13"/>
      <c r="T941" s="13"/>
      <c r="U941" s="12"/>
      <c r="V941" s="14"/>
      <c r="W941" s="16"/>
      <c r="X941" s="16"/>
      <c r="Y941" s="16"/>
      <c r="Z941" s="16"/>
      <c r="AA941" s="15" t="str">
        <f aca="false">IF(AND(ISNUMBER(L941),ISNUMBER(M941)),M941-L941,"")</f>
        <v/>
      </c>
      <c r="AB941" s="15" t="str">
        <f aca="false">IF(AND(ISNUMBER(M941),ISNUMBER(P941)),P941-M941,"")</f>
        <v/>
      </c>
      <c r="AC941" s="15" t="str">
        <f aca="false">IF(AND(ISNUMBER(L941),ISNUMBER(P941)),P941-L941,"")</f>
        <v/>
      </c>
      <c r="AD941" s="15" t="str">
        <f aca="false">IF(AND(ISNUMBER(P941),ISNUMBER(Q941)),Q941-P941,"")</f>
        <v/>
      </c>
      <c r="AE941" s="15" t="str">
        <f aca="false">IF(AND(ISNUMBER(Q941),ISNUMBER(R941)),R941-Q941,IF(ISNUMBER(Y941),Y941,""))</f>
        <v/>
      </c>
      <c r="AF941" s="15" t="str">
        <f aca="false">IF(AND(ISNUMBER(R941),ISNUMBER(S941)),S941-R941,"")</f>
        <v/>
      </c>
      <c r="AG941" s="15" t="str">
        <f aca="false">IF(AND(ISNUMBER(S941),ISNUMBER(T941)),T941-S941,"")</f>
        <v/>
      </c>
      <c r="AH941" s="15" t="str">
        <f aca="false">IF(AND(ISNUMBER(L941),ISNUMBER(T941)),T941-L941,"")</f>
        <v/>
      </c>
      <c r="AI941" s="15" t="str">
        <f aca="false">IF(AND(ISNUMBER(O941),ISNUMBER(Q941)),Q941-O941,"")</f>
        <v/>
      </c>
      <c r="AJ941" s="15" t="str">
        <f aca="false">IF(B941="","",COUNT(L941:M941,P941:T941)&amp;"/7")</f>
        <v/>
      </c>
      <c r="AK941" s="15" t="str">
        <f aca="false">IF(B941="","",IF(OR(AND(ISNUMBER(L941),ISNUMBER(M941),M941&lt;L941),AND(ISNUMBER(M941),ISNUMBER(P941),P941&lt;M941),AND(ISNUMBER(P941),ISNUMBER(Q941),Q941&lt;P941),AND(ISNUMBER(Q941),ISNUMBER(R941),R941&lt;Q941),AND(ISNUMBER(R941),ISNUMBER(S941),S941&lt;R941),AND(ISNUMBER(S941),ISNUMBER(T941),T941&lt;S941),AND(ISNUMBER(N941),ISNUMBER(O941),O941&lt;N941)),"Urutan tanggal salah",IF(AND(ISNUMBER(Q941),ISNUMBER(R941),ISNUMBER(Y941),ABS(R941-Q941-Y941)&gt;2),"S tanggal ≠ Sailing tercatat",IF(AND(ISNUMBER(Q941),ISNUMBER(O941),ABS(Q941-O941)&gt;60),"Cek tahun laycan",IF(AND(ISNUMBER(Q941),ISNUMBER(N941),Q941&lt;N941),"Berangkat sebelum laycan",IF(NOT(ISNUMBER(AE941)),"S belum ada","OK"))))))</f>
        <v/>
      </c>
    </row>
    <row r="942" customFormat="false" ht="15" hidden="false" customHeight="false" outlineLevel="0" collapsed="false">
      <c r="A942" s="16" t="str">
        <f aca="false">IF(B942="","",ROW()-4)</f>
        <v/>
      </c>
      <c r="B942" s="12"/>
      <c r="C942" s="16"/>
      <c r="D942" s="16"/>
      <c r="E942" s="16"/>
      <c r="F942" s="16"/>
      <c r="G942" s="16"/>
      <c r="H942" s="16"/>
      <c r="I942" s="16"/>
      <c r="J942" s="16"/>
      <c r="K942" s="16"/>
      <c r="L942" s="13"/>
      <c r="M942" s="13"/>
      <c r="N942" s="13"/>
      <c r="O942" s="13"/>
      <c r="P942" s="13"/>
      <c r="Q942" s="13"/>
      <c r="R942" s="13"/>
      <c r="S942" s="13"/>
      <c r="T942" s="13"/>
      <c r="U942" s="12"/>
      <c r="V942" s="14"/>
      <c r="W942" s="16"/>
      <c r="X942" s="16"/>
      <c r="Y942" s="16"/>
      <c r="Z942" s="16"/>
      <c r="AA942" s="15" t="str">
        <f aca="false">IF(AND(ISNUMBER(L942),ISNUMBER(M942)),M942-L942,"")</f>
        <v/>
      </c>
      <c r="AB942" s="15" t="str">
        <f aca="false">IF(AND(ISNUMBER(M942),ISNUMBER(P942)),P942-M942,"")</f>
        <v/>
      </c>
      <c r="AC942" s="15" t="str">
        <f aca="false">IF(AND(ISNUMBER(L942),ISNUMBER(P942)),P942-L942,"")</f>
        <v/>
      </c>
      <c r="AD942" s="15" t="str">
        <f aca="false">IF(AND(ISNUMBER(P942),ISNUMBER(Q942)),Q942-P942,"")</f>
        <v/>
      </c>
      <c r="AE942" s="15" t="str">
        <f aca="false">IF(AND(ISNUMBER(Q942),ISNUMBER(R942)),R942-Q942,IF(ISNUMBER(Y942),Y942,""))</f>
        <v/>
      </c>
      <c r="AF942" s="15" t="str">
        <f aca="false">IF(AND(ISNUMBER(R942),ISNUMBER(S942)),S942-R942,"")</f>
        <v/>
      </c>
      <c r="AG942" s="15" t="str">
        <f aca="false">IF(AND(ISNUMBER(S942),ISNUMBER(T942)),T942-S942,"")</f>
        <v/>
      </c>
      <c r="AH942" s="15" t="str">
        <f aca="false">IF(AND(ISNUMBER(L942),ISNUMBER(T942)),T942-L942,"")</f>
        <v/>
      </c>
      <c r="AI942" s="15" t="str">
        <f aca="false">IF(AND(ISNUMBER(O942),ISNUMBER(Q942)),Q942-O942,"")</f>
        <v/>
      </c>
      <c r="AJ942" s="15" t="str">
        <f aca="false">IF(B942="","",COUNT(L942:M942,P942:T942)&amp;"/7")</f>
        <v/>
      </c>
      <c r="AK942" s="15" t="str">
        <f aca="false">IF(B942="","",IF(OR(AND(ISNUMBER(L942),ISNUMBER(M942),M942&lt;L942),AND(ISNUMBER(M942),ISNUMBER(P942),P942&lt;M942),AND(ISNUMBER(P942),ISNUMBER(Q942),Q942&lt;P942),AND(ISNUMBER(Q942),ISNUMBER(R942),R942&lt;Q942),AND(ISNUMBER(R942),ISNUMBER(S942),S942&lt;R942),AND(ISNUMBER(S942),ISNUMBER(T942),T942&lt;S942),AND(ISNUMBER(N942),ISNUMBER(O942),O942&lt;N942)),"Urutan tanggal salah",IF(AND(ISNUMBER(Q942),ISNUMBER(R942),ISNUMBER(Y942),ABS(R942-Q942-Y942)&gt;2),"S tanggal ≠ Sailing tercatat",IF(AND(ISNUMBER(Q942),ISNUMBER(O942),ABS(Q942-O942)&gt;60),"Cek tahun laycan",IF(AND(ISNUMBER(Q942),ISNUMBER(N942),Q942&lt;N942),"Berangkat sebelum laycan",IF(NOT(ISNUMBER(AE942)),"S belum ada","OK"))))))</f>
        <v/>
      </c>
    </row>
    <row r="943" customFormat="false" ht="15" hidden="false" customHeight="false" outlineLevel="0" collapsed="false">
      <c r="A943" s="16" t="str">
        <f aca="false">IF(B943="","",ROW()-4)</f>
        <v/>
      </c>
      <c r="B943" s="12"/>
      <c r="C943" s="16"/>
      <c r="D943" s="16"/>
      <c r="E943" s="16"/>
      <c r="F943" s="16"/>
      <c r="G943" s="16"/>
      <c r="H943" s="16"/>
      <c r="I943" s="16"/>
      <c r="J943" s="16"/>
      <c r="K943" s="16"/>
      <c r="L943" s="13"/>
      <c r="M943" s="13"/>
      <c r="N943" s="13"/>
      <c r="O943" s="13"/>
      <c r="P943" s="13"/>
      <c r="Q943" s="13"/>
      <c r="R943" s="13"/>
      <c r="S943" s="13"/>
      <c r="T943" s="13"/>
      <c r="U943" s="12"/>
      <c r="V943" s="14"/>
      <c r="W943" s="16"/>
      <c r="X943" s="16"/>
      <c r="Y943" s="16"/>
      <c r="Z943" s="16"/>
      <c r="AA943" s="15" t="str">
        <f aca="false">IF(AND(ISNUMBER(L943),ISNUMBER(M943)),M943-L943,"")</f>
        <v/>
      </c>
      <c r="AB943" s="15" t="str">
        <f aca="false">IF(AND(ISNUMBER(M943),ISNUMBER(P943)),P943-M943,"")</f>
        <v/>
      </c>
      <c r="AC943" s="15" t="str">
        <f aca="false">IF(AND(ISNUMBER(L943),ISNUMBER(P943)),P943-L943,"")</f>
        <v/>
      </c>
      <c r="AD943" s="15" t="str">
        <f aca="false">IF(AND(ISNUMBER(P943),ISNUMBER(Q943)),Q943-P943,"")</f>
        <v/>
      </c>
      <c r="AE943" s="15" t="str">
        <f aca="false">IF(AND(ISNUMBER(Q943),ISNUMBER(R943)),R943-Q943,IF(ISNUMBER(Y943),Y943,""))</f>
        <v/>
      </c>
      <c r="AF943" s="15" t="str">
        <f aca="false">IF(AND(ISNUMBER(R943),ISNUMBER(S943)),S943-R943,"")</f>
        <v/>
      </c>
      <c r="AG943" s="15" t="str">
        <f aca="false">IF(AND(ISNUMBER(S943),ISNUMBER(T943)),T943-S943,"")</f>
        <v/>
      </c>
      <c r="AH943" s="15" t="str">
        <f aca="false">IF(AND(ISNUMBER(L943),ISNUMBER(T943)),T943-L943,"")</f>
        <v/>
      </c>
      <c r="AI943" s="15" t="str">
        <f aca="false">IF(AND(ISNUMBER(O943),ISNUMBER(Q943)),Q943-O943,"")</f>
        <v/>
      </c>
      <c r="AJ943" s="15" t="str">
        <f aca="false">IF(B943="","",COUNT(L943:M943,P943:T943)&amp;"/7")</f>
        <v/>
      </c>
      <c r="AK943" s="15" t="str">
        <f aca="false">IF(B943="","",IF(OR(AND(ISNUMBER(L943),ISNUMBER(M943),M943&lt;L943),AND(ISNUMBER(M943),ISNUMBER(P943),P943&lt;M943),AND(ISNUMBER(P943),ISNUMBER(Q943),Q943&lt;P943),AND(ISNUMBER(Q943),ISNUMBER(R943),R943&lt;Q943),AND(ISNUMBER(R943),ISNUMBER(S943),S943&lt;R943),AND(ISNUMBER(S943),ISNUMBER(T943),T943&lt;S943),AND(ISNUMBER(N943),ISNUMBER(O943),O943&lt;N943)),"Urutan tanggal salah",IF(AND(ISNUMBER(Q943),ISNUMBER(R943),ISNUMBER(Y943),ABS(R943-Q943-Y943)&gt;2),"S tanggal ≠ Sailing tercatat",IF(AND(ISNUMBER(Q943),ISNUMBER(O943),ABS(Q943-O943)&gt;60),"Cek tahun laycan",IF(AND(ISNUMBER(Q943),ISNUMBER(N943),Q943&lt;N943),"Berangkat sebelum laycan",IF(NOT(ISNUMBER(AE943)),"S belum ada","OK"))))))</f>
        <v/>
      </c>
    </row>
    <row r="944" customFormat="false" ht="15" hidden="false" customHeight="false" outlineLevel="0" collapsed="false">
      <c r="A944" s="16" t="str">
        <f aca="false">IF(B944="","",ROW()-4)</f>
        <v/>
      </c>
      <c r="B944" s="12"/>
      <c r="C944" s="16"/>
      <c r="D944" s="16"/>
      <c r="E944" s="16"/>
      <c r="F944" s="16"/>
      <c r="G944" s="16"/>
      <c r="H944" s="16"/>
      <c r="I944" s="16"/>
      <c r="J944" s="16"/>
      <c r="K944" s="16"/>
      <c r="L944" s="13"/>
      <c r="M944" s="13"/>
      <c r="N944" s="13"/>
      <c r="O944" s="13"/>
      <c r="P944" s="13"/>
      <c r="Q944" s="13"/>
      <c r="R944" s="13"/>
      <c r="S944" s="13"/>
      <c r="T944" s="13"/>
      <c r="U944" s="12"/>
      <c r="V944" s="14"/>
      <c r="W944" s="16"/>
      <c r="X944" s="16"/>
      <c r="Y944" s="16"/>
      <c r="Z944" s="16"/>
      <c r="AA944" s="15" t="str">
        <f aca="false">IF(AND(ISNUMBER(L944),ISNUMBER(M944)),M944-L944,"")</f>
        <v/>
      </c>
      <c r="AB944" s="15" t="str">
        <f aca="false">IF(AND(ISNUMBER(M944),ISNUMBER(P944)),P944-M944,"")</f>
        <v/>
      </c>
      <c r="AC944" s="15" t="str">
        <f aca="false">IF(AND(ISNUMBER(L944),ISNUMBER(P944)),P944-L944,"")</f>
        <v/>
      </c>
      <c r="AD944" s="15" t="str">
        <f aca="false">IF(AND(ISNUMBER(P944),ISNUMBER(Q944)),Q944-P944,"")</f>
        <v/>
      </c>
      <c r="AE944" s="15" t="str">
        <f aca="false">IF(AND(ISNUMBER(Q944),ISNUMBER(R944)),R944-Q944,IF(ISNUMBER(Y944),Y944,""))</f>
        <v/>
      </c>
      <c r="AF944" s="15" t="str">
        <f aca="false">IF(AND(ISNUMBER(R944),ISNUMBER(S944)),S944-R944,"")</f>
        <v/>
      </c>
      <c r="AG944" s="15" t="str">
        <f aca="false">IF(AND(ISNUMBER(S944),ISNUMBER(T944)),T944-S944,"")</f>
        <v/>
      </c>
      <c r="AH944" s="15" t="str">
        <f aca="false">IF(AND(ISNUMBER(L944),ISNUMBER(T944)),T944-L944,"")</f>
        <v/>
      </c>
      <c r="AI944" s="15" t="str">
        <f aca="false">IF(AND(ISNUMBER(O944),ISNUMBER(Q944)),Q944-O944,"")</f>
        <v/>
      </c>
      <c r="AJ944" s="15" t="str">
        <f aca="false">IF(B944="","",COUNT(L944:M944,P944:T944)&amp;"/7")</f>
        <v/>
      </c>
      <c r="AK944" s="15" t="str">
        <f aca="false">IF(B944="","",IF(OR(AND(ISNUMBER(L944),ISNUMBER(M944),M944&lt;L944),AND(ISNUMBER(M944),ISNUMBER(P944),P944&lt;M944),AND(ISNUMBER(P944),ISNUMBER(Q944),Q944&lt;P944),AND(ISNUMBER(Q944),ISNUMBER(R944),R944&lt;Q944),AND(ISNUMBER(R944),ISNUMBER(S944),S944&lt;R944),AND(ISNUMBER(S944),ISNUMBER(T944),T944&lt;S944),AND(ISNUMBER(N944),ISNUMBER(O944),O944&lt;N944)),"Urutan tanggal salah",IF(AND(ISNUMBER(Q944),ISNUMBER(R944),ISNUMBER(Y944),ABS(R944-Q944-Y944)&gt;2),"S tanggal ≠ Sailing tercatat",IF(AND(ISNUMBER(Q944),ISNUMBER(O944),ABS(Q944-O944)&gt;60),"Cek tahun laycan",IF(AND(ISNUMBER(Q944),ISNUMBER(N944),Q944&lt;N944),"Berangkat sebelum laycan",IF(NOT(ISNUMBER(AE944)),"S belum ada","OK"))))))</f>
        <v/>
      </c>
    </row>
    <row r="945" customFormat="false" ht="15" hidden="false" customHeight="false" outlineLevel="0" collapsed="false">
      <c r="A945" s="16" t="str">
        <f aca="false">IF(B945="","",ROW()-4)</f>
        <v/>
      </c>
      <c r="B945" s="12"/>
      <c r="C945" s="16"/>
      <c r="D945" s="16"/>
      <c r="E945" s="16"/>
      <c r="F945" s="16"/>
      <c r="G945" s="16"/>
      <c r="H945" s="16"/>
      <c r="I945" s="16"/>
      <c r="J945" s="16"/>
      <c r="K945" s="16"/>
      <c r="L945" s="13"/>
      <c r="M945" s="13"/>
      <c r="N945" s="13"/>
      <c r="O945" s="13"/>
      <c r="P945" s="13"/>
      <c r="Q945" s="13"/>
      <c r="R945" s="13"/>
      <c r="S945" s="13"/>
      <c r="T945" s="13"/>
      <c r="U945" s="12"/>
      <c r="V945" s="14"/>
      <c r="W945" s="16"/>
      <c r="X945" s="16"/>
      <c r="Y945" s="16"/>
      <c r="Z945" s="16"/>
      <c r="AA945" s="15" t="str">
        <f aca="false">IF(AND(ISNUMBER(L945),ISNUMBER(M945)),M945-L945,"")</f>
        <v/>
      </c>
      <c r="AB945" s="15" t="str">
        <f aca="false">IF(AND(ISNUMBER(M945),ISNUMBER(P945)),P945-M945,"")</f>
        <v/>
      </c>
      <c r="AC945" s="15" t="str">
        <f aca="false">IF(AND(ISNUMBER(L945),ISNUMBER(P945)),P945-L945,"")</f>
        <v/>
      </c>
      <c r="AD945" s="15" t="str">
        <f aca="false">IF(AND(ISNUMBER(P945),ISNUMBER(Q945)),Q945-P945,"")</f>
        <v/>
      </c>
      <c r="AE945" s="15" t="str">
        <f aca="false">IF(AND(ISNUMBER(Q945),ISNUMBER(R945)),R945-Q945,IF(ISNUMBER(Y945),Y945,""))</f>
        <v/>
      </c>
      <c r="AF945" s="15" t="str">
        <f aca="false">IF(AND(ISNUMBER(R945),ISNUMBER(S945)),S945-R945,"")</f>
        <v/>
      </c>
      <c r="AG945" s="15" t="str">
        <f aca="false">IF(AND(ISNUMBER(S945),ISNUMBER(T945)),T945-S945,"")</f>
        <v/>
      </c>
      <c r="AH945" s="15" t="str">
        <f aca="false">IF(AND(ISNUMBER(L945),ISNUMBER(T945)),T945-L945,"")</f>
        <v/>
      </c>
      <c r="AI945" s="15" t="str">
        <f aca="false">IF(AND(ISNUMBER(O945),ISNUMBER(Q945)),Q945-O945,"")</f>
        <v/>
      </c>
      <c r="AJ945" s="15" t="str">
        <f aca="false">IF(B945="","",COUNT(L945:M945,P945:T945)&amp;"/7")</f>
        <v/>
      </c>
      <c r="AK945" s="15" t="str">
        <f aca="false">IF(B945="","",IF(OR(AND(ISNUMBER(L945),ISNUMBER(M945),M945&lt;L945),AND(ISNUMBER(M945),ISNUMBER(P945),P945&lt;M945),AND(ISNUMBER(P945),ISNUMBER(Q945),Q945&lt;P945),AND(ISNUMBER(Q945),ISNUMBER(R945),R945&lt;Q945),AND(ISNUMBER(R945),ISNUMBER(S945),S945&lt;R945),AND(ISNUMBER(S945),ISNUMBER(T945),T945&lt;S945),AND(ISNUMBER(N945),ISNUMBER(O945),O945&lt;N945)),"Urutan tanggal salah",IF(AND(ISNUMBER(Q945),ISNUMBER(R945),ISNUMBER(Y945),ABS(R945-Q945-Y945)&gt;2),"S tanggal ≠ Sailing tercatat",IF(AND(ISNUMBER(Q945),ISNUMBER(O945),ABS(Q945-O945)&gt;60),"Cek tahun laycan",IF(AND(ISNUMBER(Q945),ISNUMBER(N945),Q945&lt;N945),"Berangkat sebelum laycan",IF(NOT(ISNUMBER(AE945)),"S belum ada","OK"))))))</f>
        <v/>
      </c>
    </row>
    <row r="946" customFormat="false" ht="15" hidden="false" customHeight="false" outlineLevel="0" collapsed="false">
      <c r="A946" s="16" t="str">
        <f aca="false">IF(B946="","",ROW()-4)</f>
        <v/>
      </c>
      <c r="B946" s="12"/>
      <c r="C946" s="16"/>
      <c r="D946" s="16"/>
      <c r="E946" s="16"/>
      <c r="F946" s="16"/>
      <c r="G946" s="16"/>
      <c r="H946" s="16"/>
      <c r="I946" s="16"/>
      <c r="J946" s="16"/>
      <c r="K946" s="16"/>
      <c r="L946" s="13"/>
      <c r="M946" s="13"/>
      <c r="N946" s="13"/>
      <c r="O946" s="13"/>
      <c r="P946" s="13"/>
      <c r="Q946" s="13"/>
      <c r="R946" s="13"/>
      <c r="S946" s="13"/>
      <c r="T946" s="13"/>
      <c r="U946" s="12"/>
      <c r="V946" s="14"/>
      <c r="W946" s="16"/>
      <c r="X946" s="16"/>
      <c r="Y946" s="16"/>
      <c r="Z946" s="16"/>
      <c r="AA946" s="15" t="str">
        <f aca="false">IF(AND(ISNUMBER(L946),ISNUMBER(M946)),M946-L946,"")</f>
        <v/>
      </c>
      <c r="AB946" s="15" t="str">
        <f aca="false">IF(AND(ISNUMBER(M946),ISNUMBER(P946)),P946-M946,"")</f>
        <v/>
      </c>
      <c r="AC946" s="15" t="str">
        <f aca="false">IF(AND(ISNUMBER(L946),ISNUMBER(P946)),P946-L946,"")</f>
        <v/>
      </c>
      <c r="AD946" s="15" t="str">
        <f aca="false">IF(AND(ISNUMBER(P946),ISNUMBER(Q946)),Q946-P946,"")</f>
        <v/>
      </c>
      <c r="AE946" s="15" t="str">
        <f aca="false">IF(AND(ISNUMBER(Q946),ISNUMBER(R946)),R946-Q946,IF(ISNUMBER(Y946),Y946,""))</f>
        <v/>
      </c>
      <c r="AF946" s="15" t="str">
        <f aca="false">IF(AND(ISNUMBER(R946),ISNUMBER(S946)),S946-R946,"")</f>
        <v/>
      </c>
      <c r="AG946" s="15" t="str">
        <f aca="false">IF(AND(ISNUMBER(S946),ISNUMBER(T946)),T946-S946,"")</f>
        <v/>
      </c>
      <c r="AH946" s="15" t="str">
        <f aca="false">IF(AND(ISNUMBER(L946),ISNUMBER(T946)),T946-L946,"")</f>
        <v/>
      </c>
      <c r="AI946" s="15" t="str">
        <f aca="false">IF(AND(ISNUMBER(O946),ISNUMBER(Q946)),Q946-O946,"")</f>
        <v/>
      </c>
      <c r="AJ946" s="15" t="str">
        <f aca="false">IF(B946="","",COUNT(L946:M946,P946:T946)&amp;"/7")</f>
        <v/>
      </c>
      <c r="AK946" s="15" t="str">
        <f aca="false">IF(B946="","",IF(OR(AND(ISNUMBER(L946),ISNUMBER(M946),M946&lt;L946),AND(ISNUMBER(M946),ISNUMBER(P946),P946&lt;M946),AND(ISNUMBER(P946),ISNUMBER(Q946),Q946&lt;P946),AND(ISNUMBER(Q946),ISNUMBER(R946),R946&lt;Q946),AND(ISNUMBER(R946),ISNUMBER(S946),S946&lt;R946),AND(ISNUMBER(S946),ISNUMBER(T946),T946&lt;S946),AND(ISNUMBER(N946),ISNUMBER(O946),O946&lt;N946)),"Urutan tanggal salah",IF(AND(ISNUMBER(Q946),ISNUMBER(R946),ISNUMBER(Y946),ABS(R946-Q946-Y946)&gt;2),"S tanggal ≠ Sailing tercatat",IF(AND(ISNUMBER(Q946),ISNUMBER(O946),ABS(Q946-O946)&gt;60),"Cek tahun laycan",IF(AND(ISNUMBER(Q946),ISNUMBER(N946),Q946&lt;N946),"Berangkat sebelum laycan",IF(NOT(ISNUMBER(AE946)),"S belum ada","OK"))))))</f>
        <v/>
      </c>
    </row>
    <row r="947" customFormat="false" ht="15" hidden="false" customHeight="false" outlineLevel="0" collapsed="false">
      <c r="A947" s="16" t="str">
        <f aca="false">IF(B947="","",ROW()-4)</f>
        <v/>
      </c>
      <c r="B947" s="12"/>
      <c r="C947" s="16"/>
      <c r="D947" s="16"/>
      <c r="E947" s="16"/>
      <c r="F947" s="16"/>
      <c r="G947" s="16"/>
      <c r="H947" s="16"/>
      <c r="I947" s="16"/>
      <c r="J947" s="16"/>
      <c r="K947" s="16"/>
      <c r="L947" s="13"/>
      <c r="M947" s="13"/>
      <c r="N947" s="13"/>
      <c r="O947" s="13"/>
      <c r="P947" s="13"/>
      <c r="Q947" s="13"/>
      <c r="R947" s="13"/>
      <c r="S947" s="13"/>
      <c r="T947" s="13"/>
      <c r="U947" s="12"/>
      <c r="V947" s="14"/>
      <c r="W947" s="16"/>
      <c r="X947" s="16"/>
      <c r="Y947" s="16"/>
      <c r="Z947" s="16"/>
      <c r="AA947" s="15" t="str">
        <f aca="false">IF(AND(ISNUMBER(L947),ISNUMBER(M947)),M947-L947,"")</f>
        <v/>
      </c>
      <c r="AB947" s="15" t="str">
        <f aca="false">IF(AND(ISNUMBER(M947),ISNUMBER(P947)),P947-M947,"")</f>
        <v/>
      </c>
      <c r="AC947" s="15" t="str">
        <f aca="false">IF(AND(ISNUMBER(L947),ISNUMBER(P947)),P947-L947,"")</f>
        <v/>
      </c>
      <c r="AD947" s="15" t="str">
        <f aca="false">IF(AND(ISNUMBER(P947),ISNUMBER(Q947)),Q947-P947,"")</f>
        <v/>
      </c>
      <c r="AE947" s="15" t="str">
        <f aca="false">IF(AND(ISNUMBER(Q947),ISNUMBER(R947)),R947-Q947,IF(ISNUMBER(Y947),Y947,""))</f>
        <v/>
      </c>
      <c r="AF947" s="15" t="str">
        <f aca="false">IF(AND(ISNUMBER(R947),ISNUMBER(S947)),S947-R947,"")</f>
        <v/>
      </c>
      <c r="AG947" s="15" t="str">
        <f aca="false">IF(AND(ISNUMBER(S947),ISNUMBER(T947)),T947-S947,"")</f>
        <v/>
      </c>
      <c r="AH947" s="15" t="str">
        <f aca="false">IF(AND(ISNUMBER(L947),ISNUMBER(T947)),T947-L947,"")</f>
        <v/>
      </c>
      <c r="AI947" s="15" t="str">
        <f aca="false">IF(AND(ISNUMBER(O947),ISNUMBER(Q947)),Q947-O947,"")</f>
        <v/>
      </c>
      <c r="AJ947" s="15" t="str">
        <f aca="false">IF(B947="","",COUNT(L947:M947,P947:T947)&amp;"/7")</f>
        <v/>
      </c>
      <c r="AK947" s="15" t="str">
        <f aca="false">IF(B947="","",IF(OR(AND(ISNUMBER(L947),ISNUMBER(M947),M947&lt;L947),AND(ISNUMBER(M947),ISNUMBER(P947),P947&lt;M947),AND(ISNUMBER(P947),ISNUMBER(Q947),Q947&lt;P947),AND(ISNUMBER(Q947),ISNUMBER(R947),R947&lt;Q947),AND(ISNUMBER(R947),ISNUMBER(S947),S947&lt;R947),AND(ISNUMBER(S947),ISNUMBER(T947),T947&lt;S947),AND(ISNUMBER(N947),ISNUMBER(O947),O947&lt;N947)),"Urutan tanggal salah",IF(AND(ISNUMBER(Q947),ISNUMBER(R947),ISNUMBER(Y947),ABS(R947-Q947-Y947)&gt;2),"S tanggal ≠ Sailing tercatat",IF(AND(ISNUMBER(Q947),ISNUMBER(O947),ABS(Q947-O947)&gt;60),"Cek tahun laycan",IF(AND(ISNUMBER(Q947),ISNUMBER(N947),Q947&lt;N947),"Berangkat sebelum laycan",IF(NOT(ISNUMBER(AE947)),"S belum ada","OK"))))))</f>
        <v/>
      </c>
    </row>
    <row r="948" customFormat="false" ht="15" hidden="false" customHeight="false" outlineLevel="0" collapsed="false">
      <c r="A948" s="16" t="str">
        <f aca="false">IF(B948="","",ROW()-4)</f>
        <v/>
      </c>
      <c r="B948" s="12"/>
      <c r="C948" s="16"/>
      <c r="D948" s="16"/>
      <c r="E948" s="16"/>
      <c r="F948" s="16"/>
      <c r="G948" s="16"/>
      <c r="H948" s="16"/>
      <c r="I948" s="16"/>
      <c r="J948" s="16"/>
      <c r="K948" s="16"/>
      <c r="L948" s="13"/>
      <c r="M948" s="13"/>
      <c r="N948" s="13"/>
      <c r="O948" s="13"/>
      <c r="P948" s="13"/>
      <c r="Q948" s="13"/>
      <c r="R948" s="13"/>
      <c r="S948" s="13"/>
      <c r="T948" s="13"/>
      <c r="U948" s="12"/>
      <c r="V948" s="14"/>
      <c r="W948" s="16"/>
      <c r="X948" s="16"/>
      <c r="Y948" s="16"/>
      <c r="Z948" s="16"/>
      <c r="AA948" s="15" t="str">
        <f aca="false">IF(AND(ISNUMBER(L948),ISNUMBER(M948)),M948-L948,"")</f>
        <v/>
      </c>
      <c r="AB948" s="15" t="str">
        <f aca="false">IF(AND(ISNUMBER(M948),ISNUMBER(P948)),P948-M948,"")</f>
        <v/>
      </c>
      <c r="AC948" s="15" t="str">
        <f aca="false">IF(AND(ISNUMBER(L948),ISNUMBER(P948)),P948-L948,"")</f>
        <v/>
      </c>
      <c r="AD948" s="15" t="str">
        <f aca="false">IF(AND(ISNUMBER(P948),ISNUMBER(Q948)),Q948-P948,"")</f>
        <v/>
      </c>
      <c r="AE948" s="15" t="str">
        <f aca="false">IF(AND(ISNUMBER(Q948),ISNUMBER(R948)),R948-Q948,IF(ISNUMBER(Y948),Y948,""))</f>
        <v/>
      </c>
      <c r="AF948" s="15" t="str">
        <f aca="false">IF(AND(ISNUMBER(R948),ISNUMBER(S948)),S948-R948,"")</f>
        <v/>
      </c>
      <c r="AG948" s="15" t="str">
        <f aca="false">IF(AND(ISNUMBER(S948),ISNUMBER(T948)),T948-S948,"")</f>
        <v/>
      </c>
      <c r="AH948" s="15" t="str">
        <f aca="false">IF(AND(ISNUMBER(L948),ISNUMBER(T948)),T948-L948,"")</f>
        <v/>
      </c>
      <c r="AI948" s="15" t="str">
        <f aca="false">IF(AND(ISNUMBER(O948),ISNUMBER(Q948)),Q948-O948,"")</f>
        <v/>
      </c>
      <c r="AJ948" s="15" t="str">
        <f aca="false">IF(B948="","",COUNT(L948:M948,P948:T948)&amp;"/7")</f>
        <v/>
      </c>
      <c r="AK948" s="15" t="str">
        <f aca="false">IF(B948="","",IF(OR(AND(ISNUMBER(L948),ISNUMBER(M948),M948&lt;L948),AND(ISNUMBER(M948),ISNUMBER(P948),P948&lt;M948),AND(ISNUMBER(P948),ISNUMBER(Q948),Q948&lt;P948),AND(ISNUMBER(Q948),ISNUMBER(R948),R948&lt;Q948),AND(ISNUMBER(R948),ISNUMBER(S948),S948&lt;R948),AND(ISNUMBER(S948),ISNUMBER(T948),T948&lt;S948),AND(ISNUMBER(N948),ISNUMBER(O948),O948&lt;N948)),"Urutan tanggal salah",IF(AND(ISNUMBER(Q948),ISNUMBER(R948),ISNUMBER(Y948),ABS(R948-Q948-Y948)&gt;2),"S tanggal ≠ Sailing tercatat",IF(AND(ISNUMBER(Q948),ISNUMBER(O948),ABS(Q948-O948)&gt;60),"Cek tahun laycan",IF(AND(ISNUMBER(Q948),ISNUMBER(N948),Q948&lt;N948),"Berangkat sebelum laycan",IF(NOT(ISNUMBER(AE948)),"S belum ada","OK"))))))</f>
        <v/>
      </c>
    </row>
    <row r="949" customFormat="false" ht="15" hidden="false" customHeight="false" outlineLevel="0" collapsed="false">
      <c r="A949" s="16" t="str">
        <f aca="false">IF(B949="","",ROW()-4)</f>
        <v/>
      </c>
      <c r="B949" s="12"/>
      <c r="C949" s="16"/>
      <c r="D949" s="16"/>
      <c r="E949" s="16"/>
      <c r="F949" s="16"/>
      <c r="G949" s="16"/>
      <c r="H949" s="16"/>
      <c r="I949" s="16"/>
      <c r="J949" s="16"/>
      <c r="K949" s="16"/>
      <c r="L949" s="13"/>
      <c r="M949" s="13"/>
      <c r="N949" s="13"/>
      <c r="O949" s="13"/>
      <c r="P949" s="13"/>
      <c r="Q949" s="13"/>
      <c r="R949" s="13"/>
      <c r="S949" s="13"/>
      <c r="T949" s="13"/>
      <c r="U949" s="12"/>
      <c r="V949" s="14"/>
      <c r="W949" s="16"/>
      <c r="X949" s="16"/>
      <c r="Y949" s="16"/>
      <c r="Z949" s="16"/>
      <c r="AA949" s="15" t="str">
        <f aca="false">IF(AND(ISNUMBER(L949),ISNUMBER(M949)),M949-L949,"")</f>
        <v/>
      </c>
      <c r="AB949" s="15" t="str">
        <f aca="false">IF(AND(ISNUMBER(M949),ISNUMBER(P949)),P949-M949,"")</f>
        <v/>
      </c>
      <c r="AC949" s="15" t="str">
        <f aca="false">IF(AND(ISNUMBER(L949),ISNUMBER(P949)),P949-L949,"")</f>
        <v/>
      </c>
      <c r="AD949" s="15" t="str">
        <f aca="false">IF(AND(ISNUMBER(P949),ISNUMBER(Q949)),Q949-P949,"")</f>
        <v/>
      </c>
      <c r="AE949" s="15" t="str">
        <f aca="false">IF(AND(ISNUMBER(Q949),ISNUMBER(R949)),R949-Q949,IF(ISNUMBER(Y949),Y949,""))</f>
        <v/>
      </c>
      <c r="AF949" s="15" t="str">
        <f aca="false">IF(AND(ISNUMBER(R949),ISNUMBER(S949)),S949-R949,"")</f>
        <v/>
      </c>
      <c r="AG949" s="15" t="str">
        <f aca="false">IF(AND(ISNUMBER(S949),ISNUMBER(T949)),T949-S949,"")</f>
        <v/>
      </c>
      <c r="AH949" s="15" t="str">
        <f aca="false">IF(AND(ISNUMBER(L949),ISNUMBER(T949)),T949-L949,"")</f>
        <v/>
      </c>
      <c r="AI949" s="15" t="str">
        <f aca="false">IF(AND(ISNUMBER(O949),ISNUMBER(Q949)),Q949-O949,"")</f>
        <v/>
      </c>
      <c r="AJ949" s="15" t="str">
        <f aca="false">IF(B949="","",COUNT(L949:M949,P949:T949)&amp;"/7")</f>
        <v/>
      </c>
      <c r="AK949" s="15" t="str">
        <f aca="false">IF(B949="","",IF(OR(AND(ISNUMBER(L949),ISNUMBER(M949),M949&lt;L949),AND(ISNUMBER(M949),ISNUMBER(P949),P949&lt;M949),AND(ISNUMBER(P949),ISNUMBER(Q949),Q949&lt;P949),AND(ISNUMBER(Q949),ISNUMBER(R949),R949&lt;Q949),AND(ISNUMBER(R949),ISNUMBER(S949),S949&lt;R949),AND(ISNUMBER(S949),ISNUMBER(T949),T949&lt;S949),AND(ISNUMBER(N949),ISNUMBER(O949),O949&lt;N949)),"Urutan tanggal salah",IF(AND(ISNUMBER(Q949),ISNUMBER(R949),ISNUMBER(Y949),ABS(R949-Q949-Y949)&gt;2),"S tanggal ≠ Sailing tercatat",IF(AND(ISNUMBER(Q949),ISNUMBER(O949),ABS(Q949-O949)&gt;60),"Cek tahun laycan",IF(AND(ISNUMBER(Q949),ISNUMBER(N949),Q949&lt;N949),"Berangkat sebelum laycan",IF(NOT(ISNUMBER(AE949)),"S belum ada","OK"))))))</f>
        <v/>
      </c>
    </row>
    <row r="950" customFormat="false" ht="15" hidden="false" customHeight="false" outlineLevel="0" collapsed="false">
      <c r="A950" s="16" t="str">
        <f aca="false">IF(B950="","",ROW()-4)</f>
        <v/>
      </c>
      <c r="B950" s="12"/>
      <c r="C950" s="16"/>
      <c r="D950" s="16"/>
      <c r="E950" s="16"/>
      <c r="F950" s="16"/>
      <c r="G950" s="16"/>
      <c r="H950" s="16"/>
      <c r="I950" s="16"/>
      <c r="J950" s="16"/>
      <c r="K950" s="16"/>
      <c r="L950" s="13"/>
      <c r="M950" s="13"/>
      <c r="N950" s="13"/>
      <c r="O950" s="13"/>
      <c r="P950" s="13"/>
      <c r="Q950" s="13"/>
      <c r="R950" s="13"/>
      <c r="S950" s="13"/>
      <c r="T950" s="13"/>
      <c r="U950" s="12"/>
      <c r="V950" s="14"/>
      <c r="W950" s="16"/>
      <c r="X950" s="16"/>
      <c r="Y950" s="16"/>
      <c r="Z950" s="16"/>
      <c r="AA950" s="15" t="str">
        <f aca="false">IF(AND(ISNUMBER(L950),ISNUMBER(M950)),M950-L950,"")</f>
        <v/>
      </c>
      <c r="AB950" s="15" t="str">
        <f aca="false">IF(AND(ISNUMBER(M950),ISNUMBER(P950)),P950-M950,"")</f>
        <v/>
      </c>
      <c r="AC950" s="15" t="str">
        <f aca="false">IF(AND(ISNUMBER(L950),ISNUMBER(P950)),P950-L950,"")</f>
        <v/>
      </c>
      <c r="AD950" s="15" t="str">
        <f aca="false">IF(AND(ISNUMBER(P950),ISNUMBER(Q950)),Q950-P950,"")</f>
        <v/>
      </c>
      <c r="AE950" s="15" t="str">
        <f aca="false">IF(AND(ISNUMBER(Q950),ISNUMBER(R950)),R950-Q950,IF(ISNUMBER(Y950),Y950,""))</f>
        <v/>
      </c>
      <c r="AF950" s="15" t="str">
        <f aca="false">IF(AND(ISNUMBER(R950),ISNUMBER(S950)),S950-R950,"")</f>
        <v/>
      </c>
      <c r="AG950" s="15" t="str">
        <f aca="false">IF(AND(ISNUMBER(S950),ISNUMBER(T950)),T950-S950,"")</f>
        <v/>
      </c>
      <c r="AH950" s="15" t="str">
        <f aca="false">IF(AND(ISNUMBER(L950),ISNUMBER(T950)),T950-L950,"")</f>
        <v/>
      </c>
      <c r="AI950" s="15" t="str">
        <f aca="false">IF(AND(ISNUMBER(O950),ISNUMBER(Q950)),Q950-O950,"")</f>
        <v/>
      </c>
      <c r="AJ950" s="15" t="str">
        <f aca="false">IF(B950="","",COUNT(L950:M950,P950:T950)&amp;"/7")</f>
        <v/>
      </c>
      <c r="AK950" s="15" t="str">
        <f aca="false">IF(B950="","",IF(OR(AND(ISNUMBER(L950),ISNUMBER(M950),M950&lt;L950),AND(ISNUMBER(M950),ISNUMBER(P950),P950&lt;M950),AND(ISNUMBER(P950),ISNUMBER(Q950),Q950&lt;P950),AND(ISNUMBER(Q950),ISNUMBER(R950),R950&lt;Q950),AND(ISNUMBER(R950),ISNUMBER(S950),S950&lt;R950),AND(ISNUMBER(S950),ISNUMBER(T950),T950&lt;S950),AND(ISNUMBER(N950),ISNUMBER(O950),O950&lt;N950)),"Urutan tanggal salah",IF(AND(ISNUMBER(Q950),ISNUMBER(R950),ISNUMBER(Y950),ABS(R950-Q950-Y950)&gt;2),"S tanggal ≠ Sailing tercatat",IF(AND(ISNUMBER(Q950),ISNUMBER(O950),ABS(Q950-O950)&gt;60),"Cek tahun laycan",IF(AND(ISNUMBER(Q950),ISNUMBER(N950),Q950&lt;N950),"Berangkat sebelum laycan",IF(NOT(ISNUMBER(AE950)),"S belum ada","OK"))))))</f>
        <v/>
      </c>
    </row>
    <row r="951" customFormat="false" ht="15" hidden="false" customHeight="false" outlineLevel="0" collapsed="false">
      <c r="A951" s="16" t="str">
        <f aca="false">IF(B951="","",ROW()-4)</f>
        <v/>
      </c>
      <c r="B951" s="12"/>
      <c r="C951" s="16"/>
      <c r="D951" s="16"/>
      <c r="E951" s="16"/>
      <c r="F951" s="16"/>
      <c r="G951" s="16"/>
      <c r="H951" s="16"/>
      <c r="I951" s="16"/>
      <c r="J951" s="16"/>
      <c r="K951" s="16"/>
      <c r="L951" s="13"/>
      <c r="M951" s="13"/>
      <c r="N951" s="13"/>
      <c r="O951" s="13"/>
      <c r="P951" s="13"/>
      <c r="Q951" s="13"/>
      <c r="R951" s="13"/>
      <c r="S951" s="13"/>
      <c r="T951" s="13"/>
      <c r="U951" s="12"/>
      <c r="V951" s="14"/>
      <c r="W951" s="16"/>
      <c r="X951" s="16"/>
      <c r="Y951" s="16"/>
      <c r="Z951" s="16"/>
      <c r="AA951" s="15" t="str">
        <f aca="false">IF(AND(ISNUMBER(L951),ISNUMBER(M951)),M951-L951,"")</f>
        <v/>
      </c>
      <c r="AB951" s="15" t="str">
        <f aca="false">IF(AND(ISNUMBER(M951),ISNUMBER(P951)),P951-M951,"")</f>
        <v/>
      </c>
      <c r="AC951" s="15" t="str">
        <f aca="false">IF(AND(ISNUMBER(L951),ISNUMBER(P951)),P951-L951,"")</f>
        <v/>
      </c>
      <c r="AD951" s="15" t="str">
        <f aca="false">IF(AND(ISNUMBER(P951),ISNUMBER(Q951)),Q951-P951,"")</f>
        <v/>
      </c>
      <c r="AE951" s="15" t="str">
        <f aca="false">IF(AND(ISNUMBER(Q951),ISNUMBER(R951)),R951-Q951,IF(ISNUMBER(Y951),Y951,""))</f>
        <v/>
      </c>
      <c r="AF951" s="15" t="str">
        <f aca="false">IF(AND(ISNUMBER(R951),ISNUMBER(S951)),S951-R951,"")</f>
        <v/>
      </c>
      <c r="AG951" s="15" t="str">
        <f aca="false">IF(AND(ISNUMBER(S951),ISNUMBER(T951)),T951-S951,"")</f>
        <v/>
      </c>
      <c r="AH951" s="15" t="str">
        <f aca="false">IF(AND(ISNUMBER(L951),ISNUMBER(T951)),T951-L951,"")</f>
        <v/>
      </c>
      <c r="AI951" s="15" t="str">
        <f aca="false">IF(AND(ISNUMBER(O951),ISNUMBER(Q951)),Q951-O951,"")</f>
        <v/>
      </c>
      <c r="AJ951" s="15" t="str">
        <f aca="false">IF(B951="","",COUNT(L951:M951,P951:T951)&amp;"/7")</f>
        <v/>
      </c>
      <c r="AK951" s="15" t="str">
        <f aca="false">IF(B951="","",IF(OR(AND(ISNUMBER(L951),ISNUMBER(M951),M951&lt;L951),AND(ISNUMBER(M951),ISNUMBER(P951),P951&lt;M951),AND(ISNUMBER(P951),ISNUMBER(Q951),Q951&lt;P951),AND(ISNUMBER(Q951),ISNUMBER(R951),R951&lt;Q951),AND(ISNUMBER(R951),ISNUMBER(S951),S951&lt;R951),AND(ISNUMBER(S951),ISNUMBER(T951),T951&lt;S951),AND(ISNUMBER(N951),ISNUMBER(O951),O951&lt;N951)),"Urutan tanggal salah",IF(AND(ISNUMBER(Q951),ISNUMBER(R951),ISNUMBER(Y951),ABS(R951-Q951-Y951)&gt;2),"S tanggal ≠ Sailing tercatat",IF(AND(ISNUMBER(Q951),ISNUMBER(O951),ABS(Q951-O951)&gt;60),"Cek tahun laycan",IF(AND(ISNUMBER(Q951),ISNUMBER(N951),Q951&lt;N951),"Berangkat sebelum laycan",IF(NOT(ISNUMBER(AE951)),"S belum ada","OK"))))))</f>
        <v/>
      </c>
    </row>
    <row r="952" customFormat="false" ht="15" hidden="false" customHeight="false" outlineLevel="0" collapsed="false">
      <c r="A952" s="16" t="str">
        <f aca="false">IF(B952="","",ROW()-4)</f>
        <v/>
      </c>
      <c r="B952" s="12"/>
      <c r="C952" s="16"/>
      <c r="D952" s="16"/>
      <c r="E952" s="16"/>
      <c r="F952" s="16"/>
      <c r="G952" s="16"/>
      <c r="H952" s="16"/>
      <c r="I952" s="16"/>
      <c r="J952" s="16"/>
      <c r="K952" s="16"/>
      <c r="L952" s="13"/>
      <c r="M952" s="13"/>
      <c r="N952" s="13"/>
      <c r="O952" s="13"/>
      <c r="P952" s="13"/>
      <c r="Q952" s="13"/>
      <c r="R952" s="13"/>
      <c r="S952" s="13"/>
      <c r="T952" s="13"/>
      <c r="U952" s="12"/>
      <c r="V952" s="14"/>
      <c r="W952" s="16"/>
      <c r="X952" s="16"/>
      <c r="Y952" s="16"/>
      <c r="Z952" s="16"/>
      <c r="AA952" s="15" t="str">
        <f aca="false">IF(AND(ISNUMBER(L952),ISNUMBER(M952)),M952-L952,"")</f>
        <v/>
      </c>
      <c r="AB952" s="15" t="str">
        <f aca="false">IF(AND(ISNUMBER(M952),ISNUMBER(P952)),P952-M952,"")</f>
        <v/>
      </c>
      <c r="AC952" s="15" t="str">
        <f aca="false">IF(AND(ISNUMBER(L952),ISNUMBER(P952)),P952-L952,"")</f>
        <v/>
      </c>
      <c r="AD952" s="15" t="str">
        <f aca="false">IF(AND(ISNUMBER(P952),ISNUMBER(Q952)),Q952-P952,"")</f>
        <v/>
      </c>
      <c r="AE952" s="15" t="str">
        <f aca="false">IF(AND(ISNUMBER(Q952),ISNUMBER(R952)),R952-Q952,IF(ISNUMBER(Y952),Y952,""))</f>
        <v/>
      </c>
      <c r="AF952" s="15" t="str">
        <f aca="false">IF(AND(ISNUMBER(R952),ISNUMBER(S952)),S952-R952,"")</f>
        <v/>
      </c>
      <c r="AG952" s="15" t="str">
        <f aca="false">IF(AND(ISNUMBER(S952),ISNUMBER(T952)),T952-S952,"")</f>
        <v/>
      </c>
      <c r="AH952" s="15" t="str">
        <f aca="false">IF(AND(ISNUMBER(L952),ISNUMBER(T952)),T952-L952,"")</f>
        <v/>
      </c>
      <c r="AI952" s="15" t="str">
        <f aca="false">IF(AND(ISNUMBER(O952),ISNUMBER(Q952)),Q952-O952,"")</f>
        <v/>
      </c>
      <c r="AJ952" s="15" t="str">
        <f aca="false">IF(B952="","",COUNT(L952:M952,P952:T952)&amp;"/7")</f>
        <v/>
      </c>
      <c r="AK952" s="15" t="str">
        <f aca="false">IF(B952="","",IF(OR(AND(ISNUMBER(L952),ISNUMBER(M952),M952&lt;L952),AND(ISNUMBER(M952),ISNUMBER(P952),P952&lt;M952),AND(ISNUMBER(P952),ISNUMBER(Q952),Q952&lt;P952),AND(ISNUMBER(Q952),ISNUMBER(R952),R952&lt;Q952),AND(ISNUMBER(R952),ISNUMBER(S952),S952&lt;R952),AND(ISNUMBER(S952),ISNUMBER(T952),T952&lt;S952),AND(ISNUMBER(N952),ISNUMBER(O952),O952&lt;N952)),"Urutan tanggal salah",IF(AND(ISNUMBER(Q952),ISNUMBER(R952),ISNUMBER(Y952),ABS(R952-Q952-Y952)&gt;2),"S tanggal ≠ Sailing tercatat",IF(AND(ISNUMBER(Q952),ISNUMBER(O952),ABS(Q952-O952)&gt;60),"Cek tahun laycan",IF(AND(ISNUMBER(Q952),ISNUMBER(N952),Q952&lt;N952),"Berangkat sebelum laycan",IF(NOT(ISNUMBER(AE952)),"S belum ada","OK"))))))</f>
        <v/>
      </c>
    </row>
    <row r="953" customFormat="false" ht="15" hidden="false" customHeight="false" outlineLevel="0" collapsed="false">
      <c r="A953" s="16" t="str">
        <f aca="false">IF(B953="","",ROW()-4)</f>
        <v/>
      </c>
      <c r="B953" s="12"/>
      <c r="C953" s="16"/>
      <c r="D953" s="16"/>
      <c r="E953" s="16"/>
      <c r="F953" s="16"/>
      <c r="G953" s="16"/>
      <c r="H953" s="16"/>
      <c r="I953" s="16"/>
      <c r="J953" s="16"/>
      <c r="K953" s="16"/>
      <c r="L953" s="13"/>
      <c r="M953" s="13"/>
      <c r="N953" s="13"/>
      <c r="O953" s="13"/>
      <c r="P953" s="13"/>
      <c r="Q953" s="13"/>
      <c r="R953" s="13"/>
      <c r="S953" s="13"/>
      <c r="T953" s="13"/>
      <c r="U953" s="12"/>
      <c r="V953" s="14"/>
      <c r="W953" s="16"/>
      <c r="X953" s="16"/>
      <c r="Y953" s="16"/>
      <c r="Z953" s="16"/>
      <c r="AA953" s="15" t="str">
        <f aca="false">IF(AND(ISNUMBER(L953),ISNUMBER(M953)),M953-L953,"")</f>
        <v/>
      </c>
      <c r="AB953" s="15" t="str">
        <f aca="false">IF(AND(ISNUMBER(M953),ISNUMBER(P953)),P953-M953,"")</f>
        <v/>
      </c>
      <c r="AC953" s="15" t="str">
        <f aca="false">IF(AND(ISNUMBER(L953),ISNUMBER(P953)),P953-L953,"")</f>
        <v/>
      </c>
      <c r="AD953" s="15" t="str">
        <f aca="false">IF(AND(ISNUMBER(P953),ISNUMBER(Q953)),Q953-P953,"")</f>
        <v/>
      </c>
      <c r="AE953" s="15" t="str">
        <f aca="false">IF(AND(ISNUMBER(Q953),ISNUMBER(R953)),R953-Q953,IF(ISNUMBER(Y953),Y953,""))</f>
        <v/>
      </c>
      <c r="AF953" s="15" t="str">
        <f aca="false">IF(AND(ISNUMBER(R953),ISNUMBER(S953)),S953-R953,"")</f>
        <v/>
      </c>
      <c r="AG953" s="15" t="str">
        <f aca="false">IF(AND(ISNUMBER(S953),ISNUMBER(T953)),T953-S953,"")</f>
        <v/>
      </c>
      <c r="AH953" s="15" t="str">
        <f aca="false">IF(AND(ISNUMBER(L953),ISNUMBER(T953)),T953-L953,"")</f>
        <v/>
      </c>
      <c r="AI953" s="15" t="str">
        <f aca="false">IF(AND(ISNUMBER(O953),ISNUMBER(Q953)),Q953-O953,"")</f>
        <v/>
      </c>
      <c r="AJ953" s="15" t="str">
        <f aca="false">IF(B953="","",COUNT(L953:M953,P953:T953)&amp;"/7")</f>
        <v/>
      </c>
      <c r="AK953" s="15" t="str">
        <f aca="false">IF(B953="","",IF(OR(AND(ISNUMBER(L953),ISNUMBER(M953),M953&lt;L953),AND(ISNUMBER(M953),ISNUMBER(P953),P953&lt;M953),AND(ISNUMBER(P953),ISNUMBER(Q953),Q953&lt;P953),AND(ISNUMBER(Q953),ISNUMBER(R953),R953&lt;Q953),AND(ISNUMBER(R953),ISNUMBER(S953),S953&lt;R953),AND(ISNUMBER(S953),ISNUMBER(T953),T953&lt;S953),AND(ISNUMBER(N953),ISNUMBER(O953),O953&lt;N953)),"Urutan tanggal salah",IF(AND(ISNUMBER(Q953),ISNUMBER(R953),ISNUMBER(Y953),ABS(R953-Q953-Y953)&gt;2),"S tanggal ≠ Sailing tercatat",IF(AND(ISNUMBER(Q953),ISNUMBER(O953),ABS(Q953-O953)&gt;60),"Cek tahun laycan",IF(AND(ISNUMBER(Q953),ISNUMBER(N953),Q953&lt;N953),"Berangkat sebelum laycan",IF(NOT(ISNUMBER(AE953)),"S belum ada","OK"))))))</f>
        <v/>
      </c>
    </row>
    <row r="954" customFormat="false" ht="15" hidden="false" customHeight="false" outlineLevel="0" collapsed="false">
      <c r="A954" s="16" t="str">
        <f aca="false">IF(B954="","",ROW()-4)</f>
        <v/>
      </c>
      <c r="B954" s="12"/>
      <c r="C954" s="16"/>
      <c r="D954" s="16"/>
      <c r="E954" s="16"/>
      <c r="F954" s="16"/>
      <c r="G954" s="16"/>
      <c r="H954" s="16"/>
      <c r="I954" s="16"/>
      <c r="J954" s="16"/>
      <c r="K954" s="16"/>
      <c r="L954" s="13"/>
      <c r="M954" s="13"/>
      <c r="N954" s="13"/>
      <c r="O954" s="13"/>
      <c r="P954" s="13"/>
      <c r="Q954" s="13"/>
      <c r="R954" s="13"/>
      <c r="S954" s="13"/>
      <c r="T954" s="13"/>
      <c r="U954" s="12"/>
      <c r="V954" s="14"/>
      <c r="W954" s="16"/>
      <c r="X954" s="16"/>
      <c r="Y954" s="16"/>
      <c r="Z954" s="16"/>
      <c r="AA954" s="15" t="str">
        <f aca="false">IF(AND(ISNUMBER(L954),ISNUMBER(M954)),M954-L954,"")</f>
        <v/>
      </c>
      <c r="AB954" s="15" t="str">
        <f aca="false">IF(AND(ISNUMBER(M954),ISNUMBER(P954)),P954-M954,"")</f>
        <v/>
      </c>
      <c r="AC954" s="15" t="str">
        <f aca="false">IF(AND(ISNUMBER(L954),ISNUMBER(P954)),P954-L954,"")</f>
        <v/>
      </c>
      <c r="AD954" s="15" t="str">
        <f aca="false">IF(AND(ISNUMBER(P954),ISNUMBER(Q954)),Q954-P954,"")</f>
        <v/>
      </c>
      <c r="AE954" s="15" t="str">
        <f aca="false">IF(AND(ISNUMBER(Q954),ISNUMBER(R954)),R954-Q954,IF(ISNUMBER(Y954),Y954,""))</f>
        <v/>
      </c>
      <c r="AF954" s="15" t="str">
        <f aca="false">IF(AND(ISNUMBER(R954),ISNUMBER(S954)),S954-R954,"")</f>
        <v/>
      </c>
      <c r="AG954" s="15" t="str">
        <f aca="false">IF(AND(ISNUMBER(S954),ISNUMBER(T954)),T954-S954,"")</f>
        <v/>
      </c>
      <c r="AH954" s="15" t="str">
        <f aca="false">IF(AND(ISNUMBER(L954),ISNUMBER(T954)),T954-L954,"")</f>
        <v/>
      </c>
      <c r="AI954" s="15" t="str">
        <f aca="false">IF(AND(ISNUMBER(O954),ISNUMBER(Q954)),Q954-O954,"")</f>
        <v/>
      </c>
      <c r="AJ954" s="15" t="str">
        <f aca="false">IF(B954="","",COUNT(L954:M954,P954:T954)&amp;"/7")</f>
        <v/>
      </c>
      <c r="AK954" s="15" t="str">
        <f aca="false">IF(B954="","",IF(OR(AND(ISNUMBER(L954),ISNUMBER(M954),M954&lt;L954),AND(ISNUMBER(M954),ISNUMBER(P954),P954&lt;M954),AND(ISNUMBER(P954),ISNUMBER(Q954),Q954&lt;P954),AND(ISNUMBER(Q954),ISNUMBER(R954),R954&lt;Q954),AND(ISNUMBER(R954),ISNUMBER(S954),S954&lt;R954),AND(ISNUMBER(S954),ISNUMBER(T954),T954&lt;S954),AND(ISNUMBER(N954),ISNUMBER(O954),O954&lt;N954)),"Urutan tanggal salah",IF(AND(ISNUMBER(Q954),ISNUMBER(R954),ISNUMBER(Y954),ABS(R954-Q954-Y954)&gt;2),"S tanggal ≠ Sailing tercatat",IF(AND(ISNUMBER(Q954),ISNUMBER(O954),ABS(Q954-O954)&gt;60),"Cek tahun laycan",IF(AND(ISNUMBER(Q954),ISNUMBER(N954),Q954&lt;N954),"Berangkat sebelum laycan",IF(NOT(ISNUMBER(AE954)),"S belum ada","OK"))))))</f>
        <v/>
      </c>
    </row>
    <row r="955" customFormat="false" ht="15" hidden="false" customHeight="false" outlineLevel="0" collapsed="false">
      <c r="A955" s="16" t="str">
        <f aca="false">IF(B955="","",ROW()-4)</f>
        <v/>
      </c>
      <c r="B955" s="12"/>
      <c r="C955" s="16"/>
      <c r="D955" s="16"/>
      <c r="E955" s="16"/>
      <c r="F955" s="16"/>
      <c r="G955" s="16"/>
      <c r="H955" s="16"/>
      <c r="I955" s="16"/>
      <c r="J955" s="16"/>
      <c r="K955" s="16"/>
      <c r="L955" s="13"/>
      <c r="M955" s="13"/>
      <c r="N955" s="13"/>
      <c r="O955" s="13"/>
      <c r="P955" s="13"/>
      <c r="Q955" s="13"/>
      <c r="R955" s="13"/>
      <c r="S955" s="13"/>
      <c r="T955" s="13"/>
      <c r="U955" s="12"/>
      <c r="V955" s="14"/>
      <c r="W955" s="16"/>
      <c r="X955" s="16"/>
      <c r="Y955" s="16"/>
      <c r="Z955" s="16"/>
      <c r="AA955" s="15" t="str">
        <f aca="false">IF(AND(ISNUMBER(L955),ISNUMBER(M955)),M955-L955,"")</f>
        <v/>
      </c>
      <c r="AB955" s="15" t="str">
        <f aca="false">IF(AND(ISNUMBER(M955),ISNUMBER(P955)),P955-M955,"")</f>
        <v/>
      </c>
      <c r="AC955" s="15" t="str">
        <f aca="false">IF(AND(ISNUMBER(L955),ISNUMBER(P955)),P955-L955,"")</f>
        <v/>
      </c>
      <c r="AD955" s="15" t="str">
        <f aca="false">IF(AND(ISNUMBER(P955),ISNUMBER(Q955)),Q955-P955,"")</f>
        <v/>
      </c>
      <c r="AE955" s="15" t="str">
        <f aca="false">IF(AND(ISNUMBER(Q955),ISNUMBER(R955)),R955-Q955,IF(ISNUMBER(Y955),Y955,""))</f>
        <v/>
      </c>
      <c r="AF955" s="15" t="str">
        <f aca="false">IF(AND(ISNUMBER(R955),ISNUMBER(S955)),S955-R955,"")</f>
        <v/>
      </c>
      <c r="AG955" s="15" t="str">
        <f aca="false">IF(AND(ISNUMBER(S955),ISNUMBER(T955)),T955-S955,"")</f>
        <v/>
      </c>
      <c r="AH955" s="15" t="str">
        <f aca="false">IF(AND(ISNUMBER(L955),ISNUMBER(T955)),T955-L955,"")</f>
        <v/>
      </c>
      <c r="AI955" s="15" t="str">
        <f aca="false">IF(AND(ISNUMBER(O955),ISNUMBER(Q955)),Q955-O955,"")</f>
        <v/>
      </c>
      <c r="AJ955" s="15" t="str">
        <f aca="false">IF(B955="","",COUNT(L955:M955,P955:T955)&amp;"/7")</f>
        <v/>
      </c>
      <c r="AK955" s="15" t="str">
        <f aca="false">IF(B955="","",IF(OR(AND(ISNUMBER(L955),ISNUMBER(M955),M955&lt;L955),AND(ISNUMBER(M955),ISNUMBER(P955),P955&lt;M955),AND(ISNUMBER(P955),ISNUMBER(Q955),Q955&lt;P955),AND(ISNUMBER(Q955),ISNUMBER(R955),R955&lt;Q955),AND(ISNUMBER(R955),ISNUMBER(S955),S955&lt;R955),AND(ISNUMBER(S955),ISNUMBER(T955),T955&lt;S955),AND(ISNUMBER(N955),ISNUMBER(O955),O955&lt;N955)),"Urutan tanggal salah",IF(AND(ISNUMBER(Q955),ISNUMBER(R955),ISNUMBER(Y955),ABS(R955-Q955-Y955)&gt;2),"S tanggal ≠ Sailing tercatat",IF(AND(ISNUMBER(Q955),ISNUMBER(O955),ABS(Q955-O955)&gt;60),"Cek tahun laycan",IF(AND(ISNUMBER(Q955),ISNUMBER(N955),Q955&lt;N955),"Berangkat sebelum laycan",IF(NOT(ISNUMBER(AE955)),"S belum ada","OK"))))))</f>
        <v/>
      </c>
    </row>
    <row r="956" customFormat="false" ht="15" hidden="false" customHeight="false" outlineLevel="0" collapsed="false">
      <c r="A956" s="16" t="str">
        <f aca="false">IF(B956="","",ROW()-4)</f>
        <v/>
      </c>
      <c r="B956" s="12"/>
      <c r="C956" s="16"/>
      <c r="D956" s="16"/>
      <c r="E956" s="16"/>
      <c r="F956" s="16"/>
      <c r="G956" s="16"/>
      <c r="H956" s="16"/>
      <c r="I956" s="16"/>
      <c r="J956" s="16"/>
      <c r="K956" s="16"/>
      <c r="L956" s="13"/>
      <c r="M956" s="13"/>
      <c r="N956" s="13"/>
      <c r="O956" s="13"/>
      <c r="P956" s="13"/>
      <c r="Q956" s="13"/>
      <c r="R956" s="13"/>
      <c r="S956" s="13"/>
      <c r="T956" s="13"/>
      <c r="U956" s="12"/>
      <c r="V956" s="14"/>
      <c r="W956" s="16"/>
      <c r="X956" s="16"/>
      <c r="Y956" s="16"/>
      <c r="Z956" s="16"/>
      <c r="AA956" s="15" t="str">
        <f aca="false">IF(AND(ISNUMBER(L956),ISNUMBER(M956)),M956-L956,"")</f>
        <v/>
      </c>
      <c r="AB956" s="15" t="str">
        <f aca="false">IF(AND(ISNUMBER(M956),ISNUMBER(P956)),P956-M956,"")</f>
        <v/>
      </c>
      <c r="AC956" s="15" t="str">
        <f aca="false">IF(AND(ISNUMBER(L956),ISNUMBER(P956)),P956-L956,"")</f>
        <v/>
      </c>
      <c r="AD956" s="15" t="str">
        <f aca="false">IF(AND(ISNUMBER(P956),ISNUMBER(Q956)),Q956-P956,"")</f>
        <v/>
      </c>
      <c r="AE956" s="15" t="str">
        <f aca="false">IF(AND(ISNUMBER(Q956),ISNUMBER(R956)),R956-Q956,IF(ISNUMBER(Y956),Y956,""))</f>
        <v/>
      </c>
      <c r="AF956" s="15" t="str">
        <f aca="false">IF(AND(ISNUMBER(R956),ISNUMBER(S956)),S956-R956,"")</f>
        <v/>
      </c>
      <c r="AG956" s="15" t="str">
        <f aca="false">IF(AND(ISNUMBER(S956),ISNUMBER(T956)),T956-S956,"")</f>
        <v/>
      </c>
      <c r="AH956" s="15" t="str">
        <f aca="false">IF(AND(ISNUMBER(L956),ISNUMBER(T956)),T956-L956,"")</f>
        <v/>
      </c>
      <c r="AI956" s="15" t="str">
        <f aca="false">IF(AND(ISNUMBER(O956),ISNUMBER(Q956)),Q956-O956,"")</f>
        <v/>
      </c>
      <c r="AJ956" s="15" t="str">
        <f aca="false">IF(B956="","",COUNT(L956:M956,P956:T956)&amp;"/7")</f>
        <v/>
      </c>
      <c r="AK956" s="15" t="str">
        <f aca="false">IF(B956="","",IF(OR(AND(ISNUMBER(L956),ISNUMBER(M956),M956&lt;L956),AND(ISNUMBER(M956),ISNUMBER(P956),P956&lt;M956),AND(ISNUMBER(P956),ISNUMBER(Q956),Q956&lt;P956),AND(ISNUMBER(Q956),ISNUMBER(R956),R956&lt;Q956),AND(ISNUMBER(R956),ISNUMBER(S956),S956&lt;R956),AND(ISNUMBER(S956),ISNUMBER(T956),T956&lt;S956),AND(ISNUMBER(N956),ISNUMBER(O956),O956&lt;N956)),"Urutan tanggal salah",IF(AND(ISNUMBER(Q956),ISNUMBER(R956),ISNUMBER(Y956),ABS(R956-Q956-Y956)&gt;2),"S tanggal ≠ Sailing tercatat",IF(AND(ISNUMBER(Q956),ISNUMBER(O956),ABS(Q956-O956)&gt;60),"Cek tahun laycan",IF(AND(ISNUMBER(Q956),ISNUMBER(N956),Q956&lt;N956),"Berangkat sebelum laycan",IF(NOT(ISNUMBER(AE956)),"S belum ada","OK"))))))</f>
        <v/>
      </c>
    </row>
    <row r="957" customFormat="false" ht="15" hidden="false" customHeight="false" outlineLevel="0" collapsed="false">
      <c r="A957" s="16" t="str">
        <f aca="false">IF(B957="","",ROW()-4)</f>
        <v/>
      </c>
      <c r="B957" s="12"/>
      <c r="C957" s="16"/>
      <c r="D957" s="16"/>
      <c r="E957" s="16"/>
      <c r="F957" s="16"/>
      <c r="G957" s="16"/>
      <c r="H957" s="16"/>
      <c r="I957" s="16"/>
      <c r="J957" s="16"/>
      <c r="K957" s="16"/>
      <c r="L957" s="13"/>
      <c r="M957" s="13"/>
      <c r="N957" s="13"/>
      <c r="O957" s="13"/>
      <c r="P957" s="13"/>
      <c r="Q957" s="13"/>
      <c r="R957" s="13"/>
      <c r="S957" s="13"/>
      <c r="T957" s="13"/>
      <c r="U957" s="12"/>
      <c r="V957" s="14"/>
      <c r="W957" s="16"/>
      <c r="X957" s="16"/>
      <c r="Y957" s="16"/>
      <c r="Z957" s="16"/>
      <c r="AA957" s="15" t="str">
        <f aca="false">IF(AND(ISNUMBER(L957),ISNUMBER(M957)),M957-L957,"")</f>
        <v/>
      </c>
      <c r="AB957" s="15" t="str">
        <f aca="false">IF(AND(ISNUMBER(M957),ISNUMBER(P957)),P957-M957,"")</f>
        <v/>
      </c>
      <c r="AC957" s="15" t="str">
        <f aca="false">IF(AND(ISNUMBER(L957),ISNUMBER(P957)),P957-L957,"")</f>
        <v/>
      </c>
      <c r="AD957" s="15" t="str">
        <f aca="false">IF(AND(ISNUMBER(P957),ISNUMBER(Q957)),Q957-P957,"")</f>
        <v/>
      </c>
      <c r="AE957" s="15" t="str">
        <f aca="false">IF(AND(ISNUMBER(Q957),ISNUMBER(R957)),R957-Q957,IF(ISNUMBER(Y957),Y957,""))</f>
        <v/>
      </c>
      <c r="AF957" s="15" t="str">
        <f aca="false">IF(AND(ISNUMBER(R957),ISNUMBER(S957)),S957-R957,"")</f>
        <v/>
      </c>
      <c r="AG957" s="15" t="str">
        <f aca="false">IF(AND(ISNUMBER(S957),ISNUMBER(T957)),T957-S957,"")</f>
        <v/>
      </c>
      <c r="AH957" s="15" t="str">
        <f aca="false">IF(AND(ISNUMBER(L957),ISNUMBER(T957)),T957-L957,"")</f>
        <v/>
      </c>
      <c r="AI957" s="15" t="str">
        <f aca="false">IF(AND(ISNUMBER(O957),ISNUMBER(Q957)),Q957-O957,"")</f>
        <v/>
      </c>
      <c r="AJ957" s="15" t="str">
        <f aca="false">IF(B957="","",COUNT(L957:M957,P957:T957)&amp;"/7")</f>
        <v/>
      </c>
      <c r="AK957" s="15" t="str">
        <f aca="false">IF(B957="","",IF(OR(AND(ISNUMBER(L957),ISNUMBER(M957),M957&lt;L957),AND(ISNUMBER(M957),ISNUMBER(P957),P957&lt;M957),AND(ISNUMBER(P957),ISNUMBER(Q957),Q957&lt;P957),AND(ISNUMBER(Q957),ISNUMBER(R957),R957&lt;Q957),AND(ISNUMBER(R957),ISNUMBER(S957),S957&lt;R957),AND(ISNUMBER(S957),ISNUMBER(T957),T957&lt;S957),AND(ISNUMBER(N957),ISNUMBER(O957),O957&lt;N957)),"Urutan tanggal salah",IF(AND(ISNUMBER(Q957),ISNUMBER(R957),ISNUMBER(Y957),ABS(R957-Q957-Y957)&gt;2),"S tanggal ≠ Sailing tercatat",IF(AND(ISNUMBER(Q957),ISNUMBER(O957),ABS(Q957-O957)&gt;60),"Cek tahun laycan",IF(AND(ISNUMBER(Q957),ISNUMBER(N957),Q957&lt;N957),"Berangkat sebelum laycan",IF(NOT(ISNUMBER(AE957)),"S belum ada","OK"))))))</f>
        <v/>
      </c>
    </row>
    <row r="958" customFormat="false" ht="15" hidden="false" customHeight="false" outlineLevel="0" collapsed="false">
      <c r="A958" s="16" t="str">
        <f aca="false">IF(B958="","",ROW()-4)</f>
        <v/>
      </c>
      <c r="B958" s="12"/>
      <c r="C958" s="16"/>
      <c r="D958" s="16"/>
      <c r="E958" s="16"/>
      <c r="F958" s="16"/>
      <c r="G958" s="16"/>
      <c r="H958" s="16"/>
      <c r="I958" s="16"/>
      <c r="J958" s="16"/>
      <c r="K958" s="16"/>
      <c r="L958" s="13"/>
      <c r="M958" s="13"/>
      <c r="N958" s="13"/>
      <c r="O958" s="13"/>
      <c r="P958" s="13"/>
      <c r="Q958" s="13"/>
      <c r="R958" s="13"/>
      <c r="S958" s="13"/>
      <c r="T958" s="13"/>
      <c r="U958" s="12"/>
      <c r="V958" s="14"/>
      <c r="W958" s="16"/>
      <c r="X958" s="16"/>
      <c r="Y958" s="16"/>
      <c r="Z958" s="16"/>
      <c r="AA958" s="15" t="str">
        <f aca="false">IF(AND(ISNUMBER(L958),ISNUMBER(M958)),M958-L958,"")</f>
        <v/>
      </c>
      <c r="AB958" s="15" t="str">
        <f aca="false">IF(AND(ISNUMBER(M958),ISNUMBER(P958)),P958-M958,"")</f>
        <v/>
      </c>
      <c r="AC958" s="15" t="str">
        <f aca="false">IF(AND(ISNUMBER(L958),ISNUMBER(P958)),P958-L958,"")</f>
        <v/>
      </c>
      <c r="AD958" s="15" t="str">
        <f aca="false">IF(AND(ISNUMBER(P958),ISNUMBER(Q958)),Q958-P958,"")</f>
        <v/>
      </c>
      <c r="AE958" s="15" t="str">
        <f aca="false">IF(AND(ISNUMBER(Q958),ISNUMBER(R958)),R958-Q958,IF(ISNUMBER(Y958),Y958,""))</f>
        <v/>
      </c>
      <c r="AF958" s="15" t="str">
        <f aca="false">IF(AND(ISNUMBER(R958),ISNUMBER(S958)),S958-R958,"")</f>
        <v/>
      </c>
      <c r="AG958" s="15" t="str">
        <f aca="false">IF(AND(ISNUMBER(S958),ISNUMBER(T958)),T958-S958,"")</f>
        <v/>
      </c>
      <c r="AH958" s="15" t="str">
        <f aca="false">IF(AND(ISNUMBER(L958),ISNUMBER(T958)),T958-L958,"")</f>
        <v/>
      </c>
      <c r="AI958" s="15" t="str">
        <f aca="false">IF(AND(ISNUMBER(O958),ISNUMBER(Q958)),Q958-O958,"")</f>
        <v/>
      </c>
      <c r="AJ958" s="15" t="str">
        <f aca="false">IF(B958="","",COUNT(L958:M958,P958:T958)&amp;"/7")</f>
        <v/>
      </c>
      <c r="AK958" s="15" t="str">
        <f aca="false">IF(B958="","",IF(OR(AND(ISNUMBER(L958),ISNUMBER(M958),M958&lt;L958),AND(ISNUMBER(M958),ISNUMBER(P958),P958&lt;M958),AND(ISNUMBER(P958),ISNUMBER(Q958),Q958&lt;P958),AND(ISNUMBER(Q958),ISNUMBER(R958),R958&lt;Q958),AND(ISNUMBER(R958),ISNUMBER(S958),S958&lt;R958),AND(ISNUMBER(S958),ISNUMBER(T958),T958&lt;S958),AND(ISNUMBER(N958),ISNUMBER(O958),O958&lt;N958)),"Urutan tanggal salah",IF(AND(ISNUMBER(Q958),ISNUMBER(R958),ISNUMBER(Y958),ABS(R958-Q958-Y958)&gt;2),"S tanggal ≠ Sailing tercatat",IF(AND(ISNUMBER(Q958),ISNUMBER(O958),ABS(Q958-O958)&gt;60),"Cek tahun laycan",IF(AND(ISNUMBER(Q958),ISNUMBER(N958),Q958&lt;N958),"Berangkat sebelum laycan",IF(NOT(ISNUMBER(AE958)),"S belum ada","OK"))))))</f>
        <v/>
      </c>
    </row>
    <row r="959" customFormat="false" ht="15" hidden="false" customHeight="false" outlineLevel="0" collapsed="false">
      <c r="A959" s="16" t="str">
        <f aca="false">IF(B959="","",ROW()-4)</f>
        <v/>
      </c>
      <c r="B959" s="12"/>
      <c r="C959" s="16"/>
      <c r="D959" s="16"/>
      <c r="E959" s="16"/>
      <c r="F959" s="16"/>
      <c r="G959" s="16"/>
      <c r="H959" s="16"/>
      <c r="I959" s="16"/>
      <c r="J959" s="16"/>
      <c r="K959" s="16"/>
      <c r="L959" s="13"/>
      <c r="M959" s="13"/>
      <c r="N959" s="13"/>
      <c r="O959" s="13"/>
      <c r="P959" s="13"/>
      <c r="Q959" s="13"/>
      <c r="R959" s="13"/>
      <c r="S959" s="13"/>
      <c r="T959" s="13"/>
      <c r="U959" s="12"/>
      <c r="V959" s="14"/>
      <c r="W959" s="16"/>
      <c r="X959" s="16"/>
      <c r="Y959" s="16"/>
      <c r="Z959" s="16"/>
      <c r="AA959" s="15" t="str">
        <f aca="false">IF(AND(ISNUMBER(L959),ISNUMBER(M959)),M959-L959,"")</f>
        <v/>
      </c>
      <c r="AB959" s="15" t="str">
        <f aca="false">IF(AND(ISNUMBER(M959),ISNUMBER(P959)),P959-M959,"")</f>
        <v/>
      </c>
      <c r="AC959" s="15" t="str">
        <f aca="false">IF(AND(ISNUMBER(L959),ISNUMBER(P959)),P959-L959,"")</f>
        <v/>
      </c>
      <c r="AD959" s="15" t="str">
        <f aca="false">IF(AND(ISNUMBER(P959),ISNUMBER(Q959)),Q959-P959,"")</f>
        <v/>
      </c>
      <c r="AE959" s="15" t="str">
        <f aca="false">IF(AND(ISNUMBER(Q959),ISNUMBER(R959)),R959-Q959,IF(ISNUMBER(Y959),Y959,""))</f>
        <v/>
      </c>
      <c r="AF959" s="15" t="str">
        <f aca="false">IF(AND(ISNUMBER(R959),ISNUMBER(S959)),S959-R959,"")</f>
        <v/>
      </c>
      <c r="AG959" s="15" t="str">
        <f aca="false">IF(AND(ISNUMBER(S959),ISNUMBER(T959)),T959-S959,"")</f>
        <v/>
      </c>
      <c r="AH959" s="15" t="str">
        <f aca="false">IF(AND(ISNUMBER(L959),ISNUMBER(T959)),T959-L959,"")</f>
        <v/>
      </c>
      <c r="AI959" s="15" t="str">
        <f aca="false">IF(AND(ISNUMBER(O959),ISNUMBER(Q959)),Q959-O959,"")</f>
        <v/>
      </c>
      <c r="AJ959" s="15" t="str">
        <f aca="false">IF(B959="","",COUNT(L959:M959,P959:T959)&amp;"/7")</f>
        <v/>
      </c>
      <c r="AK959" s="15" t="str">
        <f aca="false">IF(B959="","",IF(OR(AND(ISNUMBER(L959),ISNUMBER(M959),M959&lt;L959),AND(ISNUMBER(M959),ISNUMBER(P959),P959&lt;M959),AND(ISNUMBER(P959),ISNUMBER(Q959),Q959&lt;P959),AND(ISNUMBER(Q959),ISNUMBER(R959),R959&lt;Q959),AND(ISNUMBER(R959),ISNUMBER(S959),S959&lt;R959),AND(ISNUMBER(S959),ISNUMBER(T959),T959&lt;S959),AND(ISNUMBER(N959),ISNUMBER(O959),O959&lt;N959)),"Urutan tanggal salah",IF(AND(ISNUMBER(Q959),ISNUMBER(R959),ISNUMBER(Y959),ABS(R959-Q959-Y959)&gt;2),"S tanggal ≠ Sailing tercatat",IF(AND(ISNUMBER(Q959),ISNUMBER(O959),ABS(Q959-O959)&gt;60),"Cek tahun laycan",IF(AND(ISNUMBER(Q959),ISNUMBER(N959),Q959&lt;N959),"Berangkat sebelum laycan",IF(NOT(ISNUMBER(AE959)),"S belum ada","OK"))))))</f>
        <v/>
      </c>
    </row>
    <row r="960" customFormat="false" ht="15" hidden="false" customHeight="false" outlineLevel="0" collapsed="false">
      <c r="A960" s="16" t="str">
        <f aca="false">IF(B960="","",ROW()-4)</f>
        <v/>
      </c>
      <c r="B960" s="12"/>
      <c r="C960" s="16"/>
      <c r="D960" s="16"/>
      <c r="E960" s="16"/>
      <c r="F960" s="16"/>
      <c r="G960" s="16"/>
      <c r="H960" s="16"/>
      <c r="I960" s="16"/>
      <c r="J960" s="16"/>
      <c r="K960" s="16"/>
      <c r="L960" s="13"/>
      <c r="M960" s="13"/>
      <c r="N960" s="13"/>
      <c r="O960" s="13"/>
      <c r="P960" s="13"/>
      <c r="Q960" s="13"/>
      <c r="R960" s="13"/>
      <c r="S960" s="13"/>
      <c r="T960" s="13"/>
      <c r="U960" s="12"/>
      <c r="V960" s="14"/>
      <c r="W960" s="16"/>
      <c r="X960" s="16"/>
      <c r="Y960" s="16"/>
      <c r="Z960" s="16"/>
      <c r="AA960" s="15" t="str">
        <f aca="false">IF(AND(ISNUMBER(L960),ISNUMBER(M960)),M960-L960,"")</f>
        <v/>
      </c>
      <c r="AB960" s="15" t="str">
        <f aca="false">IF(AND(ISNUMBER(M960),ISNUMBER(P960)),P960-M960,"")</f>
        <v/>
      </c>
      <c r="AC960" s="15" t="str">
        <f aca="false">IF(AND(ISNUMBER(L960),ISNUMBER(P960)),P960-L960,"")</f>
        <v/>
      </c>
      <c r="AD960" s="15" t="str">
        <f aca="false">IF(AND(ISNUMBER(P960),ISNUMBER(Q960)),Q960-P960,"")</f>
        <v/>
      </c>
      <c r="AE960" s="15" t="str">
        <f aca="false">IF(AND(ISNUMBER(Q960),ISNUMBER(R960)),R960-Q960,IF(ISNUMBER(Y960),Y960,""))</f>
        <v/>
      </c>
      <c r="AF960" s="15" t="str">
        <f aca="false">IF(AND(ISNUMBER(R960),ISNUMBER(S960)),S960-R960,"")</f>
        <v/>
      </c>
      <c r="AG960" s="15" t="str">
        <f aca="false">IF(AND(ISNUMBER(S960),ISNUMBER(T960)),T960-S960,"")</f>
        <v/>
      </c>
      <c r="AH960" s="15" t="str">
        <f aca="false">IF(AND(ISNUMBER(L960),ISNUMBER(T960)),T960-L960,"")</f>
        <v/>
      </c>
      <c r="AI960" s="15" t="str">
        <f aca="false">IF(AND(ISNUMBER(O960),ISNUMBER(Q960)),Q960-O960,"")</f>
        <v/>
      </c>
      <c r="AJ960" s="15" t="str">
        <f aca="false">IF(B960="","",COUNT(L960:M960,P960:T960)&amp;"/7")</f>
        <v/>
      </c>
      <c r="AK960" s="15" t="str">
        <f aca="false">IF(B960="","",IF(OR(AND(ISNUMBER(L960),ISNUMBER(M960),M960&lt;L960),AND(ISNUMBER(M960),ISNUMBER(P960),P960&lt;M960),AND(ISNUMBER(P960),ISNUMBER(Q960),Q960&lt;P960),AND(ISNUMBER(Q960),ISNUMBER(R960),R960&lt;Q960),AND(ISNUMBER(R960),ISNUMBER(S960),S960&lt;R960),AND(ISNUMBER(S960),ISNUMBER(T960),T960&lt;S960),AND(ISNUMBER(N960),ISNUMBER(O960),O960&lt;N960)),"Urutan tanggal salah",IF(AND(ISNUMBER(Q960),ISNUMBER(R960),ISNUMBER(Y960),ABS(R960-Q960-Y960)&gt;2),"S tanggal ≠ Sailing tercatat",IF(AND(ISNUMBER(Q960),ISNUMBER(O960),ABS(Q960-O960)&gt;60),"Cek tahun laycan",IF(AND(ISNUMBER(Q960),ISNUMBER(N960),Q960&lt;N960),"Berangkat sebelum laycan",IF(NOT(ISNUMBER(AE960)),"S belum ada","OK"))))))</f>
        <v/>
      </c>
    </row>
    <row r="961" customFormat="false" ht="15" hidden="false" customHeight="false" outlineLevel="0" collapsed="false">
      <c r="A961" s="16" t="str">
        <f aca="false">IF(B961="","",ROW()-4)</f>
        <v/>
      </c>
      <c r="B961" s="12"/>
      <c r="C961" s="16"/>
      <c r="D961" s="16"/>
      <c r="E961" s="16"/>
      <c r="F961" s="16"/>
      <c r="G961" s="16"/>
      <c r="H961" s="16"/>
      <c r="I961" s="16"/>
      <c r="J961" s="16"/>
      <c r="K961" s="16"/>
      <c r="L961" s="13"/>
      <c r="M961" s="13"/>
      <c r="N961" s="13"/>
      <c r="O961" s="13"/>
      <c r="P961" s="13"/>
      <c r="Q961" s="13"/>
      <c r="R961" s="13"/>
      <c r="S961" s="13"/>
      <c r="T961" s="13"/>
      <c r="U961" s="12"/>
      <c r="V961" s="14"/>
      <c r="W961" s="16"/>
      <c r="X961" s="16"/>
      <c r="Y961" s="16"/>
      <c r="Z961" s="16"/>
      <c r="AA961" s="15" t="str">
        <f aca="false">IF(AND(ISNUMBER(L961),ISNUMBER(M961)),M961-L961,"")</f>
        <v/>
      </c>
      <c r="AB961" s="15" t="str">
        <f aca="false">IF(AND(ISNUMBER(M961),ISNUMBER(P961)),P961-M961,"")</f>
        <v/>
      </c>
      <c r="AC961" s="15" t="str">
        <f aca="false">IF(AND(ISNUMBER(L961),ISNUMBER(P961)),P961-L961,"")</f>
        <v/>
      </c>
      <c r="AD961" s="15" t="str">
        <f aca="false">IF(AND(ISNUMBER(P961),ISNUMBER(Q961)),Q961-P961,"")</f>
        <v/>
      </c>
      <c r="AE961" s="15" t="str">
        <f aca="false">IF(AND(ISNUMBER(Q961),ISNUMBER(R961)),R961-Q961,IF(ISNUMBER(Y961),Y961,""))</f>
        <v/>
      </c>
      <c r="AF961" s="15" t="str">
        <f aca="false">IF(AND(ISNUMBER(R961),ISNUMBER(S961)),S961-R961,"")</f>
        <v/>
      </c>
      <c r="AG961" s="15" t="str">
        <f aca="false">IF(AND(ISNUMBER(S961),ISNUMBER(T961)),T961-S961,"")</f>
        <v/>
      </c>
      <c r="AH961" s="15" t="str">
        <f aca="false">IF(AND(ISNUMBER(L961),ISNUMBER(T961)),T961-L961,"")</f>
        <v/>
      </c>
      <c r="AI961" s="15" t="str">
        <f aca="false">IF(AND(ISNUMBER(O961),ISNUMBER(Q961)),Q961-O961,"")</f>
        <v/>
      </c>
      <c r="AJ961" s="15" t="str">
        <f aca="false">IF(B961="","",COUNT(L961:M961,P961:T961)&amp;"/7")</f>
        <v/>
      </c>
      <c r="AK961" s="15" t="str">
        <f aca="false">IF(B961="","",IF(OR(AND(ISNUMBER(L961),ISNUMBER(M961),M961&lt;L961),AND(ISNUMBER(M961),ISNUMBER(P961),P961&lt;M961),AND(ISNUMBER(P961),ISNUMBER(Q961),Q961&lt;P961),AND(ISNUMBER(Q961),ISNUMBER(R961),R961&lt;Q961),AND(ISNUMBER(R961),ISNUMBER(S961),S961&lt;R961),AND(ISNUMBER(S961),ISNUMBER(T961),T961&lt;S961),AND(ISNUMBER(N961),ISNUMBER(O961),O961&lt;N961)),"Urutan tanggal salah",IF(AND(ISNUMBER(Q961),ISNUMBER(R961),ISNUMBER(Y961),ABS(R961-Q961-Y961)&gt;2),"S tanggal ≠ Sailing tercatat",IF(AND(ISNUMBER(Q961),ISNUMBER(O961),ABS(Q961-O961)&gt;60),"Cek tahun laycan",IF(AND(ISNUMBER(Q961),ISNUMBER(N961),Q961&lt;N961),"Berangkat sebelum laycan",IF(NOT(ISNUMBER(AE961)),"S belum ada","OK"))))))</f>
        <v/>
      </c>
    </row>
    <row r="962" customFormat="false" ht="15" hidden="false" customHeight="false" outlineLevel="0" collapsed="false">
      <c r="A962" s="16" t="str">
        <f aca="false">IF(B962="","",ROW()-4)</f>
        <v/>
      </c>
      <c r="B962" s="12"/>
      <c r="C962" s="16"/>
      <c r="D962" s="16"/>
      <c r="E962" s="16"/>
      <c r="F962" s="16"/>
      <c r="G962" s="16"/>
      <c r="H962" s="16"/>
      <c r="I962" s="16"/>
      <c r="J962" s="16"/>
      <c r="K962" s="16"/>
      <c r="L962" s="13"/>
      <c r="M962" s="13"/>
      <c r="N962" s="13"/>
      <c r="O962" s="13"/>
      <c r="P962" s="13"/>
      <c r="Q962" s="13"/>
      <c r="R962" s="13"/>
      <c r="S962" s="13"/>
      <c r="T962" s="13"/>
      <c r="U962" s="12"/>
      <c r="V962" s="14"/>
      <c r="W962" s="16"/>
      <c r="X962" s="16"/>
      <c r="Y962" s="16"/>
      <c r="Z962" s="16"/>
      <c r="AA962" s="15" t="str">
        <f aca="false">IF(AND(ISNUMBER(L962),ISNUMBER(M962)),M962-L962,"")</f>
        <v/>
      </c>
      <c r="AB962" s="15" t="str">
        <f aca="false">IF(AND(ISNUMBER(M962),ISNUMBER(P962)),P962-M962,"")</f>
        <v/>
      </c>
      <c r="AC962" s="15" t="str">
        <f aca="false">IF(AND(ISNUMBER(L962),ISNUMBER(P962)),P962-L962,"")</f>
        <v/>
      </c>
      <c r="AD962" s="15" t="str">
        <f aca="false">IF(AND(ISNUMBER(P962),ISNUMBER(Q962)),Q962-P962,"")</f>
        <v/>
      </c>
      <c r="AE962" s="15" t="str">
        <f aca="false">IF(AND(ISNUMBER(Q962),ISNUMBER(R962)),R962-Q962,IF(ISNUMBER(Y962),Y962,""))</f>
        <v/>
      </c>
      <c r="AF962" s="15" t="str">
        <f aca="false">IF(AND(ISNUMBER(R962),ISNUMBER(S962)),S962-R962,"")</f>
        <v/>
      </c>
      <c r="AG962" s="15" t="str">
        <f aca="false">IF(AND(ISNUMBER(S962),ISNUMBER(T962)),T962-S962,"")</f>
        <v/>
      </c>
      <c r="AH962" s="15" t="str">
        <f aca="false">IF(AND(ISNUMBER(L962),ISNUMBER(T962)),T962-L962,"")</f>
        <v/>
      </c>
      <c r="AI962" s="15" t="str">
        <f aca="false">IF(AND(ISNUMBER(O962),ISNUMBER(Q962)),Q962-O962,"")</f>
        <v/>
      </c>
      <c r="AJ962" s="15" t="str">
        <f aca="false">IF(B962="","",COUNT(L962:M962,P962:T962)&amp;"/7")</f>
        <v/>
      </c>
      <c r="AK962" s="15" t="str">
        <f aca="false">IF(B962="","",IF(OR(AND(ISNUMBER(L962),ISNUMBER(M962),M962&lt;L962),AND(ISNUMBER(M962),ISNUMBER(P962),P962&lt;M962),AND(ISNUMBER(P962),ISNUMBER(Q962),Q962&lt;P962),AND(ISNUMBER(Q962),ISNUMBER(R962),R962&lt;Q962),AND(ISNUMBER(R962),ISNUMBER(S962),S962&lt;R962),AND(ISNUMBER(S962),ISNUMBER(T962),T962&lt;S962),AND(ISNUMBER(N962),ISNUMBER(O962),O962&lt;N962)),"Urutan tanggal salah",IF(AND(ISNUMBER(Q962),ISNUMBER(R962),ISNUMBER(Y962),ABS(R962-Q962-Y962)&gt;2),"S tanggal ≠ Sailing tercatat",IF(AND(ISNUMBER(Q962),ISNUMBER(O962),ABS(Q962-O962)&gt;60),"Cek tahun laycan",IF(AND(ISNUMBER(Q962),ISNUMBER(N962),Q962&lt;N962),"Berangkat sebelum laycan",IF(NOT(ISNUMBER(AE962)),"S belum ada","OK"))))))</f>
        <v/>
      </c>
    </row>
    <row r="963" customFormat="false" ht="15" hidden="false" customHeight="false" outlineLevel="0" collapsed="false">
      <c r="A963" s="16" t="str">
        <f aca="false">IF(B963="","",ROW()-4)</f>
        <v/>
      </c>
      <c r="B963" s="12"/>
      <c r="C963" s="16"/>
      <c r="D963" s="16"/>
      <c r="E963" s="16"/>
      <c r="F963" s="16"/>
      <c r="G963" s="16"/>
      <c r="H963" s="16"/>
      <c r="I963" s="16"/>
      <c r="J963" s="16"/>
      <c r="K963" s="16"/>
      <c r="L963" s="13"/>
      <c r="M963" s="13"/>
      <c r="N963" s="13"/>
      <c r="O963" s="13"/>
      <c r="P963" s="13"/>
      <c r="Q963" s="13"/>
      <c r="R963" s="13"/>
      <c r="S963" s="13"/>
      <c r="T963" s="13"/>
      <c r="U963" s="12"/>
      <c r="V963" s="14"/>
      <c r="W963" s="16"/>
      <c r="X963" s="16"/>
      <c r="Y963" s="16"/>
      <c r="Z963" s="16"/>
      <c r="AA963" s="15" t="str">
        <f aca="false">IF(AND(ISNUMBER(L963),ISNUMBER(M963)),M963-L963,"")</f>
        <v/>
      </c>
      <c r="AB963" s="15" t="str">
        <f aca="false">IF(AND(ISNUMBER(M963),ISNUMBER(P963)),P963-M963,"")</f>
        <v/>
      </c>
      <c r="AC963" s="15" t="str">
        <f aca="false">IF(AND(ISNUMBER(L963),ISNUMBER(P963)),P963-L963,"")</f>
        <v/>
      </c>
      <c r="AD963" s="15" t="str">
        <f aca="false">IF(AND(ISNUMBER(P963),ISNUMBER(Q963)),Q963-P963,"")</f>
        <v/>
      </c>
      <c r="AE963" s="15" t="str">
        <f aca="false">IF(AND(ISNUMBER(Q963),ISNUMBER(R963)),R963-Q963,IF(ISNUMBER(Y963),Y963,""))</f>
        <v/>
      </c>
      <c r="AF963" s="15" t="str">
        <f aca="false">IF(AND(ISNUMBER(R963),ISNUMBER(S963)),S963-R963,"")</f>
        <v/>
      </c>
      <c r="AG963" s="15" t="str">
        <f aca="false">IF(AND(ISNUMBER(S963),ISNUMBER(T963)),T963-S963,"")</f>
        <v/>
      </c>
      <c r="AH963" s="15" t="str">
        <f aca="false">IF(AND(ISNUMBER(L963),ISNUMBER(T963)),T963-L963,"")</f>
        <v/>
      </c>
      <c r="AI963" s="15" t="str">
        <f aca="false">IF(AND(ISNUMBER(O963),ISNUMBER(Q963)),Q963-O963,"")</f>
        <v/>
      </c>
      <c r="AJ963" s="15" t="str">
        <f aca="false">IF(B963="","",COUNT(L963:M963,P963:T963)&amp;"/7")</f>
        <v/>
      </c>
      <c r="AK963" s="15" t="str">
        <f aca="false">IF(B963="","",IF(OR(AND(ISNUMBER(L963),ISNUMBER(M963),M963&lt;L963),AND(ISNUMBER(M963),ISNUMBER(P963),P963&lt;M963),AND(ISNUMBER(P963),ISNUMBER(Q963),Q963&lt;P963),AND(ISNUMBER(Q963),ISNUMBER(R963),R963&lt;Q963),AND(ISNUMBER(R963),ISNUMBER(S963),S963&lt;R963),AND(ISNUMBER(S963),ISNUMBER(T963),T963&lt;S963),AND(ISNUMBER(N963),ISNUMBER(O963),O963&lt;N963)),"Urutan tanggal salah",IF(AND(ISNUMBER(Q963),ISNUMBER(R963),ISNUMBER(Y963),ABS(R963-Q963-Y963)&gt;2),"S tanggal ≠ Sailing tercatat",IF(AND(ISNUMBER(Q963),ISNUMBER(O963),ABS(Q963-O963)&gt;60),"Cek tahun laycan",IF(AND(ISNUMBER(Q963),ISNUMBER(N963),Q963&lt;N963),"Berangkat sebelum laycan",IF(NOT(ISNUMBER(AE963)),"S belum ada","OK"))))))</f>
        <v/>
      </c>
    </row>
    <row r="964" customFormat="false" ht="15" hidden="false" customHeight="false" outlineLevel="0" collapsed="false">
      <c r="A964" s="16" t="str">
        <f aca="false">IF(B964="","",ROW()-4)</f>
        <v/>
      </c>
      <c r="B964" s="12"/>
      <c r="C964" s="16"/>
      <c r="D964" s="16"/>
      <c r="E964" s="16"/>
      <c r="F964" s="16"/>
      <c r="G964" s="16"/>
      <c r="H964" s="16"/>
      <c r="I964" s="16"/>
      <c r="J964" s="16"/>
      <c r="K964" s="16"/>
      <c r="L964" s="13"/>
      <c r="M964" s="13"/>
      <c r="N964" s="13"/>
      <c r="O964" s="13"/>
      <c r="P964" s="13"/>
      <c r="Q964" s="13"/>
      <c r="R964" s="13"/>
      <c r="S964" s="13"/>
      <c r="T964" s="13"/>
      <c r="U964" s="12"/>
      <c r="V964" s="14"/>
      <c r="W964" s="16"/>
      <c r="X964" s="16"/>
      <c r="Y964" s="16"/>
      <c r="Z964" s="16"/>
      <c r="AA964" s="15" t="str">
        <f aca="false">IF(AND(ISNUMBER(L964),ISNUMBER(M964)),M964-L964,"")</f>
        <v/>
      </c>
      <c r="AB964" s="15" t="str">
        <f aca="false">IF(AND(ISNUMBER(M964),ISNUMBER(P964)),P964-M964,"")</f>
        <v/>
      </c>
      <c r="AC964" s="15" t="str">
        <f aca="false">IF(AND(ISNUMBER(L964),ISNUMBER(P964)),P964-L964,"")</f>
        <v/>
      </c>
      <c r="AD964" s="15" t="str">
        <f aca="false">IF(AND(ISNUMBER(P964),ISNUMBER(Q964)),Q964-P964,"")</f>
        <v/>
      </c>
      <c r="AE964" s="15" t="str">
        <f aca="false">IF(AND(ISNUMBER(Q964),ISNUMBER(R964)),R964-Q964,IF(ISNUMBER(Y964),Y964,""))</f>
        <v/>
      </c>
      <c r="AF964" s="15" t="str">
        <f aca="false">IF(AND(ISNUMBER(R964),ISNUMBER(S964)),S964-R964,"")</f>
        <v/>
      </c>
      <c r="AG964" s="15" t="str">
        <f aca="false">IF(AND(ISNUMBER(S964),ISNUMBER(T964)),T964-S964,"")</f>
        <v/>
      </c>
      <c r="AH964" s="15" t="str">
        <f aca="false">IF(AND(ISNUMBER(L964),ISNUMBER(T964)),T964-L964,"")</f>
        <v/>
      </c>
      <c r="AI964" s="15" t="str">
        <f aca="false">IF(AND(ISNUMBER(O964),ISNUMBER(Q964)),Q964-O964,"")</f>
        <v/>
      </c>
      <c r="AJ964" s="15" t="str">
        <f aca="false">IF(B964="","",COUNT(L964:M964,P964:T964)&amp;"/7")</f>
        <v/>
      </c>
      <c r="AK964" s="15" t="str">
        <f aca="false">IF(B964="","",IF(OR(AND(ISNUMBER(L964),ISNUMBER(M964),M964&lt;L964),AND(ISNUMBER(M964),ISNUMBER(P964),P964&lt;M964),AND(ISNUMBER(P964),ISNUMBER(Q964),Q964&lt;P964),AND(ISNUMBER(Q964),ISNUMBER(R964),R964&lt;Q964),AND(ISNUMBER(R964),ISNUMBER(S964),S964&lt;R964),AND(ISNUMBER(S964),ISNUMBER(T964),T964&lt;S964),AND(ISNUMBER(N964),ISNUMBER(O964),O964&lt;N964)),"Urutan tanggal salah",IF(AND(ISNUMBER(Q964),ISNUMBER(R964),ISNUMBER(Y964),ABS(R964-Q964-Y964)&gt;2),"S tanggal ≠ Sailing tercatat",IF(AND(ISNUMBER(Q964),ISNUMBER(O964),ABS(Q964-O964)&gt;60),"Cek tahun laycan",IF(AND(ISNUMBER(Q964),ISNUMBER(N964),Q964&lt;N964),"Berangkat sebelum laycan",IF(NOT(ISNUMBER(AE964)),"S belum ada","OK"))))))</f>
        <v/>
      </c>
    </row>
    <row r="965" customFormat="false" ht="15" hidden="false" customHeight="false" outlineLevel="0" collapsed="false">
      <c r="A965" s="16" t="str">
        <f aca="false">IF(B965="","",ROW()-4)</f>
        <v/>
      </c>
      <c r="B965" s="12"/>
      <c r="C965" s="16"/>
      <c r="D965" s="16"/>
      <c r="E965" s="16"/>
      <c r="F965" s="16"/>
      <c r="G965" s="16"/>
      <c r="H965" s="16"/>
      <c r="I965" s="16"/>
      <c r="J965" s="16"/>
      <c r="K965" s="16"/>
      <c r="L965" s="13"/>
      <c r="M965" s="13"/>
      <c r="N965" s="13"/>
      <c r="O965" s="13"/>
      <c r="P965" s="13"/>
      <c r="Q965" s="13"/>
      <c r="R965" s="13"/>
      <c r="S965" s="13"/>
      <c r="T965" s="13"/>
      <c r="U965" s="12"/>
      <c r="V965" s="14"/>
      <c r="W965" s="16"/>
      <c r="X965" s="16"/>
      <c r="Y965" s="16"/>
      <c r="Z965" s="16"/>
      <c r="AA965" s="15" t="str">
        <f aca="false">IF(AND(ISNUMBER(L965),ISNUMBER(M965)),M965-L965,"")</f>
        <v/>
      </c>
      <c r="AB965" s="15" t="str">
        <f aca="false">IF(AND(ISNUMBER(M965),ISNUMBER(P965)),P965-M965,"")</f>
        <v/>
      </c>
      <c r="AC965" s="15" t="str">
        <f aca="false">IF(AND(ISNUMBER(L965),ISNUMBER(P965)),P965-L965,"")</f>
        <v/>
      </c>
      <c r="AD965" s="15" t="str">
        <f aca="false">IF(AND(ISNUMBER(P965),ISNUMBER(Q965)),Q965-P965,"")</f>
        <v/>
      </c>
      <c r="AE965" s="15" t="str">
        <f aca="false">IF(AND(ISNUMBER(Q965),ISNUMBER(R965)),R965-Q965,IF(ISNUMBER(Y965),Y965,""))</f>
        <v/>
      </c>
      <c r="AF965" s="15" t="str">
        <f aca="false">IF(AND(ISNUMBER(R965),ISNUMBER(S965)),S965-R965,"")</f>
        <v/>
      </c>
      <c r="AG965" s="15" t="str">
        <f aca="false">IF(AND(ISNUMBER(S965),ISNUMBER(T965)),T965-S965,"")</f>
        <v/>
      </c>
      <c r="AH965" s="15" t="str">
        <f aca="false">IF(AND(ISNUMBER(L965),ISNUMBER(T965)),T965-L965,"")</f>
        <v/>
      </c>
      <c r="AI965" s="15" t="str">
        <f aca="false">IF(AND(ISNUMBER(O965),ISNUMBER(Q965)),Q965-O965,"")</f>
        <v/>
      </c>
      <c r="AJ965" s="15" t="str">
        <f aca="false">IF(B965="","",COUNT(L965:M965,P965:T965)&amp;"/7")</f>
        <v/>
      </c>
      <c r="AK965" s="15" t="str">
        <f aca="false">IF(B965="","",IF(OR(AND(ISNUMBER(L965),ISNUMBER(M965),M965&lt;L965),AND(ISNUMBER(M965),ISNUMBER(P965),P965&lt;M965),AND(ISNUMBER(P965),ISNUMBER(Q965),Q965&lt;P965),AND(ISNUMBER(Q965),ISNUMBER(R965),R965&lt;Q965),AND(ISNUMBER(R965),ISNUMBER(S965),S965&lt;R965),AND(ISNUMBER(S965),ISNUMBER(T965),T965&lt;S965),AND(ISNUMBER(N965),ISNUMBER(O965),O965&lt;N965)),"Urutan tanggal salah",IF(AND(ISNUMBER(Q965),ISNUMBER(R965),ISNUMBER(Y965),ABS(R965-Q965-Y965)&gt;2),"S tanggal ≠ Sailing tercatat",IF(AND(ISNUMBER(Q965),ISNUMBER(O965),ABS(Q965-O965)&gt;60),"Cek tahun laycan",IF(AND(ISNUMBER(Q965),ISNUMBER(N965),Q965&lt;N965),"Berangkat sebelum laycan",IF(NOT(ISNUMBER(AE965)),"S belum ada","OK"))))))</f>
        <v/>
      </c>
    </row>
    <row r="966" customFormat="false" ht="15" hidden="false" customHeight="false" outlineLevel="0" collapsed="false">
      <c r="A966" s="16" t="str">
        <f aca="false">IF(B966="","",ROW()-4)</f>
        <v/>
      </c>
      <c r="B966" s="12"/>
      <c r="C966" s="16"/>
      <c r="D966" s="16"/>
      <c r="E966" s="16"/>
      <c r="F966" s="16"/>
      <c r="G966" s="16"/>
      <c r="H966" s="16"/>
      <c r="I966" s="16"/>
      <c r="J966" s="16"/>
      <c r="K966" s="16"/>
      <c r="L966" s="13"/>
      <c r="M966" s="13"/>
      <c r="N966" s="13"/>
      <c r="O966" s="13"/>
      <c r="P966" s="13"/>
      <c r="Q966" s="13"/>
      <c r="R966" s="13"/>
      <c r="S966" s="13"/>
      <c r="T966" s="13"/>
      <c r="U966" s="12"/>
      <c r="V966" s="14"/>
      <c r="W966" s="16"/>
      <c r="X966" s="16"/>
      <c r="Y966" s="16"/>
      <c r="Z966" s="16"/>
      <c r="AA966" s="15" t="str">
        <f aca="false">IF(AND(ISNUMBER(L966),ISNUMBER(M966)),M966-L966,"")</f>
        <v/>
      </c>
      <c r="AB966" s="15" t="str">
        <f aca="false">IF(AND(ISNUMBER(M966),ISNUMBER(P966)),P966-M966,"")</f>
        <v/>
      </c>
      <c r="AC966" s="15" t="str">
        <f aca="false">IF(AND(ISNUMBER(L966),ISNUMBER(P966)),P966-L966,"")</f>
        <v/>
      </c>
      <c r="AD966" s="15" t="str">
        <f aca="false">IF(AND(ISNUMBER(P966),ISNUMBER(Q966)),Q966-P966,"")</f>
        <v/>
      </c>
      <c r="AE966" s="15" t="str">
        <f aca="false">IF(AND(ISNUMBER(Q966),ISNUMBER(R966)),R966-Q966,IF(ISNUMBER(Y966),Y966,""))</f>
        <v/>
      </c>
      <c r="AF966" s="15" t="str">
        <f aca="false">IF(AND(ISNUMBER(R966),ISNUMBER(S966)),S966-R966,"")</f>
        <v/>
      </c>
      <c r="AG966" s="15" t="str">
        <f aca="false">IF(AND(ISNUMBER(S966),ISNUMBER(T966)),T966-S966,"")</f>
        <v/>
      </c>
      <c r="AH966" s="15" t="str">
        <f aca="false">IF(AND(ISNUMBER(L966),ISNUMBER(T966)),T966-L966,"")</f>
        <v/>
      </c>
      <c r="AI966" s="15" t="str">
        <f aca="false">IF(AND(ISNUMBER(O966),ISNUMBER(Q966)),Q966-O966,"")</f>
        <v/>
      </c>
      <c r="AJ966" s="15" t="str">
        <f aca="false">IF(B966="","",COUNT(L966:M966,P966:T966)&amp;"/7")</f>
        <v/>
      </c>
      <c r="AK966" s="15" t="str">
        <f aca="false">IF(B966="","",IF(OR(AND(ISNUMBER(L966),ISNUMBER(M966),M966&lt;L966),AND(ISNUMBER(M966),ISNUMBER(P966),P966&lt;M966),AND(ISNUMBER(P966),ISNUMBER(Q966),Q966&lt;P966),AND(ISNUMBER(Q966),ISNUMBER(R966),R966&lt;Q966),AND(ISNUMBER(R966),ISNUMBER(S966),S966&lt;R966),AND(ISNUMBER(S966),ISNUMBER(T966),T966&lt;S966),AND(ISNUMBER(N966),ISNUMBER(O966),O966&lt;N966)),"Urutan tanggal salah",IF(AND(ISNUMBER(Q966),ISNUMBER(R966),ISNUMBER(Y966),ABS(R966-Q966-Y966)&gt;2),"S tanggal ≠ Sailing tercatat",IF(AND(ISNUMBER(Q966),ISNUMBER(O966),ABS(Q966-O966)&gt;60),"Cek tahun laycan",IF(AND(ISNUMBER(Q966),ISNUMBER(N966),Q966&lt;N966),"Berangkat sebelum laycan",IF(NOT(ISNUMBER(AE966)),"S belum ada","OK"))))))</f>
        <v/>
      </c>
    </row>
    <row r="967" customFormat="false" ht="15" hidden="false" customHeight="false" outlineLevel="0" collapsed="false">
      <c r="A967" s="16" t="str">
        <f aca="false">IF(B967="","",ROW()-4)</f>
        <v/>
      </c>
      <c r="B967" s="12"/>
      <c r="C967" s="16"/>
      <c r="D967" s="16"/>
      <c r="E967" s="16"/>
      <c r="F967" s="16"/>
      <c r="G967" s="16"/>
      <c r="H967" s="16"/>
      <c r="I967" s="16"/>
      <c r="J967" s="16"/>
      <c r="K967" s="16"/>
      <c r="L967" s="13"/>
      <c r="M967" s="13"/>
      <c r="N967" s="13"/>
      <c r="O967" s="13"/>
      <c r="P967" s="13"/>
      <c r="Q967" s="13"/>
      <c r="R967" s="13"/>
      <c r="S967" s="13"/>
      <c r="T967" s="13"/>
      <c r="U967" s="12"/>
      <c r="V967" s="14"/>
      <c r="W967" s="16"/>
      <c r="X967" s="16"/>
      <c r="Y967" s="16"/>
      <c r="Z967" s="16"/>
      <c r="AA967" s="15" t="str">
        <f aca="false">IF(AND(ISNUMBER(L967),ISNUMBER(M967)),M967-L967,"")</f>
        <v/>
      </c>
      <c r="AB967" s="15" t="str">
        <f aca="false">IF(AND(ISNUMBER(M967),ISNUMBER(P967)),P967-M967,"")</f>
        <v/>
      </c>
      <c r="AC967" s="15" t="str">
        <f aca="false">IF(AND(ISNUMBER(L967),ISNUMBER(P967)),P967-L967,"")</f>
        <v/>
      </c>
      <c r="AD967" s="15" t="str">
        <f aca="false">IF(AND(ISNUMBER(P967),ISNUMBER(Q967)),Q967-P967,"")</f>
        <v/>
      </c>
      <c r="AE967" s="15" t="str">
        <f aca="false">IF(AND(ISNUMBER(Q967),ISNUMBER(R967)),R967-Q967,IF(ISNUMBER(Y967),Y967,""))</f>
        <v/>
      </c>
      <c r="AF967" s="15" t="str">
        <f aca="false">IF(AND(ISNUMBER(R967),ISNUMBER(S967)),S967-R967,"")</f>
        <v/>
      </c>
      <c r="AG967" s="15" t="str">
        <f aca="false">IF(AND(ISNUMBER(S967),ISNUMBER(T967)),T967-S967,"")</f>
        <v/>
      </c>
      <c r="AH967" s="15" t="str">
        <f aca="false">IF(AND(ISNUMBER(L967),ISNUMBER(T967)),T967-L967,"")</f>
        <v/>
      </c>
      <c r="AI967" s="15" t="str">
        <f aca="false">IF(AND(ISNUMBER(O967),ISNUMBER(Q967)),Q967-O967,"")</f>
        <v/>
      </c>
      <c r="AJ967" s="15" t="str">
        <f aca="false">IF(B967="","",COUNT(L967:M967,P967:T967)&amp;"/7")</f>
        <v/>
      </c>
      <c r="AK967" s="15" t="str">
        <f aca="false">IF(B967="","",IF(OR(AND(ISNUMBER(L967),ISNUMBER(M967),M967&lt;L967),AND(ISNUMBER(M967),ISNUMBER(P967),P967&lt;M967),AND(ISNUMBER(P967),ISNUMBER(Q967),Q967&lt;P967),AND(ISNUMBER(Q967),ISNUMBER(R967),R967&lt;Q967),AND(ISNUMBER(R967),ISNUMBER(S967),S967&lt;R967),AND(ISNUMBER(S967),ISNUMBER(T967),T967&lt;S967),AND(ISNUMBER(N967),ISNUMBER(O967),O967&lt;N967)),"Urutan tanggal salah",IF(AND(ISNUMBER(Q967),ISNUMBER(R967),ISNUMBER(Y967),ABS(R967-Q967-Y967)&gt;2),"S tanggal ≠ Sailing tercatat",IF(AND(ISNUMBER(Q967),ISNUMBER(O967),ABS(Q967-O967)&gt;60),"Cek tahun laycan",IF(AND(ISNUMBER(Q967),ISNUMBER(N967),Q967&lt;N967),"Berangkat sebelum laycan",IF(NOT(ISNUMBER(AE967)),"S belum ada","OK"))))))</f>
        <v/>
      </c>
    </row>
    <row r="968" customFormat="false" ht="15" hidden="false" customHeight="false" outlineLevel="0" collapsed="false">
      <c r="A968" s="16" t="str">
        <f aca="false">IF(B968="","",ROW()-4)</f>
        <v/>
      </c>
      <c r="B968" s="12"/>
      <c r="C968" s="16"/>
      <c r="D968" s="16"/>
      <c r="E968" s="16"/>
      <c r="F968" s="16"/>
      <c r="G968" s="16"/>
      <c r="H968" s="16"/>
      <c r="I968" s="16"/>
      <c r="J968" s="16"/>
      <c r="K968" s="16"/>
      <c r="L968" s="13"/>
      <c r="M968" s="13"/>
      <c r="N968" s="13"/>
      <c r="O968" s="13"/>
      <c r="P968" s="13"/>
      <c r="Q968" s="13"/>
      <c r="R968" s="13"/>
      <c r="S968" s="13"/>
      <c r="T968" s="13"/>
      <c r="U968" s="12"/>
      <c r="V968" s="14"/>
      <c r="W968" s="16"/>
      <c r="X968" s="16"/>
      <c r="Y968" s="16"/>
      <c r="Z968" s="16"/>
      <c r="AA968" s="15" t="str">
        <f aca="false">IF(AND(ISNUMBER(L968),ISNUMBER(M968)),M968-L968,"")</f>
        <v/>
      </c>
      <c r="AB968" s="15" t="str">
        <f aca="false">IF(AND(ISNUMBER(M968),ISNUMBER(P968)),P968-M968,"")</f>
        <v/>
      </c>
      <c r="AC968" s="15" t="str">
        <f aca="false">IF(AND(ISNUMBER(L968),ISNUMBER(P968)),P968-L968,"")</f>
        <v/>
      </c>
      <c r="AD968" s="15" t="str">
        <f aca="false">IF(AND(ISNUMBER(P968),ISNUMBER(Q968)),Q968-P968,"")</f>
        <v/>
      </c>
      <c r="AE968" s="15" t="str">
        <f aca="false">IF(AND(ISNUMBER(Q968),ISNUMBER(R968)),R968-Q968,IF(ISNUMBER(Y968),Y968,""))</f>
        <v/>
      </c>
      <c r="AF968" s="15" t="str">
        <f aca="false">IF(AND(ISNUMBER(R968),ISNUMBER(S968)),S968-R968,"")</f>
        <v/>
      </c>
      <c r="AG968" s="15" t="str">
        <f aca="false">IF(AND(ISNUMBER(S968),ISNUMBER(T968)),T968-S968,"")</f>
        <v/>
      </c>
      <c r="AH968" s="15" t="str">
        <f aca="false">IF(AND(ISNUMBER(L968),ISNUMBER(T968)),T968-L968,"")</f>
        <v/>
      </c>
      <c r="AI968" s="15" t="str">
        <f aca="false">IF(AND(ISNUMBER(O968),ISNUMBER(Q968)),Q968-O968,"")</f>
        <v/>
      </c>
      <c r="AJ968" s="15" t="str">
        <f aca="false">IF(B968="","",COUNT(L968:M968,P968:T968)&amp;"/7")</f>
        <v/>
      </c>
      <c r="AK968" s="15" t="str">
        <f aca="false">IF(B968="","",IF(OR(AND(ISNUMBER(L968),ISNUMBER(M968),M968&lt;L968),AND(ISNUMBER(M968),ISNUMBER(P968),P968&lt;M968),AND(ISNUMBER(P968),ISNUMBER(Q968),Q968&lt;P968),AND(ISNUMBER(Q968),ISNUMBER(R968),R968&lt;Q968),AND(ISNUMBER(R968),ISNUMBER(S968),S968&lt;R968),AND(ISNUMBER(S968),ISNUMBER(T968),T968&lt;S968),AND(ISNUMBER(N968),ISNUMBER(O968),O968&lt;N968)),"Urutan tanggal salah",IF(AND(ISNUMBER(Q968),ISNUMBER(R968),ISNUMBER(Y968),ABS(R968-Q968-Y968)&gt;2),"S tanggal ≠ Sailing tercatat",IF(AND(ISNUMBER(Q968),ISNUMBER(O968),ABS(Q968-O968)&gt;60),"Cek tahun laycan",IF(AND(ISNUMBER(Q968),ISNUMBER(N968),Q968&lt;N968),"Berangkat sebelum laycan",IF(NOT(ISNUMBER(AE968)),"S belum ada","OK"))))))</f>
        <v/>
      </c>
    </row>
    <row r="969" customFormat="false" ht="15" hidden="false" customHeight="false" outlineLevel="0" collapsed="false">
      <c r="A969" s="16" t="str">
        <f aca="false">IF(B969="","",ROW()-4)</f>
        <v/>
      </c>
      <c r="B969" s="12"/>
      <c r="C969" s="16"/>
      <c r="D969" s="16"/>
      <c r="E969" s="16"/>
      <c r="F969" s="16"/>
      <c r="G969" s="16"/>
      <c r="H969" s="16"/>
      <c r="I969" s="16"/>
      <c r="J969" s="16"/>
      <c r="K969" s="16"/>
      <c r="L969" s="13"/>
      <c r="M969" s="13"/>
      <c r="N969" s="13"/>
      <c r="O969" s="13"/>
      <c r="P969" s="13"/>
      <c r="Q969" s="13"/>
      <c r="R969" s="13"/>
      <c r="S969" s="13"/>
      <c r="T969" s="13"/>
      <c r="U969" s="12"/>
      <c r="V969" s="14"/>
      <c r="W969" s="16"/>
      <c r="X969" s="16"/>
      <c r="Y969" s="16"/>
      <c r="Z969" s="16"/>
      <c r="AA969" s="15" t="str">
        <f aca="false">IF(AND(ISNUMBER(L969),ISNUMBER(M969)),M969-L969,"")</f>
        <v/>
      </c>
      <c r="AB969" s="15" t="str">
        <f aca="false">IF(AND(ISNUMBER(M969),ISNUMBER(P969)),P969-M969,"")</f>
        <v/>
      </c>
      <c r="AC969" s="15" t="str">
        <f aca="false">IF(AND(ISNUMBER(L969),ISNUMBER(P969)),P969-L969,"")</f>
        <v/>
      </c>
      <c r="AD969" s="15" t="str">
        <f aca="false">IF(AND(ISNUMBER(P969),ISNUMBER(Q969)),Q969-P969,"")</f>
        <v/>
      </c>
      <c r="AE969" s="15" t="str">
        <f aca="false">IF(AND(ISNUMBER(Q969),ISNUMBER(R969)),R969-Q969,IF(ISNUMBER(Y969),Y969,""))</f>
        <v/>
      </c>
      <c r="AF969" s="15" t="str">
        <f aca="false">IF(AND(ISNUMBER(R969),ISNUMBER(S969)),S969-R969,"")</f>
        <v/>
      </c>
      <c r="AG969" s="15" t="str">
        <f aca="false">IF(AND(ISNUMBER(S969),ISNUMBER(T969)),T969-S969,"")</f>
        <v/>
      </c>
      <c r="AH969" s="15" t="str">
        <f aca="false">IF(AND(ISNUMBER(L969),ISNUMBER(T969)),T969-L969,"")</f>
        <v/>
      </c>
      <c r="AI969" s="15" t="str">
        <f aca="false">IF(AND(ISNUMBER(O969),ISNUMBER(Q969)),Q969-O969,"")</f>
        <v/>
      </c>
      <c r="AJ969" s="15" t="str">
        <f aca="false">IF(B969="","",COUNT(L969:M969,P969:T969)&amp;"/7")</f>
        <v/>
      </c>
      <c r="AK969" s="15" t="str">
        <f aca="false">IF(B969="","",IF(OR(AND(ISNUMBER(L969),ISNUMBER(M969),M969&lt;L969),AND(ISNUMBER(M969),ISNUMBER(P969),P969&lt;M969),AND(ISNUMBER(P969),ISNUMBER(Q969),Q969&lt;P969),AND(ISNUMBER(Q969),ISNUMBER(R969),R969&lt;Q969),AND(ISNUMBER(R969),ISNUMBER(S969),S969&lt;R969),AND(ISNUMBER(S969),ISNUMBER(T969),T969&lt;S969),AND(ISNUMBER(N969),ISNUMBER(O969),O969&lt;N969)),"Urutan tanggal salah",IF(AND(ISNUMBER(Q969),ISNUMBER(R969),ISNUMBER(Y969),ABS(R969-Q969-Y969)&gt;2),"S tanggal ≠ Sailing tercatat",IF(AND(ISNUMBER(Q969),ISNUMBER(O969),ABS(Q969-O969)&gt;60),"Cek tahun laycan",IF(AND(ISNUMBER(Q969),ISNUMBER(N969),Q969&lt;N969),"Berangkat sebelum laycan",IF(NOT(ISNUMBER(AE969)),"S belum ada","OK"))))))</f>
        <v/>
      </c>
    </row>
    <row r="970" customFormat="false" ht="15" hidden="false" customHeight="false" outlineLevel="0" collapsed="false">
      <c r="A970" s="16" t="str">
        <f aca="false">IF(B970="","",ROW()-4)</f>
        <v/>
      </c>
      <c r="B970" s="12"/>
      <c r="C970" s="16"/>
      <c r="D970" s="16"/>
      <c r="E970" s="16"/>
      <c r="F970" s="16"/>
      <c r="G970" s="16"/>
      <c r="H970" s="16"/>
      <c r="I970" s="16"/>
      <c r="J970" s="16"/>
      <c r="K970" s="16"/>
      <c r="L970" s="13"/>
      <c r="M970" s="13"/>
      <c r="N970" s="13"/>
      <c r="O970" s="13"/>
      <c r="P970" s="13"/>
      <c r="Q970" s="13"/>
      <c r="R970" s="13"/>
      <c r="S970" s="13"/>
      <c r="T970" s="13"/>
      <c r="U970" s="12"/>
      <c r="V970" s="14"/>
      <c r="W970" s="16"/>
      <c r="X970" s="16"/>
      <c r="Y970" s="16"/>
      <c r="Z970" s="16"/>
      <c r="AA970" s="15" t="str">
        <f aca="false">IF(AND(ISNUMBER(L970),ISNUMBER(M970)),M970-L970,"")</f>
        <v/>
      </c>
      <c r="AB970" s="15" t="str">
        <f aca="false">IF(AND(ISNUMBER(M970),ISNUMBER(P970)),P970-M970,"")</f>
        <v/>
      </c>
      <c r="AC970" s="15" t="str">
        <f aca="false">IF(AND(ISNUMBER(L970),ISNUMBER(P970)),P970-L970,"")</f>
        <v/>
      </c>
      <c r="AD970" s="15" t="str">
        <f aca="false">IF(AND(ISNUMBER(P970),ISNUMBER(Q970)),Q970-P970,"")</f>
        <v/>
      </c>
      <c r="AE970" s="15" t="str">
        <f aca="false">IF(AND(ISNUMBER(Q970),ISNUMBER(R970)),R970-Q970,IF(ISNUMBER(Y970),Y970,""))</f>
        <v/>
      </c>
      <c r="AF970" s="15" t="str">
        <f aca="false">IF(AND(ISNUMBER(R970),ISNUMBER(S970)),S970-R970,"")</f>
        <v/>
      </c>
      <c r="AG970" s="15" t="str">
        <f aca="false">IF(AND(ISNUMBER(S970),ISNUMBER(T970)),T970-S970,"")</f>
        <v/>
      </c>
      <c r="AH970" s="15" t="str">
        <f aca="false">IF(AND(ISNUMBER(L970),ISNUMBER(T970)),T970-L970,"")</f>
        <v/>
      </c>
      <c r="AI970" s="15" t="str">
        <f aca="false">IF(AND(ISNUMBER(O970),ISNUMBER(Q970)),Q970-O970,"")</f>
        <v/>
      </c>
      <c r="AJ970" s="15" t="str">
        <f aca="false">IF(B970="","",COUNT(L970:M970,P970:T970)&amp;"/7")</f>
        <v/>
      </c>
      <c r="AK970" s="15" t="str">
        <f aca="false">IF(B970="","",IF(OR(AND(ISNUMBER(L970),ISNUMBER(M970),M970&lt;L970),AND(ISNUMBER(M970),ISNUMBER(P970),P970&lt;M970),AND(ISNUMBER(P970),ISNUMBER(Q970),Q970&lt;P970),AND(ISNUMBER(Q970),ISNUMBER(R970),R970&lt;Q970),AND(ISNUMBER(R970),ISNUMBER(S970),S970&lt;R970),AND(ISNUMBER(S970),ISNUMBER(T970),T970&lt;S970),AND(ISNUMBER(N970),ISNUMBER(O970),O970&lt;N970)),"Urutan tanggal salah",IF(AND(ISNUMBER(Q970),ISNUMBER(R970),ISNUMBER(Y970),ABS(R970-Q970-Y970)&gt;2),"S tanggal ≠ Sailing tercatat",IF(AND(ISNUMBER(Q970),ISNUMBER(O970),ABS(Q970-O970)&gt;60),"Cek tahun laycan",IF(AND(ISNUMBER(Q970),ISNUMBER(N970),Q970&lt;N970),"Berangkat sebelum laycan",IF(NOT(ISNUMBER(AE970)),"S belum ada","OK"))))))</f>
        <v/>
      </c>
    </row>
    <row r="971" customFormat="false" ht="15" hidden="false" customHeight="false" outlineLevel="0" collapsed="false">
      <c r="A971" s="16" t="str">
        <f aca="false">IF(B971="","",ROW()-4)</f>
        <v/>
      </c>
      <c r="B971" s="12"/>
      <c r="C971" s="16"/>
      <c r="D971" s="16"/>
      <c r="E971" s="16"/>
      <c r="F971" s="16"/>
      <c r="G971" s="16"/>
      <c r="H971" s="16"/>
      <c r="I971" s="16"/>
      <c r="J971" s="16"/>
      <c r="K971" s="16"/>
      <c r="L971" s="13"/>
      <c r="M971" s="13"/>
      <c r="N971" s="13"/>
      <c r="O971" s="13"/>
      <c r="P971" s="13"/>
      <c r="Q971" s="13"/>
      <c r="R971" s="13"/>
      <c r="S971" s="13"/>
      <c r="T971" s="13"/>
      <c r="U971" s="12"/>
      <c r="V971" s="14"/>
      <c r="W971" s="16"/>
      <c r="X971" s="16"/>
      <c r="Y971" s="16"/>
      <c r="Z971" s="16"/>
      <c r="AA971" s="15" t="str">
        <f aca="false">IF(AND(ISNUMBER(L971),ISNUMBER(M971)),M971-L971,"")</f>
        <v/>
      </c>
      <c r="AB971" s="15" t="str">
        <f aca="false">IF(AND(ISNUMBER(M971),ISNUMBER(P971)),P971-M971,"")</f>
        <v/>
      </c>
      <c r="AC971" s="15" t="str">
        <f aca="false">IF(AND(ISNUMBER(L971),ISNUMBER(P971)),P971-L971,"")</f>
        <v/>
      </c>
      <c r="AD971" s="15" t="str">
        <f aca="false">IF(AND(ISNUMBER(P971),ISNUMBER(Q971)),Q971-P971,"")</f>
        <v/>
      </c>
      <c r="AE971" s="15" t="str">
        <f aca="false">IF(AND(ISNUMBER(Q971),ISNUMBER(R971)),R971-Q971,IF(ISNUMBER(Y971),Y971,""))</f>
        <v/>
      </c>
      <c r="AF971" s="15" t="str">
        <f aca="false">IF(AND(ISNUMBER(R971),ISNUMBER(S971)),S971-R971,"")</f>
        <v/>
      </c>
      <c r="AG971" s="15" t="str">
        <f aca="false">IF(AND(ISNUMBER(S971),ISNUMBER(T971)),T971-S971,"")</f>
        <v/>
      </c>
      <c r="AH971" s="15" t="str">
        <f aca="false">IF(AND(ISNUMBER(L971),ISNUMBER(T971)),T971-L971,"")</f>
        <v/>
      </c>
      <c r="AI971" s="15" t="str">
        <f aca="false">IF(AND(ISNUMBER(O971),ISNUMBER(Q971)),Q971-O971,"")</f>
        <v/>
      </c>
      <c r="AJ971" s="15" t="str">
        <f aca="false">IF(B971="","",COUNT(L971:M971,P971:T971)&amp;"/7")</f>
        <v/>
      </c>
      <c r="AK971" s="15" t="str">
        <f aca="false">IF(B971="","",IF(OR(AND(ISNUMBER(L971),ISNUMBER(M971),M971&lt;L971),AND(ISNUMBER(M971),ISNUMBER(P971),P971&lt;M971),AND(ISNUMBER(P971),ISNUMBER(Q971),Q971&lt;P971),AND(ISNUMBER(Q971),ISNUMBER(R971),R971&lt;Q971),AND(ISNUMBER(R971),ISNUMBER(S971),S971&lt;R971),AND(ISNUMBER(S971),ISNUMBER(T971),T971&lt;S971),AND(ISNUMBER(N971),ISNUMBER(O971),O971&lt;N971)),"Urutan tanggal salah",IF(AND(ISNUMBER(Q971),ISNUMBER(R971),ISNUMBER(Y971),ABS(R971-Q971-Y971)&gt;2),"S tanggal ≠ Sailing tercatat",IF(AND(ISNUMBER(Q971),ISNUMBER(O971),ABS(Q971-O971)&gt;60),"Cek tahun laycan",IF(AND(ISNUMBER(Q971),ISNUMBER(N971),Q971&lt;N971),"Berangkat sebelum laycan",IF(NOT(ISNUMBER(AE971)),"S belum ada","OK"))))))</f>
        <v/>
      </c>
    </row>
    <row r="972" customFormat="false" ht="15" hidden="false" customHeight="false" outlineLevel="0" collapsed="false">
      <c r="A972" s="16" t="str">
        <f aca="false">IF(B972="","",ROW()-4)</f>
        <v/>
      </c>
      <c r="B972" s="12"/>
      <c r="C972" s="16"/>
      <c r="D972" s="16"/>
      <c r="E972" s="16"/>
      <c r="F972" s="16"/>
      <c r="G972" s="16"/>
      <c r="H972" s="16"/>
      <c r="I972" s="16"/>
      <c r="J972" s="16"/>
      <c r="K972" s="16"/>
      <c r="L972" s="13"/>
      <c r="M972" s="13"/>
      <c r="N972" s="13"/>
      <c r="O972" s="13"/>
      <c r="P972" s="13"/>
      <c r="Q972" s="13"/>
      <c r="R972" s="13"/>
      <c r="S972" s="13"/>
      <c r="T972" s="13"/>
      <c r="U972" s="12"/>
      <c r="V972" s="14"/>
      <c r="W972" s="16"/>
      <c r="X972" s="16"/>
      <c r="Y972" s="16"/>
      <c r="Z972" s="16"/>
      <c r="AA972" s="15" t="str">
        <f aca="false">IF(AND(ISNUMBER(L972),ISNUMBER(M972)),M972-L972,"")</f>
        <v/>
      </c>
      <c r="AB972" s="15" t="str">
        <f aca="false">IF(AND(ISNUMBER(M972),ISNUMBER(P972)),P972-M972,"")</f>
        <v/>
      </c>
      <c r="AC972" s="15" t="str">
        <f aca="false">IF(AND(ISNUMBER(L972),ISNUMBER(P972)),P972-L972,"")</f>
        <v/>
      </c>
      <c r="AD972" s="15" t="str">
        <f aca="false">IF(AND(ISNUMBER(P972),ISNUMBER(Q972)),Q972-P972,"")</f>
        <v/>
      </c>
      <c r="AE972" s="15" t="str">
        <f aca="false">IF(AND(ISNUMBER(Q972),ISNUMBER(R972)),R972-Q972,IF(ISNUMBER(Y972),Y972,""))</f>
        <v/>
      </c>
      <c r="AF972" s="15" t="str">
        <f aca="false">IF(AND(ISNUMBER(R972),ISNUMBER(S972)),S972-R972,"")</f>
        <v/>
      </c>
      <c r="AG972" s="15" t="str">
        <f aca="false">IF(AND(ISNUMBER(S972),ISNUMBER(T972)),T972-S972,"")</f>
        <v/>
      </c>
      <c r="AH972" s="15" t="str">
        <f aca="false">IF(AND(ISNUMBER(L972),ISNUMBER(T972)),T972-L972,"")</f>
        <v/>
      </c>
      <c r="AI972" s="15" t="str">
        <f aca="false">IF(AND(ISNUMBER(O972),ISNUMBER(Q972)),Q972-O972,"")</f>
        <v/>
      </c>
      <c r="AJ972" s="15" t="str">
        <f aca="false">IF(B972="","",COUNT(L972:M972,P972:T972)&amp;"/7")</f>
        <v/>
      </c>
      <c r="AK972" s="15" t="str">
        <f aca="false">IF(B972="","",IF(OR(AND(ISNUMBER(L972),ISNUMBER(M972),M972&lt;L972),AND(ISNUMBER(M972),ISNUMBER(P972),P972&lt;M972),AND(ISNUMBER(P972),ISNUMBER(Q972),Q972&lt;P972),AND(ISNUMBER(Q972),ISNUMBER(R972),R972&lt;Q972),AND(ISNUMBER(R972),ISNUMBER(S972),S972&lt;R972),AND(ISNUMBER(S972),ISNUMBER(T972),T972&lt;S972),AND(ISNUMBER(N972),ISNUMBER(O972),O972&lt;N972)),"Urutan tanggal salah",IF(AND(ISNUMBER(Q972),ISNUMBER(R972),ISNUMBER(Y972),ABS(R972-Q972-Y972)&gt;2),"S tanggal ≠ Sailing tercatat",IF(AND(ISNUMBER(Q972),ISNUMBER(O972),ABS(Q972-O972)&gt;60),"Cek tahun laycan",IF(AND(ISNUMBER(Q972),ISNUMBER(N972),Q972&lt;N972),"Berangkat sebelum laycan",IF(NOT(ISNUMBER(AE972)),"S belum ada","OK"))))))</f>
        <v/>
      </c>
    </row>
    <row r="973" customFormat="false" ht="15" hidden="false" customHeight="false" outlineLevel="0" collapsed="false">
      <c r="A973" s="16" t="str">
        <f aca="false">IF(B973="","",ROW()-4)</f>
        <v/>
      </c>
      <c r="B973" s="12"/>
      <c r="C973" s="16"/>
      <c r="D973" s="16"/>
      <c r="E973" s="16"/>
      <c r="F973" s="16"/>
      <c r="G973" s="16"/>
      <c r="H973" s="16"/>
      <c r="I973" s="16"/>
      <c r="J973" s="16"/>
      <c r="K973" s="16"/>
      <c r="L973" s="13"/>
      <c r="M973" s="13"/>
      <c r="N973" s="13"/>
      <c r="O973" s="13"/>
      <c r="P973" s="13"/>
      <c r="Q973" s="13"/>
      <c r="R973" s="13"/>
      <c r="S973" s="13"/>
      <c r="T973" s="13"/>
      <c r="U973" s="12"/>
      <c r="V973" s="14"/>
      <c r="W973" s="16"/>
      <c r="X973" s="16"/>
      <c r="Y973" s="16"/>
      <c r="Z973" s="16"/>
      <c r="AA973" s="15" t="str">
        <f aca="false">IF(AND(ISNUMBER(L973),ISNUMBER(M973)),M973-L973,"")</f>
        <v/>
      </c>
      <c r="AB973" s="15" t="str">
        <f aca="false">IF(AND(ISNUMBER(M973),ISNUMBER(P973)),P973-M973,"")</f>
        <v/>
      </c>
      <c r="AC973" s="15" t="str">
        <f aca="false">IF(AND(ISNUMBER(L973),ISNUMBER(P973)),P973-L973,"")</f>
        <v/>
      </c>
      <c r="AD973" s="15" t="str">
        <f aca="false">IF(AND(ISNUMBER(P973),ISNUMBER(Q973)),Q973-P973,"")</f>
        <v/>
      </c>
      <c r="AE973" s="15" t="str">
        <f aca="false">IF(AND(ISNUMBER(Q973),ISNUMBER(R973)),R973-Q973,IF(ISNUMBER(Y973),Y973,""))</f>
        <v/>
      </c>
      <c r="AF973" s="15" t="str">
        <f aca="false">IF(AND(ISNUMBER(R973),ISNUMBER(S973)),S973-R973,"")</f>
        <v/>
      </c>
      <c r="AG973" s="15" t="str">
        <f aca="false">IF(AND(ISNUMBER(S973),ISNUMBER(T973)),T973-S973,"")</f>
        <v/>
      </c>
      <c r="AH973" s="15" t="str">
        <f aca="false">IF(AND(ISNUMBER(L973),ISNUMBER(T973)),T973-L973,"")</f>
        <v/>
      </c>
      <c r="AI973" s="15" t="str">
        <f aca="false">IF(AND(ISNUMBER(O973),ISNUMBER(Q973)),Q973-O973,"")</f>
        <v/>
      </c>
      <c r="AJ973" s="15" t="str">
        <f aca="false">IF(B973="","",COUNT(L973:M973,P973:T973)&amp;"/7")</f>
        <v/>
      </c>
      <c r="AK973" s="15" t="str">
        <f aca="false">IF(B973="","",IF(OR(AND(ISNUMBER(L973),ISNUMBER(M973),M973&lt;L973),AND(ISNUMBER(M973),ISNUMBER(P973),P973&lt;M973),AND(ISNUMBER(P973),ISNUMBER(Q973),Q973&lt;P973),AND(ISNUMBER(Q973),ISNUMBER(R973),R973&lt;Q973),AND(ISNUMBER(R973),ISNUMBER(S973),S973&lt;R973),AND(ISNUMBER(S973),ISNUMBER(T973),T973&lt;S973),AND(ISNUMBER(N973),ISNUMBER(O973),O973&lt;N973)),"Urutan tanggal salah",IF(AND(ISNUMBER(Q973),ISNUMBER(R973),ISNUMBER(Y973),ABS(R973-Q973-Y973)&gt;2),"S tanggal ≠ Sailing tercatat",IF(AND(ISNUMBER(Q973),ISNUMBER(O973),ABS(Q973-O973)&gt;60),"Cek tahun laycan",IF(AND(ISNUMBER(Q973),ISNUMBER(N973),Q973&lt;N973),"Berangkat sebelum laycan",IF(NOT(ISNUMBER(AE973)),"S belum ada","OK"))))))</f>
        <v/>
      </c>
    </row>
    <row r="974" customFormat="false" ht="15" hidden="false" customHeight="false" outlineLevel="0" collapsed="false">
      <c r="A974" s="16" t="str">
        <f aca="false">IF(B974="","",ROW()-4)</f>
        <v/>
      </c>
      <c r="B974" s="12"/>
      <c r="C974" s="16"/>
      <c r="D974" s="16"/>
      <c r="E974" s="16"/>
      <c r="F974" s="16"/>
      <c r="G974" s="16"/>
      <c r="H974" s="16"/>
      <c r="I974" s="16"/>
      <c r="J974" s="16"/>
      <c r="K974" s="16"/>
      <c r="L974" s="13"/>
      <c r="M974" s="13"/>
      <c r="N974" s="13"/>
      <c r="O974" s="13"/>
      <c r="P974" s="13"/>
      <c r="Q974" s="13"/>
      <c r="R974" s="13"/>
      <c r="S974" s="13"/>
      <c r="T974" s="13"/>
      <c r="U974" s="12"/>
      <c r="V974" s="14"/>
      <c r="W974" s="16"/>
      <c r="X974" s="16"/>
      <c r="Y974" s="16"/>
      <c r="Z974" s="16"/>
      <c r="AA974" s="15" t="str">
        <f aca="false">IF(AND(ISNUMBER(L974),ISNUMBER(M974)),M974-L974,"")</f>
        <v/>
      </c>
      <c r="AB974" s="15" t="str">
        <f aca="false">IF(AND(ISNUMBER(M974),ISNUMBER(P974)),P974-M974,"")</f>
        <v/>
      </c>
      <c r="AC974" s="15" t="str">
        <f aca="false">IF(AND(ISNUMBER(L974),ISNUMBER(P974)),P974-L974,"")</f>
        <v/>
      </c>
      <c r="AD974" s="15" t="str">
        <f aca="false">IF(AND(ISNUMBER(P974),ISNUMBER(Q974)),Q974-P974,"")</f>
        <v/>
      </c>
      <c r="AE974" s="15" t="str">
        <f aca="false">IF(AND(ISNUMBER(Q974),ISNUMBER(R974)),R974-Q974,IF(ISNUMBER(Y974),Y974,""))</f>
        <v/>
      </c>
      <c r="AF974" s="15" t="str">
        <f aca="false">IF(AND(ISNUMBER(R974),ISNUMBER(S974)),S974-R974,"")</f>
        <v/>
      </c>
      <c r="AG974" s="15" t="str">
        <f aca="false">IF(AND(ISNUMBER(S974),ISNUMBER(T974)),T974-S974,"")</f>
        <v/>
      </c>
      <c r="AH974" s="15" t="str">
        <f aca="false">IF(AND(ISNUMBER(L974),ISNUMBER(T974)),T974-L974,"")</f>
        <v/>
      </c>
      <c r="AI974" s="15" t="str">
        <f aca="false">IF(AND(ISNUMBER(O974),ISNUMBER(Q974)),Q974-O974,"")</f>
        <v/>
      </c>
      <c r="AJ974" s="15" t="str">
        <f aca="false">IF(B974="","",COUNT(L974:M974,P974:T974)&amp;"/7")</f>
        <v/>
      </c>
      <c r="AK974" s="15" t="str">
        <f aca="false">IF(B974="","",IF(OR(AND(ISNUMBER(L974),ISNUMBER(M974),M974&lt;L974),AND(ISNUMBER(M974),ISNUMBER(P974),P974&lt;M974),AND(ISNUMBER(P974),ISNUMBER(Q974),Q974&lt;P974),AND(ISNUMBER(Q974),ISNUMBER(R974),R974&lt;Q974),AND(ISNUMBER(R974),ISNUMBER(S974),S974&lt;R974),AND(ISNUMBER(S974),ISNUMBER(T974),T974&lt;S974),AND(ISNUMBER(N974),ISNUMBER(O974),O974&lt;N974)),"Urutan tanggal salah",IF(AND(ISNUMBER(Q974),ISNUMBER(R974),ISNUMBER(Y974),ABS(R974-Q974-Y974)&gt;2),"S tanggal ≠ Sailing tercatat",IF(AND(ISNUMBER(Q974),ISNUMBER(O974),ABS(Q974-O974)&gt;60),"Cek tahun laycan",IF(AND(ISNUMBER(Q974),ISNUMBER(N974),Q974&lt;N974),"Berangkat sebelum laycan",IF(NOT(ISNUMBER(AE974)),"S belum ada","OK"))))))</f>
        <v/>
      </c>
    </row>
    <row r="975" customFormat="false" ht="15" hidden="false" customHeight="false" outlineLevel="0" collapsed="false">
      <c r="A975" s="16" t="str">
        <f aca="false">IF(B975="","",ROW()-4)</f>
        <v/>
      </c>
      <c r="B975" s="12"/>
      <c r="C975" s="16"/>
      <c r="D975" s="16"/>
      <c r="E975" s="16"/>
      <c r="F975" s="16"/>
      <c r="G975" s="16"/>
      <c r="H975" s="16"/>
      <c r="I975" s="16"/>
      <c r="J975" s="16"/>
      <c r="K975" s="16"/>
      <c r="L975" s="13"/>
      <c r="M975" s="13"/>
      <c r="N975" s="13"/>
      <c r="O975" s="13"/>
      <c r="P975" s="13"/>
      <c r="Q975" s="13"/>
      <c r="R975" s="13"/>
      <c r="S975" s="13"/>
      <c r="T975" s="13"/>
      <c r="U975" s="12"/>
      <c r="V975" s="14"/>
      <c r="W975" s="16"/>
      <c r="X975" s="16"/>
      <c r="Y975" s="16"/>
      <c r="Z975" s="16"/>
      <c r="AA975" s="15" t="str">
        <f aca="false">IF(AND(ISNUMBER(L975),ISNUMBER(M975)),M975-L975,"")</f>
        <v/>
      </c>
      <c r="AB975" s="15" t="str">
        <f aca="false">IF(AND(ISNUMBER(M975),ISNUMBER(P975)),P975-M975,"")</f>
        <v/>
      </c>
      <c r="AC975" s="15" t="str">
        <f aca="false">IF(AND(ISNUMBER(L975),ISNUMBER(P975)),P975-L975,"")</f>
        <v/>
      </c>
      <c r="AD975" s="15" t="str">
        <f aca="false">IF(AND(ISNUMBER(P975),ISNUMBER(Q975)),Q975-P975,"")</f>
        <v/>
      </c>
      <c r="AE975" s="15" t="str">
        <f aca="false">IF(AND(ISNUMBER(Q975),ISNUMBER(R975)),R975-Q975,IF(ISNUMBER(Y975),Y975,""))</f>
        <v/>
      </c>
      <c r="AF975" s="15" t="str">
        <f aca="false">IF(AND(ISNUMBER(R975),ISNUMBER(S975)),S975-R975,"")</f>
        <v/>
      </c>
      <c r="AG975" s="15" t="str">
        <f aca="false">IF(AND(ISNUMBER(S975),ISNUMBER(T975)),T975-S975,"")</f>
        <v/>
      </c>
      <c r="AH975" s="15" t="str">
        <f aca="false">IF(AND(ISNUMBER(L975),ISNUMBER(T975)),T975-L975,"")</f>
        <v/>
      </c>
      <c r="AI975" s="15" t="str">
        <f aca="false">IF(AND(ISNUMBER(O975),ISNUMBER(Q975)),Q975-O975,"")</f>
        <v/>
      </c>
      <c r="AJ975" s="15" t="str">
        <f aca="false">IF(B975="","",COUNT(L975:M975,P975:T975)&amp;"/7")</f>
        <v/>
      </c>
      <c r="AK975" s="15" t="str">
        <f aca="false">IF(B975="","",IF(OR(AND(ISNUMBER(L975),ISNUMBER(M975),M975&lt;L975),AND(ISNUMBER(M975),ISNUMBER(P975),P975&lt;M975),AND(ISNUMBER(P975),ISNUMBER(Q975),Q975&lt;P975),AND(ISNUMBER(Q975),ISNUMBER(R975),R975&lt;Q975),AND(ISNUMBER(R975),ISNUMBER(S975),S975&lt;R975),AND(ISNUMBER(S975),ISNUMBER(T975),T975&lt;S975),AND(ISNUMBER(N975),ISNUMBER(O975),O975&lt;N975)),"Urutan tanggal salah",IF(AND(ISNUMBER(Q975),ISNUMBER(R975),ISNUMBER(Y975),ABS(R975-Q975-Y975)&gt;2),"S tanggal ≠ Sailing tercatat",IF(AND(ISNUMBER(Q975),ISNUMBER(O975),ABS(Q975-O975)&gt;60),"Cek tahun laycan",IF(AND(ISNUMBER(Q975),ISNUMBER(N975),Q975&lt;N975),"Berangkat sebelum laycan",IF(NOT(ISNUMBER(AE975)),"S belum ada","OK"))))))</f>
        <v/>
      </c>
    </row>
    <row r="976" customFormat="false" ht="15" hidden="false" customHeight="false" outlineLevel="0" collapsed="false">
      <c r="A976" s="16" t="str">
        <f aca="false">IF(B976="","",ROW()-4)</f>
        <v/>
      </c>
      <c r="B976" s="12"/>
      <c r="C976" s="16"/>
      <c r="D976" s="16"/>
      <c r="E976" s="16"/>
      <c r="F976" s="16"/>
      <c r="G976" s="16"/>
      <c r="H976" s="16"/>
      <c r="I976" s="16"/>
      <c r="J976" s="16"/>
      <c r="K976" s="16"/>
      <c r="L976" s="13"/>
      <c r="M976" s="13"/>
      <c r="N976" s="13"/>
      <c r="O976" s="13"/>
      <c r="P976" s="13"/>
      <c r="Q976" s="13"/>
      <c r="R976" s="13"/>
      <c r="S976" s="13"/>
      <c r="T976" s="13"/>
      <c r="U976" s="12"/>
      <c r="V976" s="14"/>
      <c r="W976" s="16"/>
      <c r="X976" s="16"/>
      <c r="Y976" s="16"/>
      <c r="Z976" s="16"/>
      <c r="AA976" s="15" t="str">
        <f aca="false">IF(AND(ISNUMBER(L976),ISNUMBER(M976)),M976-L976,"")</f>
        <v/>
      </c>
      <c r="AB976" s="15" t="str">
        <f aca="false">IF(AND(ISNUMBER(M976),ISNUMBER(P976)),P976-M976,"")</f>
        <v/>
      </c>
      <c r="AC976" s="15" t="str">
        <f aca="false">IF(AND(ISNUMBER(L976),ISNUMBER(P976)),P976-L976,"")</f>
        <v/>
      </c>
      <c r="AD976" s="15" t="str">
        <f aca="false">IF(AND(ISNUMBER(P976),ISNUMBER(Q976)),Q976-P976,"")</f>
        <v/>
      </c>
      <c r="AE976" s="15" t="str">
        <f aca="false">IF(AND(ISNUMBER(Q976),ISNUMBER(R976)),R976-Q976,IF(ISNUMBER(Y976),Y976,""))</f>
        <v/>
      </c>
      <c r="AF976" s="15" t="str">
        <f aca="false">IF(AND(ISNUMBER(R976),ISNUMBER(S976)),S976-R976,"")</f>
        <v/>
      </c>
      <c r="AG976" s="15" t="str">
        <f aca="false">IF(AND(ISNUMBER(S976),ISNUMBER(T976)),T976-S976,"")</f>
        <v/>
      </c>
      <c r="AH976" s="15" t="str">
        <f aca="false">IF(AND(ISNUMBER(L976),ISNUMBER(T976)),T976-L976,"")</f>
        <v/>
      </c>
      <c r="AI976" s="15" t="str">
        <f aca="false">IF(AND(ISNUMBER(O976),ISNUMBER(Q976)),Q976-O976,"")</f>
        <v/>
      </c>
      <c r="AJ976" s="15" t="str">
        <f aca="false">IF(B976="","",COUNT(L976:M976,P976:T976)&amp;"/7")</f>
        <v/>
      </c>
      <c r="AK976" s="15" t="str">
        <f aca="false">IF(B976="","",IF(OR(AND(ISNUMBER(L976),ISNUMBER(M976),M976&lt;L976),AND(ISNUMBER(M976),ISNUMBER(P976),P976&lt;M976),AND(ISNUMBER(P976),ISNUMBER(Q976),Q976&lt;P976),AND(ISNUMBER(Q976),ISNUMBER(R976),R976&lt;Q976),AND(ISNUMBER(R976),ISNUMBER(S976),S976&lt;R976),AND(ISNUMBER(S976),ISNUMBER(T976),T976&lt;S976),AND(ISNUMBER(N976),ISNUMBER(O976),O976&lt;N976)),"Urutan tanggal salah",IF(AND(ISNUMBER(Q976),ISNUMBER(R976),ISNUMBER(Y976),ABS(R976-Q976-Y976)&gt;2),"S tanggal ≠ Sailing tercatat",IF(AND(ISNUMBER(Q976),ISNUMBER(O976),ABS(Q976-O976)&gt;60),"Cek tahun laycan",IF(AND(ISNUMBER(Q976),ISNUMBER(N976),Q976&lt;N976),"Berangkat sebelum laycan",IF(NOT(ISNUMBER(AE976)),"S belum ada","OK"))))))</f>
        <v/>
      </c>
    </row>
    <row r="977" customFormat="false" ht="15" hidden="false" customHeight="false" outlineLevel="0" collapsed="false">
      <c r="A977" s="16" t="str">
        <f aca="false">IF(B977="","",ROW()-4)</f>
        <v/>
      </c>
      <c r="B977" s="12"/>
      <c r="C977" s="16"/>
      <c r="D977" s="16"/>
      <c r="E977" s="16"/>
      <c r="F977" s="16"/>
      <c r="G977" s="16"/>
      <c r="H977" s="16"/>
      <c r="I977" s="16"/>
      <c r="J977" s="16"/>
      <c r="K977" s="16"/>
      <c r="L977" s="13"/>
      <c r="M977" s="13"/>
      <c r="N977" s="13"/>
      <c r="O977" s="13"/>
      <c r="P977" s="13"/>
      <c r="Q977" s="13"/>
      <c r="R977" s="13"/>
      <c r="S977" s="13"/>
      <c r="T977" s="13"/>
      <c r="U977" s="12"/>
      <c r="V977" s="14"/>
      <c r="W977" s="16"/>
      <c r="X977" s="16"/>
      <c r="Y977" s="16"/>
      <c r="Z977" s="16"/>
      <c r="AA977" s="15" t="str">
        <f aca="false">IF(AND(ISNUMBER(L977),ISNUMBER(M977)),M977-L977,"")</f>
        <v/>
      </c>
      <c r="AB977" s="15" t="str">
        <f aca="false">IF(AND(ISNUMBER(M977),ISNUMBER(P977)),P977-M977,"")</f>
        <v/>
      </c>
      <c r="AC977" s="15" t="str">
        <f aca="false">IF(AND(ISNUMBER(L977),ISNUMBER(P977)),P977-L977,"")</f>
        <v/>
      </c>
      <c r="AD977" s="15" t="str">
        <f aca="false">IF(AND(ISNUMBER(P977),ISNUMBER(Q977)),Q977-P977,"")</f>
        <v/>
      </c>
      <c r="AE977" s="15" t="str">
        <f aca="false">IF(AND(ISNUMBER(Q977),ISNUMBER(R977)),R977-Q977,IF(ISNUMBER(Y977),Y977,""))</f>
        <v/>
      </c>
      <c r="AF977" s="15" t="str">
        <f aca="false">IF(AND(ISNUMBER(R977),ISNUMBER(S977)),S977-R977,"")</f>
        <v/>
      </c>
      <c r="AG977" s="15" t="str">
        <f aca="false">IF(AND(ISNUMBER(S977),ISNUMBER(T977)),T977-S977,"")</f>
        <v/>
      </c>
      <c r="AH977" s="15" t="str">
        <f aca="false">IF(AND(ISNUMBER(L977),ISNUMBER(T977)),T977-L977,"")</f>
        <v/>
      </c>
      <c r="AI977" s="15" t="str">
        <f aca="false">IF(AND(ISNUMBER(O977),ISNUMBER(Q977)),Q977-O977,"")</f>
        <v/>
      </c>
      <c r="AJ977" s="15" t="str">
        <f aca="false">IF(B977="","",COUNT(L977:M977,P977:T977)&amp;"/7")</f>
        <v/>
      </c>
      <c r="AK977" s="15" t="str">
        <f aca="false">IF(B977="","",IF(OR(AND(ISNUMBER(L977),ISNUMBER(M977),M977&lt;L977),AND(ISNUMBER(M977),ISNUMBER(P977),P977&lt;M977),AND(ISNUMBER(P977),ISNUMBER(Q977),Q977&lt;P977),AND(ISNUMBER(Q977),ISNUMBER(R977),R977&lt;Q977),AND(ISNUMBER(R977),ISNUMBER(S977),S977&lt;R977),AND(ISNUMBER(S977),ISNUMBER(T977),T977&lt;S977),AND(ISNUMBER(N977),ISNUMBER(O977),O977&lt;N977)),"Urutan tanggal salah",IF(AND(ISNUMBER(Q977),ISNUMBER(R977),ISNUMBER(Y977),ABS(R977-Q977-Y977)&gt;2),"S tanggal ≠ Sailing tercatat",IF(AND(ISNUMBER(Q977),ISNUMBER(O977),ABS(Q977-O977)&gt;60),"Cek tahun laycan",IF(AND(ISNUMBER(Q977),ISNUMBER(N977),Q977&lt;N977),"Berangkat sebelum laycan",IF(NOT(ISNUMBER(AE977)),"S belum ada","OK"))))))</f>
        <v/>
      </c>
    </row>
    <row r="978" customFormat="false" ht="15" hidden="false" customHeight="false" outlineLevel="0" collapsed="false">
      <c r="A978" s="16" t="str">
        <f aca="false">IF(B978="","",ROW()-4)</f>
        <v/>
      </c>
      <c r="B978" s="12"/>
      <c r="C978" s="16"/>
      <c r="D978" s="16"/>
      <c r="E978" s="16"/>
      <c r="F978" s="16"/>
      <c r="G978" s="16"/>
      <c r="H978" s="16"/>
      <c r="I978" s="16"/>
      <c r="J978" s="16"/>
      <c r="K978" s="16"/>
      <c r="L978" s="13"/>
      <c r="M978" s="13"/>
      <c r="N978" s="13"/>
      <c r="O978" s="13"/>
      <c r="P978" s="13"/>
      <c r="Q978" s="13"/>
      <c r="R978" s="13"/>
      <c r="S978" s="13"/>
      <c r="T978" s="13"/>
      <c r="U978" s="12"/>
      <c r="V978" s="14"/>
      <c r="W978" s="16"/>
      <c r="X978" s="16"/>
      <c r="Y978" s="16"/>
      <c r="Z978" s="16"/>
      <c r="AA978" s="15" t="str">
        <f aca="false">IF(AND(ISNUMBER(L978),ISNUMBER(M978)),M978-L978,"")</f>
        <v/>
      </c>
      <c r="AB978" s="15" t="str">
        <f aca="false">IF(AND(ISNUMBER(M978),ISNUMBER(P978)),P978-M978,"")</f>
        <v/>
      </c>
      <c r="AC978" s="15" t="str">
        <f aca="false">IF(AND(ISNUMBER(L978),ISNUMBER(P978)),P978-L978,"")</f>
        <v/>
      </c>
      <c r="AD978" s="15" t="str">
        <f aca="false">IF(AND(ISNUMBER(P978),ISNUMBER(Q978)),Q978-P978,"")</f>
        <v/>
      </c>
      <c r="AE978" s="15" t="str">
        <f aca="false">IF(AND(ISNUMBER(Q978),ISNUMBER(R978)),R978-Q978,IF(ISNUMBER(Y978),Y978,""))</f>
        <v/>
      </c>
      <c r="AF978" s="15" t="str">
        <f aca="false">IF(AND(ISNUMBER(R978),ISNUMBER(S978)),S978-R978,"")</f>
        <v/>
      </c>
      <c r="AG978" s="15" t="str">
        <f aca="false">IF(AND(ISNUMBER(S978),ISNUMBER(T978)),T978-S978,"")</f>
        <v/>
      </c>
      <c r="AH978" s="15" t="str">
        <f aca="false">IF(AND(ISNUMBER(L978),ISNUMBER(T978)),T978-L978,"")</f>
        <v/>
      </c>
      <c r="AI978" s="15" t="str">
        <f aca="false">IF(AND(ISNUMBER(O978),ISNUMBER(Q978)),Q978-O978,"")</f>
        <v/>
      </c>
      <c r="AJ978" s="15" t="str">
        <f aca="false">IF(B978="","",COUNT(L978:M978,P978:T978)&amp;"/7")</f>
        <v/>
      </c>
      <c r="AK978" s="15" t="str">
        <f aca="false">IF(B978="","",IF(OR(AND(ISNUMBER(L978),ISNUMBER(M978),M978&lt;L978),AND(ISNUMBER(M978),ISNUMBER(P978),P978&lt;M978),AND(ISNUMBER(P978),ISNUMBER(Q978),Q978&lt;P978),AND(ISNUMBER(Q978),ISNUMBER(R978),R978&lt;Q978),AND(ISNUMBER(R978),ISNUMBER(S978),S978&lt;R978),AND(ISNUMBER(S978),ISNUMBER(T978),T978&lt;S978),AND(ISNUMBER(N978),ISNUMBER(O978),O978&lt;N978)),"Urutan tanggal salah",IF(AND(ISNUMBER(Q978),ISNUMBER(R978),ISNUMBER(Y978),ABS(R978-Q978-Y978)&gt;2),"S tanggal ≠ Sailing tercatat",IF(AND(ISNUMBER(Q978),ISNUMBER(O978),ABS(Q978-O978)&gt;60),"Cek tahun laycan",IF(AND(ISNUMBER(Q978),ISNUMBER(N978),Q978&lt;N978),"Berangkat sebelum laycan",IF(NOT(ISNUMBER(AE978)),"S belum ada","OK"))))))</f>
        <v/>
      </c>
    </row>
    <row r="979" customFormat="false" ht="15" hidden="false" customHeight="false" outlineLevel="0" collapsed="false">
      <c r="A979" s="16" t="str">
        <f aca="false">IF(B979="","",ROW()-4)</f>
        <v/>
      </c>
      <c r="B979" s="12"/>
      <c r="C979" s="16"/>
      <c r="D979" s="16"/>
      <c r="E979" s="16"/>
      <c r="F979" s="16"/>
      <c r="G979" s="16"/>
      <c r="H979" s="16"/>
      <c r="I979" s="16"/>
      <c r="J979" s="16"/>
      <c r="K979" s="16"/>
      <c r="L979" s="13"/>
      <c r="M979" s="13"/>
      <c r="N979" s="13"/>
      <c r="O979" s="13"/>
      <c r="P979" s="13"/>
      <c r="Q979" s="13"/>
      <c r="R979" s="13"/>
      <c r="S979" s="13"/>
      <c r="T979" s="13"/>
      <c r="U979" s="12"/>
      <c r="V979" s="14"/>
      <c r="W979" s="16"/>
      <c r="X979" s="16"/>
      <c r="Y979" s="16"/>
      <c r="Z979" s="16"/>
      <c r="AA979" s="15" t="str">
        <f aca="false">IF(AND(ISNUMBER(L979),ISNUMBER(M979)),M979-L979,"")</f>
        <v/>
      </c>
      <c r="AB979" s="15" t="str">
        <f aca="false">IF(AND(ISNUMBER(M979),ISNUMBER(P979)),P979-M979,"")</f>
        <v/>
      </c>
      <c r="AC979" s="15" t="str">
        <f aca="false">IF(AND(ISNUMBER(L979),ISNUMBER(P979)),P979-L979,"")</f>
        <v/>
      </c>
      <c r="AD979" s="15" t="str">
        <f aca="false">IF(AND(ISNUMBER(P979),ISNUMBER(Q979)),Q979-P979,"")</f>
        <v/>
      </c>
      <c r="AE979" s="15" t="str">
        <f aca="false">IF(AND(ISNUMBER(Q979),ISNUMBER(R979)),R979-Q979,IF(ISNUMBER(Y979),Y979,""))</f>
        <v/>
      </c>
      <c r="AF979" s="15" t="str">
        <f aca="false">IF(AND(ISNUMBER(R979),ISNUMBER(S979)),S979-R979,"")</f>
        <v/>
      </c>
      <c r="AG979" s="15" t="str">
        <f aca="false">IF(AND(ISNUMBER(S979),ISNUMBER(T979)),T979-S979,"")</f>
        <v/>
      </c>
      <c r="AH979" s="15" t="str">
        <f aca="false">IF(AND(ISNUMBER(L979),ISNUMBER(T979)),T979-L979,"")</f>
        <v/>
      </c>
      <c r="AI979" s="15" t="str">
        <f aca="false">IF(AND(ISNUMBER(O979),ISNUMBER(Q979)),Q979-O979,"")</f>
        <v/>
      </c>
      <c r="AJ979" s="15" t="str">
        <f aca="false">IF(B979="","",COUNT(L979:M979,P979:T979)&amp;"/7")</f>
        <v/>
      </c>
      <c r="AK979" s="15" t="str">
        <f aca="false">IF(B979="","",IF(OR(AND(ISNUMBER(L979),ISNUMBER(M979),M979&lt;L979),AND(ISNUMBER(M979),ISNUMBER(P979),P979&lt;M979),AND(ISNUMBER(P979),ISNUMBER(Q979),Q979&lt;P979),AND(ISNUMBER(Q979),ISNUMBER(R979),R979&lt;Q979),AND(ISNUMBER(R979),ISNUMBER(S979),S979&lt;R979),AND(ISNUMBER(S979),ISNUMBER(T979),T979&lt;S979),AND(ISNUMBER(N979),ISNUMBER(O979),O979&lt;N979)),"Urutan tanggal salah",IF(AND(ISNUMBER(Q979),ISNUMBER(R979),ISNUMBER(Y979),ABS(R979-Q979-Y979)&gt;2),"S tanggal ≠ Sailing tercatat",IF(AND(ISNUMBER(Q979),ISNUMBER(O979),ABS(Q979-O979)&gt;60),"Cek tahun laycan",IF(AND(ISNUMBER(Q979),ISNUMBER(N979),Q979&lt;N979),"Berangkat sebelum laycan",IF(NOT(ISNUMBER(AE979)),"S belum ada","OK"))))))</f>
        <v/>
      </c>
    </row>
    <row r="980" customFormat="false" ht="15" hidden="false" customHeight="false" outlineLevel="0" collapsed="false">
      <c r="A980" s="16" t="str">
        <f aca="false">IF(B980="","",ROW()-4)</f>
        <v/>
      </c>
      <c r="B980" s="12"/>
      <c r="C980" s="16"/>
      <c r="D980" s="16"/>
      <c r="E980" s="16"/>
      <c r="F980" s="16"/>
      <c r="G980" s="16"/>
      <c r="H980" s="16"/>
      <c r="I980" s="16"/>
      <c r="J980" s="16"/>
      <c r="K980" s="16"/>
      <c r="L980" s="13"/>
      <c r="M980" s="13"/>
      <c r="N980" s="13"/>
      <c r="O980" s="13"/>
      <c r="P980" s="13"/>
      <c r="Q980" s="13"/>
      <c r="R980" s="13"/>
      <c r="S980" s="13"/>
      <c r="T980" s="13"/>
      <c r="U980" s="12"/>
      <c r="V980" s="14"/>
      <c r="W980" s="16"/>
      <c r="X980" s="16"/>
      <c r="Y980" s="16"/>
      <c r="Z980" s="16"/>
      <c r="AA980" s="15" t="str">
        <f aca="false">IF(AND(ISNUMBER(L980),ISNUMBER(M980)),M980-L980,"")</f>
        <v/>
      </c>
      <c r="AB980" s="15" t="str">
        <f aca="false">IF(AND(ISNUMBER(M980),ISNUMBER(P980)),P980-M980,"")</f>
        <v/>
      </c>
      <c r="AC980" s="15" t="str">
        <f aca="false">IF(AND(ISNUMBER(L980),ISNUMBER(P980)),P980-L980,"")</f>
        <v/>
      </c>
      <c r="AD980" s="15" t="str">
        <f aca="false">IF(AND(ISNUMBER(P980),ISNUMBER(Q980)),Q980-P980,"")</f>
        <v/>
      </c>
      <c r="AE980" s="15" t="str">
        <f aca="false">IF(AND(ISNUMBER(Q980),ISNUMBER(R980)),R980-Q980,IF(ISNUMBER(Y980),Y980,""))</f>
        <v/>
      </c>
      <c r="AF980" s="15" t="str">
        <f aca="false">IF(AND(ISNUMBER(R980),ISNUMBER(S980)),S980-R980,"")</f>
        <v/>
      </c>
      <c r="AG980" s="15" t="str">
        <f aca="false">IF(AND(ISNUMBER(S980),ISNUMBER(T980)),T980-S980,"")</f>
        <v/>
      </c>
      <c r="AH980" s="15" t="str">
        <f aca="false">IF(AND(ISNUMBER(L980),ISNUMBER(T980)),T980-L980,"")</f>
        <v/>
      </c>
      <c r="AI980" s="15" t="str">
        <f aca="false">IF(AND(ISNUMBER(O980),ISNUMBER(Q980)),Q980-O980,"")</f>
        <v/>
      </c>
      <c r="AJ980" s="15" t="str">
        <f aca="false">IF(B980="","",COUNT(L980:M980,P980:T980)&amp;"/7")</f>
        <v/>
      </c>
      <c r="AK980" s="15" t="str">
        <f aca="false">IF(B980="","",IF(OR(AND(ISNUMBER(L980),ISNUMBER(M980),M980&lt;L980),AND(ISNUMBER(M980),ISNUMBER(P980),P980&lt;M980),AND(ISNUMBER(P980),ISNUMBER(Q980),Q980&lt;P980),AND(ISNUMBER(Q980),ISNUMBER(R980),R980&lt;Q980),AND(ISNUMBER(R980),ISNUMBER(S980),S980&lt;R980),AND(ISNUMBER(S980),ISNUMBER(T980),T980&lt;S980),AND(ISNUMBER(N980),ISNUMBER(O980),O980&lt;N980)),"Urutan tanggal salah",IF(AND(ISNUMBER(Q980),ISNUMBER(R980),ISNUMBER(Y980),ABS(R980-Q980-Y980)&gt;2),"S tanggal ≠ Sailing tercatat",IF(AND(ISNUMBER(Q980),ISNUMBER(O980),ABS(Q980-O980)&gt;60),"Cek tahun laycan",IF(AND(ISNUMBER(Q980),ISNUMBER(N980),Q980&lt;N980),"Berangkat sebelum laycan",IF(NOT(ISNUMBER(AE980)),"S belum ada","OK"))))))</f>
        <v/>
      </c>
    </row>
    <row r="981" customFormat="false" ht="15" hidden="false" customHeight="false" outlineLevel="0" collapsed="false">
      <c r="A981" s="16" t="str">
        <f aca="false">IF(B981="","",ROW()-4)</f>
        <v/>
      </c>
      <c r="B981" s="12"/>
      <c r="C981" s="16"/>
      <c r="D981" s="16"/>
      <c r="E981" s="16"/>
      <c r="F981" s="16"/>
      <c r="G981" s="16"/>
      <c r="H981" s="16"/>
      <c r="I981" s="16"/>
      <c r="J981" s="16"/>
      <c r="K981" s="16"/>
      <c r="L981" s="13"/>
      <c r="M981" s="13"/>
      <c r="N981" s="13"/>
      <c r="O981" s="13"/>
      <c r="P981" s="13"/>
      <c r="Q981" s="13"/>
      <c r="R981" s="13"/>
      <c r="S981" s="13"/>
      <c r="T981" s="13"/>
      <c r="U981" s="12"/>
      <c r="V981" s="14"/>
      <c r="W981" s="16"/>
      <c r="X981" s="16"/>
      <c r="Y981" s="16"/>
      <c r="Z981" s="16"/>
      <c r="AA981" s="15" t="str">
        <f aca="false">IF(AND(ISNUMBER(L981),ISNUMBER(M981)),M981-L981,"")</f>
        <v/>
      </c>
      <c r="AB981" s="15" t="str">
        <f aca="false">IF(AND(ISNUMBER(M981),ISNUMBER(P981)),P981-M981,"")</f>
        <v/>
      </c>
      <c r="AC981" s="15" t="str">
        <f aca="false">IF(AND(ISNUMBER(L981),ISNUMBER(P981)),P981-L981,"")</f>
        <v/>
      </c>
      <c r="AD981" s="15" t="str">
        <f aca="false">IF(AND(ISNUMBER(P981),ISNUMBER(Q981)),Q981-P981,"")</f>
        <v/>
      </c>
      <c r="AE981" s="15" t="str">
        <f aca="false">IF(AND(ISNUMBER(Q981),ISNUMBER(R981)),R981-Q981,IF(ISNUMBER(Y981),Y981,""))</f>
        <v/>
      </c>
      <c r="AF981" s="15" t="str">
        <f aca="false">IF(AND(ISNUMBER(R981),ISNUMBER(S981)),S981-R981,"")</f>
        <v/>
      </c>
      <c r="AG981" s="15" t="str">
        <f aca="false">IF(AND(ISNUMBER(S981),ISNUMBER(T981)),T981-S981,"")</f>
        <v/>
      </c>
      <c r="AH981" s="15" t="str">
        <f aca="false">IF(AND(ISNUMBER(L981),ISNUMBER(T981)),T981-L981,"")</f>
        <v/>
      </c>
      <c r="AI981" s="15" t="str">
        <f aca="false">IF(AND(ISNUMBER(O981),ISNUMBER(Q981)),Q981-O981,"")</f>
        <v/>
      </c>
      <c r="AJ981" s="15" t="str">
        <f aca="false">IF(B981="","",COUNT(L981:M981,P981:T981)&amp;"/7")</f>
        <v/>
      </c>
      <c r="AK981" s="15" t="str">
        <f aca="false">IF(B981="","",IF(OR(AND(ISNUMBER(L981),ISNUMBER(M981),M981&lt;L981),AND(ISNUMBER(M981),ISNUMBER(P981),P981&lt;M981),AND(ISNUMBER(P981),ISNUMBER(Q981),Q981&lt;P981),AND(ISNUMBER(Q981),ISNUMBER(R981),R981&lt;Q981),AND(ISNUMBER(R981),ISNUMBER(S981),S981&lt;R981),AND(ISNUMBER(S981),ISNUMBER(T981),T981&lt;S981),AND(ISNUMBER(N981),ISNUMBER(O981),O981&lt;N981)),"Urutan tanggal salah",IF(AND(ISNUMBER(Q981),ISNUMBER(R981),ISNUMBER(Y981),ABS(R981-Q981-Y981)&gt;2),"S tanggal ≠ Sailing tercatat",IF(AND(ISNUMBER(Q981),ISNUMBER(O981),ABS(Q981-O981)&gt;60),"Cek tahun laycan",IF(AND(ISNUMBER(Q981),ISNUMBER(N981),Q981&lt;N981),"Berangkat sebelum laycan",IF(NOT(ISNUMBER(AE981)),"S belum ada","OK"))))))</f>
        <v/>
      </c>
    </row>
    <row r="982" customFormat="false" ht="15" hidden="false" customHeight="false" outlineLevel="0" collapsed="false">
      <c r="A982" s="16" t="str">
        <f aca="false">IF(B982="","",ROW()-4)</f>
        <v/>
      </c>
      <c r="B982" s="12"/>
      <c r="C982" s="16"/>
      <c r="D982" s="16"/>
      <c r="E982" s="16"/>
      <c r="F982" s="16"/>
      <c r="G982" s="16"/>
      <c r="H982" s="16"/>
      <c r="I982" s="16"/>
      <c r="J982" s="16"/>
      <c r="K982" s="16"/>
      <c r="L982" s="13"/>
      <c r="M982" s="13"/>
      <c r="N982" s="13"/>
      <c r="O982" s="13"/>
      <c r="P982" s="13"/>
      <c r="Q982" s="13"/>
      <c r="R982" s="13"/>
      <c r="S982" s="13"/>
      <c r="T982" s="13"/>
      <c r="U982" s="12"/>
      <c r="V982" s="14"/>
      <c r="W982" s="16"/>
      <c r="X982" s="16"/>
      <c r="Y982" s="16"/>
      <c r="Z982" s="16"/>
      <c r="AA982" s="15" t="str">
        <f aca="false">IF(AND(ISNUMBER(L982),ISNUMBER(M982)),M982-L982,"")</f>
        <v/>
      </c>
      <c r="AB982" s="15" t="str">
        <f aca="false">IF(AND(ISNUMBER(M982),ISNUMBER(P982)),P982-M982,"")</f>
        <v/>
      </c>
      <c r="AC982" s="15" t="str">
        <f aca="false">IF(AND(ISNUMBER(L982),ISNUMBER(P982)),P982-L982,"")</f>
        <v/>
      </c>
      <c r="AD982" s="15" t="str">
        <f aca="false">IF(AND(ISNUMBER(P982),ISNUMBER(Q982)),Q982-P982,"")</f>
        <v/>
      </c>
      <c r="AE982" s="15" t="str">
        <f aca="false">IF(AND(ISNUMBER(Q982),ISNUMBER(R982)),R982-Q982,IF(ISNUMBER(Y982),Y982,""))</f>
        <v/>
      </c>
      <c r="AF982" s="15" t="str">
        <f aca="false">IF(AND(ISNUMBER(R982),ISNUMBER(S982)),S982-R982,"")</f>
        <v/>
      </c>
      <c r="AG982" s="15" t="str">
        <f aca="false">IF(AND(ISNUMBER(S982),ISNUMBER(T982)),T982-S982,"")</f>
        <v/>
      </c>
      <c r="AH982" s="15" t="str">
        <f aca="false">IF(AND(ISNUMBER(L982),ISNUMBER(T982)),T982-L982,"")</f>
        <v/>
      </c>
      <c r="AI982" s="15" t="str">
        <f aca="false">IF(AND(ISNUMBER(O982),ISNUMBER(Q982)),Q982-O982,"")</f>
        <v/>
      </c>
      <c r="AJ982" s="15" t="str">
        <f aca="false">IF(B982="","",COUNT(L982:M982,P982:T982)&amp;"/7")</f>
        <v/>
      </c>
      <c r="AK982" s="15" t="str">
        <f aca="false">IF(B982="","",IF(OR(AND(ISNUMBER(L982),ISNUMBER(M982),M982&lt;L982),AND(ISNUMBER(M982),ISNUMBER(P982),P982&lt;M982),AND(ISNUMBER(P982),ISNUMBER(Q982),Q982&lt;P982),AND(ISNUMBER(Q982),ISNUMBER(R982),R982&lt;Q982),AND(ISNUMBER(R982),ISNUMBER(S982),S982&lt;R982),AND(ISNUMBER(S982),ISNUMBER(T982),T982&lt;S982),AND(ISNUMBER(N982),ISNUMBER(O982),O982&lt;N982)),"Urutan tanggal salah",IF(AND(ISNUMBER(Q982),ISNUMBER(R982),ISNUMBER(Y982),ABS(R982-Q982-Y982)&gt;2),"S tanggal ≠ Sailing tercatat",IF(AND(ISNUMBER(Q982),ISNUMBER(O982),ABS(Q982-O982)&gt;60),"Cek tahun laycan",IF(AND(ISNUMBER(Q982),ISNUMBER(N982),Q982&lt;N982),"Berangkat sebelum laycan",IF(NOT(ISNUMBER(AE982)),"S belum ada","OK"))))))</f>
        <v/>
      </c>
    </row>
    <row r="983" customFormat="false" ht="15" hidden="false" customHeight="false" outlineLevel="0" collapsed="false">
      <c r="A983" s="16" t="str">
        <f aca="false">IF(B983="","",ROW()-4)</f>
        <v/>
      </c>
      <c r="B983" s="12"/>
      <c r="C983" s="16"/>
      <c r="D983" s="16"/>
      <c r="E983" s="16"/>
      <c r="F983" s="16"/>
      <c r="G983" s="16"/>
      <c r="H983" s="16"/>
      <c r="I983" s="16"/>
      <c r="J983" s="16"/>
      <c r="K983" s="16"/>
      <c r="L983" s="13"/>
      <c r="M983" s="13"/>
      <c r="N983" s="13"/>
      <c r="O983" s="13"/>
      <c r="P983" s="13"/>
      <c r="Q983" s="13"/>
      <c r="R983" s="13"/>
      <c r="S983" s="13"/>
      <c r="T983" s="13"/>
      <c r="U983" s="12"/>
      <c r="V983" s="14"/>
      <c r="W983" s="16"/>
      <c r="X983" s="16"/>
      <c r="Y983" s="16"/>
      <c r="Z983" s="16"/>
      <c r="AA983" s="15" t="str">
        <f aca="false">IF(AND(ISNUMBER(L983),ISNUMBER(M983)),M983-L983,"")</f>
        <v/>
      </c>
      <c r="AB983" s="15" t="str">
        <f aca="false">IF(AND(ISNUMBER(M983),ISNUMBER(P983)),P983-M983,"")</f>
        <v/>
      </c>
      <c r="AC983" s="15" t="str">
        <f aca="false">IF(AND(ISNUMBER(L983),ISNUMBER(P983)),P983-L983,"")</f>
        <v/>
      </c>
      <c r="AD983" s="15" t="str">
        <f aca="false">IF(AND(ISNUMBER(P983),ISNUMBER(Q983)),Q983-P983,"")</f>
        <v/>
      </c>
      <c r="AE983" s="15" t="str">
        <f aca="false">IF(AND(ISNUMBER(Q983),ISNUMBER(R983)),R983-Q983,IF(ISNUMBER(Y983),Y983,""))</f>
        <v/>
      </c>
      <c r="AF983" s="15" t="str">
        <f aca="false">IF(AND(ISNUMBER(R983),ISNUMBER(S983)),S983-R983,"")</f>
        <v/>
      </c>
      <c r="AG983" s="15" t="str">
        <f aca="false">IF(AND(ISNUMBER(S983),ISNUMBER(T983)),T983-S983,"")</f>
        <v/>
      </c>
      <c r="AH983" s="15" t="str">
        <f aca="false">IF(AND(ISNUMBER(L983),ISNUMBER(T983)),T983-L983,"")</f>
        <v/>
      </c>
      <c r="AI983" s="15" t="str">
        <f aca="false">IF(AND(ISNUMBER(O983),ISNUMBER(Q983)),Q983-O983,"")</f>
        <v/>
      </c>
      <c r="AJ983" s="15" t="str">
        <f aca="false">IF(B983="","",COUNT(L983:M983,P983:T983)&amp;"/7")</f>
        <v/>
      </c>
      <c r="AK983" s="15" t="str">
        <f aca="false">IF(B983="","",IF(OR(AND(ISNUMBER(L983),ISNUMBER(M983),M983&lt;L983),AND(ISNUMBER(M983),ISNUMBER(P983),P983&lt;M983),AND(ISNUMBER(P983),ISNUMBER(Q983),Q983&lt;P983),AND(ISNUMBER(Q983),ISNUMBER(R983),R983&lt;Q983),AND(ISNUMBER(R983),ISNUMBER(S983),S983&lt;R983),AND(ISNUMBER(S983),ISNUMBER(T983),T983&lt;S983),AND(ISNUMBER(N983),ISNUMBER(O983),O983&lt;N983)),"Urutan tanggal salah",IF(AND(ISNUMBER(Q983),ISNUMBER(R983),ISNUMBER(Y983),ABS(R983-Q983-Y983)&gt;2),"S tanggal ≠ Sailing tercatat",IF(AND(ISNUMBER(Q983),ISNUMBER(O983),ABS(Q983-O983)&gt;60),"Cek tahun laycan",IF(AND(ISNUMBER(Q983),ISNUMBER(N983),Q983&lt;N983),"Berangkat sebelum laycan",IF(NOT(ISNUMBER(AE983)),"S belum ada","OK"))))))</f>
        <v/>
      </c>
    </row>
    <row r="984" customFormat="false" ht="15" hidden="false" customHeight="false" outlineLevel="0" collapsed="false">
      <c r="A984" s="16" t="str">
        <f aca="false">IF(B984="","",ROW()-4)</f>
        <v/>
      </c>
      <c r="B984" s="12"/>
      <c r="C984" s="16"/>
      <c r="D984" s="16"/>
      <c r="E984" s="16"/>
      <c r="F984" s="16"/>
      <c r="G984" s="16"/>
      <c r="H984" s="16"/>
      <c r="I984" s="16"/>
      <c r="J984" s="16"/>
      <c r="K984" s="16"/>
      <c r="L984" s="13"/>
      <c r="M984" s="13"/>
      <c r="N984" s="13"/>
      <c r="O984" s="13"/>
      <c r="P984" s="13"/>
      <c r="Q984" s="13"/>
      <c r="R984" s="13"/>
      <c r="S984" s="13"/>
      <c r="T984" s="13"/>
      <c r="U984" s="12"/>
      <c r="V984" s="14"/>
      <c r="W984" s="16"/>
      <c r="X984" s="16"/>
      <c r="Y984" s="16"/>
      <c r="Z984" s="16"/>
      <c r="AA984" s="15" t="str">
        <f aca="false">IF(AND(ISNUMBER(L984),ISNUMBER(M984)),M984-L984,"")</f>
        <v/>
      </c>
      <c r="AB984" s="15" t="str">
        <f aca="false">IF(AND(ISNUMBER(M984),ISNUMBER(P984)),P984-M984,"")</f>
        <v/>
      </c>
      <c r="AC984" s="15" t="str">
        <f aca="false">IF(AND(ISNUMBER(L984),ISNUMBER(P984)),P984-L984,"")</f>
        <v/>
      </c>
      <c r="AD984" s="15" t="str">
        <f aca="false">IF(AND(ISNUMBER(P984),ISNUMBER(Q984)),Q984-P984,"")</f>
        <v/>
      </c>
      <c r="AE984" s="15" t="str">
        <f aca="false">IF(AND(ISNUMBER(Q984),ISNUMBER(R984)),R984-Q984,IF(ISNUMBER(Y984),Y984,""))</f>
        <v/>
      </c>
      <c r="AF984" s="15" t="str">
        <f aca="false">IF(AND(ISNUMBER(R984),ISNUMBER(S984)),S984-R984,"")</f>
        <v/>
      </c>
      <c r="AG984" s="15" t="str">
        <f aca="false">IF(AND(ISNUMBER(S984),ISNUMBER(T984)),T984-S984,"")</f>
        <v/>
      </c>
      <c r="AH984" s="15" t="str">
        <f aca="false">IF(AND(ISNUMBER(L984),ISNUMBER(T984)),T984-L984,"")</f>
        <v/>
      </c>
      <c r="AI984" s="15" t="str">
        <f aca="false">IF(AND(ISNUMBER(O984),ISNUMBER(Q984)),Q984-O984,"")</f>
        <v/>
      </c>
      <c r="AJ984" s="15" t="str">
        <f aca="false">IF(B984="","",COUNT(L984:M984,P984:T984)&amp;"/7")</f>
        <v/>
      </c>
      <c r="AK984" s="15" t="str">
        <f aca="false">IF(B984="","",IF(OR(AND(ISNUMBER(L984),ISNUMBER(M984),M984&lt;L984),AND(ISNUMBER(M984),ISNUMBER(P984),P984&lt;M984),AND(ISNUMBER(P984),ISNUMBER(Q984),Q984&lt;P984),AND(ISNUMBER(Q984),ISNUMBER(R984),R984&lt;Q984),AND(ISNUMBER(R984),ISNUMBER(S984),S984&lt;R984),AND(ISNUMBER(S984),ISNUMBER(T984),T984&lt;S984),AND(ISNUMBER(N984),ISNUMBER(O984),O984&lt;N984)),"Urutan tanggal salah",IF(AND(ISNUMBER(Q984),ISNUMBER(R984),ISNUMBER(Y984),ABS(R984-Q984-Y984)&gt;2),"S tanggal ≠ Sailing tercatat",IF(AND(ISNUMBER(Q984),ISNUMBER(O984),ABS(Q984-O984)&gt;60),"Cek tahun laycan",IF(AND(ISNUMBER(Q984),ISNUMBER(N984),Q984&lt;N984),"Berangkat sebelum laycan",IF(NOT(ISNUMBER(AE984)),"S belum ada","OK"))))))</f>
        <v/>
      </c>
    </row>
    <row r="985" customFormat="false" ht="15" hidden="false" customHeight="false" outlineLevel="0" collapsed="false">
      <c r="A985" s="16" t="str">
        <f aca="false">IF(B985="","",ROW()-4)</f>
        <v/>
      </c>
      <c r="B985" s="12"/>
      <c r="C985" s="16"/>
      <c r="D985" s="16"/>
      <c r="E985" s="16"/>
      <c r="F985" s="16"/>
      <c r="G985" s="16"/>
      <c r="H985" s="16"/>
      <c r="I985" s="16"/>
      <c r="J985" s="16"/>
      <c r="K985" s="16"/>
      <c r="L985" s="13"/>
      <c r="M985" s="13"/>
      <c r="N985" s="13"/>
      <c r="O985" s="13"/>
      <c r="P985" s="13"/>
      <c r="Q985" s="13"/>
      <c r="R985" s="13"/>
      <c r="S985" s="13"/>
      <c r="T985" s="13"/>
      <c r="U985" s="12"/>
      <c r="V985" s="14"/>
      <c r="W985" s="16"/>
      <c r="X985" s="16"/>
      <c r="Y985" s="16"/>
      <c r="Z985" s="16"/>
      <c r="AA985" s="15" t="str">
        <f aca="false">IF(AND(ISNUMBER(L985),ISNUMBER(M985)),M985-L985,"")</f>
        <v/>
      </c>
      <c r="AB985" s="15" t="str">
        <f aca="false">IF(AND(ISNUMBER(M985),ISNUMBER(P985)),P985-M985,"")</f>
        <v/>
      </c>
      <c r="AC985" s="15" t="str">
        <f aca="false">IF(AND(ISNUMBER(L985),ISNUMBER(P985)),P985-L985,"")</f>
        <v/>
      </c>
      <c r="AD985" s="15" t="str">
        <f aca="false">IF(AND(ISNUMBER(P985),ISNUMBER(Q985)),Q985-P985,"")</f>
        <v/>
      </c>
      <c r="AE985" s="15" t="str">
        <f aca="false">IF(AND(ISNUMBER(Q985),ISNUMBER(R985)),R985-Q985,IF(ISNUMBER(Y985),Y985,""))</f>
        <v/>
      </c>
      <c r="AF985" s="15" t="str">
        <f aca="false">IF(AND(ISNUMBER(R985),ISNUMBER(S985)),S985-R985,"")</f>
        <v/>
      </c>
      <c r="AG985" s="15" t="str">
        <f aca="false">IF(AND(ISNUMBER(S985),ISNUMBER(T985)),T985-S985,"")</f>
        <v/>
      </c>
      <c r="AH985" s="15" t="str">
        <f aca="false">IF(AND(ISNUMBER(L985),ISNUMBER(T985)),T985-L985,"")</f>
        <v/>
      </c>
      <c r="AI985" s="15" t="str">
        <f aca="false">IF(AND(ISNUMBER(O985),ISNUMBER(Q985)),Q985-O985,"")</f>
        <v/>
      </c>
      <c r="AJ985" s="15" t="str">
        <f aca="false">IF(B985="","",COUNT(L985:M985,P985:T985)&amp;"/7")</f>
        <v/>
      </c>
      <c r="AK985" s="15" t="str">
        <f aca="false">IF(B985="","",IF(OR(AND(ISNUMBER(L985),ISNUMBER(M985),M985&lt;L985),AND(ISNUMBER(M985),ISNUMBER(P985),P985&lt;M985),AND(ISNUMBER(P985),ISNUMBER(Q985),Q985&lt;P985),AND(ISNUMBER(Q985),ISNUMBER(R985),R985&lt;Q985),AND(ISNUMBER(R985),ISNUMBER(S985),S985&lt;R985),AND(ISNUMBER(S985),ISNUMBER(T985),T985&lt;S985),AND(ISNUMBER(N985),ISNUMBER(O985),O985&lt;N985)),"Urutan tanggal salah",IF(AND(ISNUMBER(Q985),ISNUMBER(R985),ISNUMBER(Y985),ABS(R985-Q985-Y985)&gt;2),"S tanggal ≠ Sailing tercatat",IF(AND(ISNUMBER(Q985),ISNUMBER(O985),ABS(Q985-O985)&gt;60),"Cek tahun laycan",IF(AND(ISNUMBER(Q985),ISNUMBER(N985),Q985&lt;N985),"Berangkat sebelum laycan",IF(NOT(ISNUMBER(AE985)),"S belum ada","OK"))))))</f>
        <v/>
      </c>
    </row>
    <row r="986" customFormat="false" ht="15" hidden="false" customHeight="false" outlineLevel="0" collapsed="false">
      <c r="A986" s="16" t="str">
        <f aca="false">IF(B986="","",ROW()-4)</f>
        <v/>
      </c>
      <c r="B986" s="12"/>
      <c r="C986" s="16"/>
      <c r="D986" s="16"/>
      <c r="E986" s="16"/>
      <c r="F986" s="16"/>
      <c r="G986" s="16"/>
      <c r="H986" s="16"/>
      <c r="I986" s="16"/>
      <c r="J986" s="16"/>
      <c r="K986" s="16"/>
      <c r="L986" s="13"/>
      <c r="M986" s="13"/>
      <c r="N986" s="13"/>
      <c r="O986" s="13"/>
      <c r="P986" s="13"/>
      <c r="Q986" s="13"/>
      <c r="R986" s="13"/>
      <c r="S986" s="13"/>
      <c r="T986" s="13"/>
      <c r="U986" s="12"/>
      <c r="V986" s="14"/>
      <c r="W986" s="16"/>
      <c r="X986" s="16"/>
      <c r="Y986" s="16"/>
      <c r="Z986" s="16"/>
      <c r="AA986" s="15" t="str">
        <f aca="false">IF(AND(ISNUMBER(L986),ISNUMBER(M986)),M986-L986,"")</f>
        <v/>
      </c>
      <c r="AB986" s="15" t="str">
        <f aca="false">IF(AND(ISNUMBER(M986),ISNUMBER(P986)),P986-M986,"")</f>
        <v/>
      </c>
      <c r="AC986" s="15" t="str">
        <f aca="false">IF(AND(ISNUMBER(L986),ISNUMBER(P986)),P986-L986,"")</f>
        <v/>
      </c>
      <c r="AD986" s="15" t="str">
        <f aca="false">IF(AND(ISNUMBER(P986),ISNUMBER(Q986)),Q986-P986,"")</f>
        <v/>
      </c>
      <c r="AE986" s="15" t="str">
        <f aca="false">IF(AND(ISNUMBER(Q986),ISNUMBER(R986)),R986-Q986,IF(ISNUMBER(Y986),Y986,""))</f>
        <v/>
      </c>
      <c r="AF986" s="15" t="str">
        <f aca="false">IF(AND(ISNUMBER(R986),ISNUMBER(S986)),S986-R986,"")</f>
        <v/>
      </c>
      <c r="AG986" s="15" t="str">
        <f aca="false">IF(AND(ISNUMBER(S986),ISNUMBER(T986)),T986-S986,"")</f>
        <v/>
      </c>
      <c r="AH986" s="15" t="str">
        <f aca="false">IF(AND(ISNUMBER(L986),ISNUMBER(T986)),T986-L986,"")</f>
        <v/>
      </c>
      <c r="AI986" s="15" t="str">
        <f aca="false">IF(AND(ISNUMBER(O986),ISNUMBER(Q986)),Q986-O986,"")</f>
        <v/>
      </c>
      <c r="AJ986" s="15" t="str">
        <f aca="false">IF(B986="","",COUNT(L986:M986,P986:T986)&amp;"/7")</f>
        <v/>
      </c>
      <c r="AK986" s="15" t="str">
        <f aca="false">IF(B986="","",IF(OR(AND(ISNUMBER(L986),ISNUMBER(M986),M986&lt;L986),AND(ISNUMBER(M986),ISNUMBER(P986),P986&lt;M986),AND(ISNUMBER(P986),ISNUMBER(Q986),Q986&lt;P986),AND(ISNUMBER(Q986),ISNUMBER(R986),R986&lt;Q986),AND(ISNUMBER(R986),ISNUMBER(S986),S986&lt;R986),AND(ISNUMBER(S986),ISNUMBER(T986),T986&lt;S986),AND(ISNUMBER(N986),ISNUMBER(O986),O986&lt;N986)),"Urutan tanggal salah",IF(AND(ISNUMBER(Q986),ISNUMBER(R986),ISNUMBER(Y986),ABS(R986-Q986-Y986)&gt;2),"S tanggal ≠ Sailing tercatat",IF(AND(ISNUMBER(Q986),ISNUMBER(O986),ABS(Q986-O986)&gt;60),"Cek tahun laycan",IF(AND(ISNUMBER(Q986),ISNUMBER(N986),Q986&lt;N986),"Berangkat sebelum laycan",IF(NOT(ISNUMBER(AE986)),"S belum ada","OK"))))))</f>
        <v/>
      </c>
    </row>
    <row r="987" customFormat="false" ht="15" hidden="false" customHeight="false" outlineLevel="0" collapsed="false">
      <c r="A987" s="16" t="str">
        <f aca="false">IF(B987="","",ROW()-4)</f>
        <v/>
      </c>
      <c r="B987" s="12"/>
      <c r="C987" s="16"/>
      <c r="D987" s="16"/>
      <c r="E987" s="16"/>
      <c r="F987" s="16"/>
      <c r="G987" s="16"/>
      <c r="H987" s="16"/>
      <c r="I987" s="16"/>
      <c r="J987" s="16"/>
      <c r="K987" s="16"/>
      <c r="L987" s="13"/>
      <c r="M987" s="13"/>
      <c r="N987" s="13"/>
      <c r="O987" s="13"/>
      <c r="P987" s="13"/>
      <c r="Q987" s="13"/>
      <c r="R987" s="13"/>
      <c r="S987" s="13"/>
      <c r="T987" s="13"/>
      <c r="U987" s="12"/>
      <c r="V987" s="14"/>
      <c r="W987" s="16"/>
      <c r="X987" s="16"/>
      <c r="Y987" s="16"/>
      <c r="Z987" s="16"/>
      <c r="AA987" s="15" t="str">
        <f aca="false">IF(AND(ISNUMBER(L987),ISNUMBER(M987)),M987-L987,"")</f>
        <v/>
      </c>
      <c r="AB987" s="15" t="str">
        <f aca="false">IF(AND(ISNUMBER(M987),ISNUMBER(P987)),P987-M987,"")</f>
        <v/>
      </c>
      <c r="AC987" s="15" t="str">
        <f aca="false">IF(AND(ISNUMBER(L987),ISNUMBER(P987)),P987-L987,"")</f>
        <v/>
      </c>
      <c r="AD987" s="15" t="str">
        <f aca="false">IF(AND(ISNUMBER(P987),ISNUMBER(Q987)),Q987-P987,"")</f>
        <v/>
      </c>
      <c r="AE987" s="15" t="str">
        <f aca="false">IF(AND(ISNUMBER(Q987),ISNUMBER(R987)),R987-Q987,IF(ISNUMBER(Y987),Y987,""))</f>
        <v/>
      </c>
      <c r="AF987" s="15" t="str">
        <f aca="false">IF(AND(ISNUMBER(R987),ISNUMBER(S987)),S987-R987,"")</f>
        <v/>
      </c>
      <c r="AG987" s="15" t="str">
        <f aca="false">IF(AND(ISNUMBER(S987),ISNUMBER(T987)),T987-S987,"")</f>
        <v/>
      </c>
      <c r="AH987" s="15" t="str">
        <f aca="false">IF(AND(ISNUMBER(L987),ISNUMBER(T987)),T987-L987,"")</f>
        <v/>
      </c>
      <c r="AI987" s="15" t="str">
        <f aca="false">IF(AND(ISNUMBER(O987),ISNUMBER(Q987)),Q987-O987,"")</f>
        <v/>
      </c>
      <c r="AJ987" s="15" t="str">
        <f aca="false">IF(B987="","",COUNT(L987:M987,P987:T987)&amp;"/7")</f>
        <v/>
      </c>
      <c r="AK987" s="15" t="str">
        <f aca="false">IF(B987="","",IF(OR(AND(ISNUMBER(L987),ISNUMBER(M987),M987&lt;L987),AND(ISNUMBER(M987),ISNUMBER(P987),P987&lt;M987),AND(ISNUMBER(P987),ISNUMBER(Q987),Q987&lt;P987),AND(ISNUMBER(Q987),ISNUMBER(R987),R987&lt;Q987),AND(ISNUMBER(R987),ISNUMBER(S987),S987&lt;R987),AND(ISNUMBER(S987),ISNUMBER(T987),T987&lt;S987),AND(ISNUMBER(N987),ISNUMBER(O987),O987&lt;N987)),"Urutan tanggal salah",IF(AND(ISNUMBER(Q987),ISNUMBER(R987),ISNUMBER(Y987),ABS(R987-Q987-Y987)&gt;2),"S tanggal ≠ Sailing tercatat",IF(AND(ISNUMBER(Q987),ISNUMBER(O987),ABS(Q987-O987)&gt;60),"Cek tahun laycan",IF(AND(ISNUMBER(Q987),ISNUMBER(N987),Q987&lt;N987),"Berangkat sebelum laycan",IF(NOT(ISNUMBER(AE987)),"S belum ada","OK"))))))</f>
        <v/>
      </c>
    </row>
    <row r="988" customFormat="false" ht="15" hidden="false" customHeight="false" outlineLevel="0" collapsed="false">
      <c r="A988" s="16" t="str">
        <f aca="false">IF(B988="","",ROW()-4)</f>
        <v/>
      </c>
      <c r="B988" s="12"/>
      <c r="C988" s="16"/>
      <c r="D988" s="16"/>
      <c r="E988" s="16"/>
      <c r="F988" s="16"/>
      <c r="G988" s="16"/>
      <c r="H988" s="16"/>
      <c r="I988" s="16"/>
      <c r="J988" s="16"/>
      <c r="K988" s="16"/>
      <c r="L988" s="13"/>
      <c r="M988" s="13"/>
      <c r="N988" s="13"/>
      <c r="O988" s="13"/>
      <c r="P988" s="13"/>
      <c r="Q988" s="13"/>
      <c r="R988" s="13"/>
      <c r="S988" s="13"/>
      <c r="T988" s="13"/>
      <c r="U988" s="12"/>
      <c r="V988" s="14"/>
      <c r="W988" s="16"/>
      <c r="X988" s="16"/>
      <c r="Y988" s="16"/>
      <c r="Z988" s="16"/>
      <c r="AA988" s="15" t="str">
        <f aca="false">IF(AND(ISNUMBER(L988),ISNUMBER(M988)),M988-L988,"")</f>
        <v/>
      </c>
      <c r="AB988" s="15" t="str">
        <f aca="false">IF(AND(ISNUMBER(M988),ISNUMBER(P988)),P988-M988,"")</f>
        <v/>
      </c>
      <c r="AC988" s="15" t="str">
        <f aca="false">IF(AND(ISNUMBER(L988),ISNUMBER(P988)),P988-L988,"")</f>
        <v/>
      </c>
      <c r="AD988" s="15" t="str">
        <f aca="false">IF(AND(ISNUMBER(P988),ISNUMBER(Q988)),Q988-P988,"")</f>
        <v/>
      </c>
      <c r="AE988" s="15" t="str">
        <f aca="false">IF(AND(ISNUMBER(Q988),ISNUMBER(R988)),R988-Q988,IF(ISNUMBER(Y988),Y988,""))</f>
        <v/>
      </c>
      <c r="AF988" s="15" t="str">
        <f aca="false">IF(AND(ISNUMBER(R988),ISNUMBER(S988)),S988-R988,"")</f>
        <v/>
      </c>
      <c r="AG988" s="15" t="str">
        <f aca="false">IF(AND(ISNUMBER(S988),ISNUMBER(T988)),T988-S988,"")</f>
        <v/>
      </c>
      <c r="AH988" s="15" t="str">
        <f aca="false">IF(AND(ISNUMBER(L988),ISNUMBER(T988)),T988-L988,"")</f>
        <v/>
      </c>
      <c r="AI988" s="15" t="str">
        <f aca="false">IF(AND(ISNUMBER(O988),ISNUMBER(Q988)),Q988-O988,"")</f>
        <v/>
      </c>
      <c r="AJ988" s="15" t="str">
        <f aca="false">IF(B988="","",COUNT(L988:M988,P988:T988)&amp;"/7")</f>
        <v/>
      </c>
      <c r="AK988" s="15" t="str">
        <f aca="false">IF(B988="","",IF(OR(AND(ISNUMBER(L988),ISNUMBER(M988),M988&lt;L988),AND(ISNUMBER(M988),ISNUMBER(P988),P988&lt;M988),AND(ISNUMBER(P988),ISNUMBER(Q988),Q988&lt;P988),AND(ISNUMBER(Q988),ISNUMBER(R988),R988&lt;Q988),AND(ISNUMBER(R988),ISNUMBER(S988),S988&lt;R988),AND(ISNUMBER(S988),ISNUMBER(T988),T988&lt;S988),AND(ISNUMBER(N988),ISNUMBER(O988),O988&lt;N988)),"Urutan tanggal salah",IF(AND(ISNUMBER(Q988),ISNUMBER(R988),ISNUMBER(Y988),ABS(R988-Q988-Y988)&gt;2),"S tanggal ≠ Sailing tercatat",IF(AND(ISNUMBER(Q988),ISNUMBER(O988),ABS(Q988-O988)&gt;60),"Cek tahun laycan",IF(AND(ISNUMBER(Q988),ISNUMBER(N988),Q988&lt;N988),"Berangkat sebelum laycan",IF(NOT(ISNUMBER(AE988)),"S belum ada","OK"))))))</f>
        <v/>
      </c>
    </row>
    <row r="989" customFormat="false" ht="15" hidden="false" customHeight="false" outlineLevel="0" collapsed="false">
      <c r="A989" s="16" t="str">
        <f aca="false">IF(B989="","",ROW()-4)</f>
        <v/>
      </c>
      <c r="B989" s="12"/>
      <c r="C989" s="16"/>
      <c r="D989" s="16"/>
      <c r="E989" s="16"/>
      <c r="F989" s="16"/>
      <c r="G989" s="16"/>
      <c r="H989" s="16"/>
      <c r="I989" s="16"/>
      <c r="J989" s="16"/>
      <c r="K989" s="16"/>
      <c r="L989" s="13"/>
      <c r="M989" s="13"/>
      <c r="N989" s="13"/>
      <c r="O989" s="13"/>
      <c r="P989" s="13"/>
      <c r="Q989" s="13"/>
      <c r="R989" s="13"/>
      <c r="S989" s="13"/>
      <c r="T989" s="13"/>
      <c r="U989" s="12"/>
      <c r="V989" s="14"/>
      <c r="W989" s="16"/>
      <c r="X989" s="16"/>
      <c r="Y989" s="16"/>
      <c r="Z989" s="16"/>
      <c r="AA989" s="15" t="str">
        <f aca="false">IF(AND(ISNUMBER(L989),ISNUMBER(M989)),M989-L989,"")</f>
        <v/>
      </c>
      <c r="AB989" s="15" t="str">
        <f aca="false">IF(AND(ISNUMBER(M989),ISNUMBER(P989)),P989-M989,"")</f>
        <v/>
      </c>
      <c r="AC989" s="15" t="str">
        <f aca="false">IF(AND(ISNUMBER(L989),ISNUMBER(P989)),P989-L989,"")</f>
        <v/>
      </c>
      <c r="AD989" s="15" t="str">
        <f aca="false">IF(AND(ISNUMBER(P989),ISNUMBER(Q989)),Q989-P989,"")</f>
        <v/>
      </c>
      <c r="AE989" s="15" t="str">
        <f aca="false">IF(AND(ISNUMBER(Q989),ISNUMBER(R989)),R989-Q989,IF(ISNUMBER(Y989),Y989,""))</f>
        <v/>
      </c>
      <c r="AF989" s="15" t="str">
        <f aca="false">IF(AND(ISNUMBER(R989),ISNUMBER(S989)),S989-R989,"")</f>
        <v/>
      </c>
      <c r="AG989" s="15" t="str">
        <f aca="false">IF(AND(ISNUMBER(S989),ISNUMBER(T989)),T989-S989,"")</f>
        <v/>
      </c>
      <c r="AH989" s="15" t="str">
        <f aca="false">IF(AND(ISNUMBER(L989),ISNUMBER(T989)),T989-L989,"")</f>
        <v/>
      </c>
      <c r="AI989" s="15" t="str">
        <f aca="false">IF(AND(ISNUMBER(O989),ISNUMBER(Q989)),Q989-O989,"")</f>
        <v/>
      </c>
      <c r="AJ989" s="15" t="str">
        <f aca="false">IF(B989="","",COUNT(L989:M989,P989:T989)&amp;"/7")</f>
        <v/>
      </c>
      <c r="AK989" s="15" t="str">
        <f aca="false">IF(B989="","",IF(OR(AND(ISNUMBER(L989),ISNUMBER(M989),M989&lt;L989),AND(ISNUMBER(M989),ISNUMBER(P989),P989&lt;M989),AND(ISNUMBER(P989),ISNUMBER(Q989),Q989&lt;P989),AND(ISNUMBER(Q989),ISNUMBER(R989),R989&lt;Q989),AND(ISNUMBER(R989),ISNUMBER(S989),S989&lt;R989),AND(ISNUMBER(S989),ISNUMBER(T989),T989&lt;S989),AND(ISNUMBER(N989),ISNUMBER(O989),O989&lt;N989)),"Urutan tanggal salah",IF(AND(ISNUMBER(Q989),ISNUMBER(R989),ISNUMBER(Y989),ABS(R989-Q989-Y989)&gt;2),"S tanggal ≠ Sailing tercatat",IF(AND(ISNUMBER(Q989),ISNUMBER(O989),ABS(Q989-O989)&gt;60),"Cek tahun laycan",IF(AND(ISNUMBER(Q989),ISNUMBER(N989),Q989&lt;N989),"Berangkat sebelum laycan",IF(NOT(ISNUMBER(AE989)),"S belum ada","OK"))))))</f>
        <v/>
      </c>
    </row>
    <row r="990" customFormat="false" ht="15" hidden="false" customHeight="false" outlineLevel="0" collapsed="false">
      <c r="A990" s="16" t="str">
        <f aca="false">IF(B990="","",ROW()-4)</f>
        <v/>
      </c>
      <c r="B990" s="12"/>
      <c r="C990" s="16"/>
      <c r="D990" s="16"/>
      <c r="E990" s="16"/>
      <c r="F990" s="16"/>
      <c r="G990" s="16"/>
      <c r="H990" s="16"/>
      <c r="I990" s="16"/>
      <c r="J990" s="16"/>
      <c r="K990" s="16"/>
      <c r="L990" s="13"/>
      <c r="M990" s="13"/>
      <c r="N990" s="13"/>
      <c r="O990" s="13"/>
      <c r="P990" s="13"/>
      <c r="Q990" s="13"/>
      <c r="R990" s="13"/>
      <c r="S990" s="13"/>
      <c r="T990" s="13"/>
      <c r="U990" s="12"/>
      <c r="V990" s="14"/>
      <c r="W990" s="16"/>
      <c r="X990" s="16"/>
      <c r="Y990" s="16"/>
      <c r="Z990" s="16"/>
      <c r="AA990" s="15" t="str">
        <f aca="false">IF(AND(ISNUMBER(L990),ISNUMBER(M990)),M990-L990,"")</f>
        <v/>
      </c>
      <c r="AB990" s="15" t="str">
        <f aca="false">IF(AND(ISNUMBER(M990),ISNUMBER(P990)),P990-M990,"")</f>
        <v/>
      </c>
      <c r="AC990" s="15" t="str">
        <f aca="false">IF(AND(ISNUMBER(L990),ISNUMBER(P990)),P990-L990,"")</f>
        <v/>
      </c>
      <c r="AD990" s="15" t="str">
        <f aca="false">IF(AND(ISNUMBER(P990),ISNUMBER(Q990)),Q990-P990,"")</f>
        <v/>
      </c>
      <c r="AE990" s="15" t="str">
        <f aca="false">IF(AND(ISNUMBER(Q990),ISNUMBER(R990)),R990-Q990,IF(ISNUMBER(Y990),Y990,""))</f>
        <v/>
      </c>
      <c r="AF990" s="15" t="str">
        <f aca="false">IF(AND(ISNUMBER(R990),ISNUMBER(S990)),S990-R990,"")</f>
        <v/>
      </c>
      <c r="AG990" s="15" t="str">
        <f aca="false">IF(AND(ISNUMBER(S990),ISNUMBER(T990)),T990-S990,"")</f>
        <v/>
      </c>
      <c r="AH990" s="15" t="str">
        <f aca="false">IF(AND(ISNUMBER(L990),ISNUMBER(T990)),T990-L990,"")</f>
        <v/>
      </c>
      <c r="AI990" s="15" t="str">
        <f aca="false">IF(AND(ISNUMBER(O990),ISNUMBER(Q990)),Q990-O990,"")</f>
        <v/>
      </c>
      <c r="AJ990" s="15" t="str">
        <f aca="false">IF(B990="","",COUNT(L990:M990,P990:T990)&amp;"/7")</f>
        <v/>
      </c>
      <c r="AK990" s="15" t="str">
        <f aca="false">IF(B990="","",IF(OR(AND(ISNUMBER(L990),ISNUMBER(M990),M990&lt;L990),AND(ISNUMBER(M990),ISNUMBER(P990),P990&lt;M990),AND(ISNUMBER(P990),ISNUMBER(Q990),Q990&lt;P990),AND(ISNUMBER(Q990),ISNUMBER(R990),R990&lt;Q990),AND(ISNUMBER(R990),ISNUMBER(S990),S990&lt;R990),AND(ISNUMBER(S990),ISNUMBER(T990),T990&lt;S990),AND(ISNUMBER(N990),ISNUMBER(O990),O990&lt;N990)),"Urutan tanggal salah",IF(AND(ISNUMBER(Q990),ISNUMBER(R990),ISNUMBER(Y990),ABS(R990-Q990-Y990)&gt;2),"S tanggal ≠ Sailing tercatat",IF(AND(ISNUMBER(Q990),ISNUMBER(O990),ABS(Q990-O990)&gt;60),"Cek tahun laycan",IF(AND(ISNUMBER(Q990),ISNUMBER(N990),Q990&lt;N990),"Berangkat sebelum laycan",IF(NOT(ISNUMBER(AE990)),"S belum ada","OK"))))))</f>
        <v/>
      </c>
    </row>
    <row r="991" customFormat="false" ht="15" hidden="false" customHeight="false" outlineLevel="0" collapsed="false">
      <c r="A991" s="16" t="str">
        <f aca="false">IF(B991="","",ROW()-4)</f>
        <v/>
      </c>
      <c r="B991" s="12"/>
      <c r="C991" s="16"/>
      <c r="D991" s="16"/>
      <c r="E991" s="16"/>
      <c r="F991" s="16"/>
      <c r="G991" s="16"/>
      <c r="H991" s="16"/>
      <c r="I991" s="16"/>
      <c r="J991" s="16"/>
      <c r="K991" s="16"/>
      <c r="L991" s="13"/>
      <c r="M991" s="13"/>
      <c r="N991" s="13"/>
      <c r="O991" s="13"/>
      <c r="P991" s="13"/>
      <c r="Q991" s="13"/>
      <c r="R991" s="13"/>
      <c r="S991" s="13"/>
      <c r="T991" s="13"/>
      <c r="U991" s="12"/>
      <c r="V991" s="14"/>
      <c r="W991" s="16"/>
      <c r="X991" s="16"/>
      <c r="Y991" s="16"/>
      <c r="Z991" s="16"/>
      <c r="AA991" s="15" t="str">
        <f aca="false">IF(AND(ISNUMBER(L991),ISNUMBER(M991)),M991-L991,"")</f>
        <v/>
      </c>
      <c r="AB991" s="15" t="str">
        <f aca="false">IF(AND(ISNUMBER(M991),ISNUMBER(P991)),P991-M991,"")</f>
        <v/>
      </c>
      <c r="AC991" s="15" t="str">
        <f aca="false">IF(AND(ISNUMBER(L991),ISNUMBER(P991)),P991-L991,"")</f>
        <v/>
      </c>
      <c r="AD991" s="15" t="str">
        <f aca="false">IF(AND(ISNUMBER(P991),ISNUMBER(Q991)),Q991-P991,"")</f>
        <v/>
      </c>
      <c r="AE991" s="15" t="str">
        <f aca="false">IF(AND(ISNUMBER(Q991),ISNUMBER(R991)),R991-Q991,IF(ISNUMBER(Y991),Y991,""))</f>
        <v/>
      </c>
      <c r="AF991" s="15" t="str">
        <f aca="false">IF(AND(ISNUMBER(R991),ISNUMBER(S991)),S991-R991,"")</f>
        <v/>
      </c>
      <c r="AG991" s="15" t="str">
        <f aca="false">IF(AND(ISNUMBER(S991),ISNUMBER(T991)),T991-S991,"")</f>
        <v/>
      </c>
      <c r="AH991" s="15" t="str">
        <f aca="false">IF(AND(ISNUMBER(L991),ISNUMBER(T991)),T991-L991,"")</f>
        <v/>
      </c>
      <c r="AI991" s="15" t="str">
        <f aca="false">IF(AND(ISNUMBER(O991),ISNUMBER(Q991)),Q991-O991,"")</f>
        <v/>
      </c>
      <c r="AJ991" s="15" t="str">
        <f aca="false">IF(B991="","",COUNT(L991:M991,P991:T991)&amp;"/7")</f>
        <v/>
      </c>
      <c r="AK991" s="15" t="str">
        <f aca="false">IF(B991="","",IF(OR(AND(ISNUMBER(L991),ISNUMBER(M991),M991&lt;L991),AND(ISNUMBER(M991),ISNUMBER(P991),P991&lt;M991),AND(ISNUMBER(P991),ISNUMBER(Q991),Q991&lt;P991),AND(ISNUMBER(Q991),ISNUMBER(R991),R991&lt;Q991),AND(ISNUMBER(R991),ISNUMBER(S991),S991&lt;R991),AND(ISNUMBER(S991),ISNUMBER(T991),T991&lt;S991),AND(ISNUMBER(N991),ISNUMBER(O991),O991&lt;N991)),"Urutan tanggal salah",IF(AND(ISNUMBER(Q991),ISNUMBER(R991),ISNUMBER(Y991),ABS(R991-Q991-Y991)&gt;2),"S tanggal ≠ Sailing tercatat",IF(AND(ISNUMBER(Q991),ISNUMBER(O991),ABS(Q991-O991)&gt;60),"Cek tahun laycan",IF(AND(ISNUMBER(Q991),ISNUMBER(N991),Q991&lt;N991),"Berangkat sebelum laycan",IF(NOT(ISNUMBER(AE991)),"S belum ada","OK"))))))</f>
        <v/>
      </c>
    </row>
    <row r="992" customFormat="false" ht="15" hidden="false" customHeight="false" outlineLevel="0" collapsed="false">
      <c r="A992" s="16" t="str">
        <f aca="false">IF(B992="","",ROW()-4)</f>
        <v/>
      </c>
      <c r="B992" s="12"/>
      <c r="C992" s="16"/>
      <c r="D992" s="16"/>
      <c r="E992" s="16"/>
      <c r="F992" s="16"/>
      <c r="G992" s="16"/>
      <c r="H992" s="16"/>
      <c r="I992" s="16"/>
      <c r="J992" s="16"/>
      <c r="K992" s="16"/>
      <c r="L992" s="13"/>
      <c r="M992" s="13"/>
      <c r="N992" s="13"/>
      <c r="O992" s="13"/>
      <c r="P992" s="13"/>
      <c r="Q992" s="13"/>
      <c r="R992" s="13"/>
      <c r="S992" s="13"/>
      <c r="T992" s="13"/>
      <c r="U992" s="12"/>
      <c r="V992" s="14"/>
      <c r="W992" s="16"/>
      <c r="X992" s="16"/>
      <c r="Y992" s="16"/>
      <c r="Z992" s="16"/>
      <c r="AA992" s="15" t="str">
        <f aca="false">IF(AND(ISNUMBER(L992),ISNUMBER(M992)),M992-L992,"")</f>
        <v/>
      </c>
      <c r="AB992" s="15" t="str">
        <f aca="false">IF(AND(ISNUMBER(M992),ISNUMBER(P992)),P992-M992,"")</f>
        <v/>
      </c>
      <c r="AC992" s="15" t="str">
        <f aca="false">IF(AND(ISNUMBER(L992),ISNUMBER(P992)),P992-L992,"")</f>
        <v/>
      </c>
      <c r="AD992" s="15" t="str">
        <f aca="false">IF(AND(ISNUMBER(P992),ISNUMBER(Q992)),Q992-P992,"")</f>
        <v/>
      </c>
      <c r="AE992" s="15" t="str">
        <f aca="false">IF(AND(ISNUMBER(Q992),ISNUMBER(R992)),R992-Q992,IF(ISNUMBER(Y992),Y992,""))</f>
        <v/>
      </c>
      <c r="AF992" s="15" t="str">
        <f aca="false">IF(AND(ISNUMBER(R992),ISNUMBER(S992)),S992-R992,"")</f>
        <v/>
      </c>
      <c r="AG992" s="15" t="str">
        <f aca="false">IF(AND(ISNUMBER(S992),ISNUMBER(T992)),T992-S992,"")</f>
        <v/>
      </c>
      <c r="AH992" s="15" t="str">
        <f aca="false">IF(AND(ISNUMBER(L992),ISNUMBER(T992)),T992-L992,"")</f>
        <v/>
      </c>
      <c r="AI992" s="15" t="str">
        <f aca="false">IF(AND(ISNUMBER(O992),ISNUMBER(Q992)),Q992-O992,"")</f>
        <v/>
      </c>
      <c r="AJ992" s="15" t="str">
        <f aca="false">IF(B992="","",COUNT(L992:M992,P992:T992)&amp;"/7")</f>
        <v/>
      </c>
      <c r="AK992" s="15" t="str">
        <f aca="false">IF(B992="","",IF(OR(AND(ISNUMBER(L992),ISNUMBER(M992),M992&lt;L992),AND(ISNUMBER(M992),ISNUMBER(P992),P992&lt;M992),AND(ISNUMBER(P992),ISNUMBER(Q992),Q992&lt;P992),AND(ISNUMBER(Q992),ISNUMBER(R992),R992&lt;Q992),AND(ISNUMBER(R992),ISNUMBER(S992),S992&lt;R992),AND(ISNUMBER(S992),ISNUMBER(T992),T992&lt;S992),AND(ISNUMBER(N992),ISNUMBER(O992),O992&lt;N992)),"Urutan tanggal salah",IF(AND(ISNUMBER(Q992),ISNUMBER(R992),ISNUMBER(Y992),ABS(R992-Q992-Y992)&gt;2),"S tanggal ≠ Sailing tercatat",IF(AND(ISNUMBER(Q992),ISNUMBER(O992),ABS(Q992-O992)&gt;60),"Cek tahun laycan",IF(AND(ISNUMBER(Q992),ISNUMBER(N992),Q992&lt;N992),"Berangkat sebelum laycan",IF(NOT(ISNUMBER(AE992)),"S belum ada","OK"))))))</f>
        <v/>
      </c>
    </row>
    <row r="993" customFormat="false" ht="15" hidden="false" customHeight="false" outlineLevel="0" collapsed="false">
      <c r="A993" s="16" t="str">
        <f aca="false">IF(B993="","",ROW()-4)</f>
        <v/>
      </c>
      <c r="B993" s="12"/>
      <c r="C993" s="16"/>
      <c r="D993" s="16"/>
      <c r="E993" s="16"/>
      <c r="F993" s="16"/>
      <c r="G993" s="16"/>
      <c r="H993" s="16"/>
      <c r="I993" s="16"/>
      <c r="J993" s="16"/>
      <c r="K993" s="16"/>
      <c r="L993" s="13"/>
      <c r="M993" s="13"/>
      <c r="N993" s="13"/>
      <c r="O993" s="13"/>
      <c r="P993" s="13"/>
      <c r="Q993" s="13"/>
      <c r="R993" s="13"/>
      <c r="S993" s="13"/>
      <c r="T993" s="13"/>
      <c r="U993" s="12"/>
      <c r="V993" s="14"/>
      <c r="W993" s="16"/>
      <c r="X993" s="16"/>
      <c r="Y993" s="16"/>
      <c r="Z993" s="16"/>
      <c r="AA993" s="15" t="str">
        <f aca="false">IF(AND(ISNUMBER(L993),ISNUMBER(M993)),M993-L993,"")</f>
        <v/>
      </c>
      <c r="AB993" s="15" t="str">
        <f aca="false">IF(AND(ISNUMBER(M993),ISNUMBER(P993)),P993-M993,"")</f>
        <v/>
      </c>
      <c r="AC993" s="15" t="str">
        <f aca="false">IF(AND(ISNUMBER(L993),ISNUMBER(P993)),P993-L993,"")</f>
        <v/>
      </c>
      <c r="AD993" s="15" t="str">
        <f aca="false">IF(AND(ISNUMBER(P993),ISNUMBER(Q993)),Q993-P993,"")</f>
        <v/>
      </c>
      <c r="AE993" s="15" t="str">
        <f aca="false">IF(AND(ISNUMBER(Q993),ISNUMBER(R993)),R993-Q993,IF(ISNUMBER(Y993),Y993,""))</f>
        <v/>
      </c>
      <c r="AF993" s="15" t="str">
        <f aca="false">IF(AND(ISNUMBER(R993),ISNUMBER(S993)),S993-R993,"")</f>
        <v/>
      </c>
      <c r="AG993" s="15" t="str">
        <f aca="false">IF(AND(ISNUMBER(S993),ISNUMBER(T993)),T993-S993,"")</f>
        <v/>
      </c>
      <c r="AH993" s="15" t="str">
        <f aca="false">IF(AND(ISNUMBER(L993),ISNUMBER(T993)),T993-L993,"")</f>
        <v/>
      </c>
      <c r="AI993" s="15" t="str">
        <f aca="false">IF(AND(ISNUMBER(O993),ISNUMBER(Q993)),Q993-O993,"")</f>
        <v/>
      </c>
      <c r="AJ993" s="15" t="str">
        <f aca="false">IF(B993="","",COUNT(L993:M993,P993:T993)&amp;"/7")</f>
        <v/>
      </c>
      <c r="AK993" s="15" t="str">
        <f aca="false">IF(B993="","",IF(OR(AND(ISNUMBER(L993),ISNUMBER(M993),M993&lt;L993),AND(ISNUMBER(M993),ISNUMBER(P993),P993&lt;M993),AND(ISNUMBER(P993),ISNUMBER(Q993),Q993&lt;P993),AND(ISNUMBER(Q993),ISNUMBER(R993),R993&lt;Q993),AND(ISNUMBER(R993),ISNUMBER(S993),S993&lt;R993),AND(ISNUMBER(S993),ISNUMBER(T993),T993&lt;S993),AND(ISNUMBER(N993),ISNUMBER(O993),O993&lt;N993)),"Urutan tanggal salah",IF(AND(ISNUMBER(Q993),ISNUMBER(R993),ISNUMBER(Y993),ABS(R993-Q993-Y993)&gt;2),"S tanggal ≠ Sailing tercatat",IF(AND(ISNUMBER(Q993),ISNUMBER(O993),ABS(Q993-O993)&gt;60),"Cek tahun laycan",IF(AND(ISNUMBER(Q993),ISNUMBER(N993),Q993&lt;N993),"Berangkat sebelum laycan",IF(NOT(ISNUMBER(AE993)),"S belum ada","OK"))))))</f>
        <v/>
      </c>
    </row>
    <row r="994" customFormat="false" ht="15" hidden="false" customHeight="false" outlineLevel="0" collapsed="false">
      <c r="A994" s="16" t="str">
        <f aca="false">IF(B994="","",ROW()-4)</f>
        <v/>
      </c>
      <c r="B994" s="12"/>
      <c r="C994" s="16"/>
      <c r="D994" s="16"/>
      <c r="E994" s="16"/>
      <c r="F994" s="16"/>
      <c r="G994" s="16"/>
      <c r="H994" s="16"/>
      <c r="I994" s="16"/>
      <c r="J994" s="16"/>
      <c r="K994" s="16"/>
      <c r="L994" s="13"/>
      <c r="M994" s="13"/>
      <c r="N994" s="13"/>
      <c r="O994" s="13"/>
      <c r="P994" s="13"/>
      <c r="Q994" s="13"/>
      <c r="R994" s="13"/>
      <c r="S994" s="13"/>
      <c r="T994" s="13"/>
      <c r="U994" s="12"/>
      <c r="V994" s="14"/>
      <c r="W994" s="16"/>
      <c r="X994" s="16"/>
      <c r="Y994" s="16"/>
      <c r="Z994" s="16"/>
      <c r="AA994" s="15" t="str">
        <f aca="false">IF(AND(ISNUMBER(L994),ISNUMBER(M994)),M994-L994,"")</f>
        <v/>
      </c>
      <c r="AB994" s="15" t="str">
        <f aca="false">IF(AND(ISNUMBER(M994),ISNUMBER(P994)),P994-M994,"")</f>
        <v/>
      </c>
      <c r="AC994" s="15" t="str">
        <f aca="false">IF(AND(ISNUMBER(L994),ISNUMBER(P994)),P994-L994,"")</f>
        <v/>
      </c>
      <c r="AD994" s="15" t="str">
        <f aca="false">IF(AND(ISNUMBER(P994),ISNUMBER(Q994)),Q994-P994,"")</f>
        <v/>
      </c>
      <c r="AE994" s="15" t="str">
        <f aca="false">IF(AND(ISNUMBER(Q994),ISNUMBER(R994)),R994-Q994,IF(ISNUMBER(Y994),Y994,""))</f>
        <v/>
      </c>
      <c r="AF994" s="15" t="str">
        <f aca="false">IF(AND(ISNUMBER(R994),ISNUMBER(S994)),S994-R994,"")</f>
        <v/>
      </c>
      <c r="AG994" s="15" t="str">
        <f aca="false">IF(AND(ISNUMBER(S994),ISNUMBER(T994)),T994-S994,"")</f>
        <v/>
      </c>
      <c r="AH994" s="15" t="str">
        <f aca="false">IF(AND(ISNUMBER(L994),ISNUMBER(T994)),T994-L994,"")</f>
        <v/>
      </c>
      <c r="AI994" s="15" t="str">
        <f aca="false">IF(AND(ISNUMBER(O994),ISNUMBER(Q994)),Q994-O994,"")</f>
        <v/>
      </c>
      <c r="AJ994" s="15" t="str">
        <f aca="false">IF(B994="","",COUNT(L994:M994,P994:T994)&amp;"/7")</f>
        <v/>
      </c>
      <c r="AK994" s="15" t="str">
        <f aca="false">IF(B994="","",IF(OR(AND(ISNUMBER(L994),ISNUMBER(M994),M994&lt;L994),AND(ISNUMBER(M994),ISNUMBER(P994),P994&lt;M994),AND(ISNUMBER(P994),ISNUMBER(Q994),Q994&lt;P994),AND(ISNUMBER(Q994),ISNUMBER(R994),R994&lt;Q994),AND(ISNUMBER(R994),ISNUMBER(S994),S994&lt;R994),AND(ISNUMBER(S994),ISNUMBER(T994),T994&lt;S994),AND(ISNUMBER(N994),ISNUMBER(O994),O994&lt;N994)),"Urutan tanggal salah",IF(AND(ISNUMBER(Q994),ISNUMBER(R994),ISNUMBER(Y994),ABS(R994-Q994-Y994)&gt;2),"S tanggal ≠ Sailing tercatat",IF(AND(ISNUMBER(Q994),ISNUMBER(O994),ABS(Q994-O994)&gt;60),"Cek tahun laycan",IF(AND(ISNUMBER(Q994),ISNUMBER(N994),Q994&lt;N994),"Berangkat sebelum laycan",IF(NOT(ISNUMBER(AE994)),"S belum ada","OK"))))))</f>
        <v/>
      </c>
    </row>
    <row r="995" customFormat="false" ht="15" hidden="false" customHeight="false" outlineLevel="0" collapsed="false">
      <c r="A995" s="16" t="str">
        <f aca="false">IF(B995="","",ROW()-4)</f>
        <v/>
      </c>
      <c r="B995" s="12"/>
      <c r="C995" s="16"/>
      <c r="D995" s="16"/>
      <c r="E995" s="16"/>
      <c r="F995" s="16"/>
      <c r="G995" s="16"/>
      <c r="H995" s="16"/>
      <c r="I995" s="16"/>
      <c r="J995" s="16"/>
      <c r="K995" s="16"/>
      <c r="L995" s="13"/>
      <c r="M995" s="13"/>
      <c r="N995" s="13"/>
      <c r="O995" s="13"/>
      <c r="P995" s="13"/>
      <c r="Q995" s="13"/>
      <c r="R995" s="13"/>
      <c r="S995" s="13"/>
      <c r="T995" s="13"/>
      <c r="U995" s="12"/>
      <c r="V995" s="14"/>
      <c r="W995" s="16"/>
      <c r="X995" s="16"/>
      <c r="Y995" s="16"/>
      <c r="Z995" s="16"/>
      <c r="AA995" s="15" t="str">
        <f aca="false">IF(AND(ISNUMBER(L995),ISNUMBER(M995)),M995-L995,"")</f>
        <v/>
      </c>
      <c r="AB995" s="15" t="str">
        <f aca="false">IF(AND(ISNUMBER(M995),ISNUMBER(P995)),P995-M995,"")</f>
        <v/>
      </c>
      <c r="AC995" s="15" t="str">
        <f aca="false">IF(AND(ISNUMBER(L995),ISNUMBER(P995)),P995-L995,"")</f>
        <v/>
      </c>
      <c r="AD995" s="15" t="str">
        <f aca="false">IF(AND(ISNUMBER(P995),ISNUMBER(Q995)),Q995-P995,"")</f>
        <v/>
      </c>
      <c r="AE995" s="15" t="str">
        <f aca="false">IF(AND(ISNUMBER(Q995),ISNUMBER(R995)),R995-Q995,IF(ISNUMBER(Y995),Y995,""))</f>
        <v/>
      </c>
      <c r="AF995" s="15" t="str">
        <f aca="false">IF(AND(ISNUMBER(R995),ISNUMBER(S995)),S995-R995,"")</f>
        <v/>
      </c>
      <c r="AG995" s="15" t="str">
        <f aca="false">IF(AND(ISNUMBER(S995),ISNUMBER(T995)),T995-S995,"")</f>
        <v/>
      </c>
      <c r="AH995" s="15" t="str">
        <f aca="false">IF(AND(ISNUMBER(L995),ISNUMBER(T995)),T995-L995,"")</f>
        <v/>
      </c>
      <c r="AI995" s="15" t="str">
        <f aca="false">IF(AND(ISNUMBER(O995),ISNUMBER(Q995)),Q995-O995,"")</f>
        <v/>
      </c>
      <c r="AJ995" s="15" t="str">
        <f aca="false">IF(B995="","",COUNT(L995:M995,P995:T995)&amp;"/7")</f>
        <v/>
      </c>
      <c r="AK995" s="15" t="str">
        <f aca="false">IF(B995="","",IF(OR(AND(ISNUMBER(L995),ISNUMBER(M995),M995&lt;L995),AND(ISNUMBER(M995),ISNUMBER(P995),P995&lt;M995),AND(ISNUMBER(P995),ISNUMBER(Q995),Q995&lt;P995),AND(ISNUMBER(Q995),ISNUMBER(R995),R995&lt;Q995),AND(ISNUMBER(R995),ISNUMBER(S995),S995&lt;R995),AND(ISNUMBER(S995),ISNUMBER(T995),T995&lt;S995),AND(ISNUMBER(N995),ISNUMBER(O995),O995&lt;N995)),"Urutan tanggal salah",IF(AND(ISNUMBER(Q995),ISNUMBER(R995),ISNUMBER(Y995),ABS(R995-Q995-Y995)&gt;2),"S tanggal ≠ Sailing tercatat",IF(AND(ISNUMBER(Q995),ISNUMBER(O995),ABS(Q995-O995)&gt;60),"Cek tahun laycan",IF(AND(ISNUMBER(Q995),ISNUMBER(N995),Q995&lt;N995),"Berangkat sebelum laycan",IF(NOT(ISNUMBER(AE995)),"S belum ada","OK"))))))</f>
        <v/>
      </c>
    </row>
    <row r="996" customFormat="false" ht="15" hidden="false" customHeight="false" outlineLevel="0" collapsed="false">
      <c r="A996" s="16" t="str">
        <f aca="false">IF(B996="","",ROW()-4)</f>
        <v/>
      </c>
      <c r="B996" s="12"/>
      <c r="C996" s="16"/>
      <c r="D996" s="16"/>
      <c r="E996" s="16"/>
      <c r="F996" s="16"/>
      <c r="G996" s="16"/>
      <c r="H996" s="16"/>
      <c r="I996" s="16"/>
      <c r="J996" s="16"/>
      <c r="K996" s="16"/>
      <c r="L996" s="13"/>
      <c r="M996" s="13"/>
      <c r="N996" s="13"/>
      <c r="O996" s="13"/>
      <c r="P996" s="13"/>
      <c r="Q996" s="13"/>
      <c r="R996" s="13"/>
      <c r="S996" s="13"/>
      <c r="T996" s="13"/>
      <c r="U996" s="12"/>
      <c r="V996" s="14"/>
      <c r="W996" s="16"/>
      <c r="X996" s="16"/>
      <c r="Y996" s="16"/>
      <c r="Z996" s="16"/>
      <c r="AA996" s="15" t="str">
        <f aca="false">IF(AND(ISNUMBER(L996),ISNUMBER(M996)),M996-L996,"")</f>
        <v/>
      </c>
      <c r="AB996" s="15" t="str">
        <f aca="false">IF(AND(ISNUMBER(M996),ISNUMBER(P996)),P996-M996,"")</f>
        <v/>
      </c>
      <c r="AC996" s="15" t="str">
        <f aca="false">IF(AND(ISNUMBER(L996),ISNUMBER(P996)),P996-L996,"")</f>
        <v/>
      </c>
      <c r="AD996" s="15" t="str">
        <f aca="false">IF(AND(ISNUMBER(P996),ISNUMBER(Q996)),Q996-P996,"")</f>
        <v/>
      </c>
      <c r="AE996" s="15" t="str">
        <f aca="false">IF(AND(ISNUMBER(Q996),ISNUMBER(R996)),R996-Q996,IF(ISNUMBER(Y996),Y996,""))</f>
        <v/>
      </c>
      <c r="AF996" s="15" t="str">
        <f aca="false">IF(AND(ISNUMBER(R996),ISNUMBER(S996)),S996-R996,"")</f>
        <v/>
      </c>
      <c r="AG996" s="15" t="str">
        <f aca="false">IF(AND(ISNUMBER(S996),ISNUMBER(T996)),T996-S996,"")</f>
        <v/>
      </c>
      <c r="AH996" s="15" t="str">
        <f aca="false">IF(AND(ISNUMBER(L996),ISNUMBER(T996)),T996-L996,"")</f>
        <v/>
      </c>
      <c r="AI996" s="15" t="str">
        <f aca="false">IF(AND(ISNUMBER(O996),ISNUMBER(Q996)),Q996-O996,"")</f>
        <v/>
      </c>
      <c r="AJ996" s="15" t="str">
        <f aca="false">IF(B996="","",COUNT(L996:M996,P996:T996)&amp;"/7")</f>
        <v/>
      </c>
      <c r="AK996" s="15" t="str">
        <f aca="false">IF(B996="","",IF(OR(AND(ISNUMBER(L996),ISNUMBER(M996),M996&lt;L996),AND(ISNUMBER(M996),ISNUMBER(P996),P996&lt;M996),AND(ISNUMBER(P996),ISNUMBER(Q996),Q996&lt;P996),AND(ISNUMBER(Q996),ISNUMBER(R996),R996&lt;Q996),AND(ISNUMBER(R996),ISNUMBER(S996),S996&lt;R996),AND(ISNUMBER(S996),ISNUMBER(T996),T996&lt;S996),AND(ISNUMBER(N996),ISNUMBER(O996),O996&lt;N996)),"Urutan tanggal salah",IF(AND(ISNUMBER(Q996),ISNUMBER(R996),ISNUMBER(Y996),ABS(R996-Q996-Y996)&gt;2),"S tanggal ≠ Sailing tercatat",IF(AND(ISNUMBER(Q996),ISNUMBER(O996),ABS(Q996-O996)&gt;60),"Cek tahun laycan",IF(AND(ISNUMBER(Q996),ISNUMBER(N996),Q996&lt;N996),"Berangkat sebelum laycan",IF(NOT(ISNUMBER(AE996)),"S belum ada","OK"))))))</f>
        <v/>
      </c>
    </row>
    <row r="997" customFormat="false" ht="15" hidden="false" customHeight="false" outlineLevel="0" collapsed="false">
      <c r="A997" s="16" t="str">
        <f aca="false">IF(B997="","",ROW()-4)</f>
        <v/>
      </c>
      <c r="B997" s="12"/>
      <c r="C997" s="16"/>
      <c r="D997" s="16"/>
      <c r="E997" s="16"/>
      <c r="F997" s="16"/>
      <c r="G997" s="16"/>
      <c r="H997" s="16"/>
      <c r="I997" s="16"/>
      <c r="J997" s="16"/>
      <c r="K997" s="16"/>
      <c r="L997" s="13"/>
      <c r="M997" s="13"/>
      <c r="N997" s="13"/>
      <c r="O997" s="13"/>
      <c r="P997" s="13"/>
      <c r="Q997" s="13"/>
      <c r="R997" s="13"/>
      <c r="S997" s="13"/>
      <c r="T997" s="13"/>
      <c r="U997" s="12"/>
      <c r="V997" s="14"/>
      <c r="W997" s="16"/>
      <c r="X997" s="16"/>
      <c r="Y997" s="16"/>
      <c r="Z997" s="16"/>
      <c r="AA997" s="15" t="str">
        <f aca="false">IF(AND(ISNUMBER(L997),ISNUMBER(M997)),M997-L997,"")</f>
        <v/>
      </c>
      <c r="AB997" s="15" t="str">
        <f aca="false">IF(AND(ISNUMBER(M997),ISNUMBER(P997)),P997-M997,"")</f>
        <v/>
      </c>
      <c r="AC997" s="15" t="str">
        <f aca="false">IF(AND(ISNUMBER(L997),ISNUMBER(P997)),P997-L997,"")</f>
        <v/>
      </c>
      <c r="AD997" s="15" t="str">
        <f aca="false">IF(AND(ISNUMBER(P997),ISNUMBER(Q997)),Q997-P997,"")</f>
        <v/>
      </c>
      <c r="AE997" s="15" t="str">
        <f aca="false">IF(AND(ISNUMBER(Q997),ISNUMBER(R997)),R997-Q997,IF(ISNUMBER(Y997),Y997,""))</f>
        <v/>
      </c>
      <c r="AF997" s="15" t="str">
        <f aca="false">IF(AND(ISNUMBER(R997),ISNUMBER(S997)),S997-R997,"")</f>
        <v/>
      </c>
      <c r="AG997" s="15" t="str">
        <f aca="false">IF(AND(ISNUMBER(S997),ISNUMBER(T997)),T997-S997,"")</f>
        <v/>
      </c>
      <c r="AH997" s="15" t="str">
        <f aca="false">IF(AND(ISNUMBER(L997),ISNUMBER(T997)),T997-L997,"")</f>
        <v/>
      </c>
      <c r="AI997" s="15" t="str">
        <f aca="false">IF(AND(ISNUMBER(O997),ISNUMBER(Q997)),Q997-O997,"")</f>
        <v/>
      </c>
      <c r="AJ997" s="15" t="str">
        <f aca="false">IF(B997="","",COUNT(L997:M997,P997:T997)&amp;"/7")</f>
        <v/>
      </c>
      <c r="AK997" s="15" t="str">
        <f aca="false">IF(B997="","",IF(OR(AND(ISNUMBER(L997),ISNUMBER(M997),M997&lt;L997),AND(ISNUMBER(M997),ISNUMBER(P997),P997&lt;M997),AND(ISNUMBER(P997),ISNUMBER(Q997),Q997&lt;P997),AND(ISNUMBER(Q997),ISNUMBER(R997),R997&lt;Q997),AND(ISNUMBER(R997),ISNUMBER(S997),S997&lt;R997),AND(ISNUMBER(S997),ISNUMBER(T997),T997&lt;S997),AND(ISNUMBER(N997),ISNUMBER(O997),O997&lt;N997)),"Urutan tanggal salah",IF(AND(ISNUMBER(Q997),ISNUMBER(R997),ISNUMBER(Y997),ABS(R997-Q997-Y997)&gt;2),"S tanggal ≠ Sailing tercatat",IF(AND(ISNUMBER(Q997),ISNUMBER(O997),ABS(Q997-O997)&gt;60),"Cek tahun laycan",IF(AND(ISNUMBER(Q997),ISNUMBER(N997),Q997&lt;N997),"Berangkat sebelum laycan",IF(NOT(ISNUMBER(AE997)),"S belum ada","OK"))))))</f>
        <v/>
      </c>
    </row>
    <row r="998" customFormat="false" ht="15" hidden="false" customHeight="false" outlineLevel="0" collapsed="false">
      <c r="A998" s="16" t="str">
        <f aca="false">IF(B998="","",ROW()-4)</f>
        <v/>
      </c>
      <c r="B998" s="12"/>
      <c r="C998" s="16"/>
      <c r="D998" s="16"/>
      <c r="E998" s="16"/>
      <c r="F998" s="16"/>
      <c r="G998" s="16"/>
      <c r="H998" s="16"/>
      <c r="I998" s="16"/>
      <c r="J998" s="16"/>
      <c r="K998" s="16"/>
      <c r="L998" s="13"/>
      <c r="M998" s="13"/>
      <c r="N998" s="13"/>
      <c r="O998" s="13"/>
      <c r="P998" s="13"/>
      <c r="Q998" s="13"/>
      <c r="R998" s="13"/>
      <c r="S998" s="13"/>
      <c r="T998" s="13"/>
      <c r="U998" s="12"/>
      <c r="V998" s="14"/>
      <c r="W998" s="16"/>
      <c r="X998" s="16"/>
      <c r="Y998" s="16"/>
      <c r="Z998" s="16"/>
      <c r="AA998" s="15" t="str">
        <f aca="false">IF(AND(ISNUMBER(L998),ISNUMBER(M998)),M998-L998,"")</f>
        <v/>
      </c>
      <c r="AB998" s="15" t="str">
        <f aca="false">IF(AND(ISNUMBER(M998),ISNUMBER(P998)),P998-M998,"")</f>
        <v/>
      </c>
      <c r="AC998" s="15" t="str">
        <f aca="false">IF(AND(ISNUMBER(L998),ISNUMBER(P998)),P998-L998,"")</f>
        <v/>
      </c>
      <c r="AD998" s="15" t="str">
        <f aca="false">IF(AND(ISNUMBER(P998),ISNUMBER(Q998)),Q998-P998,"")</f>
        <v/>
      </c>
      <c r="AE998" s="15" t="str">
        <f aca="false">IF(AND(ISNUMBER(Q998),ISNUMBER(R998)),R998-Q998,IF(ISNUMBER(Y998),Y998,""))</f>
        <v/>
      </c>
      <c r="AF998" s="15" t="str">
        <f aca="false">IF(AND(ISNUMBER(R998),ISNUMBER(S998)),S998-R998,"")</f>
        <v/>
      </c>
      <c r="AG998" s="15" t="str">
        <f aca="false">IF(AND(ISNUMBER(S998),ISNUMBER(T998)),T998-S998,"")</f>
        <v/>
      </c>
      <c r="AH998" s="15" t="str">
        <f aca="false">IF(AND(ISNUMBER(L998),ISNUMBER(T998)),T998-L998,"")</f>
        <v/>
      </c>
      <c r="AI998" s="15" t="str">
        <f aca="false">IF(AND(ISNUMBER(O998),ISNUMBER(Q998)),Q998-O998,"")</f>
        <v/>
      </c>
      <c r="AJ998" s="15" t="str">
        <f aca="false">IF(B998="","",COUNT(L998:M998,P998:T998)&amp;"/7")</f>
        <v/>
      </c>
      <c r="AK998" s="15" t="str">
        <f aca="false">IF(B998="","",IF(OR(AND(ISNUMBER(L998),ISNUMBER(M998),M998&lt;L998),AND(ISNUMBER(M998),ISNUMBER(P998),P998&lt;M998),AND(ISNUMBER(P998),ISNUMBER(Q998),Q998&lt;P998),AND(ISNUMBER(Q998),ISNUMBER(R998),R998&lt;Q998),AND(ISNUMBER(R998),ISNUMBER(S998),S998&lt;R998),AND(ISNUMBER(S998),ISNUMBER(T998),T998&lt;S998),AND(ISNUMBER(N998),ISNUMBER(O998),O998&lt;N998)),"Urutan tanggal salah",IF(AND(ISNUMBER(Q998),ISNUMBER(R998),ISNUMBER(Y998),ABS(R998-Q998-Y998)&gt;2),"S tanggal ≠ Sailing tercatat",IF(AND(ISNUMBER(Q998),ISNUMBER(O998),ABS(Q998-O998)&gt;60),"Cek tahun laycan",IF(AND(ISNUMBER(Q998),ISNUMBER(N998),Q998&lt;N998),"Berangkat sebelum laycan",IF(NOT(ISNUMBER(AE998)),"S belum ada","OK"))))))</f>
        <v/>
      </c>
    </row>
    <row r="999" customFormat="false" ht="15" hidden="false" customHeight="false" outlineLevel="0" collapsed="false">
      <c r="A999" s="16" t="str">
        <f aca="false">IF(B999="","",ROW()-4)</f>
        <v/>
      </c>
      <c r="B999" s="12"/>
      <c r="C999" s="16"/>
      <c r="D999" s="16"/>
      <c r="E999" s="16"/>
      <c r="F999" s="16"/>
      <c r="G999" s="16"/>
      <c r="H999" s="16"/>
      <c r="I999" s="16"/>
      <c r="J999" s="16"/>
      <c r="K999" s="16"/>
      <c r="L999" s="13"/>
      <c r="M999" s="13"/>
      <c r="N999" s="13"/>
      <c r="O999" s="13"/>
      <c r="P999" s="13"/>
      <c r="Q999" s="13"/>
      <c r="R999" s="13"/>
      <c r="S999" s="13"/>
      <c r="T999" s="13"/>
      <c r="U999" s="12"/>
      <c r="V999" s="14"/>
      <c r="W999" s="16"/>
      <c r="X999" s="16"/>
      <c r="Y999" s="16"/>
      <c r="Z999" s="16"/>
      <c r="AA999" s="15" t="str">
        <f aca="false">IF(AND(ISNUMBER(L999),ISNUMBER(M999)),M999-L999,"")</f>
        <v/>
      </c>
      <c r="AB999" s="15" t="str">
        <f aca="false">IF(AND(ISNUMBER(M999),ISNUMBER(P999)),P999-M999,"")</f>
        <v/>
      </c>
      <c r="AC999" s="15" t="str">
        <f aca="false">IF(AND(ISNUMBER(L999),ISNUMBER(P999)),P999-L999,"")</f>
        <v/>
      </c>
      <c r="AD999" s="15" t="str">
        <f aca="false">IF(AND(ISNUMBER(P999),ISNUMBER(Q999)),Q999-P999,"")</f>
        <v/>
      </c>
      <c r="AE999" s="15" t="str">
        <f aca="false">IF(AND(ISNUMBER(Q999),ISNUMBER(R999)),R999-Q999,IF(ISNUMBER(Y999),Y999,""))</f>
        <v/>
      </c>
      <c r="AF999" s="15" t="str">
        <f aca="false">IF(AND(ISNUMBER(R999),ISNUMBER(S999)),S999-R999,"")</f>
        <v/>
      </c>
      <c r="AG999" s="15" t="str">
        <f aca="false">IF(AND(ISNUMBER(S999),ISNUMBER(T999)),T999-S999,"")</f>
        <v/>
      </c>
      <c r="AH999" s="15" t="str">
        <f aca="false">IF(AND(ISNUMBER(L999),ISNUMBER(T999)),T999-L999,"")</f>
        <v/>
      </c>
      <c r="AI999" s="15" t="str">
        <f aca="false">IF(AND(ISNUMBER(O999),ISNUMBER(Q999)),Q999-O999,"")</f>
        <v/>
      </c>
      <c r="AJ999" s="15" t="str">
        <f aca="false">IF(B999="","",COUNT(L999:M999,P999:T999)&amp;"/7")</f>
        <v/>
      </c>
      <c r="AK999" s="15" t="str">
        <f aca="false">IF(B999="","",IF(OR(AND(ISNUMBER(L999),ISNUMBER(M999),M999&lt;L999),AND(ISNUMBER(M999),ISNUMBER(P999),P999&lt;M999),AND(ISNUMBER(P999),ISNUMBER(Q999),Q999&lt;P999),AND(ISNUMBER(Q999),ISNUMBER(R999),R999&lt;Q999),AND(ISNUMBER(R999),ISNUMBER(S999),S999&lt;R999),AND(ISNUMBER(S999),ISNUMBER(T999),T999&lt;S999),AND(ISNUMBER(N999),ISNUMBER(O999),O999&lt;N999)),"Urutan tanggal salah",IF(AND(ISNUMBER(Q999),ISNUMBER(R999),ISNUMBER(Y999),ABS(R999-Q999-Y999)&gt;2),"S tanggal ≠ Sailing tercatat",IF(AND(ISNUMBER(Q999),ISNUMBER(O999),ABS(Q999-O999)&gt;60),"Cek tahun laycan",IF(AND(ISNUMBER(Q999),ISNUMBER(N999),Q999&lt;N999),"Berangkat sebelum laycan",IF(NOT(ISNUMBER(AE999)),"S belum ada","OK"))))))</f>
        <v/>
      </c>
    </row>
    <row r="1000" customFormat="false" ht="15" hidden="false" customHeight="false" outlineLevel="0" collapsed="false">
      <c r="A1000" s="16" t="str">
        <f aca="false">IF(B1000="","",ROW()-4)</f>
        <v/>
      </c>
      <c r="B1000" s="12"/>
      <c r="C1000" s="16"/>
      <c r="D1000" s="16"/>
      <c r="E1000" s="16"/>
      <c r="F1000" s="16"/>
      <c r="G1000" s="16"/>
      <c r="H1000" s="16"/>
      <c r="I1000" s="16"/>
      <c r="J1000" s="16"/>
      <c r="K1000" s="16"/>
      <c r="L1000" s="13"/>
      <c r="M1000" s="13"/>
      <c r="N1000" s="13"/>
      <c r="O1000" s="13"/>
      <c r="P1000" s="13"/>
      <c r="Q1000" s="13"/>
      <c r="R1000" s="13"/>
      <c r="S1000" s="13"/>
      <c r="T1000" s="13"/>
      <c r="U1000" s="12"/>
      <c r="V1000" s="14"/>
      <c r="W1000" s="16"/>
      <c r="X1000" s="16"/>
      <c r="Y1000" s="16"/>
      <c r="Z1000" s="16"/>
      <c r="AA1000" s="15" t="str">
        <f aca="false">IF(AND(ISNUMBER(L1000),ISNUMBER(M1000)),M1000-L1000,"")</f>
        <v/>
      </c>
      <c r="AB1000" s="15" t="str">
        <f aca="false">IF(AND(ISNUMBER(M1000),ISNUMBER(P1000)),P1000-M1000,"")</f>
        <v/>
      </c>
      <c r="AC1000" s="15" t="str">
        <f aca="false">IF(AND(ISNUMBER(L1000),ISNUMBER(P1000)),P1000-L1000,"")</f>
        <v/>
      </c>
      <c r="AD1000" s="15" t="str">
        <f aca="false">IF(AND(ISNUMBER(P1000),ISNUMBER(Q1000)),Q1000-P1000,"")</f>
        <v/>
      </c>
      <c r="AE1000" s="15" t="str">
        <f aca="false">IF(AND(ISNUMBER(Q1000),ISNUMBER(R1000)),R1000-Q1000,IF(ISNUMBER(Y1000),Y1000,""))</f>
        <v/>
      </c>
      <c r="AF1000" s="15" t="str">
        <f aca="false">IF(AND(ISNUMBER(R1000),ISNUMBER(S1000)),S1000-R1000,"")</f>
        <v/>
      </c>
      <c r="AG1000" s="15" t="str">
        <f aca="false">IF(AND(ISNUMBER(S1000),ISNUMBER(T1000)),T1000-S1000,"")</f>
        <v/>
      </c>
      <c r="AH1000" s="15" t="str">
        <f aca="false">IF(AND(ISNUMBER(L1000),ISNUMBER(T1000)),T1000-L1000,"")</f>
        <v/>
      </c>
      <c r="AI1000" s="15" t="str">
        <f aca="false">IF(AND(ISNUMBER(O1000),ISNUMBER(Q1000)),Q1000-O1000,"")</f>
        <v/>
      </c>
      <c r="AJ1000" s="15" t="str">
        <f aca="false">IF(B1000="","",COUNT(L1000:M1000,P1000:T1000)&amp;"/7")</f>
        <v/>
      </c>
      <c r="AK1000" s="15" t="str">
        <f aca="false">IF(B1000="","",IF(OR(AND(ISNUMBER(L1000),ISNUMBER(M1000),M1000&lt;L1000),AND(ISNUMBER(M1000),ISNUMBER(P1000),P1000&lt;M1000),AND(ISNUMBER(P1000),ISNUMBER(Q1000),Q1000&lt;P1000),AND(ISNUMBER(Q1000),ISNUMBER(R1000),R1000&lt;Q1000),AND(ISNUMBER(R1000),ISNUMBER(S1000),S1000&lt;R1000),AND(ISNUMBER(S1000),ISNUMBER(T1000),T1000&lt;S1000),AND(ISNUMBER(N1000),ISNUMBER(O1000),O1000&lt;N1000)),"Urutan tanggal salah",IF(AND(ISNUMBER(Q1000),ISNUMBER(R1000),ISNUMBER(Y1000),ABS(R1000-Q1000-Y1000)&gt;2),"S tanggal ≠ Sailing tercatat",IF(AND(ISNUMBER(Q1000),ISNUMBER(O1000),ABS(Q1000-O1000)&gt;60),"Cek tahun laycan",IF(AND(ISNUMBER(Q1000),ISNUMBER(N1000),Q1000&lt;N1000),"Berangkat sebelum laycan",IF(NOT(ISNUMBER(AE1000)),"S belum ada","OK"))))))</f>
        <v/>
      </c>
    </row>
    <row r="1001" customFormat="false" ht="15" hidden="false" customHeight="false" outlineLevel="0" collapsed="false">
      <c r="A1001" s="16" t="str">
        <f aca="false">IF(B1001="","",ROW()-4)</f>
        <v/>
      </c>
      <c r="B1001" s="12"/>
      <c r="C1001" s="16"/>
      <c r="D1001" s="16"/>
      <c r="E1001" s="16"/>
      <c r="F1001" s="16"/>
      <c r="G1001" s="16"/>
      <c r="H1001" s="16"/>
      <c r="I1001" s="16"/>
      <c r="J1001" s="16"/>
      <c r="K1001" s="16"/>
      <c r="L1001" s="13"/>
      <c r="M1001" s="13"/>
      <c r="N1001" s="13"/>
      <c r="O1001" s="13"/>
      <c r="P1001" s="13"/>
      <c r="Q1001" s="13"/>
      <c r="R1001" s="13"/>
      <c r="S1001" s="13"/>
      <c r="T1001" s="13"/>
      <c r="U1001" s="12"/>
      <c r="V1001" s="14"/>
      <c r="W1001" s="16"/>
      <c r="X1001" s="16"/>
      <c r="Y1001" s="16"/>
      <c r="Z1001" s="16"/>
      <c r="AA1001" s="15" t="str">
        <f aca="false">IF(AND(ISNUMBER(L1001),ISNUMBER(M1001)),M1001-L1001,"")</f>
        <v/>
      </c>
      <c r="AB1001" s="15" t="str">
        <f aca="false">IF(AND(ISNUMBER(M1001),ISNUMBER(P1001)),P1001-M1001,"")</f>
        <v/>
      </c>
      <c r="AC1001" s="15" t="str">
        <f aca="false">IF(AND(ISNUMBER(L1001),ISNUMBER(P1001)),P1001-L1001,"")</f>
        <v/>
      </c>
      <c r="AD1001" s="15" t="str">
        <f aca="false">IF(AND(ISNUMBER(P1001),ISNUMBER(Q1001)),Q1001-P1001,"")</f>
        <v/>
      </c>
      <c r="AE1001" s="15" t="str">
        <f aca="false">IF(AND(ISNUMBER(Q1001),ISNUMBER(R1001)),R1001-Q1001,IF(ISNUMBER(Y1001),Y1001,""))</f>
        <v/>
      </c>
      <c r="AF1001" s="15" t="str">
        <f aca="false">IF(AND(ISNUMBER(R1001),ISNUMBER(S1001)),S1001-R1001,"")</f>
        <v/>
      </c>
      <c r="AG1001" s="15" t="str">
        <f aca="false">IF(AND(ISNUMBER(S1001),ISNUMBER(T1001)),T1001-S1001,"")</f>
        <v/>
      </c>
      <c r="AH1001" s="15" t="str">
        <f aca="false">IF(AND(ISNUMBER(L1001),ISNUMBER(T1001)),T1001-L1001,"")</f>
        <v/>
      </c>
      <c r="AI1001" s="15" t="str">
        <f aca="false">IF(AND(ISNUMBER(O1001),ISNUMBER(Q1001)),Q1001-O1001,"")</f>
        <v/>
      </c>
      <c r="AJ1001" s="15" t="str">
        <f aca="false">IF(B1001="","",COUNT(L1001:M1001,P1001:T1001)&amp;"/7")</f>
        <v/>
      </c>
      <c r="AK1001" s="15" t="str">
        <f aca="false">IF(B1001="","",IF(OR(AND(ISNUMBER(L1001),ISNUMBER(M1001),M1001&lt;L1001),AND(ISNUMBER(M1001),ISNUMBER(P1001),P1001&lt;M1001),AND(ISNUMBER(P1001),ISNUMBER(Q1001),Q1001&lt;P1001),AND(ISNUMBER(Q1001),ISNUMBER(R1001),R1001&lt;Q1001),AND(ISNUMBER(R1001),ISNUMBER(S1001),S1001&lt;R1001),AND(ISNUMBER(S1001),ISNUMBER(T1001),T1001&lt;S1001),AND(ISNUMBER(N1001),ISNUMBER(O1001),O1001&lt;N1001)),"Urutan tanggal salah",IF(AND(ISNUMBER(Q1001),ISNUMBER(R1001),ISNUMBER(Y1001),ABS(R1001-Q1001-Y1001)&gt;2),"S tanggal ≠ Sailing tercatat",IF(AND(ISNUMBER(Q1001),ISNUMBER(O1001),ABS(Q1001-O1001)&gt;60),"Cek tahun laycan",IF(AND(ISNUMBER(Q1001),ISNUMBER(N1001),Q1001&lt;N1001),"Berangkat sebelum laycan",IF(NOT(ISNUMBER(AE1001)),"S belum ada","OK"))))))</f>
        <v/>
      </c>
    </row>
    <row r="1002" customFormat="false" ht="15" hidden="false" customHeight="false" outlineLevel="0" collapsed="false">
      <c r="A1002" s="16" t="str">
        <f aca="false">IF(B1002="","",ROW()-4)</f>
        <v/>
      </c>
      <c r="B1002" s="12"/>
      <c r="C1002" s="16"/>
      <c r="D1002" s="16"/>
      <c r="E1002" s="16"/>
      <c r="F1002" s="16"/>
      <c r="G1002" s="16"/>
      <c r="H1002" s="16"/>
      <c r="I1002" s="16"/>
      <c r="J1002" s="16"/>
      <c r="K1002" s="16"/>
      <c r="L1002" s="13"/>
      <c r="M1002" s="13"/>
      <c r="N1002" s="13"/>
      <c r="O1002" s="13"/>
      <c r="P1002" s="13"/>
      <c r="Q1002" s="13"/>
      <c r="R1002" s="13"/>
      <c r="S1002" s="13"/>
      <c r="T1002" s="13"/>
      <c r="U1002" s="12"/>
      <c r="V1002" s="14"/>
      <c r="W1002" s="16"/>
      <c r="X1002" s="16"/>
      <c r="Y1002" s="16"/>
      <c r="Z1002" s="16"/>
      <c r="AA1002" s="15" t="str">
        <f aca="false">IF(AND(ISNUMBER(L1002),ISNUMBER(M1002)),M1002-L1002,"")</f>
        <v/>
      </c>
      <c r="AB1002" s="15" t="str">
        <f aca="false">IF(AND(ISNUMBER(M1002),ISNUMBER(P1002)),P1002-M1002,"")</f>
        <v/>
      </c>
      <c r="AC1002" s="15" t="str">
        <f aca="false">IF(AND(ISNUMBER(L1002),ISNUMBER(P1002)),P1002-L1002,"")</f>
        <v/>
      </c>
      <c r="AD1002" s="15" t="str">
        <f aca="false">IF(AND(ISNUMBER(P1002),ISNUMBER(Q1002)),Q1002-P1002,"")</f>
        <v/>
      </c>
      <c r="AE1002" s="15" t="str">
        <f aca="false">IF(AND(ISNUMBER(Q1002),ISNUMBER(R1002)),R1002-Q1002,IF(ISNUMBER(Y1002),Y1002,""))</f>
        <v/>
      </c>
      <c r="AF1002" s="15" t="str">
        <f aca="false">IF(AND(ISNUMBER(R1002),ISNUMBER(S1002)),S1002-R1002,"")</f>
        <v/>
      </c>
      <c r="AG1002" s="15" t="str">
        <f aca="false">IF(AND(ISNUMBER(S1002),ISNUMBER(T1002)),T1002-S1002,"")</f>
        <v/>
      </c>
      <c r="AH1002" s="15" t="str">
        <f aca="false">IF(AND(ISNUMBER(L1002),ISNUMBER(T1002)),T1002-L1002,"")</f>
        <v/>
      </c>
      <c r="AI1002" s="15" t="str">
        <f aca="false">IF(AND(ISNUMBER(O1002),ISNUMBER(Q1002)),Q1002-O1002,"")</f>
        <v/>
      </c>
      <c r="AJ1002" s="15" t="str">
        <f aca="false">IF(B1002="","",COUNT(L1002:M1002,P1002:T1002)&amp;"/7")</f>
        <v/>
      </c>
      <c r="AK1002" s="15" t="str">
        <f aca="false">IF(B1002="","",IF(OR(AND(ISNUMBER(L1002),ISNUMBER(M1002),M1002&lt;L1002),AND(ISNUMBER(M1002),ISNUMBER(P1002),P1002&lt;M1002),AND(ISNUMBER(P1002),ISNUMBER(Q1002),Q1002&lt;P1002),AND(ISNUMBER(Q1002),ISNUMBER(R1002),R1002&lt;Q1002),AND(ISNUMBER(R1002),ISNUMBER(S1002),S1002&lt;R1002),AND(ISNUMBER(S1002),ISNUMBER(T1002),T1002&lt;S1002),AND(ISNUMBER(N1002),ISNUMBER(O1002),O1002&lt;N1002)),"Urutan tanggal salah",IF(AND(ISNUMBER(Q1002),ISNUMBER(R1002),ISNUMBER(Y1002),ABS(R1002-Q1002-Y1002)&gt;2),"S tanggal ≠ Sailing tercatat",IF(AND(ISNUMBER(Q1002),ISNUMBER(O1002),ABS(Q1002-O1002)&gt;60),"Cek tahun laycan",IF(AND(ISNUMBER(Q1002),ISNUMBER(N1002),Q1002&lt;N1002),"Berangkat sebelum laycan",IF(NOT(ISNUMBER(AE1002)),"S belum ada","OK"))))))</f>
        <v/>
      </c>
    </row>
    <row r="1003" customFormat="false" ht="15" hidden="false" customHeight="false" outlineLevel="0" collapsed="false">
      <c r="A1003" s="16" t="str">
        <f aca="false">IF(B1003="","",ROW()-4)</f>
        <v/>
      </c>
      <c r="B1003" s="12"/>
      <c r="C1003" s="16"/>
      <c r="D1003" s="16"/>
      <c r="E1003" s="16"/>
      <c r="F1003" s="16"/>
      <c r="G1003" s="16"/>
      <c r="H1003" s="16"/>
      <c r="I1003" s="16"/>
      <c r="J1003" s="16"/>
      <c r="K1003" s="16"/>
      <c r="L1003" s="13"/>
      <c r="M1003" s="13"/>
      <c r="N1003" s="13"/>
      <c r="O1003" s="13"/>
      <c r="P1003" s="13"/>
      <c r="Q1003" s="13"/>
      <c r="R1003" s="13"/>
      <c r="S1003" s="13"/>
      <c r="T1003" s="13"/>
      <c r="U1003" s="12"/>
      <c r="V1003" s="14"/>
      <c r="W1003" s="16"/>
      <c r="X1003" s="16"/>
      <c r="Y1003" s="16"/>
      <c r="Z1003" s="16"/>
      <c r="AA1003" s="15" t="str">
        <f aca="false">IF(AND(ISNUMBER(L1003),ISNUMBER(M1003)),M1003-L1003,"")</f>
        <v/>
      </c>
      <c r="AB1003" s="15" t="str">
        <f aca="false">IF(AND(ISNUMBER(M1003),ISNUMBER(P1003)),P1003-M1003,"")</f>
        <v/>
      </c>
      <c r="AC1003" s="15" t="str">
        <f aca="false">IF(AND(ISNUMBER(L1003),ISNUMBER(P1003)),P1003-L1003,"")</f>
        <v/>
      </c>
      <c r="AD1003" s="15" t="str">
        <f aca="false">IF(AND(ISNUMBER(P1003),ISNUMBER(Q1003)),Q1003-P1003,"")</f>
        <v/>
      </c>
      <c r="AE1003" s="15" t="str">
        <f aca="false">IF(AND(ISNUMBER(Q1003),ISNUMBER(R1003)),R1003-Q1003,IF(ISNUMBER(Y1003),Y1003,""))</f>
        <v/>
      </c>
      <c r="AF1003" s="15" t="str">
        <f aca="false">IF(AND(ISNUMBER(R1003),ISNUMBER(S1003)),S1003-R1003,"")</f>
        <v/>
      </c>
      <c r="AG1003" s="15" t="str">
        <f aca="false">IF(AND(ISNUMBER(S1003),ISNUMBER(T1003)),T1003-S1003,"")</f>
        <v/>
      </c>
      <c r="AH1003" s="15" t="str">
        <f aca="false">IF(AND(ISNUMBER(L1003),ISNUMBER(T1003)),T1003-L1003,"")</f>
        <v/>
      </c>
      <c r="AI1003" s="15" t="str">
        <f aca="false">IF(AND(ISNUMBER(O1003),ISNUMBER(Q1003)),Q1003-O1003,"")</f>
        <v/>
      </c>
      <c r="AJ1003" s="15" t="str">
        <f aca="false">IF(B1003="","",COUNT(L1003:M1003,P1003:T1003)&amp;"/7")</f>
        <v/>
      </c>
      <c r="AK1003" s="15" t="str">
        <f aca="false">IF(B1003="","",IF(OR(AND(ISNUMBER(L1003),ISNUMBER(M1003),M1003&lt;L1003),AND(ISNUMBER(M1003),ISNUMBER(P1003),P1003&lt;M1003),AND(ISNUMBER(P1003),ISNUMBER(Q1003),Q1003&lt;P1003),AND(ISNUMBER(Q1003),ISNUMBER(R1003),R1003&lt;Q1003),AND(ISNUMBER(R1003),ISNUMBER(S1003),S1003&lt;R1003),AND(ISNUMBER(S1003),ISNUMBER(T1003),T1003&lt;S1003),AND(ISNUMBER(N1003),ISNUMBER(O1003),O1003&lt;N1003)),"Urutan tanggal salah",IF(AND(ISNUMBER(Q1003),ISNUMBER(R1003),ISNUMBER(Y1003),ABS(R1003-Q1003-Y1003)&gt;2),"S tanggal ≠ Sailing tercatat",IF(AND(ISNUMBER(Q1003),ISNUMBER(O1003),ABS(Q1003-O1003)&gt;60),"Cek tahun laycan",IF(AND(ISNUMBER(Q1003),ISNUMBER(N1003),Q1003&lt;N1003),"Berangkat sebelum laycan",IF(NOT(ISNUMBER(AE1003)),"S belum ada","OK"))))))</f>
        <v/>
      </c>
    </row>
    <row r="1004" customFormat="false" ht="15" hidden="false" customHeight="false" outlineLevel="0" collapsed="false">
      <c r="A1004" s="16" t="str">
        <f aca="false">IF(B1004="","",ROW()-4)</f>
        <v/>
      </c>
      <c r="B1004" s="12"/>
      <c r="C1004" s="16"/>
      <c r="D1004" s="16"/>
      <c r="E1004" s="16"/>
      <c r="F1004" s="16"/>
      <c r="G1004" s="16"/>
      <c r="H1004" s="16"/>
      <c r="I1004" s="16"/>
      <c r="J1004" s="16"/>
      <c r="K1004" s="16"/>
      <c r="L1004" s="13"/>
      <c r="M1004" s="13"/>
      <c r="N1004" s="13"/>
      <c r="O1004" s="13"/>
      <c r="P1004" s="13"/>
      <c r="Q1004" s="13"/>
      <c r="R1004" s="13"/>
      <c r="S1004" s="13"/>
      <c r="T1004" s="13"/>
      <c r="U1004" s="12"/>
      <c r="V1004" s="14"/>
      <c r="W1004" s="16"/>
      <c r="X1004" s="16"/>
      <c r="Y1004" s="16"/>
      <c r="Z1004" s="16"/>
      <c r="AA1004" s="15" t="str">
        <f aca="false">IF(AND(ISNUMBER(L1004),ISNUMBER(M1004)),M1004-L1004,"")</f>
        <v/>
      </c>
      <c r="AB1004" s="15" t="str">
        <f aca="false">IF(AND(ISNUMBER(M1004),ISNUMBER(P1004)),P1004-M1004,"")</f>
        <v/>
      </c>
      <c r="AC1004" s="15" t="str">
        <f aca="false">IF(AND(ISNUMBER(L1004),ISNUMBER(P1004)),P1004-L1004,"")</f>
        <v/>
      </c>
      <c r="AD1004" s="15" t="str">
        <f aca="false">IF(AND(ISNUMBER(P1004),ISNUMBER(Q1004)),Q1004-P1004,"")</f>
        <v/>
      </c>
      <c r="AE1004" s="15" t="str">
        <f aca="false">IF(AND(ISNUMBER(Q1004),ISNUMBER(R1004)),R1004-Q1004,IF(ISNUMBER(Y1004),Y1004,""))</f>
        <v/>
      </c>
      <c r="AF1004" s="15" t="str">
        <f aca="false">IF(AND(ISNUMBER(R1004),ISNUMBER(S1004)),S1004-R1004,"")</f>
        <v/>
      </c>
      <c r="AG1004" s="15" t="str">
        <f aca="false">IF(AND(ISNUMBER(S1004),ISNUMBER(T1004)),T1004-S1004,"")</f>
        <v/>
      </c>
      <c r="AH1004" s="15" t="str">
        <f aca="false">IF(AND(ISNUMBER(L1004),ISNUMBER(T1004)),T1004-L1004,"")</f>
        <v/>
      </c>
      <c r="AI1004" s="15" t="str">
        <f aca="false">IF(AND(ISNUMBER(O1004),ISNUMBER(Q1004)),Q1004-O1004,"")</f>
        <v/>
      </c>
      <c r="AJ1004" s="15" t="str">
        <f aca="false">IF(B1004="","",COUNT(L1004:M1004,P1004:T1004)&amp;"/7")</f>
        <v/>
      </c>
      <c r="AK1004" s="15" t="str">
        <f aca="false">IF(B1004="","",IF(OR(AND(ISNUMBER(L1004),ISNUMBER(M1004),M1004&lt;L1004),AND(ISNUMBER(M1004),ISNUMBER(P1004),P1004&lt;M1004),AND(ISNUMBER(P1004),ISNUMBER(Q1004),Q1004&lt;P1004),AND(ISNUMBER(Q1004),ISNUMBER(R1004),R1004&lt;Q1004),AND(ISNUMBER(R1004),ISNUMBER(S1004),S1004&lt;R1004),AND(ISNUMBER(S1004),ISNUMBER(T1004),T1004&lt;S1004),AND(ISNUMBER(N1004),ISNUMBER(O1004),O1004&lt;N1004)),"Urutan tanggal salah",IF(AND(ISNUMBER(Q1004),ISNUMBER(R1004),ISNUMBER(Y1004),ABS(R1004-Q1004-Y1004)&gt;2),"S tanggal ≠ Sailing tercatat",IF(AND(ISNUMBER(Q1004),ISNUMBER(O1004),ABS(Q1004-O1004)&gt;60),"Cek tahun laycan",IF(AND(ISNUMBER(Q1004),ISNUMBER(N1004),Q1004&lt;N1004),"Berangkat sebelum laycan",IF(NOT(ISNUMBER(AE1004)),"S belum ada","OK"))))))</f>
        <v/>
      </c>
    </row>
  </sheetData>
  <autoFilter ref="A4:AK1004"/>
  <mergeCells count="4">
    <mergeCell ref="A3:K3"/>
    <mergeCell ref="L3:T3"/>
    <mergeCell ref="U3:Z3"/>
    <mergeCell ref="AA3:AK3"/>
  </mergeCells>
  <dataValidations count="4">
    <dataValidation allowBlank="true" errorStyle="stop" operator="between" showDropDown="false" showErrorMessage="false" showInputMessage="false" sqref="B5:B1004" type="list">
      <formula1>"DAP,KCL,ZA,RP,SA,PA,SULFUR,AMONIAK,LAINNYA"</formula1>
      <formula2>0</formula2>
    </dataValidation>
    <dataValidation allowBlank="true" errorStyle="stop" operator="between" showDropDown="false" showErrorMessage="false" showInputMessage="false" sqref="U5:U1004" type="list">
      <formula1>"Selesai,Dalam pelayaran,Bongkar,Nominasi kapal,Tender ulang,Batal,Parsial"</formula1>
      <formula2>0</formula2>
    </dataValidation>
    <dataValidation allowBlank="true" errorStyle="stop" operator="between" showDropDown="false" showErrorMessage="false" showInputMessage="false" sqref="V5:V1004" type="list">
      <formula1>"Tidak terlambat,Tender gagal/ulang,Pemasok/produksi,Nominasi kapal,Cuaca,Antrean pelabuhan muat,Antrean pelabuhan bongkar,Dokumen/bea cukai,Kerusakan kapal,Lainnya"</formula1>
      <formula2>0</formula2>
    </dataValidation>
    <dataValidation allowBlank="true" error="Isi dengan tanggal (mis. 15/03/2025)." errorStyle="stop" operator="between" showDropDown="false" showErrorMessage="true" showInputMessage="false" sqref="L5:T1004" type="date">
      <formula1>DATE(2015,1,1)</formula1>
      <formula2>DATE(2040,12,31)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5" min="3" style="0" width="10"/>
    <col collapsed="false" customWidth="true" hidden="false" outlineLevel="0" max="6" min="6" style="0" width="30"/>
    <col collapsed="false" customWidth="true" hidden="false" outlineLevel="0" max="7" min="7" style="0" width="20"/>
    <col collapsed="false" customWidth="true" hidden="false" outlineLevel="0" max="8" min="8" style="0" width="13"/>
  </cols>
  <sheetData>
    <row r="1" customFormat="false" ht="17.35" hidden="false" customHeight="false" outlineLevel="0" collapsed="false">
      <c r="A1" s="1" t="s">
        <v>684</v>
      </c>
    </row>
    <row r="2" customFormat="false" ht="15" hidden="false" customHeight="false" outlineLevel="0" collapsed="false">
      <c r="A2" s="2" t="s">
        <v>685</v>
      </c>
    </row>
    <row r="4" customFormat="false" ht="15" hidden="false" customHeight="false" outlineLevel="0" collapsed="false">
      <c r="A4" s="3" t="s">
        <v>66</v>
      </c>
    </row>
    <row r="5" customFormat="false" ht="28.35" hidden="false" customHeight="false" outlineLevel="0" collapsed="false">
      <c r="A5" s="10" t="s">
        <v>37</v>
      </c>
      <c r="B5" s="10" t="s">
        <v>686</v>
      </c>
      <c r="C5" s="10" t="s">
        <v>687</v>
      </c>
      <c r="D5" s="10" t="s">
        <v>688</v>
      </c>
      <c r="E5" s="10" t="s">
        <v>689</v>
      </c>
      <c r="F5" s="10" t="s">
        <v>690</v>
      </c>
      <c r="G5" s="10" t="s">
        <v>691</v>
      </c>
    </row>
    <row r="6" customFormat="false" ht="15" hidden="false" customHeight="false" outlineLevel="0" collapsed="false">
      <c r="A6" s="17" t="s">
        <v>250</v>
      </c>
      <c r="B6" s="15" t="n">
        <f aca="false">SUMPRODUCT((Log_Kargo!$B$5:$B$1004=$A6)*ISNUMBER(Log_Kargo!$AE$5:$AE$1004))</f>
        <v>15</v>
      </c>
      <c r="C6" s="18" t="n">
        <f aca="false" t="array" ref="C6:C6">IF(B6=0,"",AVERAGE(IF((Log_Kargo!$B$5:$B$1004=$A6)*ISNUMBER(Log_Kargo!$AE$5:$AE$1004),Log_Kargo!$AE$5:$AE$1004)))</f>
        <v>13.0666666666667</v>
      </c>
      <c r="D6" s="18" t="n">
        <f aca="false" t="array" ref="D6:D6">IF(B6=0,"",MAX(IF((Log_Kargo!$B$5:$B$1004=$A6)*ISNUMBER(Log_Kargo!$AE$5:$AE$1004),Log_Kargo!$AE$5:$AE$1004)))</f>
        <v>33</v>
      </c>
      <c r="E6" s="18" t="n">
        <f aca="false" t="array" ref="E6:E6">IF(B6&lt;2,"",STDEV(IF((Log_Kargo!$B$5:$B$1004=$A6)*ISNUMBER(Log_Kargo!$AE$5:$AE$1004),Log_Kargo!$AE$5:$AE$1004)))</f>
        <v>7.95044173675424</v>
      </c>
      <c r="F6" s="18" t="n">
        <f aca="false" t="array" ref="F6:F6">IF(B6=0,"",PERCENTILE(IF((Log_Kargo!$B$5:$B$1004=$A6)*ISNUMBER(Log_Kargo!$AE$5:$AE$1004),Log_Kargo!$AE$5:$AE$1004),0.9))</f>
        <v>23.8</v>
      </c>
      <c r="G6" s="18" t="str">
        <f aca="false">IF(B6&gt;=20,"Siap",IF(B6&gt;=10,"Terbatas","Belum"))</f>
        <v>Terbatas</v>
      </c>
    </row>
    <row r="7" customFormat="false" ht="15" hidden="false" customHeight="false" outlineLevel="0" collapsed="false">
      <c r="A7" s="17" t="s">
        <v>73</v>
      </c>
      <c r="B7" s="15" t="n">
        <f aca="false">SUMPRODUCT((Log_Kargo!$B$5:$B$1004=$A7)*ISNUMBER(Log_Kargo!$AE$5:$AE$1004))</f>
        <v>61</v>
      </c>
      <c r="C7" s="18" t="n">
        <f aca="false" t="array" ref="C7:C7">IF(B7=0,"",AVERAGE(IF((Log_Kargo!$B$5:$B$1004=$A7)*ISNUMBER(Log_Kargo!$AE$5:$AE$1004),Log_Kargo!$AE$5:$AE$1004)))</f>
        <v>36.7377049180328</v>
      </c>
      <c r="D7" s="18" t="n">
        <f aca="false" t="array" ref="D7:D7">IF(B7=0,"",MAX(IF((Log_Kargo!$B$5:$B$1004=$A7)*ISNUMBER(Log_Kargo!$AE$5:$AE$1004),Log_Kargo!$AE$5:$AE$1004)))</f>
        <v>66</v>
      </c>
      <c r="E7" s="18" t="n">
        <f aca="false" t="array" ref="E7:E7">IF(B7&lt;2,"",STDEV(IF((Log_Kargo!$B$5:$B$1004=$A7)*ISNUMBER(Log_Kargo!$AE$5:$AE$1004),Log_Kargo!$AE$5:$AE$1004)))</f>
        <v>12.6818789871536</v>
      </c>
      <c r="F7" s="18" t="n">
        <f aca="false" t="array" ref="F7:F7">IF(B7=0,"",PERCENTILE(IF((Log_Kargo!$B$5:$B$1004=$A7)*ISNUMBER(Log_Kargo!$AE$5:$AE$1004),Log_Kargo!$AE$5:$AE$1004),0.9))</f>
        <v>51</v>
      </c>
      <c r="G7" s="18" t="str">
        <f aca="false">IF(B7&gt;=20,"Siap",IF(B7&gt;=10,"Terbatas","Belum"))</f>
        <v>Siap</v>
      </c>
    </row>
    <row r="8" customFormat="false" ht="15" hidden="false" customHeight="false" outlineLevel="0" collapsed="false">
      <c r="A8" s="17" t="s">
        <v>306</v>
      </c>
      <c r="B8" s="15" t="n">
        <f aca="false">SUMPRODUCT((Log_Kargo!$B$5:$B$1004=$A8)*ISNUMBER(Log_Kargo!$AE$5:$AE$1004))</f>
        <v>31</v>
      </c>
      <c r="C8" s="18" t="n">
        <f aca="false" t="array" ref="C8:C8">IF(B8=0,"",AVERAGE(IF((Log_Kargo!$B$5:$B$1004=$A8)*ISNUMBER(Log_Kargo!$AE$5:$AE$1004),Log_Kargo!$AE$5:$AE$1004)))</f>
        <v>12.3548387096774</v>
      </c>
      <c r="D8" s="18" t="n">
        <f aca="false" t="array" ref="D8:D8">IF(B8=0,"",MAX(IF((Log_Kargo!$B$5:$B$1004=$A8)*ISNUMBER(Log_Kargo!$AE$5:$AE$1004),Log_Kargo!$AE$5:$AE$1004)))</f>
        <v>19</v>
      </c>
      <c r="E8" s="18" t="n">
        <f aca="false" t="array" ref="E8:E8">IF(B8&lt;2,"",STDEV(IF((Log_Kargo!$B$5:$B$1004=$A8)*ISNUMBER(Log_Kargo!$AE$5:$AE$1004),Log_Kargo!$AE$5:$AE$1004)))</f>
        <v>3.61061755656632</v>
      </c>
      <c r="F8" s="18" t="n">
        <f aca="false" t="array" ref="F8:F8">IF(B8=0,"",PERCENTILE(IF((Log_Kargo!$B$5:$B$1004=$A8)*ISNUMBER(Log_Kargo!$AE$5:$AE$1004),Log_Kargo!$AE$5:$AE$1004),0.9))</f>
        <v>18</v>
      </c>
      <c r="G8" s="18" t="str">
        <f aca="false">IF(B8&gt;=20,"Siap",IF(B8&gt;=10,"Terbatas","Belum"))</f>
        <v>Siap</v>
      </c>
    </row>
    <row r="9" customFormat="false" ht="15" hidden="false" customHeight="false" outlineLevel="0" collapsed="false">
      <c r="A9" s="17" t="s">
        <v>415</v>
      </c>
      <c r="B9" s="15" t="n">
        <f aca="false">SUMPRODUCT((Log_Kargo!$B$5:$B$1004=$A9)*ISNUMBER(Log_Kargo!$AE$5:$AE$1004))</f>
        <v>41</v>
      </c>
      <c r="C9" s="18" t="n">
        <f aca="false" t="array" ref="C9:C9">IF(B9=0,"",AVERAGE(IF((Log_Kargo!$B$5:$B$1004=$A9)*ISNUMBER(Log_Kargo!$AE$5:$AE$1004),Log_Kargo!$AE$5:$AE$1004)))</f>
        <v>25.8536585365854</v>
      </c>
      <c r="D9" s="18" t="n">
        <f aca="false" t="array" ref="D9:D9">IF(B9=0,"",MAX(IF((Log_Kargo!$B$5:$B$1004=$A9)*ISNUMBER(Log_Kargo!$AE$5:$AE$1004),Log_Kargo!$AE$5:$AE$1004)))</f>
        <v>61</v>
      </c>
      <c r="E9" s="18" t="n">
        <f aca="false" t="array" ref="E9:E9">IF(B9&lt;2,"",STDEV(IF((Log_Kargo!$B$5:$B$1004=$A9)*ISNUMBER(Log_Kargo!$AE$5:$AE$1004),Log_Kargo!$AE$5:$AE$1004)))</f>
        <v>8.78510380021134</v>
      </c>
      <c r="F9" s="18" t="n">
        <f aca="false" t="array" ref="F9:F9">IF(B9=0,"",PERCENTILE(IF((Log_Kargo!$B$5:$B$1004=$A9)*ISNUMBER(Log_Kargo!$AE$5:$AE$1004),Log_Kargo!$AE$5:$AE$1004),0.9))</f>
        <v>34</v>
      </c>
      <c r="G9" s="18" t="str">
        <f aca="false">IF(B9&gt;=20,"Siap",IF(B9&gt;=10,"Terbatas","Belum"))</f>
        <v>Siap</v>
      </c>
    </row>
    <row r="10" customFormat="false" ht="15" hidden="false" customHeight="false" outlineLevel="0" collapsed="false">
      <c r="A10" s="17" t="s">
        <v>523</v>
      </c>
      <c r="B10" s="15" t="n">
        <f aca="false">SUMPRODUCT((Log_Kargo!$B$5:$B$1004=$A10)*ISNUMBER(Log_Kargo!$AE$5:$AE$1004))</f>
        <v>22</v>
      </c>
      <c r="C10" s="18" t="n">
        <f aca="false" t="array" ref="C10:C10">IF(B10=0,"",AVERAGE(IF((Log_Kargo!$B$5:$B$1004=$A10)*ISNUMBER(Log_Kargo!$AE$5:$AE$1004),Log_Kargo!$AE$5:$AE$1004)))</f>
        <v>10.0454545454545</v>
      </c>
      <c r="D10" s="18" t="n">
        <f aca="false" t="array" ref="D10:D10">IF(B10=0,"",MAX(IF((Log_Kargo!$B$5:$B$1004=$A10)*ISNUMBER(Log_Kargo!$AE$5:$AE$1004),Log_Kargo!$AE$5:$AE$1004)))</f>
        <v>17</v>
      </c>
      <c r="E10" s="18" t="n">
        <f aca="false" t="array" ref="E10:E10">IF(B10&lt;2,"",STDEV(IF((Log_Kargo!$B$5:$B$1004=$A10)*ISNUMBER(Log_Kargo!$AE$5:$AE$1004),Log_Kargo!$AE$5:$AE$1004)))</f>
        <v>3.92157976825512</v>
      </c>
      <c r="F10" s="18" t="n">
        <f aca="false" t="array" ref="F10:F10">IF(B10=0,"",PERCENTILE(IF((Log_Kargo!$B$5:$B$1004=$A10)*ISNUMBER(Log_Kargo!$AE$5:$AE$1004),Log_Kargo!$AE$5:$AE$1004),0.9))</f>
        <v>14</v>
      </c>
      <c r="G10" s="18" t="str">
        <f aca="false">IF(B10&gt;=20,"Siap",IF(B10&gt;=10,"Terbatas","Belum"))</f>
        <v>Siap</v>
      </c>
    </row>
    <row r="11" customFormat="false" ht="15" hidden="false" customHeight="false" outlineLevel="0" collapsed="false">
      <c r="A11" s="17" t="s">
        <v>692</v>
      </c>
      <c r="B11" s="15" t="n">
        <f aca="false">SUMPRODUCT((Log_Kargo!$B$5:$B$1004=$A11)*ISNUMBER(Log_Kargo!$AE$5:$AE$1004))</f>
        <v>0</v>
      </c>
      <c r="C11" s="18" t="str">
        <f aca="false" t="array" ref="C11:C11">IF(B11=0,"",AVERAGE(IF((Log_Kargo!$B$5:$B$1004=$A11)*ISNUMBER(Log_Kargo!$AE$5:$AE$1004),Log_Kargo!$AE$5:$AE$1004)))</f>
        <v/>
      </c>
      <c r="D11" s="18" t="str">
        <f aca="false" t="array" ref="D11:D11">IF(B11=0,"",MAX(IF((Log_Kargo!$B$5:$B$1004=$A11)*ISNUMBER(Log_Kargo!$AE$5:$AE$1004),Log_Kargo!$AE$5:$AE$1004)))</f>
        <v/>
      </c>
      <c r="E11" s="18" t="str">
        <f aca="false" t="array" ref="E11:E11">IF(B11&lt;2,"",STDEV(IF((Log_Kargo!$B$5:$B$1004=$A11)*ISNUMBER(Log_Kargo!$AE$5:$AE$1004),Log_Kargo!$AE$5:$AE$1004)))</f>
        <v/>
      </c>
      <c r="F11" s="18" t="str">
        <f aca="false" t="array" ref="F11:F11">IF(B11=0,"",PERCENTILE(IF((Log_Kargo!$B$5:$B$1004=$A11)*ISNUMBER(Log_Kargo!$AE$5:$AE$1004),Log_Kargo!$AE$5:$AE$1004),0.9))</f>
        <v/>
      </c>
      <c r="G11" s="18" t="str">
        <f aca="false">IF(B11&gt;=20,"Siap",IF(B11&gt;=10,"Terbatas","Belum"))</f>
        <v>Belum</v>
      </c>
    </row>
    <row r="12" customFormat="false" ht="15" hidden="false" customHeight="false" outlineLevel="0" collapsed="false">
      <c r="A12" s="17" t="s">
        <v>599</v>
      </c>
      <c r="B12" s="15" t="n">
        <f aca="false">SUMPRODUCT((Log_Kargo!$B$5:$B$1004=$A12)*ISNUMBER(Log_Kargo!$AE$5:$AE$1004))</f>
        <v>24</v>
      </c>
      <c r="C12" s="18" t="n">
        <f aca="false" t="array" ref="C12:C12">IF(B12=0,"",AVERAGE(IF((Log_Kargo!$B$5:$B$1004=$A12)*ISNUMBER(Log_Kargo!$AE$5:$AE$1004),Log_Kargo!$AE$5:$AE$1004)))</f>
        <v>18.6666666666667</v>
      </c>
      <c r="D12" s="18" t="n">
        <f aca="false" t="array" ref="D12:D12">IF(B12=0,"",MAX(IF((Log_Kargo!$B$5:$B$1004=$A12)*ISNUMBER(Log_Kargo!$AE$5:$AE$1004),Log_Kargo!$AE$5:$AE$1004)))</f>
        <v>20</v>
      </c>
      <c r="E12" s="18" t="n">
        <f aca="false" t="array" ref="E12:E12">IF(B12&lt;2,"",STDEV(IF((Log_Kargo!$B$5:$B$1004=$A12)*ISNUMBER(Log_Kargo!$AE$5:$AE$1004),Log_Kargo!$AE$5:$AE$1004)))</f>
        <v>2.86912600942709</v>
      </c>
      <c r="F12" s="18" t="n">
        <f aca="false" t="array" ref="F12:F12">IF(B12=0,"",PERCENTILE(IF((Log_Kargo!$B$5:$B$1004=$A12)*ISNUMBER(Log_Kargo!$AE$5:$AE$1004),Log_Kargo!$AE$5:$AE$1004),0.9))</f>
        <v>20</v>
      </c>
      <c r="G12" s="18" t="str">
        <f aca="false">IF(B12&gt;=20,"Siap",IF(B12&gt;=10,"Terbatas","Belum"))</f>
        <v>Siap</v>
      </c>
    </row>
    <row r="13" customFormat="false" ht="15" hidden="false" customHeight="false" outlineLevel="0" collapsed="false">
      <c r="A13" s="17" t="s">
        <v>693</v>
      </c>
      <c r="B13" s="15" t="n">
        <f aca="false">SUMPRODUCT((Log_Kargo!$B$5:$B$1004=$A13)*ISNUMBER(Log_Kargo!$AE$5:$AE$1004))</f>
        <v>0</v>
      </c>
      <c r="C13" s="18" t="str">
        <f aca="false" t="array" ref="C13:C13">IF(B13=0,"",AVERAGE(IF((Log_Kargo!$B$5:$B$1004=$A13)*ISNUMBER(Log_Kargo!$AE$5:$AE$1004),Log_Kargo!$AE$5:$AE$1004)))</f>
        <v/>
      </c>
      <c r="D13" s="18" t="str">
        <f aca="false" t="array" ref="D13:D13">IF(B13=0,"",MAX(IF((Log_Kargo!$B$5:$B$1004=$A13)*ISNUMBER(Log_Kargo!$AE$5:$AE$1004),Log_Kargo!$AE$5:$AE$1004)))</f>
        <v/>
      </c>
      <c r="E13" s="18" t="str">
        <f aca="false" t="array" ref="E13:E13">IF(B13&lt;2,"",STDEV(IF((Log_Kargo!$B$5:$B$1004=$A13)*ISNUMBER(Log_Kargo!$AE$5:$AE$1004),Log_Kargo!$AE$5:$AE$1004)))</f>
        <v/>
      </c>
      <c r="F13" s="18" t="str">
        <f aca="false" t="array" ref="F13:F13">IF(B13=0,"",PERCENTILE(IF((Log_Kargo!$B$5:$B$1004=$A13)*ISNUMBER(Log_Kargo!$AE$5:$AE$1004),Log_Kargo!$AE$5:$AE$1004),0.9))</f>
        <v/>
      </c>
      <c r="G13" s="18" t="str">
        <f aca="false">IF(B13&gt;=20,"Siap",IF(B13&gt;=10,"Terbatas","Belum"))</f>
        <v>Belum</v>
      </c>
    </row>
    <row r="14" customFormat="false" ht="15" hidden="false" customHeight="false" outlineLevel="0" collapsed="false">
      <c r="A14" s="17" t="s">
        <v>665</v>
      </c>
      <c r="B14" s="15" t="n">
        <f aca="false">SUMPRODUCT((Log_Kargo!$B$5:$B$1004=$A14)*ISNUMBER(Log_Kargo!$AE$5:$AE$1004))</f>
        <v>8</v>
      </c>
      <c r="C14" s="18" t="n">
        <f aca="false" t="array" ref="C14:C14">IF(B14=0,"",AVERAGE(IF((Log_Kargo!$B$5:$B$1004=$A14)*ISNUMBER(Log_Kargo!$AE$5:$AE$1004),Log_Kargo!$AE$5:$AE$1004)))</f>
        <v>60.375</v>
      </c>
      <c r="D14" s="18" t="n">
        <f aca="false" t="array" ref="D14:D14">IF(B14=0,"",MAX(IF((Log_Kargo!$B$5:$B$1004=$A14)*ISNUMBER(Log_Kargo!$AE$5:$AE$1004),Log_Kargo!$AE$5:$AE$1004)))</f>
        <v>68</v>
      </c>
      <c r="E14" s="18" t="n">
        <f aca="false" t="array" ref="E14:E14">IF(B14&lt;2,"",STDEV(IF((Log_Kargo!$B$5:$B$1004=$A14)*ISNUMBER(Log_Kargo!$AE$5:$AE$1004),Log_Kargo!$AE$5:$AE$1004)))</f>
        <v>21.5667568261897</v>
      </c>
      <c r="F14" s="18" t="n">
        <f aca="false" t="array" ref="F14:F14">IF(B14=0,"",PERCENTILE(IF((Log_Kargo!$B$5:$B$1004=$A14)*ISNUMBER(Log_Kargo!$AE$5:$AE$1004),Log_Kargo!$AE$5:$AE$1004),0.9))</f>
        <v>68</v>
      </c>
      <c r="G14" s="18" t="str">
        <f aca="false">IF(B14&gt;=20,"Siap",IF(B14&gt;=10,"Terbatas","Belum"))</f>
        <v>Belum</v>
      </c>
    </row>
    <row r="16" customFormat="false" ht="15" hidden="false" customHeight="false" outlineLevel="0" collapsed="false">
      <c r="A16" s="3" t="s">
        <v>64</v>
      </c>
    </row>
    <row r="17" customFormat="false" ht="28.35" hidden="false" customHeight="false" outlineLevel="0" collapsed="false">
      <c r="A17" s="10" t="s">
        <v>37</v>
      </c>
      <c r="B17" s="10" t="s">
        <v>686</v>
      </c>
      <c r="C17" s="10" t="s">
        <v>687</v>
      </c>
      <c r="D17" s="10" t="s">
        <v>688</v>
      </c>
      <c r="E17" s="10" t="s">
        <v>689</v>
      </c>
      <c r="F17" s="10" t="s">
        <v>690</v>
      </c>
      <c r="G17" s="10" t="s">
        <v>691</v>
      </c>
    </row>
    <row r="18" customFormat="false" ht="15" hidden="false" customHeight="false" outlineLevel="0" collapsed="false">
      <c r="A18" s="17" t="s">
        <v>250</v>
      </c>
      <c r="B18" s="15" t="n">
        <f aca="false">SUMPRODUCT((Log_Kargo!$B$5:$B$1004=$A18)*ISNUMBER(Log_Kargo!$AC$5:$AC$1004))</f>
        <v>0</v>
      </c>
      <c r="C18" s="18" t="str">
        <f aca="false" t="array" ref="C18:C18">IF(B18=0,"",AVERAGE(IF((Log_Kargo!$B$5:$B$1004=$A18)*ISNUMBER(Log_Kargo!$AC$5:$AC$1004),Log_Kargo!$AC$5:$AC$1004)))</f>
        <v/>
      </c>
      <c r="D18" s="18" t="str">
        <f aca="false" t="array" ref="D18:D18">IF(B18=0,"",MAX(IF((Log_Kargo!$B$5:$B$1004=$A18)*ISNUMBER(Log_Kargo!$AC$5:$AC$1004),Log_Kargo!$AC$5:$AC$1004)))</f>
        <v/>
      </c>
      <c r="E18" s="18" t="str">
        <f aca="false" t="array" ref="E18:E18">IF(B18&lt;2,"",STDEV(IF((Log_Kargo!$B$5:$B$1004=$A18)*ISNUMBER(Log_Kargo!$AC$5:$AC$1004),Log_Kargo!$AC$5:$AC$1004)))</f>
        <v/>
      </c>
      <c r="F18" s="18" t="str">
        <f aca="false" t="array" ref="F18:F18">IF(B18=0,"",PERCENTILE(IF((Log_Kargo!$B$5:$B$1004=$A18)*ISNUMBER(Log_Kargo!$AC$5:$AC$1004),Log_Kargo!$AC$5:$AC$1004),0.9))</f>
        <v/>
      </c>
      <c r="G18" s="18" t="str">
        <f aca="false">IF(B18&gt;=20,"Siap",IF(B18&gt;=10,"Terbatas","Belum"))</f>
        <v>Belum</v>
      </c>
    </row>
    <row r="19" customFormat="false" ht="15" hidden="false" customHeight="false" outlineLevel="0" collapsed="false">
      <c r="A19" s="17" t="s">
        <v>73</v>
      </c>
      <c r="B19" s="15" t="n">
        <f aca="false">SUMPRODUCT((Log_Kargo!$B$5:$B$1004=$A19)*ISNUMBER(Log_Kargo!$AC$5:$AC$1004))</f>
        <v>0</v>
      </c>
      <c r="C19" s="18" t="str">
        <f aca="false" t="array" ref="C19:C19">IF(B19=0,"",AVERAGE(IF((Log_Kargo!$B$5:$B$1004=$A19)*ISNUMBER(Log_Kargo!$AC$5:$AC$1004),Log_Kargo!$AC$5:$AC$1004)))</f>
        <v/>
      </c>
      <c r="D19" s="18" t="str">
        <f aca="false" t="array" ref="D19:D19">IF(B19=0,"",MAX(IF((Log_Kargo!$B$5:$B$1004=$A19)*ISNUMBER(Log_Kargo!$AC$5:$AC$1004),Log_Kargo!$AC$5:$AC$1004)))</f>
        <v/>
      </c>
      <c r="E19" s="18" t="str">
        <f aca="false" t="array" ref="E19:E19">IF(B19&lt;2,"",STDEV(IF((Log_Kargo!$B$5:$B$1004=$A19)*ISNUMBER(Log_Kargo!$AC$5:$AC$1004),Log_Kargo!$AC$5:$AC$1004)))</f>
        <v/>
      </c>
      <c r="F19" s="18" t="str">
        <f aca="false" t="array" ref="F19:F19">IF(B19=0,"",PERCENTILE(IF((Log_Kargo!$B$5:$B$1004=$A19)*ISNUMBER(Log_Kargo!$AC$5:$AC$1004),Log_Kargo!$AC$5:$AC$1004),0.9))</f>
        <v/>
      </c>
      <c r="G19" s="18" t="str">
        <f aca="false">IF(B19&gt;=20,"Siap",IF(B19&gt;=10,"Terbatas","Belum"))</f>
        <v>Belum</v>
      </c>
    </row>
    <row r="20" customFormat="false" ht="15" hidden="false" customHeight="false" outlineLevel="0" collapsed="false">
      <c r="A20" s="17" t="s">
        <v>306</v>
      </c>
      <c r="B20" s="15" t="n">
        <f aca="false">SUMPRODUCT((Log_Kargo!$B$5:$B$1004=$A20)*ISNUMBER(Log_Kargo!$AC$5:$AC$1004))</f>
        <v>0</v>
      </c>
      <c r="C20" s="18" t="str">
        <f aca="false" t="array" ref="C20:C20">IF(B20=0,"",AVERAGE(IF((Log_Kargo!$B$5:$B$1004=$A20)*ISNUMBER(Log_Kargo!$AC$5:$AC$1004),Log_Kargo!$AC$5:$AC$1004)))</f>
        <v/>
      </c>
      <c r="D20" s="18" t="str">
        <f aca="false" t="array" ref="D20:D20">IF(B20=0,"",MAX(IF((Log_Kargo!$B$5:$B$1004=$A20)*ISNUMBER(Log_Kargo!$AC$5:$AC$1004),Log_Kargo!$AC$5:$AC$1004)))</f>
        <v/>
      </c>
      <c r="E20" s="18" t="str">
        <f aca="false" t="array" ref="E20:E20">IF(B20&lt;2,"",STDEV(IF((Log_Kargo!$B$5:$B$1004=$A20)*ISNUMBER(Log_Kargo!$AC$5:$AC$1004),Log_Kargo!$AC$5:$AC$1004)))</f>
        <v/>
      </c>
      <c r="F20" s="18" t="str">
        <f aca="false" t="array" ref="F20:F20">IF(B20=0,"",PERCENTILE(IF((Log_Kargo!$B$5:$B$1004=$A20)*ISNUMBER(Log_Kargo!$AC$5:$AC$1004),Log_Kargo!$AC$5:$AC$1004),0.9))</f>
        <v/>
      </c>
      <c r="G20" s="18" t="str">
        <f aca="false">IF(B20&gt;=20,"Siap",IF(B20&gt;=10,"Terbatas","Belum"))</f>
        <v>Belum</v>
      </c>
    </row>
    <row r="21" customFormat="false" ht="15" hidden="false" customHeight="false" outlineLevel="0" collapsed="false">
      <c r="A21" s="17" t="s">
        <v>415</v>
      </c>
      <c r="B21" s="15" t="n">
        <f aca="false">SUMPRODUCT((Log_Kargo!$B$5:$B$1004=$A21)*ISNUMBER(Log_Kargo!$AC$5:$AC$1004))</f>
        <v>0</v>
      </c>
      <c r="C21" s="18" t="str">
        <f aca="false" t="array" ref="C21:C21">IF(B21=0,"",AVERAGE(IF((Log_Kargo!$B$5:$B$1004=$A21)*ISNUMBER(Log_Kargo!$AC$5:$AC$1004),Log_Kargo!$AC$5:$AC$1004)))</f>
        <v/>
      </c>
      <c r="D21" s="18" t="str">
        <f aca="false" t="array" ref="D21:D21">IF(B21=0,"",MAX(IF((Log_Kargo!$B$5:$B$1004=$A21)*ISNUMBER(Log_Kargo!$AC$5:$AC$1004),Log_Kargo!$AC$5:$AC$1004)))</f>
        <v/>
      </c>
      <c r="E21" s="18" t="str">
        <f aca="false" t="array" ref="E21:E21">IF(B21&lt;2,"",STDEV(IF((Log_Kargo!$B$5:$B$1004=$A21)*ISNUMBER(Log_Kargo!$AC$5:$AC$1004),Log_Kargo!$AC$5:$AC$1004)))</f>
        <v/>
      </c>
      <c r="F21" s="18" t="str">
        <f aca="false" t="array" ref="F21:F21">IF(B21=0,"",PERCENTILE(IF((Log_Kargo!$B$5:$B$1004=$A21)*ISNUMBER(Log_Kargo!$AC$5:$AC$1004),Log_Kargo!$AC$5:$AC$1004),0.9))</f>
        <v/>
      </c>
      <c r="G21" s="18" t="str">
        <f aca="false">IF(B21&gt;=20,"Siap",IF(B21&gt;=10,"Terbatas","Belum"))</f>
        <v>Belum</v>
      </c>
    </row>
    <row r="22" customFormat="false" ht="15" hidden="false" customHeight="false" outlineLevel="0" collapsed="false">
      <c r="A22" s="17" t="s">
        <v>523</v>
      </c>
      <c r="B22" s="15" t="n">
        <f aca="false">SUMPRODUCT((Log_Kargo!$B$5:$B$1004=$A22)*ISNUMBER(Log_Kargo!$AC$5:$AC$1004))</f>
        <v>0</v>
      </c>
      <c r="C22" s="18" t="str">
        <f aca="false" t="array" ref="C22:C22">IF(B22=0,"",AVERAGE(IF((Log_Kargo!$B$5:$B$1004=$A22)*ISNUMBER(Log_Kargo!$AC$5:$AC$1004),Log_Kargo!$AC$5:$AC$1004)))</f>
        <v/>
      </c>
      <c r="D22" s="18" t="str">
        <f aca="false" t="array" ref="D22:D22">IF(B22=0,"",MAX(IF((Log_Kargo!$B$5:$B$1004=$A22)*ISNUMBER(Log_Kargo!$AC$5:$AC$1004),Log_Kargo!$AC$5:$AC$1004)))</f>
        <v/>
      </c>
      <c r="E22" s="18" t="str">
        <f aca="false" t="array" ref="E22:E22">IF(B22&lt;2,"",STDEV(IF((Log_Kargo!$B$5:$B$1004=$A22)*ISNUMBER(Log_Kargo!$AC$5:$AC$1004),Log_Kargo!$AC$5:$AC$1004)))</f>
        <v/>
      </c>
      <c r="F22" s="18" t="str">
        <f aca="false" t="array" ref="F22:F22">IF(B22=0,"",PERCENTILE(IF((Log_Kargo!$B$5:$B$1004=$A22)*ISNUMBER(Log_Kargo!$AC$5:$AC$1004),Log_Kargo!$AC$5:$AC$1004),0.9))</f>
        <v/>
      </c>
      <c r="G22" s="18" t="str">
        <f aca="false">IF(B22&gt;=20,"Siap",IF(B22&gt;=10,"Terbatas","Belum"))</f>
        <v>Belum</v>
      </c>
    </row>
    <row r="23" customFormat="false" ht="15" hidden="false" customHeight="false" outlineLevel="0" collapsed="false">
      <c r="A23" s="17" t="s">
        <v>692</v>
      </c>
      <c r="B23" s="15" t="n">
        <f aca="false">SUMPRODUCT((Log_Kargo!$B$5:$B$1004=$A23)*ISNUMBER(Log_Kargo!$AC$5:$AC$1004))</f>
        <v>0</v>
      </c>
      <c r="C23" s="18" t="str">
        <f aca="false" t="array" ref="C23:C23">IF(B23=0,"",AVERAGE(IF((Log_Kargo!$B$5:$B$1004=$A23)*ISNUMBER(Log_Kargo!$AC$5:$AC$1004),Log_Kargo!$AC$5:$AC$1004)))</f>
        <v/>
      </c>
      <c r="D23" s="18" t="str">
        <f aca="false" t="array" ref="D23:D23">IF(B23=0,"",MAX(IF((Log_Kargo!$B$5:$B$1004=$A23)*ISNUMBER(Log_Kargo!$AC$5:$AC$1004),Log_Kargo!$AC$5:$AC$1004)))</f>
        <v/>
      </c>
      <c r="E23" s="18" t="str">
        <f aca="false" t="array" ref="E23:E23">IF(B23&lt;2,"",STDEV(IF((Log_Kargo!$B$5:$B$1004=$A23)*ISNUMBER(Log_Kargo!$AC$5:$AC$1004),Log_Kargo!$AC$5:$AC$1004)))</f>
        <v/>
      </c>
      <c r="F23" s="18" t="str">
        <f aca="false" t="array" ref="F23:F23">IF(B23=0,"",PERCENTILE(IF((Log_Kargo!$B$5:$B$1004=$A23)*ISNUMBER(Log_Kargo!$AC$5:$AC$1004),Log_Kargo!$AC$5:$AC$1004),0.9))</f>
        <v/>
      </c>
      <c r="G23" s="18" t="str">
        <f aca="false">IF(B23&gt;=20,"Siap",IF(B23&gt;=10,"Terbatas","Belum"))</f>
        <v>Belum</v>
      </c>
    </row>
    <row r="24" customFormat="false" ht="15" hidden="false" customHeight="false" outlineLevel="0" collapsed="false">
      <c r="A24" s="17" t="s">
        <v>599</v>
      </c>
      <c r="B24" s="15" t="n">
        <f aca="false">SUMPRODUCT((Log_Kargo!$B$5:$B$1004=$A24)*ISNUMBER(Log_Kargo!$AC$5:$AC$1004))</f>
        <v>0</v>
      </c>
      <c r="C24" s="18" t="str">
        <f aca="false" t="array" ref="C24:C24">IF(B24=0,"",AVERAGE(IF((Log_Kargo!$B$5:$B$1004=$A24)*ISNUMBER(Log_Kargo!$AC$5:$AC$1004),Log_Kargo!$AC$5:$AC$1004)))</f>
        <v/>
      </c>
      <c r="D24" s="18" t="str">
        <f aca="false" t="array" ref="D24:D24">IF(B24=0,"",MAX(IF((Log_Kargo!$B$5:$B$1004=$A24)*ISNUMBER(Log_Kargo!$AC$5:$AC$1004),Log_Kargo!$AC$5:$AC$1004)))</f>
        <v/>
      </c>
      <c r="E24" s="18" t="str">
        <f aca="false" t="array" ref="E24:E24">IF(B24&lt;2,"",STDEV(IF((Log_Kargo!$B$5:$B$1004=$A24)*ISNUMBER(Log_Kargo!$AC$5:$AC$1004),Log_Kargo!$AC$5:$AC$1004)))</f>
        <v/>
      </c>
      <c r="F24" s="18" t="str">
        <f aca="false" t="array" ref="F24:F24">IF(B24=0,"",PERCENTILE(IF((Log_Kargo!$B$5:$B$1004=$A24)*ISNUMBER(Log_Kargo!$AC$5:$AC$1004),Log_Kargo!$AC$5:$AC$1004),0.9))</f>
        <v/>
      </c>
      <c r="G24" s="18" t="str">
        <f aca="false">IF(B24&gt;=20,"Siap",IF(B24&gt;=10,"Terbatas","Belum"))</f>
        <v>Belum</v>
      </c>
    </row>
    <row r="25" customFormat="false" ht="15" hidden="false" customHeight="false" outlineLevel="0" collapsed="false">
      <c r="A25" s="17" t="s">
        <v>693</v>
      </c>
      <c r="B25" s="15" t="n">
        <f aca="false">SUMPRODUCT((Log_Kargo!$B$5:$B$1004=$A25)*ISNUMBER(Log_Kargo!$AC$5:$AC$1004))</f>
        <v>0</v>
      </c>
      <c r="C25" s="18" t="str">
        <f aca="false" t="array" ref="C25:C25">IF(B25=0,"",AVERAGE(IF((Log_Kargo!$B$5:$B$1004=$A25)*ISNUMBER(Log_Kargo!$AC$5:$AC$1004),Log_Kargo!$AC$5:$AC$1004)))</f>
        <v/>
      </c>
      <c r="D25" s="18" t="str">
        <f aca="false" t="array" ref="D25:D25">IF(B25=0,"",MAX(IF((Log_Kargo!$B$5:$B$1004=$A25)*ISNUMBER(Log_Kargo!$AC$5:$AC$1004),Log_Kargo!$AC$5:$AC$1004)))</f>
        <v/>
      </c>
      <c r="E25" s="18" t="str">
        <f aca="false" t="array" ref="E25:E25">IF(B25&lt;2,"",STDEV(IF((Log_Kargo!$B$5:$B$1004=$A25)*ISNUMBER(Log_Kargo!$AC$5:$AC$1004),Log_Kargo!$AC$5:$AC$1004)))</f>
        <v/>
      </c>
      <c r="F25" s="18" t="str">
        <f aca="false" t="array" ref="F25:F25">IF(B25=0,"",PERCENTILE(IF((Log_Kargo!$B$5:$B$1004=$A25)*ISNUMBER(Log_Kargo!$AC$5:$AC$1004),Log_Kargo!$AC$5:$AC$1004),0.9))</f>
        <v/>
      </c>
      <c r="G25" s="18" t="str">
        <f aca="false">IF(B25&gt;=20,"Siap",IF(B25&gt;=10,"Terbatas","Belum"))</f>
        <v>Belum</v>
      </c>
    </row>
    <row r="26" customFormat="false" ht="15" hidden="false" customHeight="false" outlineLevel="0" collapsed="false">
      <c r="A26" s="17" t="s">
        <v>665</v>
      </c>
      <c r="B26" s="15" t="n">
        <f aca="false">SUMPRODUCT((Log_Kargo!$B$5:$B$1004=$A26)*ISNUMBER(Log_Kargo!$AC$5:$AC$1004))</f>
        <v>0</v>
      </c>
      <c r="C26" s="18" t="str">
        <f aca="false" t="array" ref="C26:C26">IF(B26=0,"",AVERAGE(IF((Log_Kargo!$B$5:$B$1004=$A26)*ISNUMBER(Log_Kargo!$AC$5:$AC$1004),Log_Kargo!$AC$5:$AC$1004)))</f>
        <v/>
      </c>
      <c r="D26" s="18" t="str">
        <f aca="false" t="array" ref="D26:D26">IF(B26=0,"",MAX(IF((Log_Kargo!$B$5:$B$1004=$A26)*ISNUMBER(Log_Kargo!$AC$5:$AC$1004),Log_Kargo!$AC$5:$AC$1004)))</f>
        <v/>
      </c>
      <c r="E26" s="18" t="str">
        <f aca="false" t="array" ref="E26:E26">IF(B26&lt;2,"",STDEV(IF((Log_Kargo!$B$5:$B$1004=$A26)*ISNUMBER(Log_Kargo!$AC$5:$AC$1004),Log_Kargo!$AC$5:$AC$1004)))</f>
        <v/>
      </c>
      <c r="F26" s="18" t="str">
        <f aca="false" t="array" ref="F26:F26">IF(B26=0,"",PERCENTILE(IF((Log_Kargo!$B$5:$B$1004=$A26)*ISNUMBER(Log_Kargo!$AC$5:$AC$1004),Log_Kargo!$AC$5:$AC$1004),0.9))</f>
        <v/>
      </c>
      <c r="G26" s="18" t="str">
        <f aca="false">IF(B26&gt;=20,"Siap",IF(B26&gt;=10,"Terbatas","Belum"))</f>
        <v>Belum</v>
      </c>
    </row>
    <row r="28" customFormat="false" ht="15" hidden="false" customHeight="false" outlineLevel="0" collapsed="false">
      <c r="A28" s="3" t="s">
        <v>62</v>
      </c>
    </row>
    <row r="29" customFormat="false" ht="28.35" hidden="false" customHeight="false" outlineLevel="0" collapsed="false">
      <c r="A29" s="10" t="s">
        <v>37</v>
      </c>
      <c r="B29" s="10" t="s">
        <v>686</v>
      </c>
      <c r="C29" s="10" t="s">
        <v>687</v>
      </c>
      <c r="D29" s="10" t="s">
        <v>688</v>
      </c>
      <c r="E29" s="10" t="s">
        <v>689</v>
      </c>
      <c r="F29" s="10" t="s">
        <v>690</v>
      </c>
      <c r="G29" s="10" t="s">
        <v>691</v>
      </c>
    </row>
    <row r="30" customFormat="false" ht="15" hidden="false" customHeight="false" outlineLevel="0" collapsed="false">
      <c r="A30" s="17" t="s">
        <v>250</v>
      </c>
      <c r="B30" s="15" t="n">
        <f aca="false">SUMPRODUCT((Log_Kargo!$B$5:$B$1004=$A30)*ISNUMBER(Log_Kargo!$AA$5:$AA$1004))</f>
        <v>0</v>
      </c>
      <c r="C30" s="18" t="str">
        <f aca="false" t="array" ref="C30:C30">IF(B30=0,"",AVERAGE(IF((Log_Kargo!$B$5:$B$1004=$A30)*ISNUMBER(Log_Kargo!$AA$5:$AA$1004),Log_Kargo!$AA$5:$AA$1004)))</f>
        <v/>
      </c>
      <c r="D30" s="18" t="str">
        <f aca="false" t="array" ref="D30:D30">IF(B30=0,"",MAX(IF((Log_Kargo!$B$5:$B$1004=$A30)*ISNUMBER(Log_Kargo!$AA$5:$AA$1004),Log_Kargo!$AA$5:$AA$1004)))</f>
        <v/>
      </c>
      <c r="E30" s="18" t="str">
        <f aca="false" t="array" ref="E30:E30">IF(B30&lt;2,"",STDEV(IF((Log_Kargo!$B$5:$B$1004=$A30)*ISNUMBER(Log_Kargo!$AA$5:$AA$1004),Log_Kargo!$AA$5:$AA$1004)))</f>
        <v/>
      </c>
      <c r="F30" s="18" t="str">
        <f aca="false" t="array" ref="F30:F30">IF(B30=0,"",PERCENTILE(IF((Log_Kargo!$B$5:$B$1004=$A30)*ISNUMBER(Log_Kargo!$AA$5:$AA$1004),Log_Kargo!$AA$5:$AA$1004),0.9))</f>
        <v/>
      </c>
      <c r="G30" s="18" t="str">
        <f aca="false">IF(B30&gt;=20,"Siap",IF(B30&gt;=10,"Terbatas","Belum"))</f>
        <v>Belum</v>
      </c>
    </row>
    <row r="31" customFormat="false" ht="15" hidden="false" customHeight="false" outlineLevel="0" collapsed="false">
      <c r="A31" s="17" t="s">
        <v>73</v>
      </c>
      <c r="B31" s="15" t="n">
        <f aca="false">SUMPRODUCT((Log_Kargo!$B$5:$B$1004=$A31)*ISNUMBER(Log_Kargo!$AA$5:$AA$1004))</f>
        <v>0</v>
      </c>
      <c r="C31" s="18" t="str">
        <f aca="false" t="array" ref="C31:C31">IF(B31=0,"",AVERAGE(IF((Log_Kargo!$B$5:$B$1004=$A31)*ISNUMBER(Log_Kargo!$AA$5:$AA$1004),Log_Kargo!$AA$5:$AA$1004)))</f>
        <v/>
      </c>
      <c r="D31" s="18" t="str">
        <f aca="false" t="array" ref="D31:D31">IF(B31=0,"",MAX(IF((Log_Kargo!$B$5:$B$1004=$A31)*ISNUMBER(Log_Kargo!$AA$5:$AA$1004),Log_Kargo!$AA$5:$AA$1004)))</f>
        <v/>
      </c>
      <c r="E31" s="18" t="str">
        <f aca="false" t="array" ref="E31:E31">IF(B31&lt;2,"",STDEV(IF((Log_Kargo!$B$5:$B$1004=$A31)*ISNUMBER(Log_Kargo!$AA$5:$AA$1004),Log_Kargo!$AA$5:$AA$1004)))</f>
        <v/>
      </c>
      <c r="F31" s="18" t="str">
        <f aca="false" t="array" ref="F31:F31">IF(B31=0,"",PERCENTILE(IF((Log_Kargo!$B$5:$B$1004=$A31)*ISNUMBER(Log_Kargo!$AA$5:$AA$1004),Log_Kargo!$AA$5:$AA$1004),0.9))</f>
        <v/>
      </c>
      <c r="G31" s="18" t="str">
        <f aca="false">IF(B31&gt;=20,"Siap",IF(B31&gt;=10,"Terbatas","Belum"))</f>
        <v>Belum</v>
      </c>
    </row>
    <row r="32" customFormat="false" ht="15" hidden="false" customHeight="false" outlineLevel="0" collapsed="false">
      <c r="A32" s="17" t="s">
        <v>306</v>
      </c>
      <c r="B32" s="15" t="n">
        <f aca="false">SUMPRODUCT((Log_Kargo!$B$5:$B$1004=$A32)*ISNUMBER(Log_Kargo!$AA$5:$AA$1004))</f>
        <v>0</v>
      </c>
      <c r="C32" s="18" t="str">
        <f aca="false" t="array" ref="C32:C32">IF(B32=0,"",AVERAGE(IF((Log_Kargo!$B$5:$B$1004=$A32)*ISNUMBER(Log_Kargo!$AA$5:$AA$1004),Log_Kargo!$AA$5:$AA$1004)))</f>
        <v/>
      </c>
      <c r="D32" s="18" t="str">
        <f aca="false" t="array" ref="D32:D32">IF(B32=0,"",MAX(IF((Log_Kargo!$B$5:$B$1004=$A32)*ISNUMBER(Log_Kargo!$AA$5:$AA$1004),Log_Kargo!$AA$5:$AA$1004)))</f>
        <v/>
      </c>
      <c r="E32" s="18" t="str">
        <f aca="false" t="array" ref="E32:E32">IF(B32&lt;2,"",STDEV(IF((Log_Kargo!$B$5:$B$1004=$A32)*ISNUMBER(Log_Kargo!$AA$5:$AA$1004),Log_Kargo!$AA$5:$AA$1004)))</f>
        <v/>
      </c>
      <c r="F32" s="18" t="str">
        <f aca="false" t="array" ref="F32:F32">IF(B32=0,"",PERCENTILE(IF((Log_Kargo!$B$5:$B$1004=$A32)*ISNUMBER(Log_Kargo!$AA$5:$AA$1004),Log_Kargo!$AA$5:$AA$1004),0.9))</f>
        <v/>
      </c>
      <c r="G32" s="18" t="str">
        <f aca="false">IF(B32&gt;=20,"Siap",IF(B32&gt;=10,"Terbatas","Belum"))</f>
        <v>Belum</v>
      </c>
    </row>
    <row r="33" customFormat="false" ht="15" hidden="false" customHeight="false" outlineLevel="0" collapsed="false">
      <c r="A33" s="17" t="s">
        <v>415</v>
      </c>
      <c r="B33" s="15" t="n">
        <f aca="false">SUMPRODUCT((Log_Kargo!$B$5:$B$1004=$A33)*ISNUMBER(Log_Kargo!$AA$5:$AA$1004))</f>
        <v>0</v>
      </c>
      <c r="C33" s="18" t="str">
        <f aca="false" t="array" ref="C33:C33">IF(B33=0,"",AVERAGE(IF((Log_Kargo!$B$5:$B$1004=$A33)*ISNUMBER(Log_Kargo!$AA$5:$AA$1004),Log_Kargo!$AA$5:$AA$1004)))</f>
        <v/>
      </c>
      <c r="D33" s="18" t="str">
        <f aca="false" t="array" ref="D33:D33">IF(B33=0,"",MAX(IF((Log_Kargo!$B$5:$B$1004=$A33)*ISNUMBER(Log_Kargo!$AA$5:$AA$1004),Log_Kargo!$AA$5:$AA$1004)))</f>
        <v/>
      </c>
      <c r="E33" s="18" t="str">
        <f aca="false" t="array" ref="E33:E33">IF(B33&lt;2,"",STDEV(IF((Log_Kargo!$B$5:$B$1004=$A33)*ISNUMBER(Log_Kargo!$AA$5:$AA$1004),Log_Kargo!$AA$5:$AA$1004)))</f>
        <v/>
      </c>
      <c r="F33" s="18" t="str">
        <f aca="false" t="array" ref="F33:F33">IF(B33=0,"",PERCENTILE(IF((Log_Kargo!$B$5:$B$1004=$A33)*ISNUMBER(Log_Kargo!$AA$5:$AA$1004),Log_Kargo!$AA$5:$AA$1004),0.9))</f>
        <v/>
      </c>
      <c r="G33" s="18" t="str">
        <f aca="false">IF(B33&gt;=20,"Siap",IF(B33&gt;=10,"Terbatas","Belum"))</f>
        <v>Belum</v>
      </c>
    </row>
    <row r="34" customFormat="false" ht="15" hidden="false" customHeight="false" outlineLevel="0" collapsed="false">
      <c r="A34" s="17" t="s">
        <v>523</v>
      </c>
      <c r="B34" s="15" t="n">
        <f aca="false">SUMPRODUCT((Log_Kargo!$B$5:$B$1004=$A34)*ISNUMBER(Log_Kargo!$AA$5:$AA$1004))</f>
        <v>0</v>
      </c>
      <c r="C34" s="18" t="str">
        <f aca="false" t="array" ref="C34:C34">IF(B34=0,"",AVERAGE(IF((Log_Kargo!$B$5:$B$1004=$A34)*ISNUMBER(Log_Kargo!$AA$5:$AA$1004),Log_Kargo!$AA$5:$AA$1004)))</f>
        <v/>
      </c>
      <c r="D34" s="18" t="str">
        <f aca="false" t="array" ref="D34:D34">IF(B34=0,"",MAX(IF((Log_Kargo!$B$5:$B$1004=$A34)*ISNUMBER(Log_Kargo!$AA$5:$AA$1004),Log_Kargo!$AA$5:$AA$1004)))</f>
        <v/>
      </c>
      <c r="E34" s="18" t="str">
        <f aca="false" t="array" ref="E34:E34">IF(B34&lt;2,"",STDEV(IF((Log_Kargo!$B$5:$B$1004=$A34)*ISNUMBER(Log_Kargo!$AA$5:$AA$1004),Log_Kargo!$AA$5:$AA$1004)))</f>
        <v/>
      </c>
      <c r="F34" s="18" t="str">
        <f aca="false" t="array" ref="F34:F34">IF(B34=0,"",PERCENTILE(IF((Log_Kargo!$B$5:$B$1004=$A34)*ISNUMBER(Log_Kargo!$AA$5:$AA$1004),Log_Kargo!$AA$5:$AA$1004),0.9))</f>
        <v/>
      </c>
      <c r="G34" s="18" t="str">
        <f aca="false">IF(B34&gt;=20,"Siap",IF(B34&gt;=10,"Terbatas","Belum"))</f>
        <v>Belum</v>
      </c>
    </row>
    <row r="35" customFormat="false" ht="15" hidden="false" customHeight="false" outlineLevel="0" collapsed="false">
      <c r="A35" s="17" t="s">
        <v>692</v>
      </c>
      <c r="B35" s="15" t="n">
        <f aca="false">SUMPRODUCT((Log_Kargo!$B$5:$B$1004=$A35)*ISNUMBER(Log_Kargo!$AA$5:$AA$1004))</f>
        <v>0</v>
      </c>
      <c r="C35" s="18" t="str">
        <f aca="false" t="array" ref="C35:C35">IF(B35=0,"",AVERAGE(IF((Log_Kargo!$B$5:$B$1004=$A35)*ISNUMBER(Log_Kargo!$AA$5:$AA$1004),Log_Kargo!$AA$5:$AA$1004)))</f>
        <v/>
      </c>
      <c r="D35" s="18" t="str">
        <f aca="false" t="array" ref="D35:D35">IF(B35=0,"",MAX(IF((Log_Kargo!$B$5:$B$1004=$A35)*ISNUMBER(Log_Kargo!$AA$5:$AA$1004),Log_Kargo!$AA$5:$AA$1004)))</f>
        <v/>
      </c>
      <c r="E35" s="18" t="str">
        <f aca="false" t="array" ref="E35:E35">IF(B35&lt;2,"",STDEV(IF((Log_Kargo!$B$5:$B$1004=$A35)*ISNUMBER(Log_Kargo!$AA$5:$AA$1004),Log_Kargo!$AA$5:$AA$1004)))</f>
        <v/>
      </c>
      <c r="F35" s="18" t="str">
        <f aca="false" t="array" ref="F35:F35">IF(B35=0,"",PERCENTILE(IF((Log_Kargo!$B$5:$B$1004=$A35)*ISNUMBER(Log_Kargo!$AA$5:$AA$1004),Log_Kargo!$AA$5:$AA$1004),0.9))</f>
        <v/>
      </c>
      <c r="G35" s="18" t="str">
        <f aca="false">IF(B35&gt;=20,"Siap",IF(B35&gt;=10,"Terbatas","Belum"))</f>
        <v>Belum</v>
      </c>
    </row>
    <row r="36" customFormat="false" ht="15" hidden="false" customHeight="false" outlineLevel="0" collapsed="false">
      <c r="A36" s="17" t="s">
        <v>599</v>
      </c>
      <c r="B36" s="15" t="n">
        <f aca="false">SUMPRODUCT((Log_Kargo!$B$5:$B$1004=$A36)*ISNUMBER(Log_Kargo!$AA$5:$AA$1004))</f>
        <v>0</v>
      </c>
      <c r="C36" s="18" t="str">
        <f aca="false" t="array" ref="C36:C36">IF(B36=0,"",AVERAGE(IF((Log_Kargo!$B$5:$B$1004=$A36)*ISNUMBER(Log_Kargo!$AA$5:$AA$1004),Log_Kargo!$AA$5:$AA$1004)))</f>
        <v/>
      </c>
      <c r="D36" s="18" t="str">
        <f aca="false" t="array" ref="D36:D36">IF(B36=0,"",MAX(IF((Log_Kargo!$B$5:$B$1004=$A36)*ISNUMBER(Log_Kargo!$AA$5:$AA$1004),Log_Kargo!$AA$5:$AA$1004)))</f>
        <v/>
      </c>
      <c r="E36" s="18" t="str">
        <f aca="false" t="array" ref="E36:E36">IF(B36&lt;2,"",STDEV(IF((Log_Kargo!$B$5:$B$1004=$A36)*ISNUMBER(Log_Kargo!$AA$5:$AA$1004),Log_Kargo!$AA$5:$AA$1004)))</f>
        <v/>
      </c>
      <c r="F36" s="18" t="str">
        <f aca="false" t="array" ref="F36:F36">IF(B36=0,"",PERCENTILE(IF((Log_Kargo!$B$5:$B$1004=$A36)*ISNUMBER(Log_Kargo!$AA$5:$AA$1004),Log_Kargo!$AA$5:$AA$1004),0.9))</f>
        <v/>
      </c>
      <c r="G36" s="18" t="str">
        <f aca="false">IF(B36&gt;=20,"Siap",IF(B36&gt;=10,"Terbatas","Belum"))</f>
        <v>Belum</v>
      </c>
    </row>
    <row r="37" customFormat="false" ht="15" hidden="false" customHeight="false" outlineLevel="0" collapsed="false">
      <c r="A37" s="17" t="s">
        <v>693</v>
      </c>
      <c r="B37" s="15" t="n">
        <f aca="false">SUMPRODUCT((Log_Kargo!$B$5:$B$1004=$A37)*ISNUMBER(Log_Kargo!$AA$5:$AA$1004))</f>
        <v>0</v>
      </c>
      <c r="C37" s="18" t="str">
        <f aca="false" t="array" ref="C37:C37">IF(B37=0,"",AVERAGE(IF((Log_Kargo!$B$5:$B$1004=$A37)*ISNUMBER(Log_Kargo!$AA$5:$AA$1004),Log_Kargo!$AA$5:$AA$1004)))</f>
        <v/>
      </c>
      <c r="D37" s="18" t="str">
        <f aca="false" t="array" ref="D37:D37">IF(B37=0,"",MAX(IF((Log_Kargo!$B$5:$B$1004=$A37)*ISNUMBER(Log_Kargo!$AA$5:$AA$1004),Log_Kargo!$AA$5:$AA$1004)))</f>
        <v/>
      </c>
      <c r="E37" s="18" t="str">
        <f aca="false" t="array" ref="E37:E37">IF(B37&lt;2,"",STDEV(IF((Log_Kargo!$B$5:$B$1004=$A37)*ISNUMBER(Log_Kargo!$AA$5:$AA$1004),Log_Kargo!$AA$5:$AA$1004)))</f>
        <v/>
      </c>
      <c r="F37" s="18" t="str">
        <f aca="false" t="array" ref="F37:F37">IF(B37=0,"",PERCENTILE(IF((Log_Kargo!$B$5:$B$1004=$A37)*ISNUMBER(Log_Kargo!$AA$5:$AA$1004),Log_Kargo!$AA$5:$AA$1004),0.9))</f>
        <v/>
      </c>
      <c r="G37" s="18" t="str">
        <f aca="false">IF(B37&gt;=20,"Siap",IF(B37&gt;=10,"Terbatas","Belum"))</f>
        <v>Belum</v>
      </c>
    </row>
    <row r="38" customFormat="false" ht="15" hidden="false" customHeight="false" outlineLevel="0" collapsed="false">
      <c r="A38" s="17" t="s">
        <v>665</v>
      </c>
      <c r="B38" s="15" t="n">
        <f aca="false">SUMPRODUCT((Log_Kargo!$B$5:$B$1004=$A38)*ISNUMBER(Log_Kargo!$AA$5:$AA$1004))</f>
        <v>0</v>
      </c>
      <c r="C38" s="18" t="str">
        <f aca="false" t="array" ref="C38:C38">IF(B38=0,"",AVERAGE(IF((Log_Kargo!$B$5:$B$1004=$A38)*ISNUMBER(Log_Kargo!$AA$5:$AA$1004),Log_Kargo!$AA$5:$AA$1004)))</f>
        <v/>
      </c>
      <c r="D38" s="18" t="str">
        <f aca="false" t="array" ref="D38:D38">IF(B38=0,"",MAX(IF((Log_Kargo!$B$5:$B$1004=$A38)*ISNUMBER(Log_Kargo!$AA$5:$AA$1004),Log_Kargo!$AA$5:$AA$1004)))</f>
        <v/>
      </c>
      <c r="E38" s="18" t="str">
        <f aca="false" t="array" ref="E38:E38">IF(B38&lt;2,"",STDEV(IF((Log_Kargo!$B$5:$B$1004=$A38)*ISNUMBER(Log_Kargo!$AA$5:$AA$1004),Log_Kargo!$AA$5:$AA$1004)))</f>
        <v/>
      </c>
      <c r="F38" s="18" t="str">
        <f aca="false" t="array" ref="F38:F38">IF(B38=0,"",PERCENTILE(IF((Log_Kargo!$B$5:$B$1004=$A38)*ISNUMBER(Log_Kargo!$AA$5:$AA$1004),Log_Kargo!$AA$5:$AA$1004),0.9))</f>
        <v/>
      </c>
      <c r="G38" s="18" t="str">
        <f aca="false">IF(B38&gt;=20,"Siap",IF(B38&gt;=10,"Terbatas","Belum"))</f>
        <v>Belum</v>
      </c>
    </row>
    <row r="40" customFormat="false" ht="15" hidden="false" customHeight="false" outlineLevel="0" collapsed="false">
      <c r="A40" s="3" t="s">
        <v>694</v>
      </c>
    </row>
    <row r="41" customFormat="false" ht="28.35" hidden="false" customHeight="false" outlineLevel="0" collapsed="false">
      <c r="A41" s="10" t="s">
        <v>37</v>
      </c>
      <c r="B41" s="10" t="s">
        <v>686</v>
      </c>
      <c r="C41" s="10" t="s">
        <v>687</v>
      </c>
      <c r="D41" s="10" t="s">
        <v>688</v>
      </c>
      <c r="E41" s="10" t="s">
        <v>689</v>
      </c>
      <c r="F41" s="10" t="s">
        <v>690</v>
      </c>
      <c r="G41" s="10" t="s">
        <v>691</v>
      </c>
    </row>
    <row r="42" customFormat="false" ht="15" hidden="false" customHeight="false" outlineLevel="0" collapsed="false">
      <c r="A42" s="17" t="s">
        <v>250</v>
      </c>
      <c r="B42" s="15" t="n">
        <f aca="false">SUMPRODUCT((Log_Kargo!$B$5:$B$1004=$A42)*ISNUMBER(Log_Kargo!$AB$5:$AB$1004))</f>
        <v>0</v>
      </c>
      <c r="C42" s="18" t="str">
        <f aca="false" t="array" ref="C42:C42">IF(B42=0,"",AVERAGE(IF((Log_Kargo!$B$5:$B$1004=$A42)*ISNUMBER(Log_Kargo!$AB$5:$AB$1004),Log_Kargo!$AB$5:$AB$1004)))</f>
        <v/>
      </c>
      <c r="D42" s="18" t="str">
        <f aca="false" t="array" ref="D42:D42">IF(B42=0,"",MAX(IF((Log_Kargo!$B$5:$B$1004=$A42)*ISNUMBER(Log_Kargo!$AB$5:$AB$1004),Log_Kargo!$AB$5:$AB$1004)))</f>
        <v/>
      </c>
      <c r="E42" s="18" t="str">
        <f aca="false" t="array" ref="E42:E42">IF(B42&lt;2,"",STDEV(IF((Log_Kargo!$B$5:$B$1004=$A42)*ISNUMBER(Log_Kargo!$AB$5:$AB$1004),Log_Kargo!$AB$5:$AB$1004)))</f>
        <v/>
      </c>
      <c r="F42" s="18" t="str">
        <f aca="false" t="array" ref="F42:F42">IF(B42=0,"",PERCENTILE(IF((Log_Kargo!$B$5:$B$1004=$A42)*ISNUMBER(Log_Kargo!$AB$5:$AB$1004),Log_Kargo!$AB$5:$AB$1004),0.9))</f>
        <v/>
      </c>
      <c r="G42" s="18" t="str">
        <f aca="false">IF(B42&gt;=20,"Siap",IF(B42&gt;=10,"Terbatas","Belum"))</f>
        <v>Belum</v>
      </c>
    </row>
    <row r="43" customFormat="false" ht="15" hidden="false" customHeight="false" outlineLevel="0" collapsed="false">
      <c r="A43" s="17" t="s">
        <v>73</v>
      </c>
      <c r="B43" s="15" t="n">
        <f aca="false">SUMPRODUCT((Log_Kargo!$B$5:$B$1004=$A43)*ISNUMBER(Log_Kargo!$AB$5:$AB$1004))</f>
        <v>0</v>
      </c>
      <c r="C43" s="18" t="str">
        <f aca="false" t="array" ref="C43:C43">IF(B43=0,"",AVERAGE(IF((Log_Kargo!$B$5:$B$1004=$A43)*ISNUMBER(Log_Kargo!$AB$5:$AB$1004),Log_Kargo!$AB$5:$AB$1004)))</f>
        <v/>
      </c>
      <c r="D43" s="18" t="str">
        <f aca="false" t="array" ref="D43:D43">IF(B43=0,"",MAX(IF((Log_Kargo!$B$5:$B$1004=$A43)*ISNUMBER(Log_Kargo!$AB$5:$AB$1004),Log_Kargo!$AB$5:$AB$1004)))</f>
        <v/>
      </c>
      <c r="E43" s="18" t="str">
        <f aca="false" t="array" ref="E43:E43">IF(B43&lt;2,"",STDEV(IF((Log_Kargo!$B$5:$B$1004=$A43)*ISNUMBER(Log_Kargo!$AB$5:$AB$1004),Log_Kargo!$AB$5:$AB$1004)))</f>
        <v/>
      </c>
      <c r="F43" s="18" t="str">
        <f aca="false" t="array" ref="F43:F43">IF(B43=0,"",PERCENTILE(IF((Log_Kargo!$B$5:$B$1004=$A43)*ISNUMBER(Log_Kargo!$AB$5:$AB$1004),Log_Kargo!$AB$5:$AB$1004),0.9))</f>
        <v/>
      </c>
      <c r="G43" s="18" t="str">
        <f aca="false">IF(B43&gt;=20,"Siap",IF(B43&gt;=10,"Terbatas","Belum"))</f>
        <v>Belum</v>
      </c>
    </row>
    <row r="44" customFormat="false" ht="15" hidden="false" customHeight="false" outlineLevel="0" collapsed="false">
      <c r="A44" s="17" t="s">
        <v>306</v>
      </c>
      <c r="B44" s="15" t="n">
        <f aca="false">SUMPRODUCT((Log_Kargo!$B$5:$B$1004=$A44)*ISNUMBER(Log_Kargo!$AB$5:$AB$1004))</f>
        <v>0</v>
      </c>
      <c r="C44" s="18" t="str">
        <f aca="false" t="array" ref="C44:C44">IF(B44=0,"",AVERAGE(IF((Log_Kargo!$B$5:$B$1004=$A44)*ISNUMBER(Log_Kargo!$AB$5:$AB$1004),Log_Kargo!$AB$5:$AB$1004)))</f>
        <v/>
      </c>
      <c r="D44" s="18" t="str">
        <f aca="false" t="array" ref="D44:D44">IF(B44=0,"",MAX(IF((Log_Kargo!$B$5:$B$1004=$A44)*ISNUMBER(Log_Kargo!$AB$5:$AB$1004),Log_Kargo!$AB$5:$AB$1004)))</f>
        <v/>
      </c>
      <c r="E44" s="18" t="str">
        <f aca="false" t="array" ref="E44:E44">IF(B44&lt;2,"",STDEV(IF((Log_Kargo!$B$5:$B$1004=$A44)*ISNUMBER(Log_Kargo!$AB$5:$AB$1004),Log_Kargo!$AB$5:$AB$1004)))</f>
        <v/>
      </c>
      <c r="F44" s="18" t="str">
        <f aca="false" t="array" ref="F44:F44">IF(B44=0,"",PERCENTILE(IF((Log_Kargo!$B$5:$B$1004=$A44)*ISNUMBER(Log_Kargo!$AB$5:$AB$1004),Log_Kargo!$AB$5:$AB$1004),0.9))</f>
        <v/>
      </c>
      <c r="G44" s="18" t="str">
        <f aca="false">IF(B44&gt;=20,"Siap",IF(B44&gt;=10,"Terbatas","Belum"))</f>
        <v>Belum</v>
      </c>
    </row>
    <row r="45" customFormat="false" ht="15" hidden="false" customHeight="false" outlineLevel="0" collapsed="false">
      <c r="A45" s="17" t="s">
        <v>415</v>
      </c>
      <c r="B45" s="15" t="n">
        <f aca="false">SUMPRODUCT((Log_Kargo!$B$5:$B$1004=$A45)*ISNUMBER(Log_Kargo!$AB$5:$AB$1004))</f>
        <v>0</v>
      </c>
      <c r="C45" s="18" t="str">
        <f aca="false" t="array" ref="C45:C45">IF(B45=0,"",AVERAGE(IF((Log_Kargo!$B$5:$B$1004=$A45)*ISNUMBER(Log_Kargo!$AB$5:$AB$1004),Log_Kargo!$AB$5:$AB$1004)))</f>
        <v/>
      </c>
      <c r="D45" s="18" t="str">
        <f aca="false" t="array" ref="D45:D45">IF(B45=0,"",MAX(IF((Log_Kargo!$B$5:$B$1004=$A45)*ISNUMBER(Log_Kargo!$AB$5:$AB$1004),Log_Kargo!$AB$5:$AB$1004)))</f>
        <v/>
      </c>
      <c r="E45" s="18" t="str">
        <f aca="false" t="array" ref="E45:E45">IF(B45&lt;2,"",STDEV(IF((Log_Kargo!$B$5:$B$1004=$A45)*ISNUMBER(Log_Kargo!$AB$5:$AB$1004),Log_Kargo!$AB$5:$AB$1004)))</f>
        <v/>
      </c>
      <c r="F45" s="18" t="str">
        <f aca="false" t="array" ref="F45:F45">IF(B45=0,"",PERCENTILE(IF((Log_Kargo!$B$5:$B$1004=$A45)*ISNUMBER(Log_Kargo!$AB$5:$AB$1004),Log_Kargo!$AB$5:$AB$1004),0.9))</f>
        <v/>
      </c>
      <c r="G45" s="18" t="str">
        <f aca="false">IF(B45&gt;=20,"Siap",IF(B45&gt;=10,"Terbatas","Belum"))</f>
        <v>Belum</v>
      </c>
    </row>
    <row r="46" customFormat="false" ht="15" hidden="false" customHeight="false" outlineLevel="0" collapsed="false">
      <c r="A46" s="17" t="s">
        <v>523</v>
      </c>
      <c r="B46" s="15" t="n">
        <f aca="false">SUMPRODUCT((Log_Kargo!$B$5:$B$1004=$A46)*ISNUMBER(Log_Kargo!$AB$5:$AB$1004))</f>
        <v>0</v>
      </c>
      <c r="C46" s="18" t="str">
        <f aca="false" t="array" ref="C46:C46">IF(B46=0,"",AVERAGE(IF((Log_Kargo!$B$5:$B$1004=$A46)*ISNUMBER(Log_Kargo!$AB$5:$AB$1004),Log_Kargo!$AB$5:$AB$1004)))</f>
        <v/>
      </c>
      <c r="D46" s="18" t="str">
        <f aca="false" t="array" ref="D46:D46">IF(B46=0,"",MAX(IF((Log_Kargo!$B$5:$B$1004=$A46)*ISNUMBER(Log_Kargo!$AB$5:$AB$1004),Log_Kargo!$AB$5:$AB$1004)))</f>
        <v/>
      </c>
      <c r="E46" s="18" t="str">
        <f aca="false" t="array" ref="E46:E46">IF(B46&lt;2,"",STDEV(IF((Log_Kargo!$B$5:$B$1004=$A46)*ISNUMBER(Log_Kargo!$AB$5:$AB$1004),Log_Kargo!$AB$5:$AB$1004)))</f>
        <v/>
      </c>
      <c r="F46" s="18" t="str">
        <f aca="false" t="array" ref="F46:F46">IF(B46=0,"",PERCENTILE(IF((Log_Kargo!$B$5:$B$1004=$A46)*ISNUMBER(Log_Kargo!$AB$5:$AB$1004),Log_Kargo!$AB$5:$AB$1004),0.9))</f>
        <v/>
      </c>
      <c r="G46" s="18" t="str">
        <f aca="false">IF(B46&gt;=20,"Siap",IF(B46&gt;=10,"Terbatas","Belum"))</f>
        <v>Belum</v>
      </c>
    </row>
    <row r="47" customFormat="false" ht="15" hidden="false" customHeight="false" outlineLevel="0" collapsed="false">
      <c r="A47" s="17" t="s">
        <v>692</v>
      </c>
      <c r="B47" s="15" t="n">
        <f aca="false">SUMPRODUCT((Log_Kargo!$B$5:$B$1004=$A47)*ISNUMBER(Log_Kargo!$AB$5:$AB$1004))</f>
        <v>0</v>
      </c>
      <c r="C47" s="18" t="str">
        <f aca="false" t="array" ref="C47:C47">IF(B47=0,"",AVERAGE(IF((Log_Kargo!$B$5:$B$1004=$A47)*ISNUMBER(Log_Kargo!$AB$5:$AB$1004),Log_Kargo!$AB$5:$AB$1004)))</f>
        <v/>
      </c>
      <c r="D47" s="18" t="str">
        <f aca="false" t="array" ref="D47:D47">IF(B47=0,"",MAX(IF((Log_Kargo!$B$5:$B$1004=$A47)*ISNUMBER(Log_Kargo!$AB$5:$AB$1004),Log_Kargo!$AB$5:$AB$1004)))</f>
        <v/>
      </c>
      <c r="E47" s="18" t="str">
        <f aca="false" t="array" ref="E47:E47">IF(B47&lt;2,"",STDEV(IF((Log_Kargo!$B$5:$B$1004=$A47)*ISNUMBER(Log_Kargo!$AB$5:$AB$1004),Log_Kargo!$AB$5:$AB$1004)))</f>
        <v/>
      </c>
      <c r="F47" s="18" t="str">
        <f aca="false" t="array" ref="F47:F47">IF(B47=0,"",PERCENTILE(IF((Log_Kargo!$B$5:$B$1004=$A47)*ISNUMBER(Log_Kargo!$AB$5:$AB$1004),Log_Kargo!$AB$5:$AB$1004),0.9))</f>
        <v/>
      </c>
      <c r="G47" s="18" t="str">
        <f aca="false">IF(B47&gt;=20,"Siap",IF(B47&gt;=10,"Terbatas","Belum"))</f>
        <v>Belum</v>
      </c>
    </row>
    <row r="48" customFormat="false" ht="15" hidden="false" customHeight="false" outlineLevel="0" collapsed="false">
      <c r="A48" s="17" t="s">
        <v>599</v>
      </c>
      <c r="B48" s="15" t="n">
        <f aca="false">SUMPRODUCT((Log_Kargo!$B$5:$B$1004=$A48)*ISNUMBER(Log_Kargo!$AB$5:$AB$1004))</f>
        <v>0</v>
      </c>
      <c r="C48" s="18" t="str">
        <f aca="false" t="array" ref="C48:C48">IF(B48=0,"",AVERAGE(IF((Log_Kargo!$B$5:$B$1004=$A48)*ISNUMBER(Log_Kargo!$AB$5:$AB$1004),Log_Kargo!$AB$5:$AB$1004)))</f>
        <v/>
      </c>
      <c r="D48" s="18" t="str">
        <f aca="false" t="array" ref="D48:D48">IF(B48=0,"",MAX(IF((Log_Kargo!$B$5:$B$1004=$A48)*ISNUMBER(Log_Kargo!$AB$5:$AB$1004),Log_Kargo!$AB$5:$AB$1004)))</f>
        <v/>
      </c>
      <c r="E48" s="18" t="str">
        <f aca="false" t="array" ref="E48:E48">IF(B48&lt;2,"",STDEV(IF((Log_Kargo!$B$5:$B$1004=$A48)*ISNUMBER(Log_Kargo!$AB$5:$AB$1004),Log_Kargo!$AB$5:$AB$1004)))</f>
        <v/>
      </c>
      <c r="F48" s="18" t="str">
        <f aca="false" t="array" ref="F48:F48">IF(B48=0,"",PERCENTILE(IF((Log_Kargo!$B$5:$B$1004=$A48)*ISNUMBER(Log_Kargo!$AB$5:$AB$1004),Log_Kargo!$AB$5:$AB$1004),0.9))</f>
        <v/>
      </c>
      <c r="G48" s="18" t="str">
        <f aca="false">IF(B48&gt;=20,"Siap",IF(B48&gt;=10,"Terbatas","Belum"))</f>
        <v>Belum</v>
      </c>
    </row>
    <row r="49" customFormat="false" ht="15" hidden="false" customHeight="false" outlineLevel="0" collapsed="false">
      <c r="A49" s="17" t="s">
        <v>693</v>
      </c>
      <c r="B49" s="15" t="n">
        <f aca="false">SUMPRODUCT((Log_Kargo!$B$5:$B$1004=$A49)*ISNUMBER(Log_Kargo!$AB$5:$AB$1004))</f>
        <v>0</v>
      </c>
      <c r="C49" s="18" t="str">
        <f aca="false" t="array" ref="C49:C49">IF(B49=0,"",AVERAGE(IF((Log_Kargo!$B$5:$B$1004=$A49)*ISNUMBER(Log_Kargo!$AB$5:$AB$1004),Log_Kargo!$AB$5:$AB$1004)))</f>
        <v/>
      </c>
      <c r="D49" s="18" t="str">
        <f aca="false" t="array" ref="D49:D49">IF(B49=0,"",MAX(IF((Log_Kargo!$B$5:$B$1004=$A49)*ISNUMBER(Log_Kargo!$AB$5:$AB$1004),Log_Kargo!$AB$5:$AB$1004)))</f>
        <v/>
      </c>
      <c r="E49" s="18" t="str">
        <f aca="false" t="array" ref="E49:E49">IF(B49&lt;2,"",STDEV(IF((Log_Kargo!$B$5:$B$1004=$A49)*ISNUMBER(Log_Kargo!$AB$5:$AB$1004),Log_Kargo!$AB$5:$AB$1004)))</f>
        <v/>
      </c>
      <c r="F49" s="18" t="str">
        <f aca="false" t="array" ref="F49:F49">IF(B49=0,"",PERCENTILE(IF((Log_Kargo!$B$5:$B$1004=$A49)*ISNUMBER(Log_Kargo!$AB$5:$AB$1004),Log_Kargo!$AB$5:$AB$1004),0.9))</f>
        <v/>
      </c>
      <c r="G49" s="18" t="str">
        <f aca="false">IF(B49&gt;=20,"Siap",IF(B49&gt;=10,"Terbatas","Belum"))</f>
        <v>Belum</v>
      </c>
    </row>
    <row r="50" customFormat="false" ht="15" hidden="false" customHeight="false" outlineLevel="0" collapsed="false">
      <c r="A50" s="17" t="s">
        <v>665</v>
      </c>
      <c r="B50" s="15" t="n">
        <f aca="false">SUMPRODUCT((Log_Kargo!$B$5:$B$1004=$A50)*ISNUMBER(Log_Kargo!$AB$5:$AB$1004))</f>
        <v>0</v>
      </c>
      <c r="C50" s="18" t="str">
        <f aca="false" t="array" ref="C50:C50">IF(B50=0,"",AVERAGE(IF((Log_Kargo!$B$5:$B$1004=$A50)*ISNUMBER(Log_Kargo!$AB$5:$AB$1004),Log_Kargo!$AB$5:$AB$1004)))</f>
        <v/>
      </c>
      <c r="D50" s="18" t="str">
        <f aca="false" t="array" ref="D50:D50">IF(B50=0,"",MAX(IF((Log_Kargo!$B$5:$B$1004=$A50)*ISNUMBER(Log_Kargo!$AB$5:$AB$1004),Log_Kargo!$AB$5:$AB$1004)))</f>
        <v/>
      </c>
      <c r="E50" s="18" t="str">
        <f aca="false" t="array" ref="E50:E50">IF(B50&lt;2,"",STDEV(IF((Log_Kargo!$B$5:$B$1004=$A50)*ISNUMBER(Log_Kargo!$AB$5:$AB$1004),Log_Kargo!$AB$5:$AB$1004)))</f>
        <v/>
      </c>
      <c r="F50" s="18" t="str">
        <f aca="false" t="array" ref="F50:F50">IF(B50=0,"",PERCENTILE(IF((Log_Kargo!$B$5:$B$1004=$A50)*ISNUMBER(Log_Kargo!$AB$5:$AB$1004),Log_Kargo!$AB$5:$AB$1004),0.9))</f>
        <v/>
      </c>
      <c r="G50" s="18" t="str">
        <f aca="false">IF(B50&gt;=20,"Siap",IF(B50&gt;=10,"Terbatas","Belum"))</f>
        <v>Belum</v>
      </c>
    </row>
    <row r="52" customFormat="false" ht="15" hidden="false" customHeight="false" outlineLevel="0" collapsed="false">
      <c r="A52" s="3" t="s">
        <v>65</v>
      </c>
    </row>
    <row r="53" customFormat="false" ht="28.35" hidden="false" customHeight="false" outlineLevel="0" collapsed="false">
      <c r="A53" s="10" t="s">
        <v>37</v>
      </c>
      <c r="B53" s="10" t="s">
        <v>686</v>
      </c>
      <c r="C53" s="10" t="s">
        <v>687</v>
      </c>
      <c r="D53" s="10" t="s">
        <v>688</v>
      </c>
      <c r="E53" s="10" t="s">
        <v>689</v>
      </c>
      <c r="F53" s="10" t="s">
        <v>690</v>
      </c>
      <c r="G53" s="10" t="s">
        <v>691</v>
      </c>
    </row>
    <row r="54" customFormat="false" ht="15" hidden="false" customHeight="false" outlineLevel="0" collapsed="false">
      <c r="A54" s="17" t="s">
        <v>250</v>
      </c>
      <c r="B54" s="15" t="n">
        <f aca="false">SUMPRODUCT((Log_Kargo!$B$5:$B$1004=$A54)*ISNUMBER(Log_Kargo!$AD$5:$AD$1004))</f>
        <v>0</v>
      </c>
      <c r="C54" s="18" t="str">
        <f aca="false" t="array" ref="C54:C54">IF(B54=0,"",AVERAGE(IF((Log_Kargo!$B$5:$B$1004=$A54)*ISNUMBER(Log_Kargo!$AD$5:$AD$1004),Log_Kargo!$AD$5:$AD$1004)))</f>
        <v/>
      </c>
      <c r="D54" s="18" t="str">
        <f aca="false" t="array" ref="D54:D54">IF(B54=0,"",MAX(IF((Log_Kargo!$B$5:$B$1004=$A54)*ISNUMBER(Log_Kargo!$AD$5:$AD$1004),Log_Kargo!$AD$5:$AD$1004)))</f>
        <v/>
      </c>
      <c r="E54" s="18" t="str">
        <f aca="false" t="array" ref="E54:E54">IF(B54&lt;2,"",STDEV(IF((Log_Kargo!$B$5:$B$1004=$A54)*ISNUMBER(Log_Kargo!$AD$5:$AD$1004),Log_Kargo!$AD$5:$AD$1004)))</f>
        <v/>
      </c>
      <c r="F54" s="18" t="str">
        <f aca="false" t="array" ref="F54:F54">IF(B54=0,"",PERCENTILE(IF((Log_Kargo!$B$5:$B$1004=$A54)*ISNUMBER(Log_Kargo!$AD$5:$AD$1004),Log_Kargo!$AD$5:$AD$1004),0.9))</f>
        <v/>
      </c>
      <c r="G54" s="18" t="str">
        <f aca="false">IF(B54&gt;=20,"Siap",IF(B54&gt;=10,"Terbatas","Belum"))</f>
        <v>Belum</v>
      </c>
    </row>
    <row r="55" customFormat="false" ht="15" hidden="false" customHeight="false" outlineLevel="0" collapsed="false">
      <c r="A55" s="17" t="s">
        <v>73</v>
      </c>
      <c r="B55" s="15" t="n">
        <f aca="false">SUMPRODUCT((Log_Kargo!$B$5:$B$1004=$A55)*ISNUMBER(Log_Kargo!$AD$5:$AD$1004))</f>
        <v>0</v>
      </c>
      <c r="C55" s="18" t="str">
        <f aca="false" t="array" ref="C55:C55">IF(B55=0,"",AVERAGE(IF((Log_Kargo!$B$5:$B$1004=$A55)*ISNUMBER(Log_Kargo!$AD$5:$AD$1004),Log_Kargo!$AD$5:$AD$1004)))</f>
        <v/>
      </c>
      <c r="D55" s="18" t="str">
        <f aca="false" t="array" ref="D55:D55">IF(B55=0,"",MAX(IF((Log_Kargo!$B$5:$B$1004=$A55)*ISNUMBER(Log_Kargo!$AD$5:$AD$1004),Log_Kargo!$AD$5:$AD$1004)))</f>
        <v/>
      </c>
      <c r="E55" s="18" t="str">
        <f aca="false" t="array" ref="E55:E55">IF(B55&lt;2,"",STDEV(IF((Log_Kargo!$B$5:$B$1004=$A55)*ISNUMBER(Log_Kargo!$AD$5:$AD$1004),Log_Kargo!$AD$5:$AD$1004)))</f>
        <v/>
      </c>
      <c r="F55" s="18" t="str">
        <f aca="false" t="array" ref="F55:F55">IF(B55=0,"",PERCENTILE(IF((Log_Kargo!$B$5:$B$1004=$A55)*ISNUMBER(Log_Kargo!$AD$5:$AD$1004),Log_Kargo!$AD$5:$AD$1004),0.9))</f>
        <v/>
      </c>
      <c r="G55" s="18" t="str">
        <f aca="false">IF(B55&gt;=20,"Siap",IF(B55&gt;=10,"Terbatas","Belum"))</f>
        <v>Belum</v>
      </c>
    </row>
    <row r="56" customFormat="false" ht="15" hidden="false" customHeight="false" outlineLevel="0" collapsed="false">
      <c r="A56" s="17" t="s">
        <v>306</v>
      </c>
      <c r="B56" s="15" t="n">
        <f aca="false">SUMPRODUCT((Log_Kargo!$B$5:$B$1004=$A56)*ISNUMBER(Log_Kargo!$AD$5:$AD$1004))</f>
        <v>0</v>
      </c>
      <c r="C56" s="18" t="str">
        <f aca="false" t="array" ref="C56:C56">IF(B56=0,"",AVERAGE(IF((Log_Kargo!$B$5:$B$1004=$A56)*ISNUMBER(Log_Kargo!$AD$5:$AD$1004),Log_Kargo!$AD$5:$AD$1004)))</f>
        <v/>
      </c>
      <c r="D56" s="18" t="str">
        <f aca="false" t="array" ref="D56:D56">IF(B56=0,"",MAX(IF((Log_Kargo!$B$5:$B$1004=$A56)*ISNUMBER(Log_Kargo!$AD$5:$AD$1004),Log_Kargo!$AD$5:$AD$1004)))</f>
        <v/>
      </c>
      <c r="E56" s="18" t="str">
        <f aca="false" t="array" ref="E56:E56">IF(B56&lt;2,"",STDEV(IF((Log_Kargo!$B$5:$B$1004=$A56)*ISNUMBER(Log_Kargo!$AD$5:$AD$1004),Log_Kargo!$AD$5:$AD$1004)))</f>
        <v/>
      </c>
      <c r="F56" s="18" t="str">
        <f aca="false" t="array" ref="F56:F56">IF(B56=0,"",PERCENTILE(IF((Log_Kargo!$B$5:$B$1004=$A56)*ISNUMBER(Log_Kargo!$AD$5:$AD$1004),Log_Kargo!$AD$5:$AD$1004),0.9))</f>
        <v/>
      </c>
      <c r="G56" s="18" t="str">
        <f aca="false">IF(B56&gt;=20,"Siap",IF(B56&gt;=10,"Terbatas","Belum"))</f>
        <v>Belum</v>
      </c>
    </row>
    <row r="57" customFormat="false" ht="15" hidden="false" customHeight="false" outlineLevel="0" collapsed="false">
      <c r="A57" s="17" t="s">
        <v>415</v>
      </c>
      <c r="B57" s="15" t="n">
        <f aca="false">SUMPRODUCT((Log_Kargo!$B$5:$B$1004=$A57)*ISNUMBER(Log_Kargo!$AD$5:$AD$1004))</f>
        <v>0</v>
      </c>
      <c r="C57" s="18" t="str">
        <f aca="false" t="array" ref="C57:C57">IF(B57=0,"",AVERAGE(IF((Log_Kargo!$B$5:$B$1004=$A57)*ISNUMBER(Log_Kargo!$AD$5:$AD$1004),Log_Kargo!$AD$5:$AD$1004)))</f>
        <v/>
      </c>
      <c r="D57" s="18" t="str">
        <f aca="false" t="array" ref="D57:D57">IF(B57=0,"",MAX(IF((Log_Kargo!$B$5:$B$1004=$A57)*ISNUMBER(Log_Kargo!$AD$5:$AD$1004),Log_Kargo!$AD$5:$AD$1004)))</f>
        <v/>
      </c>
      <c r="E57" s="18" t="str">
        <f aca="false" t="array" ref="E57:E57">IF(B57&lt;2,"",STDEV(IF((Log_Kargo!$B$5:$B$1004=$A57)*ISNUMBER(Log_Kargo!$AD$5:$AD$1004),Log_Kargo!$AD$5:$AD$1004)))</f>
        <v/>
      </c>
      <c r="F57" s="18" t="str">
        <f aca="false" t="array" ref="F57:F57">IF(B57=0,"",PERCENTILE(IF((Log_Kargo!$B$5:$B$1004=$A57)*ISNUMBER(Log_Kargo!$AD$5:$AD$1004),Log_Kargo!$AD$5:$AD$1004),0.9))</f>
        <v/>
      </c>
      <c r="G57" s="18" t="str">
        <f aca="false">IF(B57&gt;=20,"Siap",IF(B57&gt;=10,"Terbatas","Belum"))</f>
        <v>Belum</v>
      </c>
    </row>
    <row r="58" customFormat="false" ht="15" hidden="false" customHeight="false" outlineLevel="0" collapsed="false">
      <c r="A58" s="17" t="s">
        <v>523</v>
      </c>
      <c r="B58" s="15" t="n">
        <f aca="false">SUMPRODUCT((Log_Kargo!$B$5:$B$1004=$A58)*ISNUMBER(Log_Kargo!$AD$5:$AD$1004))</f>
        <v>0</v>
      </c>
      <c r="C58" s="18" t="str">
        <f aca="false" t="array" ref="C58:C58">IF(B58=0,"",AVERAGE(IF((Log_Kargo!$B$5:$B$1004=$A58)*ISNUMBER(Log_Kargo!$AD$5:$AD$1004),Log_Kargo!$AD$5:$AD$1004)))</f>
        <v/>
      </c>
      <c r="D58" s="18" t="str">
        <f aca="false" t="array" ref="D58:D58">IF(B58=0,"",MAX(IF((Log_Kargo!$B$5:$B$1004=$A58)*ISNUMBER(Log_Kargo!$AD$5:$AD$1004),Log_Kargo!$AD$5:$AD$1004)))</f>
        <v/>
      </c>
      <c r="E58" s="18" t="str">
        <f aca="false" t="array" ref="E58:E58">IF(B58&lt;2,"",STDEV(IF((Log_Kargo!$B$5:$B$1004=$A58)*ISNUMBER(Log_Kargo!$AD$5:$AD$1004),Log_Kargo!$AD$5:$AD$1004)))</f>
        <v/>
      </c>
      <c r="F58" s="18" t="str">
        <f aca="false" t="array" ref="F58:F58">IF(B58=0,"",PERCENTILE(IF((Log_Kargo!$B$5:$B$1004=$A58)*ISNUMBER(Log_Kargo!$AD$5:$AD$1004),Log_Kargo!$AD$5:$AD$1004),0.9))</f>
        <v/>
      </c>
      <c r="G58" s="18" t="str">
        <f aca="false">IF(B58&gt;=20,"Siap",IF(B58&gt;=10,"Terbatas","Belum"))</f>
        <v>Belum</v>
      </c>
    </row>
    <row r="59" customFormat="false" ht="15" hidden="false" customHeight="false" outlineLevel="0" collapsed="false">
      <c r="A59" s="17" t="s">
        <v>692</v>
      </c>
      <c r="B59" s="15" t="n">
        <f aca="false">SUMPRODUCT((Log_Kargo!$B$5:$B$1004=$A59)*ISNUMBER(Log_Kargo!$AD$5:$AD$1004))</f>
        <v>0</v>
      </c>
      <c r="C59" s="18" t="str">
        <f aca="false" t="array" ref="C59:C59">IF(B59=0,"",AVERAGE(IF((Log_Kargo!$B$5:$B$1004=$A59)*ISNUMBER(Log_Kargo!$AD$5:$AD$1004),Log_Kargo!$AD$5:$AD$1004)))</f>
        <v/>
      </c>
      <c r="D59" s="18" t="str">
        <f aca="false" t="array" ref="D59:D59">IF(B59=0,"",MAX(IF((Log_Kargo!$B$5:$B$1004=$A59)*ISNUMBER(Log_Kargo!$AD$5:$AD$1004),Log_Kargo!$AD$5:$AD$1004)))</f>
        <v/>
      </c>
      <c r="E59" s="18" t="str">
        <f aca="false" t="array" ref="E59:E59">IF(B59&lt;2,"",STDEV(IF((Log_Kargo!$B$5:$B$1004=$A59)*ISNUMBER(Log_Kargo!$AD$5:$AD$1004),Log_Kargo!$AD$5:$AD$1004)))</f>
        <v/>
      </c>
      <c r="F59" s="18" t="str">
        <f aca="false" t="array" ref="F59:F59">IF(B59=0,"",PERCENTILE(IF((Log_Kargo!$B$5:$B$1004=$A59)*ISNUMBER(Log_Kargo!$AD$5:$AD$1004),Log_Kargo!$AD$5:$AD$1004),0.9))</f>
        <v/>
      </c>
      <c r="G59" s="18" t="str">
        <f aca="false">IF(B59&gt;=20,"Siap",IF(B59&gt;=10,"Terbatas","Belum"))</f>
        <v>Belum</v>
      </c>
    </row>
    <row r="60" customFormat="false" ht="15" hidden="false" customHeight="false" outlineLevel="0" collapsed="false">
      <c r="A60" s="17" t="s">
        <v>599</v>
      </c>
      <c r="B60" s="15" t="n">
        <f aca="false">SUMPRODUCT((Log_Kargo!$B$5:$B$1004=$A60)*ISNUMBER(Log_Kargo!$AD$5:$AD$1004))</f>
        <v>0</v>
      </c>
      <c r="C60" s="18" t="str">
        <f aca="false" t="array" ref="C60:C60">IF(B60=0,"",AVERAGE(IF((Log_Kargo!$B$5:$B$1004=$A60)*ISNUMBER(Log_Kargo!$AD$5:$AD$1004),Log_Kargo!$AD$5:$AD$1004)))</f>
        <v/>
      </c>
      <c r="D60" s="18" t="str">
        <f aca="false" t="array" ref="D60:D60">IF(B60=0,"",MAX(IF((Log_Kargo!$B$5:$B$1004=$A60)*ISNUMBER(Log_Kargo!$AD$5:$AD$1004),Log_Kargo!$AD$5:$AD$1004)))</f>
        <v/>
      </c>
      <c r="E60" s="18" t="str">
        <f aca="false" t="array" ref="E60:E60">IF(B60&lt;2,"",STDEV(IF((Log_Kargo!$B$5:$B$1004=$A60)*ISNUMBER(Log_Kargo!$AD$5:$AD$1004),Log_Kargo!$AD$5:$AD$1004)))</f>
        <v/>
      </c>
      <c r="F60" s="18" t="str">
        <f aca="false" t="array" ref="F60:F60">IF(B60=0,"",PERCENTILE(IF((Log_Kargo!$B$5:$B$1004=$A60)*ISNUMBER(Log_Kargo!$AD$5:$AD$1004),Log_Kargo!$AD$5:$AD$1004),0.9))</f>
        <v/>
      </c>
      <c r="G60" s="18" t="str">
        <f aca="false">IF(B60&gt;=20,"Siap",IF(B60&gt;=10,"Terbatas","Belum"))</f>
        <v>Belum</v>
      </c>
    </row>
    <row r="61" customFormat="false" ht="15" hidden="false" customHeight="false" outlineLevel="0" collapsed="false">
      <c r="A61" s="17" t="s">
        <v>693</v>
      </c>
      <c r="B61" s="15" t="n">
        <f aca="false">SUMPRODUCT((Log_Kargo!$B$5:$B$1004=$A61)*ISNUMBER(Log_Kargo!$AD$5:$AD$1004))</f>
        <v>0</v>
      </c>
      <c r="C61" s="18" t="str">
        <f aca="false" t="array" ref="C61:C61">IF(B61=0,"",AVERAGE(IF((Log_Kargo!$B$5:$B$1004=$A61)*ISNUMBER(Log_Kargo!$AD$5:$AD$1004),Log_Kargo!$AD$5:$AD$1004)))</f>
        <v/>
      </c>
      <c r="D61" s="18" t="str">
        <f aca="false" t="array" ref="D61:D61">IF(B61=0,"",MAX(IF((Log_Kargo!$B$5:$B$1004=$A61)*ISNUMBER(Log_Kargo!$AD$5:$AD$1004),Log_Kargo!$AD$5:$AD$1004)))</f>
        <v/>
      </c>
      <c r="E61" s="18" t="str">
        <f aca="false" t="array" ref="E61:E61">IF(B61&lt;2,"",STDEV(IF((Log_Kargo!$B$5:$B$1004=$A61)*ISNUMBER(Log_Kargo!$AD$5:$AD$1004),Log_Kargo!$AD$5:$AD$1004)))</f>
        <v/>
      </c>
      <c r="F61" s="18" t="str">
        <f aca="false" t="array" ref="F61:F61">IF(B61=0,"",PERCENTILE(IF((Log_Kargo!$B$5:$B$1004=$A61)*ISNUMBER(Log_Kargo!$AD$5:$AD$1004),Log_Kargo!$AD$5:$AD$1004),0.9))</f>
        <v/>
      </c>
      <c r="G61" s="18" t="str">
        <f aca="false">IF(B61&gt;=20,"Siap",IF(B61&gt;=10,"Terbatas","Belum"))</f>
        <v>Belum</v>
      </c>
    </row>
    <row r="62" customFormat="false" ht="15" hidden="false" customHeight="false" outlineLevel="0" collapsed="false">
      <c r="A62" s="17" t="s">
        <v>665</v>
      </c>
      <c r="B62" s="15" t="n">
        <f aca="false">SUMPRODUCT((Log_Kargo!$B$5:$B$1004=$A62)*ISNUMBER(Log_Kargo!$AD$5:$AD$1004))</f>
        <v>0</v>
      </c>
      <c r="C62" s="18" t="str">
        <f aca="false" t="array" ref="C62:C62">IF(B62=0,"",AVERAGE(IF((Log_Kargo!$B$5:$B$1004=$A62)*ISNUMBER(Log_Kargo!$AD$5:$AD$1004),Log_Kargo!$AD$5:$AD$1004)))</f>
        <v/>
      </c>
      <c r="D62" s="18" t="str">
        <f aca="false" t="array" ref="D62:D62">IF(B62=0,"",MAX(IF((Log_Kargo!$B$5:$B$1004=$A62)*ISNUMBER(Log_Kargo!$AD$5:$AD$1004),Log_Kargo!$AD$5:$AD$1004)))</f>
        <v/>
      </c>
      <c r="E62" s="18" t="str">
        <f aca="false" t="array" ref="E62:E62">IF(B62&lt;2,"",STDEV(IF((Log_Kargo!$B$5:$B$1004=$A62)*ISNUMBER(Log_Kargo!$AD$5:$AD$1004),Log_Kargo!$AD$5:$AD$1004)))</f>
        <v/>
      </c>
      <c r="F62" s="18" t="str">
        <f aca="false" t="array" ref="F62:F62">IF(B62=0,"",PERCENTILE(IF((Log_Kargo!$B$5:$B$1004=$A62)*ISNUMBER(Log_Kargo!$AD$5:$AD$1004),Log_Kargo!$AD$5:$AD$1004),0.9))</f>
        <v/>
      </c>
      <c r="G62" s="18" t="str">
        <f aca="false">IF(B62&gt;=20,"Siap",IF(B62&gt;=10,"Terbatas","Belum"))</f>
        <v>Belum</v>
      </c>
    </row>
    <row r="64" customFormat="false" ht="15" hidden="false" customHeight="false" outlineLevel="0" collapsed="false">
      <c r="A64" s="3" t="s">
        <v>67</v>
      </c>
    </row>
    <row r="65" customFormat="false" ht="28.35" hidden="false" customHeight="false" outlineLevel="0" collapsed="false">
      <c r="A65" s="10" t="s">
        <v>37</v>
      </c>
      <c r="B65" s="10" t="s">
        <v>686</v>
      </c>
      <c r="C65" s="10" t="s">
        <v>687</v>
      </c>
      <c r="D65" s="10" t="s">
        <v>688</v>
      </c>
      <c r="E65" s="10" t="s">
        <v>689</v>
      </c>
      <c r="F65" s="10" t="s">
        <v>690</v>
      </c>
      <c r="G65" s="10" t="s">
        <v>691</v>
      </c>
    </row>
    <row r="66" customFormat="false" ht="15" hidden="false" customHeight="false" outlineLevel="0" collapsed="false">
      <c r="A66" s="17" t="s">
        <v>250</v>
      </c>
      <c r="B66" s="15" t="n">
        <f aca="false">SUMPRODUCT((Log_Kargo!$B$5:$B$1004=$A66)*ISNUMBER(Log_Kargo!$AF$5:$AF$1004))</f>
        <v>0</v>
      </c>
      <c r="C66" s="18" t="str">
        <f aca="false" t="array" ref="C66:C66">IF(B66=0,"",AVERAGE(IF((Log_Kargo!$B$5:$B$1004=$A66)*ISNUMBER(Log_Kargo!$AF$5:$AF$1004),Log_Kargo!$AF$5:$AF$1004)))</f>
        <v/>
      </c>
      <c r="D66" s="18" t="str">
        <f aca="false" t="array" ref="D66:D66">IF(B66=0,"",MAX(IF((Log_Kargo!$B$5:$B$1004=$A66)*ISNUMBER(Log_Kargo!$AF$5:$AF$1004),Log_Kargo!$AF$5:$AF$1004)))</f>
        <v/>
      </c>
      <c r="E66" s="18" t="str">
        <f aca="false" t="array" ref="E66:E66">IF(B66&lt;2,"",STDEV(IF((Log_Kargo!$B$5:$B$1004=$A66)*ISNUMBER(Log_Kargo!$AF$5:$AF$1004),Log_Kargo!$AF$5:$AF$1004)))</f>
        <v/>
      </c>
      <c r="F66" s="18" t="str">
        <f aca="false" t="array" ref="F66:F66">IF(B66=0,"",PERCENTILE(IF((Log_Kargo!$B$5:$B$1004=$A66)*ISNUMBER(Log_Kargo!$AF$5:$AF$1004),Log_Kargo!$AF$5:$AF$1004),0.9))</f>
        <v/>
      </c>
      <c r="G66" s="18" t="str">
        <f aca="false">IF(B66&gt;=20,"Siap",IF(B66&gt;=10,"Terbatas","Belum"))</f>
        <v>Belum</v>
      </c>
    </row>
    <row r="67" customFormat="false" ht="15" hidden="false" customHeight="false" outlineLevel="0" collapsed="false">
      <c r="A67" s="17" t="s">
        <v>73</v>
      </c>
      <c r="B67" s="15" t="n">
        <f aca="false">SUMPRODUCT((Log_Kargo!$B$5:$B$1004=$A67)*ISNUMBER(Log_Kargo!$AF$5:$AF$1004))</f>
        <v>0</v>
      </c>
      <c r="C67" s="18" t="str">
        <f aca="false" t="array" ref="C67:C67">IF(B67=0,"",AVERAGE(IF((Log_Kargo!$B$5:$B$1004=$A67)*ISNUMBER(Log_Kargo!$AF$5:$AF$1004),Log_Kargo!$AF$5:$AF$1004)))</f>
        <v/>
      </c>
      <c r="D67" s="18" t="str">
        <f aca="false" t="array" ref="D67:D67">IF(B67=0,"",MAX(IF((Log_Kargo!$B$5:$B$1004=$A67)*ISNUMBER(Log_Kargo!$AF$5:$AF$1004),Log_Kargo!$AF$5:$AF$1004)))</f>
        <v/>
      </c>
      <c r="E67" s="18" t="str">
        <f aca="false" t="array" ref="E67:E67">IF(B67&lt;2,"",STDEV(IF((Log_Kargo!$B$5:$B$1004=$A67)*ISNUMBER(Log_Kargo!$AF$5:$AF$1004),Log_Kargo!$AF$5:$AF$1004)))</f>
        <v/>
      </c>
      <c r="F67" s="18" t="str">
        <f aca="false" t="array" ref="F67:F67">IF(B67=0,"",PERCENTILE(IF((Log_Kargo!$B$5:$B$1004=$A67)*ISNUMBER(Log_Kargo!$AF$5:$AF$1004),Log_Kargo!$AF$5:$AF$1004),0.9))</f>
        <v/>
      </c>
      <c r="G67" s="18" t="str">
        <f aca="false">IF(B67&gt;=20,"Siap",IF(B67&gt;=10,"Terbatas","Belum"))</f>
        <v>Belum</v>
      </c>
    </row>
    <row r="68" customFormat="false" ht="15" hidden="false" customHeight="false" outlineLevel="0" collapsed="false">
      <c r="A68" s="17" t="s">
        <v>306</v>
      </c>
      <c r="B68" s="15" t="n">
        <f aca="false">SUMPRODUCT((Log_Kargo!$B$5:$B$1004=$A68)*ISNUMBER(Log_Kargo!$AF$5:$AF$1004))</f>
        <v>0</v>
      </c>
      <c r="C68" s="18" t="str">
        <f aca="false" t="array" ref="C68:C68">IF(B68=0,"",AVERAGE(IF((Log_Kargo!$B$5:$B$1004=$A68)*ISNUMBER(Log_Kargo!$AF$5:$AF$1004),Log_Kargo!$AF$5:$AF$1004)))</f>
        <v/>
      </c>
      <c r="D68" s="18" t="str">
        <f aca="false" t="array" ref="D68:D68">IF(B68=0,"",MAX(IF((Log_Kargo!$B$5:$B$1004=$A68)*ISNUMBER(Log_Kargo!$AF$5:$AF$1004),Log_Kargo!$AF$5:$AF$1004)))</f>
        <v/>
      </c>
      <c r="E68" s="18" t="str">
        <f aca="false" t="array" ref="E68:E68">IF(B68&lt;2,"",STDEV(IF((Log_Kargo!$B$5:$B$1004=$A68)*ISNUMBER(Log_Kargo!$AF$5:$AF$1004),Log_Kargo!$AF$5:$AF$1004)))</f>
        <v/>
      </c>
      <c r="F68" s="18" t="str">
        <f aca="false" t="array" ref="F68:F68">IF(B68=0,"",PERCENTILE(IF((Log_Kargo!$B$5:$B$1004=$A68)*ISNUMBER(Log_Kargo!$AF$5:$AF$1004),Log_Kargo!$AF$5:$AF$1004),0.9))</f>
        <v/>
      </c>
      <c r="G68" s="18" t="str">
        <f aca="false">IF(B68&gt;=20,"Siap",IF(B68&gt;=10,"Terbatas","Belum"))</f>
        <v>Belum</v>
      </c>
    </row>
    <row r="69" customFormat="false" ht="15" hidden="false" customHeight="false" outlineLevel="0" collapsed="false">
      <c r="A69" s="17" t="s">
        <v>415</v>
      </c>
      <c r="B69" s="15" t="n">
        <f aca="false">SUMPRODUCT((Log_Kargo!$B$5:$B$1004=$A69)*ISNUMBER(Log_Kargo!$AF$5:$AF$1004))</f>
        <v>0</v>
      </c>
      <c r="C69" s="18" t="str">
        <f aca="false" t="array" ref="C69:C69">IF(B69=0,"",AVERAGE(IF((Log_Kargo!$B$5:$B$1004=$A69)*ISNUMBER(Log_Kargo!$AF$5:$AF$1004),Log_Kargo!$AF$5:$AF$1004)))</f>
        <v/>
      </c>
      <c r="D69" s="18" t="str">
        <f aca="false" t="array" ref="D69:D69">IF(B69=0,"",MAX(IF((Log_Kargo!$B$5:$B$1004=$A69)*ISNUMBER(Log_Kargo!$AF$5:$AF$1004),Log_Kargo!$AF$5:$AF$1004)))</f>
        <v/>
      </c>
      <c r="E69" s="18" t="str">
        <f aca="false" t="array" ref="E69:E69">IF(B69&lt;2,"",STDEV(IF((Log_Kargo!$B$5:$B$1004=$A69)*ISNUMBER(Log_Kargo!$AF$5:$AF$1004),Log_Kargo!$AF$5:$AF$1004)))</f>
        <v/>
      </c>
      <c r="F69" s="18" t="str">
        <f aca="false" t="array" ref="F69:F69">IF(B69=0,"",PERCENTILE(IF((Log_Kargo!$B$5:$B$1004=$A69)*ISNUMBER(Log_Kargo!$AF$5:$AF$1004),Log_Kargo!$AF$5:$AF$1004),0.9))</f>
        <v/>
      </c>
      <c r="G69" s="18" t="str">
        <f aca="false">IF(B69&gt;=20,"Siap",IF(B69&gt;=10,"Terbatas","Belum"))</f>
        <v>Belum</v>
      </c>
    </row>
    <row r="70" customFormat="false" ht="15" hidden="false" customHeight="false" outlineLevel="0" collapsed="false">
      <c r="A70" s="17" t="s">
        <v>523</v>
      </c>
      <c r="B70" s="15" t="n">
        <f aca="false">SUMPRODUCT((Log_Kargo!$B$5:$B$1004=$A70)*ISNUMBER(Log_Kargo!$AF$5:$AF$1004))</f>
        <v>0</v>
      </c>
      <c r="C70" s="18" t="str">
        <f aca="false" t="array" ref="C70:C70">IF(B70=0,"",AVERAGE(IF((Log_Kargo!$B$5:$B$1004=$A70)*ISNUMBER(Log_Kargo!$AF$5:$AF$1004),Log_Kargo!$AF$5:$AF$1004)))</f>
        <v/>
      </c>
      <c r="D70" s="18" t="str">
        <f aca="false" t="array" ref="D70:D70">IF(B70=0,"",MAX(IF((Log_Kargo!$B$5:$B$1004=$A70)*ISNUMBER(Log_Kargo!$AF$5:$AF$1004),Log_Kargo!$AF$5:$AF$1004)))</f>
        <v/>
      </c>
      <c r="E70" s="18" t="str">
        <f aca="false" t="array" ref="E70:E70">IF(B70&lt;2,"",STDEV(IF((Log_Kargo!$B$5:$B$1004=$A70)*ISNUMBER(Log_Kargo!$AF$5:$AF$1004),Log_Kargo!$AF$5:$AF$1004)))</f>
        <v/>
      </c>
      <c r="F70" s="18" t="str">
        <f aca="false" t="array" ref="F70:F70">IF(B70=0,"",PERCENTILE(IF((Log_Kargo!$B$5:$B$1004=$A70)*ISNUMBER(Log_Kargo!$AF$5:$AF$1004),Log_Kargo!$AF$5:$AF$1004),0.9))</f>
        <v/>
      </c>
      <c r="G70" s="18" t="str">
        <f aca="false">IF(B70&gt;=20,"Siap",IF(B70&gt;=10,"Terbatas","Belum"))</f>
        <v>Belum</v>
      </c>
    </row>
    <row r="71" customFormat="false" ht="15" hidden="false" customHeight="false" outlineLevel="0" collapsed="false">
      <c r="A71" s="17" t="s">
        <v>692</v>
      </c>
      <c r="B71" s="15" t="n">
        <f aca="false">SUMPRODUCT((Log_Kargo!$B$5:$B$1004=$A71)*ISNUMBER(Log_Kargo!$AF$5:$AF$1004))</f>
        <v>0</v>
      </c>
      <c r="C71" s="18" t="str">
        <f aca="false" t="array" ref="C71:C71">IF(B71=0,"",AVERAGE(IF((Log_Kargo!$B$5:$B$1004=$A71)*ISNUMBER(Log_Kargo!$AF$5:$AF$1004),Log_Kargo!$AF$5:$AF$1004)))</f>
        <v/>
      </c>
      <c r="D71" s="18" t="str">
        <f aca="false" t="array" ref="D71:D71">IF(B71=0,"",MAX(IF((Log_Kargo!$B$5:$B$1004=$A71)*ISNUMBER(Log_Kargo!$AF$5:$AF$1004),Log_Kargo!$AF$5:$AF$1004)))</f>
        <v/>
      </c>
      <c r="E71" s="18" t="str">
        <f aca="false" t="array" ref="E71:E71">IF(B71&lt;2,"",STDEV(IF((Log_Kargo!$B$5:$B$1004=$A71)*ISNUMBER(Log_Kargo!$AF$5:$AF$1004),Log_Kargo!$AF$5:$AF$1004)))</f>
        <v/>
      </c>
      <c r="F71" s="18" t="str">
        <f aca="false" t="array" ref="F71:F71">IF(B71=0,"",PERCENTILE(IF((Log_Kargo!$B$5:$B$1004=$A71)*ISNUMBER(Log_Kargo!$AF$5:$AF$1004),Log_Kargo!$AF$5:$AF$1004),0.9))</f>
        <v/>
      </c>
      <c r="G71" s="18" t="str">
        <f aca="false">IF(B71&gt;=20,"Siap",IF(B71&gt;=10,"Terbatas","Belum"))</f>
        <v>Belum</v>
      </c>
    </row>
    <row r="72" customFormat="false" ht="15" hidden="false" customHeight="false" outlineLevel="0" collapsed="false">
      <c r="A72" s="17" t="s">
        <v>599</v>
      </c>
      <c r="B72" s="15" t="n">
        <f aca="false">SUMPRODUCT((Log_Kargo!$B$5:$B$1004=$A72)*ISNUMBER(Log_Kargo!$AF$5:$AF$1004))</f>
        <v>0</v>
      </c>
      <c r="C72" s="18" t="str">
        <f aca="false" t="array" ref="C72:C72">IF(B72=0,"",AVERAGE(IF((Log_Kargo!$B$5:$B$1004=$A72)*ISNUMBER(Log_Kargo!$AF$5:$AF$1004),Log_Kargo!$AF$5:$AF$1004)))</f>
        <v/>
      </c>
      <c r="D72" s="18" t="str">
        <f aca="false" t="array" ref="D72:D72">IF(B72=0,"",MAX(IF((Log_Kargo!$B$5:$B$1004=$A72)*ISNUMBER(Log_Kargo!$AF$5:$AF$1004),Log_Kargo!$AF$5:$AF$1004)))</f>
        <v/>
      </c>
      <c r="E72" s="18" t="str">
        <f aca="false" t="array" ref="E72:E72">IF(B72&lt;2,"",STDEV(IF((Log_Kargo!$B$5:$B$1004=$A72)*ISNUMBER(Log_Kargo!$AF$5:$AF$1004),Log_Kargo!$AF$5:$AF$1004)))</f>
        <v/>
      </c>
      <c r="F72" s="18" t="str">
        <f aca="false" t="array" ref="F72:F72">IF(B72=0,"",PERCENTILE(IF((Log_Kargo!$B$5:$B$1004=$A72)*ISNUMBER(Log_Kargo!$AF$5:$AF$1004),Log_Kargo!$AF$5:$AF$1004),0.9))</f>
        <v/>
      </c>
      <c r="G72" s="18" t="str">
        <f aca="false">IF(B72&gt;=20,"Siap",IF(B72&gt;=10,"Terbatas","Belum"))</f>
        <v>Belum</v>
      </c>
    </row>
    <row r="73" customFormat="false" ht="15" hidden="false" customHeight="false" outlineLevel="0" collapsed="false">
      <c r="A73" s="17" t="s">
        <v>693</v>
      </c>
      <c r="B73" s="15" t="n">
        <f aca="false">SUMPRODUCT((Log_Kargo!$B$5:$B$1004=$A73)*ISNUMBER(Log_Kargo!$AF$5:$AF$1004))</f>
        <v>0</v>
      </c>
      <c r="C73" s="18" t="str">
        <f aca="false" t="array" ref="C73:C73">IF(B73=0,"",AVERAGE(IF((Log_Kargo!$B$5:$B$1004=$A73)*ISNUMBER(Log_Kargo!$AF$5:$AF$1004),Log_Kargo!$AF$5:$AF$1004)))</f>
        <v/>
      </c>
      <c r="D73" s="18" t="str">
        <f aca="false" t="array" ref="D73:D73">IF(B73=0,"",MAX(IF((Log_Kargo!$B$5:$B$1004=$A73)*ISNUMBER(Log_Kargo!$AF$5:$AF$1004),Log_Kargo!$AF$5:$AF$1004)))</f>
        <v/>
      </c>
      <c r="E73" s="18" t="str">
        <f aca="false" t="array" ref="E73:E73">IF(B73&lt;2,"",STDEV(IF((Log_Kargo!$B$5:$B$1004=$A73)*ISNUMBER(Log_Kargo!$AF$5:$AF$1004),Log_Kargo!$AF$5:$AF$1004)))</f>
        <v/>
      </c>
      <c r="F73" s="18" t="str">
        <f aca="false" t="array" ref="F73:F73">IF(B73=0,"",PERCENTILE(IF((Log_Kargo!$B$5:$B$1004=$A73)*ISNUMBER(Log_Kargo!$AF$5:$AF$1004),Log_Kargo!$AF$5:$AF$1004),0.9))</f>
        <v/>
      </c>
      <c r="G73" s="18" t="str">
        <f aca="false">IF(B73&gt;=20,"Siap",IF(B73&gt;=10,"Terbatas","Belum"))</f>
        <v>Belum</v>
      </c>
    </row>
    <row r="74" customFormat="false" ht="15" hidden="false" customHeight="false" outlineLevel="0" collapsed="false">
      <c r="A74" s="17" t="s">
        <v>665</v>
      </c>
      <c r="B74" s="15" t="n">
        <f aca="false">SUMPRODUCT((Log_Kargo!$B$5:$B$1004=$A74)*ISNUMBER(Log_Kargo!$AF$5:$AF$1004))</f>
        <v>0</v>
      </c>
      <c r="C74" s="18" t="str">
        <f aca="false" t="array" ref="C74:C74">IF(B74=0,"",AVERAGE(IF((Log_Kargo!$B$5:$B$1004=$A74)*ISNUMBER(Log_Kargo!$AF$5:$AF$1004),Log_Kargo!$AF$5:$AF$1004)))</f>
        <v/>
      </c>
      <c r="D74" s="18" t="str">
        <f aca="false" t="array" ref="D74:D74">IF(B74=0,"",MAX(IF((Log_Kargo!$B$5:$B$1004=$A74)*ISNUMBER(Log_Kargo!$AF$5:$AF$1004),Log_Kargo!$AF$5:$AF$1004)))</f>
        <v/>
      </c>
      <c r="E74" s="18" t="str">
        <f aca="false" t="array" ref="E74:E74">IF(B74&lt;2,"",STDEV(IF((Log_Kargo!$B$5:$B$1004=$A74)*ISNUMBER(Log_Kargo!$AF$5:$AF$1004),Log_Kargo!$AF$5:$AF$1004)))</f>
        <v/>
      </c>
      <c r="F74" s="18" t="str">
        <f aca="false" t="array" ref="F74:F74">IF(B74=0,"",PERCENTILE(IF((Log_Kargo!$B$5:$B$1004=$A74)*ISNUMBER(Log_Kargo!$AF$5:$AF$1004),Log_Kargo!$AF$5:$AF$1004),0.9))</f>
        <v/>
      </c>
      <c r="G74" s="18" t="str">
        <f aca="false">IF(B74&gt;=20,"Siap",IF(B74&gt;=10,"Terbatas","Belum"))</f>
        <v>Belum</v>
      </c>
    </row>
    <row r="76" customFormat="false" ht="15" hidden="false" customHeight="false" outlineLevel="0" collapsed="false">
      <c r="A76" s="3" t="s">
        <v>68</v>
      </c>
    </row>
    <row r="77" customFormat="false" ht="28.35" hidden="false" customHeight="false" outlineLevel="0" collapsed="false">
      <c r="A77" s="10" t="s">
        <v>37</v>
      </c>
      <c r="B77" s="10" t="s">
        <v>686</v>
      </c>
      <c r="C77" s="10" t="s">
        <v>687</v>
      </c>
      <c r="D77" s="10" t="s">
        <v>688</v>
      </c>
      <c r="E77" s="10" t="s">
        <v>689</v>
      </c>
      <c r="F77" s="10" t="s">
        <v>690</v>
      </c>
      <c r="G77" s="10" t="s">
        <v>691</v>
      </c>
    </row>
    <row r="78" customFormat="false" ht="15" hidden="false" customHeight="false" outlineLevel="0" collapsed="false">
      <c r="A78" s="17" t="s">
        <v>250</v>
      </c>
      <c r="B78" s="15" t="n">
        <f aca="false">SUMPRODUCT((Log_Kargo!$B$5:$B$1004=$A78)*ISNUMBER(Log_Kargo!$AG$5:$AG$1004))</f>
        <v>0</v>
      </c>
      <c r="C78" s="18" t="str">
        <f aca="false" t="array" ref="C78:C78">IF(B78=0,"",AVERAGE(IF((Log_Kargo!$B$5:$B$1004=$A78)*ISNUMBER(Log_Kargo!$AG$5:$AG$1004),Log_Kargo!$AG$5:$AG$1004)))</f>
        <v/>
      </c>
      <c r="D78" s="18" t="str">
        <f aca="false" t="array" ref="D78:D78">IF(B78=0,"",MAX(IF((Log_Kargo!$B$5:$B$1004=$A78)*ISNUMBER(Log_Kargo!$AG$5:$AG$1004),Log_Kargo!$AG$5:$AG$1004)))</f>
        <v/>
      </c>
      <c r="E78" s="18" t="str">
        <f aca="false" t="array" ref="E78:E78">IF(B78&lt;2,"",STDEV(IF((Log_Kargo!$B$5:$B$1004=$A78)*ISNUMBER(Log_Kargo!$AG$5:$AG$1004),Log_Kargo!$AG$5:$AG$1004)))</f>
        <v/>
      </c>
      <c r="F78" s="18" t="str">
        <f aca="false" t="array" ref="F78:F78">IF(B78=0,"",PERCENTILE(IF((Log_Kargo!$B$5:$B$1004=$A78)*ISNUMBER(Log_Kargo!$AG$5:$AG$1004),Log_Kargo!$AG$5:$AG$1004),0.9))</f>
        <v/>
      </c>
      <c r="G78" s="18" t="str">
        <f aca="false">IF(B78&gt;=20,"Siap",IF(B78&gt;=10,"Terbatas","Belum"))</f>
        <v>Belum</v>
      </c>
    </row>
    <row r="79" customFormat="false" ht="15" hidden="false" customHeight="false" outlineLevel="0" collapsed="false">
      <c r="A79" s="17" t="s">
        <v>73</v>
      </c>
      <c r="B79" s="15" t="n">
        <f aca="false">SUMPRODUCT((Log_Kargo!$B$5:$B$1004=$A79)*ISNUMBER(Log_Kargo!$AG$5:$AG$1004))</f>
        <v>0</v>
      </c>
      <c r="C79" s="18" t="str">
        <f aca="false" t="array" ref="C79:C79">IF(B79=0,"",AVERAGE(IF((Log_Kargo!$B$5:$B$1004=$A79)*ISNUMBER(Log_Kargo!$AG$5:$AG$1004),Log_Kargo!$AG$5:$AG$1004)))</f>
        <v/>
      </c>
      <c r="D79" s="18" t="str">
        <f aca="false" t="array" ref="D79:D79">IF(B79=0,"",MAX(IF((Log_Kargo!$B$5:$B$1004=$A79)*ISNUMBER(Log_Kargo!$AG$5:$AG$1004),Log_Kargo!$AG$5:$AG$1004)))</f>
        <v/>
      </c>
      <c r="E79" s="18" t="str">
        <f aca="false" t="array" ref="E79:E79">IF(B79&lt;2,"",STDEV(IF((Log_Kargo!$B$5:$B$1004=$A79)*ISNUMBER(Log_Kargo!$AG$5:$AG$1004),Log_Kargo!$AG$5:$AG$1004)))</f>
        <v/>
      </c>
      <c r="F79" s="18" t="str">
        <f aca="false" t="array" ref="F79:F79">IF(B79=0,"",PERCENTILE(IF((Log_Kargo!$B$5:$B$1004=$A79)*ISNUMBER(Log_Kargo!$AG$5:$AG$1004),Log_Kargo!$AG$5:$AG$1004),0.9))</f>
        <v/>
      </c>
      <c r="G79" s="18" t="str">
        <f aca="false">IF(B79&gt;=20,"Siap",IF(B79&gt;=10,"Terbatas","Belum"))</f>
        <v>Belum</v>
      </c>
    </row>
    <row r="80" customFormat="false" ht="15" hidden="false" customHeight="false" outlineLevel="0" collapsed="false">
      <c r="A80" s="17" t="s">
        <v>306</v>
      </c>
      <c r="B80" s="15" t="n">
        <f aca="false">SUMPRODUCT((Log_Kargo!$B$5:$B$1004=$A80)*ISNUMBER(Log_Kargo!$AG$5:$AG$1004))</f>
        <v>0</v>
      </c>
      <c r="C80" s="18" t="str">
        <f aca="false" t="array" ref="C80:C80">IF(B80=0,"",AVERAGE(IF((Log_Kargo!$B$5:$B$1004=$A80)*ISNUMBER(Log_Kargo!$AG$5:$AG$1004),Log_Kargo!$AG$5:$AG$1004)))</f>
        <v/>
      </c>
      <c r="D80" s="18" t="str">
        <f aca="false" t="array" ref="D80:D80">IF(B80=0,"",MAX(IF((Log_Kargo!$B$5:$B$1004=$A80)*ISNUMBER(Log_Kargo!$AG$5:$AG$1004),Log_Kargo!$AG$5:$AG$1004)))</f>
        <v/>
      </c>
      <c r="E80" s="18" t="str">
        <f aca="false" t="array" ref="E80:E80">IF(B80&lt;2,"",STDEV(IF((Log_Kargo!$B$5:$B$1004=$A80)*ISNUMBER(Log_Kargo!$AG$5:$AG$1004),Log_Kargo!$AG$5:$AG$1004)))</f>
        <v/>
      </c>
      <c r="F80" s="18" t="str">
        <f aca="false" t="array" ref="F80:F80">IF(B80=0,"",PERCENTILE(IF((Log_Kargo!$B$5:$B$1004=$A80)*ISNUMBER(Log_Kargo!$AG$5:$AG$1004),Log_Kargo!$AG$5:$AG$1004),0.9))</f>
        <v/>
      </c>
      <c r="G80" s="18" t="str">
        <f aca="false">IF(B80&gt;=20,"Siap",IF(B80&gt;=10,"Terbatas","Belum"))</f>
        <v>Belum</v>
      </c>
    </row>
    <row r="81" customFormat="false" ht="15" hidden="false" customHeight="false" outlineLevel="0" collapsed="false">
      <c r="A81" s="17" t="s">
        <v>415</v>
      </c>
      <c r="B81" s="15" t="n">
        <f aca="false">SUMPRODUCT((Log_Kargo!$B$5:$B$1004=$A81)*ISNUMBER(Log_Kargo!$AG$5:$AG$1004))</f>
        <v>0</v>
      </c>
      <c r="C81" s="18" t="str">
        <f aca="false" t="array" ref="C81:C81">IF(B81=0,"",AVERAGE(IF((Log_Kargo!$B$5:$B$1004=$A81)*ISNUMBER(Log_Kargo!$AG$5:$AG$1004),Log_Kargo!$AG$5:$AG$1004)))</f>
        <v/>
      </c>
      <c r="D81" s="18" t="str">
        <f aca="false" t="array" ref="D81:D81">IF(B81=0,"",MAX(IF((Log_Kargo!$B$5:$B$1004=$A81)*ISNUMBER(Log_Kargo!$AG$5:$AG$1004),Log_Kargo!$AG$5:$AG$1004)))</f>
        <v/>
      </c>
      <c r="E81" s="18" t="str">
        <f aca="false" t="array" ref="E81:E81">IF(B81&lt;2,"",STDEV(IF((Log_Kargo!$B$5:$B$1004=$A81)*ISNUMBER(Log_Kargo!$AG$5:$AG$1004),Log_Kargo!$AG$5:$AG$1004)))</f>
        <v/>
      </c>
      <c r="F81" s="18" t="str">
        <f aca="false" t="array" ref="F81:F81">IF(B81=0,"",PERCENTILE(IF((Log_Kargo!$B$5:$B$1004=$A81)*ISNUMBER(Log_Kargo!$AG$5:$AG$1004),Log_Kargo!$AG$5:$AG$1004),0.9))</f>
        <v/>
      </c>
      <c r="G81" s="18" t="str">
        <f aca="false">IF(B81&gt;=20,"Siap",IF(B81&gt;=10,"Terbatas","Belum"))</f>
        <v>Belum</v>
      </c>
    </row>
    <row r="82" customFormat="false" ht="15" hidden="false" customHeight="false" outlineLevel="0" collapsed="false">
      <c r="A82" s="17" t="s">
        <v>523</v>
      </c>
      <c r="B82" s="15" t="n">
        <f aca="false">SUMPRODUCT((Log_Kargo!$B$5:$B$1004=$A82)*ISNUMBER(Log_Kargo!$AG$5:$AG$1004))</f>
        <v>0</v>
      </c>
      <c r="C82" s="18" t="str">
        <f aca="false" t="array" ref="C82:C82">IF(B82=0,"",AVERAGE(IF((Log_Kargo!$B$5:$B$1004=$A82)*ISNUMBER(Log_Kargo!$AG$5:$AG$1004),Log_Kargo!$AG$5:$AG$1004)))</f>
        <v/>
      </c>
      <c r="D82" s="18" t="str">
        <f aca="false" t="array" ref="D82:D82">IF(B82=0,"",MAX(IF((Log_Kargo!$B$5:$B$1004=$A82)*ISNUMBER(Log_Kargo!$AG$5:$AG$1004),Log_Kargo!$AG$5:$AG$1004)))</f>
        <v/>
      </c>
      <c r="E82" s="18" t="str">
        <f aca="false" t="array" ref="E82:E82">IF(B82&lt;2,"",STDEV(IF((Log_Kargo!$B$5:$B$1004=$A82)*ISNUMBER(Log_Kargo!$AG$5:$AG$1004),Log_Kargo!$AG$5:$AG$1004)))</f>
        <v/>
      </c>
      <c r="F82" s="18" t="str">
        <f aca="false" t="array" ref="F82:F82">IF(B82=0,"",PERCENTILE(IF((Log_Kargo!$B$5:$B$1004=$A82)*ISNUMBER(Log_Kargo!$AG$5:$AG$1004),Log_Kargo!$AG$5:$AG$1004),0.9))</f>
        <v/>
      </c>
      <c r="G82" s="18" t="str">
        <f aca="false">IF(B82&gt;=20,"Siap",IF(B82&gt;=10,"Terbatas","Belum"))</f>
        <v>Belum</v>
      </c>
    </row>
    <row r="83" customFormat="false" ht="15" hidden="false" customHeight="false" outlineLevel="0" collapsed="false">
      <c r="A83" s="17" t="s">
        <v>692</v>
      </c>
      <c r="B83" s="15" t="n">
        <f aca="false">SUMPRODUCT((Log_Kargo!$B$5:$B$1004=$A83)*ISNUMBER(Log_Kargo!$AG$5:$AG$1004))</f>
        <v>0</v>
      </c>
      <c r="C83" s="18" t="str">
        <f aca="false" t="array" ref="C83:C83">IF(B83=0,"",AVERAGE(IF((Log_Kargo!$B$5:$B$1004=$A83)*ISNUMBER(Log_Kargo!$AG$5:$AG$1004),Log_Kargo!$AG$5:$AG$1004)))</f>
        <v/>
      </c>
      <c r="D83" s="18" t="str">
        <f aca="false" t="array" ref="D83:D83">IF(B83=0,"",MAX(IF((Log_Kargo!$B$5:$B$1004=$A83)*ISNUMBER(Log_Kargo!$AG$5:$AG$1004),Log_Kargo!$AG$5:$AG$1004)))</f>
        <v/>
      </c>
      <c r="E83" s="18" t="str">
        <f aca="false" t="array" ref="E83:E83">IF(B83&lt;2,"",STDEV(IF((Log_Kargo!$B$5:$B$1004=$A83)*ISNUMBER(Log_Kargo!$AG$5:$AG$1004),Log_Kargo!$AG$5:$AG$1004)))</f>
        <v/>
      </c>
      <c r="F83" s="18" t="str">
        <f aca="false" t="array" ref="F83:F83">IF(B83=0,"",PERCENTILE(IF((Log_Kargo!$B$5:$B$1004=$A83)*ISNUMBER(Log_Kargo!$AG$5:$AG$1004),Log_Kargo!$AG$5:$AG$1004),0.9))</f>
        <v/>
      </c>
      <c r="G83" s="18" t="str">
        <f aca="false">IF(B83&gt;=20,"Siap",IF(B83&gt;=10,"Terbatas","Belum"))</f>
        <v>Belum</v>
      </c>
    </row>
    <row r="84" customFormat="false" ht="15" hidden="false" customHeight="false" outlineLevel="0" collapsed="false">
      <c r="A84" s="17" t="s">
        <v>599</v>
      </c>
      <c r="B84" s="15" t="n">
        <f aca="false">SUMPRODUCT((Log_Kargo!$B$5:$B$1004=$A84)*ISNUMBER(Log_Kargo!$AG$5:$AG$1004))</f>
        <v>0</v>
      </c>
      <c r="C84" s="18" t="str">
        <f aca="false" t="array" ref="C84:C84">IF(B84=0,"",AVERAGE(IF((Log_Kargo!$B$5:$B$1004=$A84)*ISNUMBER(Log_Kargo!$AG$5:$AG$1004),Log_Kargo!$AG$5:$AG$1004)))</f>
        <v/>
      </c>
      <c r="D84" s="18" t="str">
        <f aca="false" t="array" ref="D84:D84">IF(B84=0,"",MAX(IF((Log_Kargo!$B$5:$B$1004=$A84)*ISNUMBER(Log_Kargo!$AG$5:$AG$1004),Log_Kargo!$AG$5:$AG$1004)))</f>
        <v/>
      </c>
      <c r="E84" s="18" t="str">
        <f aca="false" t="array" ref="E84:E84">IF(B84&lt;2,"",STDEV(IF((Log_Kargo!$B$5:$B$1004=$A84)*ISNUMBER(Log_Kargo!$AG$5:$AG$1004),Log_Kargo!$AG$5:$AG$1004)))</f>
        <v/>
      </c>
      <c r="F84" s="18" t="str">
        <f aca="false" t="array" ref="F84:F84">IF(B84=0,"",PERCENTILE(IF((Log_Kargo!$B$5:$B$1004=$A84)*ISNUMBER(Log_Kargo!$AG$5:$AG$1004),Log_Kargo!$AG$5:$AG$1004),0.9))</f>
        <v/>
      </c>
      <c r="G84" s="18" t="str">
        <f aca="false">IF(B84&gt;=20,"Siap",IF(B84&gt;=10,"Terbatas","Belum"))</f>
        <v>Belum</v>
      </c>
    </row>
    <row r="85" customFormat="false" ht="15" hidden="false" customHeight="false" outlineLevel="0" collapsed="false">
      <c r="A85" s="17" t="s">
        <v>693</v>
      </c>
      <c r="B85" s="15" t="n">
        <f aca="false">SUMPRODUCT((Log_Kargo!$B$5:$B$1004=$A85)*ISNUMBER(Log_Kargo!$AG$5:$AG$1004))</f>
        <v>0</v>
      </c>
      <c r="C85" s="18" t="str">
        <f aca="false" t="array" ref="C85:C85">IF(B85=0,"",AVERAGE(IF((Log_Kargo!$B$5:$B$1004=$A85)*ISNUMBER(Log_Kargo!$AG$5:$AG$1004),Log_Kargo!$AG$5:$AG$1004)))</f>
        <v/>
      </c>
      <c r="D85" s="18" t="str">
        <f aca="false" t="array" ref="D85:D85">IF(B85=0,"",MAX(IF((Log_Kargo!$B$5:$B$1004=$A85)*ISNUMBER(Log_Kargo!$AG$5:$AG$1004),Log_Kargo!$AG$5:$AG$1004)))</f>
        <v/>
      </c>
      <c r="E85" s="18" t="str">
        <f aca="false" t="array" ref="E85:E85">IF(B85&lt;2,"",STDEV(IF((Log_Kargo!$B$5:$B$1004=$A85)*ISNUMBER(Log_Kargo!$AG$5:$AG$1004),Log_Kargo!$AG$5:$AG$1004)))</f>
        <v/>
      </c>
      <c r="F85" s="18" t="str">
        <f aca="false" t="array" ref="F85:F85">IF(B85=0,"",PERCENTILE(IF((Log_Kargo!$B$5:$B$1004=$A85)*ISNUMBER(Log_Kargo!$AG$5:$AG$1004),Log_Kargo!$AG$5:$AG$1004),0.9))</f>
        <v/>
      </c>
      <c r="G85" s="18" t="str">
        <f aca="false">IF(B85&gt;=20,"Siap",IF(B85&gt;=10,"Terbatas","Belum"))</f>
        <v>Belum</v>
      </c>
    </row>
    <row r="86" customFormat="false" ht="15" hidden="false" customHeight="false" outlineLevel="0" collapsed="false">
      <c r="A86" s="17" t="s">
        <v>665</v>
      </c>
      <c r="B86" s="15" t="n">
        <f aca="false">SUMPRODUCT((Log_Kargo!$B$5:$B$1004=$A86)*ISNUMBER(Log_Kargo!$AG$5:$AG$1004))</f>
        <v>0</v>
      </c>
      <c r="C86" s="18" t="str">
        <f aca="false" t="array" ref="C86:C86">IF(B86=0,"",AVERAGE(IF((Log_Kargo!$B$5:$B$1004=$A86)*ISNUMBER(Log_Kargo!$AG$5:$AG$1004),Log_Kargo!$AG$5:$AG$1004)))</f>
        <v/>
      </c>
      <c r="D86" s="18" t="str">
        <f aca="false" t="array" ref="D86:D86">IF(B86=0,"",MAX(IF((Log_Kargo!$B$5:$B$1004=$A86)*ISNUMBER(Log_Kargo!$AG$5:$AG$1004),Log_Kargo!$AG$5:$AG$1004)))</f>
        <v/>
      </c>
      <c r="E86" s="18" t="str">
        <f aca="false" t="array" ref="E86:E86">IF(B86&lt;2,"",STDEV(IF((Log_Kargo!$B$5:$B$1004=$A86)*ISNUMBER(Log_Kargo!$AG$5:$AG$1004),Log_Kargo!$AG$5:$AG$1004)))</f>
        <v/>
      </c>
      <c r="F86" s="18" t="str">
        <f aca="false" t="array" ref="F86:F86">IF(B86=0,"",PERCENTILE(IF((Log_Kargo!$B$5:$B$1004=$A86)*ISNUMBER(Log_Kargo!$AG$5:$AG$1004),Log_Kargo!$AG$5:$AG$1004),0.9))</f>
        <v/>
      </c>
      <c r="G86" s="18" t="str">
        <f aca="false">IF(B86&gt;=20,"Siap",IF(B86&gt;=10,"Terbatas","Belum"))</f>
        <v>Belum</v>
      </c>
    </row>
    <row r="88" customFormat="false" ht="15" hidden="false" customHeight="false" outlineLevel="0" collapsed="false">
      <c r="A88" s="3" t="s">
        <v>69</v>
      </c>
    </row>
    <row r="89" customFormat="false" ht="28.35" hidden="false" customHeight="false" outlineLevel="0" collapsed="false">
      <c r="A89" s="10" t="s">
        <v>37</v>
      </c>
      <c r="B89" s="10" t="s">
        <v>686</v>
      </c>
      <c r="C89" s="10" t="s">
        <v>687</v>
      </c>
      <c r="D89" s="10" t="s">
        <v>688</v>
      </c>
      <c r="E89" s="10" t="s">
        <v>689</v>
      </c>
      <c r="F89" s="10" t="s">
        <v>690</v>
      </c>
      <c r="G89" s="10" t="s">
        <v>691</v>
      </c>
    </row>
    <row r="90" customFormat="false" ht="15" hidden="false" customHeight="false" outlineLevel="0" collapsed="false">
      <c r="A90" s="17" t="s">
        <v>250</v>
      </c>
      <c r="B90" s="15" t="n">
        <f aca="false">SUMPRODUCT((Log_Kargo!$B$5:$B$1004=$A90)*ISNUMBER(Log_Kargo!$AH$5:$AH$1004))</f>
        <v>0</v>
      </c>
      <c r="C90" s="18" t="str">
        <f aca="false" t="array" ref="C90:C90">IF(B90=0,"",AVERAGE(IF((Log_Kargo!$B$5:$B$1004=$A90)*ISNUMBER(Log_Kargo!$AH$5:$AH$1004),Log_Kargo!$AH$5:$AH$1004)))</f>
        <v/>
      </c>
      <c r="D90" s="18" t="str">
        <f aca="false" t="array" ref="D90:D90">IF(B90=0,"",MAX(IF((Log_Kargo!$B$5:$B$1004=$A90)*ISNUMBER(Log_Kargo!$AH$5:$AH$1004),Log_Kargo!$AH$5:$AH$1004)))</f>
        <v/>
      </c>
      <c r="E90" s="18" t="str">
        <f aca="false" t="array" ref="E90:E90">IF(B90&lt;2,"",STDEV(IF((Log_Kargo!$B$5:$B$1004=$A90)*ISNUMBER(Log_Kargo!$AH$5:$AH$1004),Log_Kargo!$AH$5:$AH$1004)))</f>
        <v/>
      </c>
      <c r="F90" s="18" t="str">
        <f aca="false" t="array" ref="F90:F90">IF(B90=0,"",PERCENTILE(IF((Log_Kargo!$B$5:$B$1004=$A90)*ISNUMBER(Log_Kargo!$AH$5:$AH$1004),Log_Kargo!$AH$5:$AH$1004),0.9))</f>
        <v/>
      </c>
      <c r="G90" s="18" t="str">
        <f aca="false">IF(B90&gt;=20,"Siap",IF(B90&gt;=10,"Terbatas","Belum"))</f>
        <v>Belum</v>
      </c>
    </row>
    <row r="91" customFormat="false" ht="15" hidden="false" customHeight="false" outlineLevel="0" collapsed="false">
      <c r="A91" s="17" t="s">
        <v>73</v>
      </c>
      <c r="B91" s="15" t="n">
        <f aca="false">SUMPRODUCT((Log_Kargo!$B$5:$B$1004=$A91)*ISNUMBER(Log_Kargo!$AH$5:$AH$1004))</f>
        <v>0</v>
      </c>
      <c r="C91" s="18" t="str">
        <f aca="false" t="array" ref="C91:C91">IF(B91=0,"",AVERAGE(IF((Log_Kargo!$B$5:$B$1004=$A91)*ISNUMBER(Log_Kargo!$AH$5:$AH$1004),Log_Kargo!$AH$5:$AH$1004)))</f>
        <v/>
      </c>
      <c r="D91" s="18" t="str">
        <f aca="false" t="array" ref="D91:D91">IF(B91=0,"",MAX(IF((Log_Kargo!$B$5:$B$1004=$A91)*ISNUMBER(Log_Kargo!$AH$5:$AH$1004),Log_Kargo!$AH$5:$AH$1004)))</f>
        <v/>
      </c>
      <c r="E91" s="18" t="str">
        <f aca="false" t="array" ref="E91:E91">IF(B91&lt;2,"",STDEV(IF((Log_Kargo!$B$5:$B$1004=$A91)*ISNUMBER(Log_Kargo!$AH$5:$AH$1004),Log_Kargo!$AH$5:$AH$1004)))</f>
        <v/>
      </c>
      <c r="F91" s="18" t="str">
        <f aca="false" t="array" ref="F91:F91">IF(B91=0,"",PERCENTILE(IF((Log_Kargo!$B$5:$B$1004=$A91)*ISNUMBER(Log_Kargo!$AH$5:$AH$1004),Log_Kargo!$AH$5:$AH$1004),0.9))</f>
        <v/>
      </c>
      <c r="G91" s="18" t="str">
        <f aca="false">IF(B91&gt;=20,"Siap",IF(B91&gt;=10,"Terbatas","Belum"))</f>
        <v>Belum</v>
      </c>
    </row>
    <row r="92" customFormat="false" ht="15" hidden="false" customHeight="false" outlineLevel="0" collapsed="false">
      <c r="A92" s="17" t="s">
        <v>306</v>
      </c>
      <c r="B92" s="15" t="n">
        <f aca="false">SUMPRODUCT((Log_Kargo!$B$5:$B$1004=$A92)*ISNUMBER(Log_Kargo!$AH$5:$AH$1004))</f>
        <v>0</v>
      </c>
      <c r="C92" s="18" t="str">
        <f aca="false" t="array" ref="C92:C92">IF(B92=0,"",AVERAGE(IF((Log_Kargo!$B$5:$B$1004=$A92)*ISNUMBER(Log_Kargo!$AH$5:$AH$1004),Log_Kargo!$AH$5:$AH$1004)))</f>
        <v/>
      </c>
      <c r="D92" s="18" t="str">
        <f aca="false" t="array" ref="D92:D92">IF(B92=0,"",MAX(IF((Log_Kargo!$B$5:$B$1004=$A92)*ISNUMBER(Log_Kargo!$AH$5:$AH$1004),Log_Kargo!$AH$5:$AH$1004)))</f>
        <v/>
      </c>
      <c r="E92" s="18" t="str">
        <f aca="false" t="array" ref="E92:E92">IF(B92&lt;2,"",STDEV(IF((Log_Kargo!$B$5:$B$1004=$A92)*ISNUMBER(Log_Kargo!$AH$5:$AH$1004),Log_Kargo!$AH$5:$AH$1004)))</f>
        <v/>
      </c>
      <c r="F92" s="18" t="str">
        <f aca="false" t="array" ref="F92:F92">IF(B92=0,"",PERCENTILE(IF((Log_Kargo!$B$5:$B$1004=$A92)*ISNUMBER(Log_Kargo!$AH$5:$AH$1004),Log_Kargo!$AH$5:$AH$1004),0.9))</f>
        <v/>
      </c>
      <c r="G92" s="18" t="str">
        <f aca="false">IF(B92&gt;=20,"Siap",IF(B92&gt;=10,"Terbatas","Belum"))</f>
        <v>Belum</v>
      </c>
    </row>
    <row r="93" customFormat="false" ht="15" hidden="false" customHeight="false" outlineLevel="0" collapsed="false">
      <c r="A93" s="17" t="s">
        <v>415</v>
      </c>
      <c r="B93" s="15" t="n">
        <f aca="false">SUMPRODUCT((Log_Kargo!$B$5:$B$1004=$A93)*ISNUMBER(Log_Kargo!$AH$5:$AH$1004))</f>
        <v>0</v>
      </c>
      <c r="C93" s="18" t="str">
        <f aca="false" t="array" ref="C93:C93">IF(B93=0,"",AVERAGE(IF((Log_Kargo!$B$5:$B$1004=$A93)*ISNUMBER(Log_Kargo!$AH$5:$AH$1004),Log_Kargo!$AH$5:$AH$1004)))</f>
        <v/>
      </c>
      <c r="D93" s="18" t="str">
        <f aca="false" t="array" ref="D93:D93">IF(B93=0,"",MAX(IF((Log_Kargo!$B$5:$B$1004=$A93)*ISNUMBER(Log_Kargo!$AH$5:$AH$1004),Log_Kargo!$AH$5:$AH$1004)))</f>
        <v/>
      </c>
      <c r="E93" s="18" t="str">
        <f aca="false" t="array" ref="E93:E93">IF(B93&lt;2,"",STDEV(IF((Log_Kargo!$B$5:$B$1004=$A93)*ISNUMBER(Log_Kargo!$AH$5:$AH$1004),Log_Kargo!$AH$5:$AH$1004)))</f>
        <v/>
      </c>
      <c r="F93" s="18" t="str">
        <f aca="false" t="array" ref="F93:F93">IF(B93=0,"",PERCENTILE(IF((Log_Kargo!$B$5:$B$1004=$A93)*ISNUMBER(Log_Kargo!$AH$5:$AH$1004),Log_Kargo!$AH$5:$AH$1004),0.9))</f>
        <v/>
      </c>
      <c r="G93" s="18" t="str">
        <f aca="false">IF(B93&gt;=20,"Siap",IF(B93&gt;=10,"Terbatas","Belum"))</f>
        <v>Belum</v>
      </c>
    </row>
    <row r="94" customFormat="false" ht="15" hidden="false" customHeight="false" outlineLevel="0" collapsed="false">
      <c r="A94" s="17" t="s">
        <v>523</v>
      </c>
      <c r="B94" s="15" t="n">
        <f aca="false">SUMPRODUCT((Log_Kargo!$B$5:$B$1004=$A94)*ISNUMBER(Log_Kargo!$AH$5:$AH$1004))</f>
        <v>0</v>
      </c>
      <c r="C94" s="18" t="str">
        <f aca="false" t="array" ref="C94:C94">IF(B94=0,"",AVERAGE(IF((Log_Kargo!$B$5:$B$1004=$A94)*ISNUMBER(Log_Kargo!$AH$5:$AH$1004),Log_Kargo!$AH$5:$AH$1004)))</f>
        <v/>
      </c>
      <c r="D94" s="18" t="str">
        <f aca="false" t="array" ref="D94:D94">IF(B94=0,"",MAX(IF((Log_Kargo!$B$5:$B$1004=$A94)*ISNUMBER(Log_Kargo!$AH$5:$AH$1004),Log_Kargo!$AH$5:$AH$1004)))</f>
        <v/>
      </c>
      <c r="E94" s="18" t="str">
        <f aca="false" t="array" ref="E94:E94">IF(B94&lt;2,"",STDEV(IF((Log_Kargo!$B$5:$B$1004=$A94)*ISNUMBER(Log_Kargo!$AH$5:$AH$1004),Log_Kargo!$AH$5:$AH$1004)))</f>
        <v/>
      </c>
      <c r="F94" s="18" t="str">
        <f aca="false" t="array" ref="F94:F94">IF(B94=0,"",PERCENTILE(IF((Log_Kargo!$B$5:$B$1004=$A94)*ISNUMBER(Log_Kargo!$AH$5:$AH$1004),Log_Kargo!$AH$5:$AH$1004),0.9))</f>
        <v/>
      </c>
      <c r="G94" s="18" t="str">
        <f aca="false">IF(B94&gt;=20,"Siap",IF(B94&gt;=10,"Terbatas","Belum"))</f>
        <v>Belum</v>
      </c>
    </row>
    <row r="95" customFormat="false" ht="15" hidden="false" customHeight="false" outlineLevel="0" collapsed="false">
      <c r="A95" s="17" t="s">
        <v>692</v>
      </c>
      <c r="B95" s="15" t="n">
        <f aca="false">SUMPRODUCT((Log_Kargo!$B$5:$B$1004=$A95)*ISNUMBER(Log_Kargo!$AH$5:$AH$1004))</f>
        <v>0</v>
      </c>
      <c r="C95" s="18" t="str">
        <f aca="false" t="array" ref="C95:C95">IF(B95=0,"",AVERAGE(IF((Log_Kargo!$B$5:$B$1004=$A95)*ISNUMBER(Log_Kargo!$AH$5:$AH$1004),Log_Kargo!$AH$5:$AH$1004)))</f>
        <v/>
      </c>
      <c r="D95" s="18" t="str">
        <f aca="false" t="array" ref="D95:D95">IF(B95=0,"",MAX(IF((Log_Kargo!$B$5:$B$1004=$A95)*ISNUMBER(Log_Kargo!$AH$5:$AH$1004),Log_Kargo!$AH$5:$AH$1004)))</f>
        <v/>
      </c>
      <c r="E95" s="18" t="str">
        <f aca="false" t="array" ref="E95:E95">IF(B95&lt;2,"",STDEV(IF((Log_Kargo!$B$5:$B$1004=$A95)*ISNUMBER(Log_Kargo!$AH$5:$AH$1004),Log_Kargo!$AH$5:$AH$1004)))</f>
        <v/>
      </c>
      <c r="F95" s="18" t="str">
        <f aca="false" t="array" ref="F95:F95">IF(B95=0,"",PERCENTILE(IF((Log_Kargo!$B$5:$B$1004=$A95)*ISNUMBER(Log_Kargo!$AH$5:$AH$1004),Log_Kargo!$AH$5:$AH$1004),0.9))</f>
        <v/>
      </c>
      <c r="G95" s="18" t="str">
        <f aca="false">IF(B95&gt;=20,"Siap",IF(B95&gt;=10,"Terbatas","Belum"))</f>
        <v>Belum</v>
      </c>
    </row>
    <row r="96" customFormat="false" ht="15" hidden="false" customHeight="false" outlineLevel="0" collapsed="false">
      <c r="A96" s="17" t="s">
        <v>599</v>
      </c>
      <c r="B96" s="15" t="n">
        <f aca="false">SUMPRODUCT((Log_Kargo!$B$5:$B$1004=$A96)*ISNUMBER(Log_Kargo!$AH$5:$AH$1004))</f>
        <v>0</v>
      </c>
      <c r="C96" s="18" t="str">
        <f aca="false" t="array" ref="C96:C96">IF(B96=0,"",AVERAGE(IF((Log_Kargo!$B$5:$B$1004=$A96)*ISNUMBER(Log_Kargo!$AH$5:$AH$1004),Log_Kargo!$AH$5:$AH$1004)))</f>
        <v/>
      </c>
      <c r="D96" s="18" t="str">
        <f aca="false" t="array" ref="D96:D96">IF(B96=0,"",MAX(IF((Log_Kargo!$B$5:$B$1004=$A96)*ISNUMBER(Log_Kargo!$AH$5:$AH$1004),Log_Kargo!$AH$5:$AH$1004)))</f>
        <v/>
      </c>
      <c r="E96" s="18" t="str">
        <f aca="false" t="array" ref="E96:E96">IF(B96&lt;2,"",STDEV(IF((Log_Kargo!$B$5:$B$1004=$A96)*ISNUMBER(Log_Kargo!$AH$5:$AH$1004),Log_Kargo!$AH$5:$AH$1004)))</f>
        <v/>
      </c>
      <c r="F96" s="18" t="str">
        <f aca="false" t="array" ref="F96:F96">IF(B96=0,"",PERCENTILE(IF((Log_Kargo!$B$5:$B$1004=$A96)*ISNUMBER(Log_Kargo!$AH$5:$AH$1004),Log_Kargo!$AH$5:$AH$1004),0.9))</f>
        <v/>
      </c>
      <c r="G96" s="18" t="str">
        <f aca="false">IF(B96&gt;=20,"Siap",IF(B96&gt;=10,"Terbatas","Belum"))</f>
        <v>Belum</v>
      </c>
    </row>
    <row r="97" customFormat="false" ht="15" hidden="false" customHeight="false" outlineLevel="0" collapsed="false">
      <c r="A97" s="17" t="s">
        <v>693</v>
      </c>
      <c r="B97" s="15" t="n">
        <f aca="false">SUMPRODUCT((Log_Kargo!$B$5:$B$1004=$A97)*ISNUMBER(Log_Kargo!$AH$5:$AH$1004))</f>
        <v>0</v>
      </c>
      <c r="C97" s="18" t="str">
        <f aca="false" t="array" ref="C97:C97">IF(B97=0,"",AVERAGE(IF((Log_Kargo!$B$5:$B$1004=$A97)*ISNUMBER(Log_Kargo!$AH$5:$AH$1004),Log_Kargo!$AH$5:$AH$1004)))</f>
        <v/>
      </c>
      <c r="D97" s="18" t="str">
        <f aca="false" t="array" ref="D97:D97">IF(B97=0,"",MAX(IF((Log_Kargo!$B$5:$B$1004=$A97)*ISNUMBER(Log_Kargo!$AH$5:$AH$1004),Log_Kargo!$AH$5:$AH$1004)))</f>
        <v/>
      </c>
      <c r="E97" s="18" t="str">
        <f aca="false" t="array" ref="E97:E97">IF(B97&lt;2,"",STDEV(IF((Log_Kargo!$B$5:$B$1004=$A97)*ISNUMBER(Log_Kargo!$AH$5:$AH$1004),Log_Kargo!$AH$5:$AH$1004)))</f>
        <v/>
      </c>
      <c r="F97" s="18" t="str">
        <f aca="false" t="array" ref="F97:F97">IF(B97=0,"",PERCENTILE(IF((Log_Kargo!$B$5:$B$1004=$A97)*ISNUMBER(Log_Kargo!$AH$5:$AH$1004),Log_Kargo!$AH$5:$AH$1004),0.9))</f>
        <v/>
      </c>
      <c r="G97" s="18" t="str">
        <f aca="false">IF(B97&gt;=20,"Siap",IF(B97&gt;=10,"Terbatas","Belum"))</f>
        <v>Belum</v>
      </c>
    </row>
    <row r="98" customFormat="false" ht="15" hidden="false" customHeight="false" outlineLevel="0" collapsed="false">
      <c r="A98" s="17" t="s">
        <v>665</v>
      </c>
      <c r="B98" s="15" t="n">
        <f aca="false">SUMPRODUCT((Log_Kargo!$B$5:$B$1004=$A98)*ISNUMBER(Log_Kargo!$AH$5:$AH$1004))</f>
        <v>0</v>
      </c>
      <c r="C98" s="18" t="str">
        <f aca="false" t="array" ref="C98:C98">IF(B98=0,"",AVERAGE(IF((Log_Kargo!$B$5:$B$1004=$A98)*ISNUMBER(Log_Kargo!$AH$5:$AH$1004),Log_Kargo!$AH$5:$AH$1004)))</f>
        <v/>
      </c>
      <c r="D98" s="18" t="str">
        <f aca="false" t="array" ref="D98:D98">IF(B98=0,"",MAX(IF((Log_Kargo!$B$5:$B$1004=$A98)*ISNUMBER(Log_Kargo!$AH$5:$AH$1004),Log_Kargo!$AH$5:$AH$1004)))</f>
        <v/>
      </c>
      <c r="E98" s="18" t="str">
        <f aca="false" t="array" ref="E98:E98">IF(B98&lt;2,"",STDEV(IF((Log_Kargo!$B$5:$B$1004=$A98)*ISNUMBER(Log_Kargo!$AH$5:$AH$1004),Log_Kargo!$AH$5:$AH$1004)))</f>
        <v/>
      </c>
      <c r="F98" s="18" t="str">
        <f aca="false" t="array" ref="F98:F98">IF(B98=0,"",PERCENTILE(IF((Log_Kargo!$B$5:$B$1004=$A98)*ISNUMBER(Log_Kargo!$AH$5:$AH$1004),Log_Kargo!$AH$5:$AH$1004),0.9))</f>
        <v/>
      </c>
      <c r="G98" s="18" t="str">
        <f aca="false">IF(B98&gt;=20,"Siap",IF(B98&gt;=10,"Terbatas","Belum"))</f>
        <v>Belum</v>
      </c>
    </row>
    <row r="100" customFormat="false" ht="15" hidden="false" customHeight="false" outlineLevel="0" collapsed="false">
      <c r="A100" s="3" t="s">
        <v>695</v>
      </c>
    </row>
    <row r="101" customFormat="false" ht="28.35" hidden="false" customHeight="false" outlineLevel="0" collapsed="false">
      <c r="A101" s="10" t="s">
        <v>37</v>
      </c>
      <c r="B101" s="10" t="s">
        <v>686</v>
      </c>
      <c r="C101" s="10" t="s">
        <v>687</v>
      </c>
      <c r="D101" s="10" t="s">
        <v>688</v>
      </c>
      <c r="E101" s="10" t="s">
        <v>689</v>
      </c>
      <c r="F101" s="10" t="s">
        <v>690</v>
      </c>
      <c r="G101" s="10" t="s">
        <v>691</v>
      </c>
    </row>
    <row r="102" customFormat="false" ht="15" hidden="false" customHeight="false" outlineLevel="0" collapsed="false">
      <c r="A102" s="17" t="s">
        <v>250</v>
      </c>
      <c r="B102" s="15" t="n">
        <f aca="false">SUMPRODUCT((Log_Kargo!$B$5:$B$1004=$A102)*ISNUMBER(Log_Kargo!$AI$5:$AI$1004))</f>
        <v>15</v>
      </c>
      <c r="C102" s="18" t="n">
        <f aca="false" t="array" ref="C102:C102">IF(B102=0,"",AVERAGE(IF((Log_Kargo!$B$5:$B$1004=$A102)*ISNUMBER(Log_Kargo!$AI$5:$AI$1004),Log_Kargo!$AI$5:$AI$1004)))</f>
        <v>1.8</v>
      </c>
      <c r="D102" s="18" t="n">
        <f aca="false" t="array" ref="D102:D102">IF(B102=0,"",MAX(IF((Log_Kargo!$B$5:$B$1004=$A102)*ISNUMBER(Log_Kargo!$AI$5:$AI$1004),Log_Kargo!$AI$5:$AI$1004)))</f>
        <v>8</v>
      </c>
      <c r="E102" s="18" t="n">
        <f aca="false" t="array" ref="E102:E102">IF(B102&lt;2,"",STDEV(IF((Log_Kargo!$B$5:$B$1004=$A102)*ISNUMBER(Log_Kargo!$AI$5:$AI$1004),Log_Kargo!$AI$5:$AI$1004)))</f>
        <v>2.04240754293275</v>
      </c>
      <c r="F102" s="18" t="n">
        <f aca="false" t="array" ref="F102:F102">IF(B102=0,"",PERCENTILE(IF((Log_Kargo!$B$5:$B$1004=$A102)*ISNUMBER(Log_Kargo!$AI$5:$AI$1004),Log_Kargo!$AI$5:$AI$1004),0.9))</f>
        <v>3.6</v>
      </c>
      <c r="G102" s="18" t="str">
        <f aca="false">IF(B102&gt;=20,"Siap",IF(B102&gt;=10,"Terbatas","Belum"))</f>
        <v>Terbatas</v>
      </c>
    </row>
    <row r="103" customFormat="false" ht="15" hidden="false" customHeight="false" outlineLevel="0" collapsed="false">
      <c r="A103" s="17" t="s">
        <v>73</v>
      </c>
      <c r="B103" s="15" t="n">
        <f aca="false">SUMPRODUCT((Log_Kargo!$B$5:$B$1004=$A103)*ISNUMBER(Log_Kargo!$AI$5:$AI$1004))</f>
        <v>55</v>
      </c>
      <c r="C103" s="18" t="n">
        <f aca="false" t="array" ref="C103:C103">IF(B103=0,"",AVERAGE(IF((Log_Kargo!$B$5:$B$1004=$A103)*ISNUMBER(Log_Kargo!$AI$5:$AI$1004),Log_Kargo!$AI$5:$AI$1004)))</f>
        <v>1.65454545454545</v>
      </c>
      <c r="D103" s="18" t="n">
        <f aca="false" t="array" ref="D103:D103">IF(B103=0,"",MAX(IF((Log_Kargo!$B$5:$B$1004=$A103)*ISNUMBER(Log_Kargo!$AI$5:$AI$1004),Log_Kargo!$AI$5:$AI$1004)))</f>
        <v>13</v>
      </c>
      <c r="E103" s="18" t="n">
        <f aca="false" t="array" ref="E103:E103">IF(B103&lt;2,"",STDEV(IF((Log_Kargo!$B$5:$B$1004=$A103)*ISNUMBER(Log_Kargo!$AI$5:$AI$1004),Log_Kargo!$AI$5:$AI$1004)))</f>
        <v>1.94572829188933</v>
      </c>
      <c r="F103" s="18" t="n">
        <f aca="false" t="array" ref="F103:F103">IF(B103=0,"",PERCENTILE(IF((Log_Kargo!$B$5:$B$1004=$A103)*ISNUMBER(Log_Kargo!$AI$5:$AI$1004),Log_Kargo!$AI$5:$AI$1004),0.9))</f>
        <v>3</v>
      </c>
      <c r="G103" s="18" t="str">
        <f aca="false">IF(B103&gt;=20,"Siap",IF(B103&gt;=10,"Terbatas","Belum"))</f>
        <v>Siap</v>
      </c>
    </row>
    <row r="104" customFormat="false" ht="15" hidden="false" customHeight="false" outlineLevel="0" collapsed="false">
      <c r="A104" s="17" t="s">
        <v>306</v>
      </c>
      <c r="B104" s="15" t="n">
        <f aca="false">SUMPRODUCT((Log_Kargo!$B$5:$B$1004=$A104)*ISNUMBER(Log_Kargo!$AI$5:$AI$1004))</f>
        <v>31</v>
      </c>
      <c r="C104" s="18" t="n">
        <f aca="false" t="array" ref="C104:C104">IF(B104=0,"",AVERAGE(IF((Log_Kargo!$B$5:$B$1004=$A104)*ISNUMBER(Log_Kargo!$AI$5:$AI$1004),Log_Kargo!$AI$5:$AI$1004)))</f>
        <v>1.29032258064516</v>
      </c>
      <c r="D104" s="18" t="n">
        <f aca="false" t="array" ref="D104:D104">IF(B104=0,"",MAX(IF((Log_Kargo!$B$5:$B$1004=$A104)*ISNUMBER(Log_Kargo!$AI$5:$AI$1004),Log_Kargo!$AI$5:$AI$1004)))</f>
        <v>11</v>
      </c>
      <c r="E104" s="18" t="n">
        <f aca="false" t="array" ref="E104:E104">IF(B104&lt;2,"",STDEV(IF((Log_Kargo!$B$5:$B$1004=$A104)*ISNUMBER(Log_Kargo!$AI$5:$AI$1004),Log_Kargo!$AI$5:$AI$1004)))</f>
        <v>2.19383299861372</v>
      </c>
      <c r="F104" s="18" t="n">
        <f aca="false" t="array" ref="F104:F104">IF(B104=0,"",PERCENTILE(IF((Log_Kargo!$B$5:$B$1004=$A104)*ISNUMBER(Log_Kargo!$AI$5:$AI$1004),Log_Kargo!$AI$5:$AI$1004),0.9))</f>
        <v>2</v>
      </c>
      <c r="G104" s="18" t="str">
        <f aca="false">IF(B104&gt;=20,"Siap",IF(B104&gt;=10,"Terbatas","Belum"))</f>
        <v>Siap</v>
      </c>
    </row>
    <row r="105" customFormat="false" ht="15" hidden="false" customHeight="false" outlineLevel="0" collapsed="false">
      <c r="A105" s="17" t="s">
        <v>415</v>
      </c>
      <c r="B105" s="15" t="n">
        <f aca="false">SUMPRODUCT((Log_Kargo!$B$5:$B$1004=$A105)*ISNUMBER(Log_Kargo!$AI$5:$AI$1004))</f>
        <v>30</v>
      </c>
      <c r="C105" s="18" t="n">
        <f aca="false" t="array" ref="C105:C105">IF(B105=0,"",AVERAGE(IF((Log_Kargo!$B$5:$B$1004=$A105)*ISNUMBER(Log_Kargo!$AI$5:$AI$1004),Log_Kargo!$AI$5:$AI$1004)))</f>
        <v>14.0333333333333</v>
      </c>
      <c r="D105" s="18" t="n">
        <f aca="false" t="array" ref="D105:D105">IF(B105=0,"",MAX(IF((Log_Kargo!$B$5:$B$1004=$A105)*ISNUMBER(Log_Kargo!$AI$5:$AI$1004),Log_Kargo!$AI$5:$AI$1004)))</f>
        <v>367</v>
      </c>
      <c r="E105" s="18" t="n">
        <f aca="false" t="array" ref="E105:E105">IF(B105&lt;2,"",STDEV(IF((Log_Kargo!$B$5:$B$1004=$A105)*ISNUMBER(Log_Kargo!$AI$5:$AI$1004),Log_Kargo!$AI$5:$AI$1004)))</f>
        <v>66.7282100987918</v>
      </c>
      <c r="F105" s="18" t="n">
        <f aca="false" t="array" ref="F105:F105">IF(B105=0,"",PERCENTILE(IF((Log_Kargo!$B$5:$B$1004=$A105)*ISNUMBER(Log_Kargo!$AI$5:$AI$1004),Log_Kargo!$AI$5:$AI$1004),0.9))</f>
        <v>3.00000000000001</v>
      </c>
      <c r="G105" s="18" t="str">
        <f aca="false">IF(B105&gt;=20,"Siap",IF(B105&gt;=10,"Terbatas","Belum"))</f>
        <v>Siap</v>
      </c>
    </row>
    <row r="106" customFormat="false" ht="15" hidden="false" customHeight="false" outlineLevel="0" collapsed="false">
      <c r="A106" s="17" t="s">
        <v>523</v>
      </c>
      <c r="B106" s="15" t="n">
        <f aca="false">SUMPRODUCT((Log_Kargo!$B$5:$B$1004=$A106)*ISNUMBER(Log_Kargo!$AI$5:$AI$1004))</f>
        <v>22</v>
      </c>
      <c r="C106" s="18" t="n">
        <f aca="false" t="array" ref="C106:C106">IF(B106=0,"",AVERAGE(IF((Log_Kargo!$B$5:$B$1004=$A106)*ISNUMBER(Log_Kargo!$AI$5:$AI$1004),Log_Kargo!$AI$5:$AI$1004)))</f>
        <v>2.09090909090909</v>
      </c>
      <c r="D106" s="18" t="n">
        <f aca="false" t="array" ref="D106:D106">IF(B106=0,"",MAX(IF((Log_Kargo!$B$5:$B$1004=$A106)*ISNUMBER(Log_Kargo!$AI$5:$AI$1004),Log_Kargo!$AI$5:$AI$1004)))</f>
        <v>9</v>
      </c>
      <c r="E106" s="18" t="n">
        <f aca="false" t="array" ref="E106:E106">IF(B106&lt;2,"",STDEV(IF((Log_Kargo!$B$5:$B$1004=$A106)*ISNUMBER(Log_Kargo!$AI$5:$AI$1004),Log_Kargo!$AI$5:$AI$1004)))</f>
        <v>2.32807075062452</v>
      </c>
      <c r="F106" s="18" t="n">
        <f aca="false" t="array" ref="F106:F106">IF(B106=0,"",PERCENTILE(IF((Log_Kargo!$B$5:$B$1004=$A106)*ISNUMBER(Log_Kargo!$AI$5:$AI$1004),Log_Kargo!$AI$5:$AI$1004),0.9))</f>
        <v>5.8</v>
      </c>
      <c r="G106" s="18" t="str">
        <f aca="false">IF(B106&gt;=20,"Siap",IF(B106&gt;=10,"Terbatas","Belum"))</f>
        <v>Siap</v>
      </c>
    </row>
    <row r="107" customFormat="false" ht="15" hidden="false" customHeight="false" outlineLevel="0" collapsed="false">
      <c r="A107" s="17" t="s">
        <v>692</v>
      </c>
      <c r="B107" s="15" t="n">
        <f aca="false">SUMPRODUCT((Log_Kargo!$B$5:$B$1004=$A107)*ISNUMBER(Log_Kargo!$AI$5:$AI$1004))</f>
        <v>0</v>
      </c>
      <c r="C107" s="18" t="str">
        <f aca="false" t="array" ref="C107:C107">IF(B107=0,"",AVERAGE(IF((Log_Kargo!$B$5:$B$1004=$A107)*ISNUMBER(Log_Kargo!$AI$5:$AI$1004),Log_Kargo!$AI$5:$AI$1004)))</f>
        <v/>
      </c>
      <c r="D107" s="18" t="str">
        <f aca="false" t="array" ref="D107:D107">IF(B107=0,"",MAX(IF((Log_Kargo!$B$5:$B$1004=$A107)*ISNUMBER(Log_Kargo!$AI$5:$AI$1004),Log_Kargo!$AI$5:$AI$1004)))</f>
        <v/>
      </c>
      <c r="E107" s="18" t="str">
        <f aca="false" t="array" ref="E107:E107">IF(B107&lt;2,"",STDEV(IF((Log_Kargo!$B$5:$B$1004=$A107)*ISNUMBER(Log_Kargo!$AI$5:$AI$1004),Log_Kargo!$AI$5:$AI$1004)))</f>
        <v/>
      </c>
      <c r="F107" s="18" t="str">
        <f aca="false" t="array" ref="F107:F107">IF(B107=0,"",PERCENTILE(IF((Log_Kargo!$B$5:$B$1004=$A107)*ISNUMBER(Log_Kargo!$AI$5:$AI$1004),Log_Kargo!$AI$5:$AI$1004),0.9))</f>
        <v/>
      </c>
      <c r="G107" s="18" t="str">
        <f aca="false">IF(B107&gt;=20,"Siap",IF(B107&gt;=10,"Terbatas","Belum"))</f>
        <v>Belum</v>
      </c>
    </row>
    <row r="108" customFormat="false" ht="15" hidden="false" customHeight="false" outlineLevel="0" collapsed="false">
      <c r="A108" s="17" t="s">
        <v>599</v>
      </c>
      <c r="B108" s="15" t="n">
        <f aca="false">SUMPRODUCT((Log_Kargo!$B$5:$B$1004=$A108)*ISNUMBER(Log_Kargo!$AI$5:$AI$1004))</f>
        <v>9</v>
      </c>
      <c r="C108" s="18" t="n">
        <f aca="false" t="array" ref="C108:C108">IF(B108=0,"",AVERAGE(IF((Log_Kargo!$B$5:$B$1004=$A108)*ISNUMBER(Log_Kargo!$AI$5:$AI$1004),Log_Kargo!$AI$5:$AI$1004)))</f>
        <v>1</v>
      </c>
      <c r="D108" s="18" t="n">
        <f aca="false" t="array" ref="D108:D108">IF(B108=0,"",MAX(IF((Log_Kargo!$B$5:$B$1004=$A108)*ISNUMBER(Log_Kargo!$AI$5:$AI$1004),Log_Kargo!$AI$5:$AI$1004)))</f>
        <v>4</v>
      </c>
      <c r="E108" s="18" t="n">
        <f aca="false" t="array" ref="E108:E108">IF(B108&lt;2,"",STDEV(IF((Log_Kargo!$B$5:$B$1004=$A108)*ISNUMBER(Log_Kargo!$AI$5:$AI$1004),Log_Kargo!$AI$5:$AI$1004)))</f>
        <v>1.22474487139159</v>
      </c>
      <c r="F108" s="18" t="n">
        <f aca="false" t="array" ref="F108:F108">IF(B108=0,"",PERCENTILE(IF((Log_Kargo!$B$5:$B$1004=$A108)*ISNUMBER(Log_Kargo!$AI$5:$AI$1004),Log_Kargo!$AI$5:$AI$1004),0.9))</f>
        <v>1.6</v>
      </c>
      <c r="G108" s="18" t="str">
        <f aca="false">IF(B108&gt;=20,"Siap",IF(B108&gt;=10,"Terbatas","Belum"))</f>
        <v>Belum</v>
      </c>
    </row>
    <row r="109" customFormat="false" ht="15" hidden="false" customHeight="false" outlineLevel="0" collapsed="false">
      <c r="A109" s="17" t="s">
        <v>693</v>
      </c>
      <c r="B109" s="15" t="n">
        <f aca="false">SUMPRODUCT((Log_Kargo!$B$5:$B$1004=$A109)*ISNUMBER(Log_Kargo!$AI$5:$AI$1004))</f>
        <v>0</v>
      </c>
      <c r="C109" s="18" t="str">
        <f aca="false" t="array" ref="C109:C109">IF(B109=0,"",AVERAGE(IF((Log_Kargo!$B$5:$B$1004=$A109)*ISNUMBER(Log_Kargo!$AI$5:$AI$1004),Log_Kargo!$AI$5:$AI$1004)))</f>
        <v/>
      </c>
      <c r="D109" s="18" t="str">
        <f aca="false" t="array" ref="D109:D109">IF(B109=0,"",MAX(IF((Log_Kargo!$B$5:$B$1004=$A109)*ISNUMBER(Log_Kargo!$AI$5:$AI$1004),Log_Kargo!$AI$5:$AI$1004)))</f>
        <v/>
      </c>
      <c r="E109" s="18" t="str">
        <f aca="false" t="array" ref="E109:E109">IF(B109&lt;2,"",STDEV(IF((Log_Kargo!$B$5:$B$1004=$A109)*ISNUMBER(Log_Kargo!$AI$5:$AI$1004),Log_Kargo!$AI$5:$AI$1004)))</f>
        <v/>
      </c>
      <c r="F109" s="18" t="str">
        <f aca="false" t="array" ref="F109:F109">IF(B109=0,"",PERCENTILE(IF((Log_Kargo!$B$5:$B$1004=$A109)*ISNUMBER(Log_Kargo!$AI$5:$AI$1004),Log_Kargo!$AI$5:$AI$1004),0.9))</f>
        <v/>
      </c>
      <c r="G109" s="18" t="str">
        <f aca="false">IF(B109&gt;=20,"Siap",IF(B109&gt;=10,"Terbatas","Belum"))</f>
        <v>Belum</v>
      </c>
    </row>
    <row r="110" customFormat="false" ht="15" hidden="false" customHeight="false" outlineLevel="0" collapsed="false">
      <c r="A110" s="17" t="s">
        <v>665</v>
      </c>
      <c r="B110" s="15" t="n">
        <f aca="false">SUMPRODUCT((Log_Kargo!$B$5:$B$1004=$A110)*ISNUMBER(Log_Kargo!$AI$5:$AI$1004))</f>
        <v>0</v>
      </c>
      <c r="C110" s="18" t="str">
        <f aca="false" t="array" ref="C110:C110">IF(B110=0,"",AVERAGE(IF((Log_Kargo!$B$5:$B$1004=$A110)*ISNUMBER(Log_Kargo!$AI$5:$AI$1004),Log_Kargo!$AI$5:$AI$1004)))</f>
        <v/>
      </c>
      <c r="D110" s="18" t="str">
        <f aca="false" t="array" ref="D110:D110">IF(B110=0,"",MAX(IF((Log_Kargo!$B$5:$B$1004=$A110)*ISNUMBER(Log_Kargo!$AI$5:$AI$1004),Log_Kargo!$AI$5:$AI$1004)))</f>
        <v/>
      </c>
      <c r="E110" s="18" t="str">
        <f aca="false" t="array" ref="E110:E110">IF(B110&lt;2,"",STDEV(IF((Log_Kargo!$B$5:$B$1004=$A110)*ISNUMBER(Log_Kargo!$AI$5:$AI$1004),Log_Kargo!$AI$5:$AI$1004)))</f>
        <v/>
      </c>
      <c r="F110" s="18" t="str">
        <f aca="false" t="array" ref="F110:F110">IF(B110=0,"",PERCENTILE(IF((Log_Kargo!$B$5:$B$1004=$A110)*ISNUMBER(Log_Kargo!$AI$5:$AI$1004),Log_Kargo!$AI$5:$AI$1004),0.9))</f>
        <v/>
      </c>
      <c r="G110" s="18" t="str">
        <f aca="false">IF(B110&gt;=20,"Siap",IF(B110&gt;=10,"Terbatas","Belum"))</f>
        <v>Belum</v>
      </c>
    </row>
    <row r="112" customFormat="false" ht="15" hidden="false" customHeight="false" outlineLevel="0" collapsed="false">
      <c r="A112" s="3" t="s">
        <v>696</v>
      </c>
    </row>
    <row r="113" customFormat="false" ht="42" hidden="false" customHeight="true" outlineLevel="0" collapsed="false">
      <c r="A113" s="10" t="s">
        <v>37</v>
      </c>
      <c r="B113" s="10" t="s">
        <v>697</v>
      </c>
      <c r="C113" s="10" t="s">
        <v>698</v>
      </c>
      <c r="D113" s="10" t="s">
        <v>699</v>
      </c>
      <c r="E113" s="10" t="s">
        <v>700</v>
      </c>
      <c r="F113" s="10" t="s">
        <v>701</v>
      </c>
      <c r="G113" s="10" t="s">
        <v>702</v>
      </c>
      <c r="H113" s="10" t="s">
        <v>691</v>
      </c>
    </row>
    <row r="114" customFormat="false" ht="15" hidden="false" customHeight="false" outlineLevel="0" collapsed="false">
      <c r="A114" s="17" t="s">
        <v>250</v>
      </c>
      <c r="B114" s="15" t="n">
        <f aca="false">COUNT(Data_CR!$B$5:$B$64)</f>
        <v>0</v>
      </c>
      <c r="C114" s="19" t="str">
        <f aca="false">IF(B114=0,"",AVERAGE(Data_CR!$B$5:$B$64))</f>
        <v/>
      </c>
      <c r="D114" s="19" t="str">
        <f aca="false">IF(B114=0,"",MAX(Data_CR!$B$5:$B$64))</f>
        <v/>
      </c>
      <c r="E114" s="19" t="str">
        <f aca="false">IF(B114&lt;2,"",STDEV(Data_CR!$B$5:$B$64))</f>
        <v/>
      </c>
      <c r="F114" s="19" t="str">
        <f aca="false">IF(B114=0,"",C114/30)</f>
        <v/>
      </c>
      <c r="G114" s="19" t="str">
        <f aca="false">IF(B114&lt;2,"",E114/SQRT(30))</f>
        <v/>
      </c>
      <c r="H114" s="19" t="str">
        <f aca="false">IF(B114&gt;=24,"Siap",IF(B114&gt;=12,"Terbatas","Belum"))</f>
        <v>Belum</v>
      </c>
    </row>
    <row r="115" customFormat="false" ht="15" hidden="false" customHeight="false" outlineLevel="0" collapsed="false">
      <c r="A115" s="17" t="s">
        <v>73</v>
      </c>
      <c r="B115" s="15" t="n">
        <f aca="false">COUNT(Data_CR!$C$5:$C$64)</f>
        <v>0</v>
      </c>
      <c r="C115" s="19" t="str">
        <f aca="false">IF(B115=0,"",AVERAGE(Data_CR!$C$5:$C$64))</f>
        <v/>
      </c>
      <c r="D115" s="19" t="str">
        <f aca="false">IF(B115=0,"",MAX(Data_CR!$C$5:$C$64))</f>
        <v/>
      </c>
      <c r="E115" s="19" t="str">
        <f aca="false">IF(B115&lt;2,"",STDEV(Data_CR!$C$5:$C$64))</f>
        <v/>
      </c>
      <c r="F115" s="19" t="str">
        <f aca="false">IF(B115=0,"",C115/30)</f>
        <v/>
      </c>
      <c r="G115" s="19" t="str">
        <f aca="false">IF(B115&lt;2,"",E115/SQRT(30))</f>
        <v/>
      </c>
      <c r="H115" s="19" t="str">
        <f aca="false">IF(B115&gt;=24,"Siap",IF(B115&gt;=12,"Terbatas","Belum"))</f>
        <v>Belum</v>
      </c>
    </row>
    <row r="116" customFormat="false" ht="15" hidden="false" customHeight="false" outlineLevel="0" collapsed="false">
      <c r="A116" s="17" t="s">
        <v>306</v>
      </c>
      <c r="B116" s="15" t="n">
        <f aca="false">COUNT(Data_CR!$D$5:$D$64)</f>
        <v>0</v>
      </c>
      <c r="C116" s="19" t="str">
        <f aca="false">IF(B116=0,"",AVERAGE(Data_CR!$D$5:$D$64))</f>
        <v/>
      </c>
      <c r="D116" s="19" t="str">
        <f aca="false">IF(B116=0,"",MAX(Data_CR!$D$5:$D$64))</f>
        <v/>
      </c>
      <c r="E116" s="19" t="str">
        <f aca="false">IF(B116&lt;2,"",STDEV(Data_CR!$D$5:$D$64))</f>
        <v/>
      </c>
      <c r="F116" s="19" t="str">
        <f aca="false">IF(B116=0,"",C116/30)</f>
        <v/>
      </c>
      <c r="G116" s="19" t="str">
        <f aca="false">IF(B116&lt;2,"",E116/SQRT(30))</f>
        <v/>
      </c>
      <c r="H116" s="19" t="str">
        <f aca="false">IF(B116&gt;=24,"Siap",IF(B116&gt;=12,"Terbatas","Belum"))</f>
        <v>Belum</v>
      </c>
    </row>
    <row r="117" customFormat="false" ht="15" hidden="false" customHeight="false" outlineLevel="0" collapsed="false">
      <c r="A117" s="17" t="s">
        <v>415</v>
      </c>
      <c r="B117" s="15" t="n">
        <f aca="false">COUNT(Data_CR!$E$5:$E$64)</f>
        <v>0</v>
      </c>
      <c r="C117" s="19" t="str">
        <f aca="false">IF(B117=0,"",AVERAGE(Data_CR!$E$5:$E$64))</f>
        <v/>
      </c>
      <c r="D117" s="19" t="str">
        <f aca="false">IF(B117=0,"",MAX(Data_CR!$E$5:$E$64))</f>
        <v/>
      </c>
      <c r="E117" s="19" t="str">
        <f aca="false">IF(B117&lt;2,"",STDEV(Data_CR!$E$5:$E$64))</f>
        <v/>
      </c>
      <c r="F117" s="19" t="str">
        <f aca="false">IF(B117=0,"",C117/30)</f>
        <v/>
      </c>
      <c r="G117" s="19" t="str">
        <f aca="false">IF(B117&lt;2,"",E117/SQRT(30))</f>
        <v/>
      </c>
      <c r="H117" s="19" t="str">
        <f aca="false">IF(B117&gt;=24,"Siap",IF(B117&gt;=12,"Terbatas","Belum"))</f>
        <v>Belum</v>
      </c>
    </row>
    <row r="118" customFormat="false" ht="15" hidden="false" customHeight="false" outlineLevel="0" collapsed="false">
      <c r="A118" s="17" t="s">
        <v>523</v>
      </c>
      <c r="B118" s="15" t="n">
        <f aca="false">COUNT(Data_CR!$F$5:$F$64)</f>
        <v>0</v>
      </c>
      <c r="C118" s="19" t="str">
        <f aca="false">IF(B118=0,"",AVERAGE(Data_CR!$F$5:$F$64))</f>
        <v/>
      </c>
      <c r="D118" s="19" t="str">
        <f aca="false">IF(B118=0,"",MAX(Data_CR!$F$5:$F$64))</f>
        <v/>
      </c>
      <c r="E118" s="19" t="str">
        <f aca="false">IF(B118&lt;2,"",STDEV(Data_CR!$F$5:$F$64))</f>
        <v/>
      </c>
      <c r="F118" s="19" t="str">
        <f aca="false">IF(B118=0,"",C118/30)</f>
        <v/>
      </c>
      <c r="G118" s="19" t="str">
        <f aca="false">IF(B118&lt;2,"",E118/SQRT(30))</f>
        <v/>
      </c>
      <c r="H118" s="19" t="str">
        <f aca="false">IF(B118&gt;=24,"Siap",IF(B118&gt;=12,"Terbatas","Belum"))</f>
        <v>Belum</v>
      </c>
    </row>
    <row r="119" customFormat="false" ht="15" hidden="false" customHeight="false" outlineLevel="0" collapsed="false">
      <c r="A119" s="17" t="s">
        <v>692</v>
      </c>
      <c r="B119" s="15" t="n">
        <f aca="false">COUNT(Data_CR!$G$5:$G$64)</f>
        <v>0</v>
      </c>
      <c r="C119" s="19" t="str">
        <f aca="false">IF(B119=0,"",AVERAGE(Data_CR!$G$5:$G$64))</f>
        <v/>
      </c>
      <c r="D119" s="19" t="str">
        <f aca="false">IF(B119=0,"",MAX(Data_CR!$G$5:$G$64))</f>
        <v/>
      </c>
      <c r="E119" s="19" t="str">
        <f aca="false">IF(B119&lt;2,"",STDEV(Data_CR!$G$5:$G$64))</f>
        <v/>
      </c>
      <c r="F119" s="19" t="str">
        <f aca="false">IF(B119=0,"",C119/30)</f>
        <v/>
      </c>
      <c r="G119" s="19" t="str">
        <f aca="false">IF(B119&lt;2,"",E119/SQRT(30))</f>
        <v/>
      </c>
      <c r="H119" s="19" t="str">
        <f aca="false">IF(B119&gt;=24,"Siap",IF(B119&gt;=12,"Terbatas","Belum"))</f>
        <v>Belum</v>
      </c>
    </row>
    <row r="120" customFormat="false" ht="15" hidden="false" customHeight="false" outlineLevel="0" collapsed="false">
      <c r="A120" s="17" t="s">
        <v>599</v>
      </c>
      <c r="B120" s="15" t="n">
        <f aca="false">COUNT(Data_CR!$H$5:$H$64)</f>
        <v>0</v>
      </c>
      <c r="C120" s="19" t="str">
        <f aca="false">IF(B120=0,"",AVERAGE(Data_CR!$H$5:$H$64))</f>
        <v/>
      </c>
      <c r="D120" s="19" t="str">
        <f aca="false">IF(B120=0,"",MAX(Data_CR!$H$5:$H$64))</f>
        <v/>
      </c>
      <c r="E120" s="19" t="str">
        <f aca="false">IF(B120&lt;2,"",STDEV(Data_CR!$H$5:$H$64))</f>
        <v/>
      </c>
      <c r="F120" s="19" t="str">
        <f aca="false">IF(B120=0,"",C120/30)</f>
        <v/>
      </c>
      <c r="G120" s="19" t="str">
        <f aca="false">IF(B120&lt;2,"",E120/SQRT(30))</f>
        <v/>
      </c>
      <c r="H120" s="19" t="str">
        <f aca="false">IF(B120&gt;=24,"Siap",IF(B120&gt;=12,"Terbatas","Belum"))</f>
        <v>Belum</v>
      </c>
    </row>
    <row r="121" customFormat="false" ht="15" hidden="false" customHeight="false" outlineLevel="0" collapsed="false">
      <c r="A121" s="17" t="s">
        <v>693</v>
      </c>
      <c r="B121" s="15" t="n">
        <f aca="false">COUNT(Data_CR!$I$5:$I$64)</f>
        <v>0</v>
      </c>
      <c r="C121" s="19" t="str">
        <f aca="false">IF(B121=0,"",AVERAGE(Data_CR!$I$5:$I$64))</f>
        <v/>
      </c>
      <c r="D121" s="19" t="str">
        <f aca="false">IF(B121=0,"",MAX(Data_CR!$I$5:$I$64))</f>
        <v/>
      </c>
      <c r="E121" s="19" t="str">
        <f aca="false">IF(B121&lt;2,"",STDEV(Data_CR!$I$5:$I$64))</f>
        <v/>
      </c>
      <c r="F121" s="19" t="str">
        <f aca="false">IF(B121=0,"",C121/30)</f>
        <v/>
      </c>
      <c r="G121" s="19" t="str">
        <f aca="false">IF(B121&lt;2,"",E121/SQRT(30))</f>
        <v/>
      </c>
      <c r="H121" s="19" t="str">
        <f aca="false">IF(B121&gt;=24,"Siap",IF(B121&gt;=12,"Terbatas","Belum"))</f>
        <v>Belum</v>
      </c>
    </row>
    <row r="123" customFormat="false" ht="15" hidden="false" customHeight="false" outlineLevel="0" collapsed="false">
      <c r="A123" s="3" t="s">
        <v>703</v>
      </c>
    </row>
    <row r="124" customFormat="false" ht="28.35" hidden="false" customHeight="false" outlineLevel="0" collapsed="false">
      <c r="A124" s="10" t="s">
        <v>37</v>
      </c>
      <c r="B124" s="10" t="s">
        <v>704</v>
      </c>
      <c r="C124" s="10" t="s">
        <v>705</v>
      </c>
      <c r="D124" s="10" t="s">
        <v>706</v>
      </c>
      <c r="E124" s="10" t="s">
        <v>707</v>
      </c>
      <c r="F124" s="10" t="s">
        <v>56</v>
      </c>
      <c r="G124" s="10" t="s">
        <v>708</v>
      </c>
    </row>
    <row r="125" customFormat="false" ht="15" hidden="false" customHeight="false" outlineLevel="0" collapsed="false">
      <c r="A125" s="17" t="s">
        <v>250</v>
      </c>
      <c r="B125" s="15" t="n">
        <f aca="false">B6</f>
        <v>15</v>
      </c>
      <c r="C125" s="15" t="n">
        <f aca="false">B18</f>
        <v>0</v>
      </c>
      <c r="D125" s="15" t="n">
        <f aca="false">B66</f>
        <v>0</v>
      </c>
      <c r="E125" s="15" t="n">
        <f aca="false">B114</f>
        <v>0</v>
      </c>
      <c r="F125" s="20" t="str">
        <f aca="false">IF(AND(B125&gt;=20,C125&gt;=20,E125&gt;=24),"Siap Monte Carlo",IF(AND(B125&gt;=20,E125&gt;=12),"Bisa uji sensitivitas (P/C asumsi)","Belum"))</f>
        <v>Belum</v>
      </c>
      <c r="G125" s="20" t="str">
        <f aca="false">TRIM(IF(B125&lt;20,"S ","")&amp;IF(C125&lt;20,"P ","")&amp;IF(D125&lt;20,"C ","")&amp;IF(E125&lt;24,"konsumsi",""))</f>
        <v>S P C konsumsi</v>
      </c>
    </row>
    <row r="126" customFormat="false" ht="15" hidden="false" customHeight="false" outlineLevel="0" collapsed="false">
      <c r="A126" s="17" t="s">
        <v>73</v>
      </c>
      <c r="B126" s="15" t="n">
        <f aca="false">B7</f>
        <v>61</v>
      </c>
      <c r="C126" s="15" t="n">
        <f aca="false">B19</f>
        <v>0</v>
      </c>
      <c r="D126" s="15" t="n">
        <f aca="false">B67</f>
        <v>0</v>
      </c>
      <c r="E126" s="15" t="n">
        <f aca="false">B115</f>
        <v>0</v>
      </c>
      <c r="F126" s="20" t="str">
        <f aca="false">IF(AND(B126&gt;=20,C126&gt;=20,E126&gt;=24),"Siap Monte Carlo",IF(AND(B126&gt;=20,E126&gt;=12),"Bisa uji sensitivitas (P/C asumsi)","Belum"))</f>
        <v>Belum</v>
      </c>
      <c r="G126" s="20" t="str">
        <f aca="false">TRIM(IF(B126&lt;20,"S ","")&amp;IF(C126&lt;20,"P ","")&amp;IF(D126&lt;20,"C ","")&amp;IF(E126&lt;24,"konsumsi",""))</f>
        <v>P C konsumsi</v>
      </c>
    </row>
    <row r="127" customFormat="false" ht="15" hidden="false" customHeight="false" outlineLevel="0" collapsed="false">
      <c r="A127" s="17" t="s">
        <v>306</v>
      </c>
      <c r="B127" s="15" t="n">
        <f aca="false">B8</f>
        <v>31</v>
      </c>
      <c r="C127" s="15" t="n">
        <f aca="false">B20</f>
        <v>0</v>
      </c>
      <c r="D127" s="15" t="n">
        <f aca="false">B68</f>
        <v>0</v>
      </c>
      <c r="E127" s="15" t="n">
        <f aca="false">B116</f>
        <v>0</v>
      </c>
      <c r="F127" s="20" t="str">
        <f aca="false">IF(AND(B127&gt;=20,C127&gt;=20,E127&gt;=24),"Siap Monte Carlo",IF(AND(B127&gt;=20,E127&gt;=12),"Bisa uji sensitivitas (P/C asumsi)","Belum"))</f>
        <v>Belum</v>
      </c>
      <c r="G127" s="20" t="str">
        <f aca="false">TRIM(IF(B127&lt;20,"S ","")&amp;IF(C127&lt;20,"P ","")&amp;IF(D127&lt;20,"C ","")&amp;IF(E127&lt;24,"konsumsi",""))</f>
        <v>P C konsumsi</v>
      </c>
    </row>
    <row r="128" customFormat="false" ht="15" hidden="false" customHeight="false" outlineLevel="0" collapsed="false">
      <c r="A128" s="17" t="s">
        <v>415</v>
      </c>
      <c r="B128" s="15" t="n">
        <f aca="false">B9</f>
        <v>41</v>
      </c>
      <c r="C128" s="15" t="n">
        <f aca="false">B21</f>
        <v>0</v>
      </c>
      <c r="D128" s="15" t="n">
        <f aca="false">B69</f>
        <v>0</v>
      </c>
      <c r="E128" s="15" t="n">
        <f aca="false">B117</f>
        <v>0</v>
      </c>
      <c r="F128" s="20" t="str">
        <f aca="false">IF(AND(B128&gt;=20,C128&gt;=20,E128&gt;=24),"Siap Monte Carlo",IF(AND(B128&gt;=20,E128&gt;=12),"Bisa uji sensitivitas (P/C asumsi)","Belum"))</f>
        <v>Belum</v>
      </c>
      <c r="G128" s="20" t="str">
        <f aca="false">TRIM(IF(B128&lt;20,"S ","")&amp;IF(C128&lt;20,"P ","")&amp;IF(D128&lt;20,"C ","")&amp;IF(E128&lt;24,"konsumsi",""))</f>
        <v>P C konsumsi</v>
      </c>
    </row>
    <row r="129" customFormat="false" ht="15" hidden="false" customHeight="false" outlineLevel="0" collapsed="false">
      <c r="A129" s="17" t="s">
        <v>523</v>
      </c>
      <c r="B129" s="15" t="n">
        <f aca="false">B10</f>
        <v>22</v>
      </c>
      <c r="C129" s="15" t="n">
        <f aca="false">B22</f>
        <v>0</v>
      </c>
      <c r="D129" s="15" t="n">
        <f aca="false">B70</f>
        <v>0</v>
      </c>
      <c r="E129" s="15" t="n">
        <f aca="false">B118</f>
        <v>0</v>
      </c>
      <c r="F129" s="20" t="str">
        <f aca="false">IF(AND(B129&gt;=20,C129&gt;=20,E129&gt;=24),"Siap Monte Carlo",IF(AND(B129&gt;=20,E129&gt;=12),"Bisa uji sensitivitas (P/C asumsi)","Belum"))</f>
        <v>Belum</v>
      </c>
      <c r="G129" s="20" t="str">
        <f aca="false">TRIM(IF(B129&lt;20,"S ","")&amp;IF(C129&lt;20,"P ","")&amp;IF(D129&lt;20,"C ","")&amp;IF(E129&lt;24,"konsumsi",""))</f>
        <v>P C konsumsi</v>
      </c>
    </row>
    <row r="130" customFormat="false" ht="15" hidden="false" customHeight="false" outlineLevel="0" collapsed="false">
      <c r="A130" s="17" t="s">
        <v>692</v>
      </c>
      <c r="B130" s="15" t="n">
        <f aca="false">B11</f>
        <v>0</v>
      </c>
      <c r="C130" s="15" t="n">
        <f aca="false">B23</f>
        <v>0</v>
      </c>
      <c r="D130" s="15" t="n">
        <f aca="false">B71</f>
        <v>0</v>
      </c>
      <c r="E130" s="15" t="n">
        <f aca="false">B119</f>
        <v>0</v>
      </c>
      <c r="F130" s="20" t="str">
        <f aca="false">IF(AND(B130&gt;=20,C130&gt;=20,E130&gt;=24),"Siap Monte Carlo",IF(AND(B130&gt;=20,E130&gt;=12),"Bisa uji sensitivitas (P/C asumsi)","Belum"))</f>
        <v>Belum</v>
      </c>
      <c r="G130" s="20" t="str">
        <f aca="false">TRIM(IF(B130&lt;20,"S ","")&amp;IF(C130&lt;20,"P ","")&amp;IF(D130&lt;20,"C ","")&amp;IF(E130&lt;24,"konsumsi",""))</f>
        <v>S P C konsumsi</v>
      </c>
    </row>
    <row r="131" customFormat="false" ht="15" hidden="false" customHeight="false" outlineLevel="0" collapsed="false">
      <c r="A131" s="17" t="s">
        <v>599</v>
      </c>
      <c r="B131" s="15" t="n">
        <f aca="false">B12</f>
        <v>24</v>
      </c>
      <c r="C131" s="15" t="n">
        <f aca="false">B24</f>
        <v>0</v>
      </c>
      <c r="D131" s="15" t="n">
        <f aca="false">B72</f>
        <v>0</v>
      </c>
      <c r="E131" s="15" t="n">
        <f aca="false">B120</f>
        <v>0</v>
      </c>
      <c r="F131" s="20" t="str">
        <f aca="false">IF(AND(B131&gt;=20,C131&gt;=20,E131&gt;=24),"Siap Monte Carlo",IF(AND(B131&gt;=20,E131&gt;=12),"Bisa uji sensitivitas (P/C asumsi)","Belum"))</f>
        <v>Belum</v>
      </c>
      <c r="G131" s="20" t="str">
        <f aca="false">TRIM(IF(B131&lt;20,"S ","")&amp;IF(C131&lt;20,"P ","")&amp;IF(D131&lt;20,"C ","")&amp;IF(E131&lt;24,"konsumsi",""))</f>
        <v>P C konsumsi</v>
      </c>
    </row>
    <row r="132" customFormat="false" ht="15" hidden="false" customHeight="false" outlineLevel="0" collapsed="false">
      <c r="A132" s="17" t="s">
        <v>693</v>
      </c>
      <c r="B132" s="15" t="n">
        <f aca="false">B13</f>
        <v>0</v>
      </c>
      <c r="C132" s="15" t="n">
        <f aca="false">B25</f>
        <v>0</v>
      </c>
      <c r="D132" s="15" t="n">
        <f aca="false">B73</f>
        <v>0</v>
      </c>
      <c r="E132" s="15" t="n">
        <f aca="false">B121</f>
        <v>0</v>
      </c>
      <c r="F132" s="20" t="str">
        <f aca="false">IF(AND(B132&gt;=20,C132&gt;=20,E132&gt;=24),"Siap Monte Carlo",IF(AND(B132&gt;=20,E132&gt;=12),"Bisa uji sensitivitas (P/C asumsi)","Belum"))</f>
        <v>Belum</v>
      </c>
      <c r="G132" s="20" t="str">
        <f aca="false">TRIM(IF(B132&lt;20,"S ","")&amp;IF(C132&lt;20,"P ","")&amp;IF(D132&lt;20,"C ","")&amp;IF(E132&lt;24,"konsumsi",""))</f>
        <v>S P C konsumsi</v>
      </c>
    </row>
    <row r="134" customFormat="false" ht="15" hidden="false" customHeight="false" outlineLevel="0" collapsed="false">
      <c r="A134" s="3" t="s">
        <v>709</v>
      </c>
    </row>
    <row r="135" customFormat="false" ht="28.35" hidden="false" customHeight="false" outlineLevel="0" collapsed="false">
      <c r="A135" s="10" t="s">
        <v>710</v>
      </c>
      <c r="B135" s="10" t="s">
        <v>686</v>
      </c>
      <c r="C135" s="10" t="s">
        <v>711</v>
      </c>
      <c r="D135" s="10" t="s">
        <v>712</v>
      </c>
      <c r="E135" s="10" t="s">
        <v>713</v>
      </c>
      <c r="F135" s="10" t="s">
        <v>714</v>
      </c>
      <c r="G135" s="10" t="s">
        <v>715</v>
      </c>
      <c r="H135" s="10" t="s">
        <v>716</v>
      </c>
    </row>
    <row r="136" customFormat="false" ht="15" hidden="false" customHeight="false" outlineLevel="0" collapsed="false">
      <c r="A136" s="17" t="s">
        <v>250</v>
      </c>
      <c r="B136" s="15" t="n">
        <f aca="false">COUNTIF(Data_Lama!$A$5:$A$185,A136)</f>
        <v>14</v>
      </c>
      <c r="C136" s="18" t="n">
        <f aca="false">AVERAGEIF(Data_Lama!$A$5:$A$185,A136,Data_Lama!$C$5:$C$185)</f>
        <v>11.1428571428571</v>
      </c>
      <c r="D136" s="18" t="n">
        <f aca="false" t="array" ref="D136:D136">MAX(IF((Data_Lama!$A$5:$A$185=$A136),Data_Lama!$C$5:$C$185))</f>
        <v>15</v>
      </c>
      <c r="E136" s="18" t="n">
        <f aca="false">AVERAGEIF(Data_Lama!$A$5:$A$185,A136,Data_Lama!$B$5:$B$185)</f>
        <v>39</v>
      </c>
      <c r="F136" s="18" t="n">
        <f aca="false">AVERAGEIF(Data_Lama!$A$5:$A$185,A136,Data_Lama!$F$5:$F$185)</f>
        <v>60.1428571428571</v>
      </c>
      <c r="G136" s="18" t="n">
        <f aca="false" t="array" ref="G136:G136">MAX(IF((Data_Lama!$A$5:$A$185=$A136),Data_Lama!$F$5:$F$185))</f>
        <v>64</v>
      </c>
      <c r="H136" s="18" t="n">
        <f aca="false" t="array" ref="H136:H136">IF(B136&lt;2,"",STDEV(IF((Data_Lama!$A$5:$A$185=$A136),Data_Lama!$F$5:$F$185)))</f>
        <v>3.34795328653062</v>
      </c>
    </row>
    <row r="137" customFormat="false" ht="15" hidden="false" customHeight="false" outlineLevel="0" collapsed="false">
      <c r="A137" s="17" t="s">
        <v>717</v>
      </c>
      <c r="B137" s="15" t="n">
        <f aca="false">COUNTIF(Data_Lama!$A$5:$A$185,A137)</f>
        <v>49</v>
      </c>
      <c r="C137" s="18" t="n">
        <f aca="false">AVERAGEIF(Data_Lama!$A$5:$A$185,A137,Data_Lama!$C$5:$C$185)</f>
        <v>40.469387755102</v>
      </c>
      <c r="D137" s="18" t="n">
        <f aca="false" t="array" ref="D137:D137">MAX(IF((Data_Lama!$A$5:$A$185=$A137),Data_Lama!$C$5:$C$185))</f>
        <v>66</v>
      </c>
      <c r="E137" s="18" t="n">
        <f aca="false">AVERAGEIF(Data_Lama!$A$5:$A$185,A137,Data_Lama!$B$5:$B$185)</f>
        <v>46</v>
      </c>
      <c r="F137" s="18" t="n">
        <f aca="false">AVERAGEIF(Data_Lama!$A$5:$A$185,A137,Data_Lama!$F$5:$F$185)</f>
        <v>96.4693877551021</v>
      </c>
      <c r="G137" s="18" t="n">
        <f aca="false" t="array" ref="G137:G137">MAX(IF((Data_Lama!$A$5:$A$185=$A137),Data_Lama!$F$5:$F$185))</f>
        <v>122</v>
      </c>
      <c r="H137" s="18" t="n">
        <f aca="false" t="array" ref="H137:H137">IF(B137&lt;2,"",STDEV(IF((Data_Lama!$A$5:$A$185=$A137),Data_Lama!$F$5:$F$185)))</f>
        <v>11.400113378121</v>
      </c>
    </row>
    <row r="138" customFormat="false" ht="15" hidden="false" customHeight="false" outlineLevel="0" collapsed="false">
      <c r="A138" s="17" t="s">
        <v>306</v>
      </c>
      <c r="B138" s="15" t="n">
        <f aca="false">COUNTIF(Data_Lama!$A$5:$A$185,A138)</f>
        <v>32</v>
      </c>
      <c r="C138" s="18" t="n">
        <f aca="false">AVERAGEIF(Data_Lama!$A$5:$A$185,A138,Data_Lama!$C$5:$C$185)</f>
        <v>12.4375</v>
      </c>
      <c r="D138" s="18" t="n">
        <f aca="false" t="array" ref="D138:D138">MAX(IF((Data_Lama!$A$5:$A$185=$A138),Data_Lama!$C$5:$C$185))</f>
        <v>19</v>
      </c>
      <c r="E138" s="18" t="n">
        <f aca="false">AVERAGEIF(Data_Lama!$A$5:$A$185,A138,Data_Lama!$B$5:$B$185)</f>
        <v>46</v>
      </c>
      <c r="F138" s="18" t="n">
        <f aca="false">AVERAGEIF(Data_Lama!$A$5:$A$185,A138,Data_Lama!$F$5:$F$185)</f>
        <v>68.4375</v>
      </c>
      <c r="G138" s="18" t="n">
        <f aca="false" t="array" ref="G138:G138">MAX(IF((Data_Lama!$A$5:$A$185=$A138),Data_Lama!$F$5:$F$185))</f>
        <v>75</v>
      </c>
      <c r="H138" s="18" t="n">
        <f aca="false" t="array" ref="H138:H138">IF(B138&lt;2,"",STDEV(IF((Data_Lama!$A$5:$A$185=$A138),Data_Lama!$F$5:$F$185)))</f>
        <v>3.58255180274547</v>
      </c>
    </row>
    <row r="139" customFormat="false" ht="15" hidden="false" customHeight="false" outlineLevel="0" collapsed="false">
      <c r="A139" s="17" t="s">
        <v>415</v>
      </c>
      <c r="B139" s="15" t="n">
        <f aca="false">COUNTIF(Data_Lama!$A$5:$A$185,A139)</f>
        <v>41</v>
      </c>
      <c r="C139" s="18" t="n">
        <f aca="false">AVERAGEIF(Data_Lama!$A$5:$A$185,A139,Data_Lama!$C$5:$C$185)</f>
        <v>25.4146341463415</v>
      </c>
      <c r="D139" s="18" t="n">
        <f aca="false" t="array" ref="D139:D139">MAX(IF((Data_Lama!$A$5:$A$185=$A139),Data_Lama!$C$5:$C$185))</f>
        <v>54</v>
      </c>
      <c r="E139" s="18" t="n">
        <f aca="false">AVERAGEIF(Data_Lama!$A$5:$A$185,A139,Data_Lama!$B$5:$B$185)</f>
        <v>46</v>
      </c>
      <c r="F139" s="18" t="n">
        <f aca="false">AVERAGEIF(Data_Lama!$A$5:$A$185,A139,Data_Lama!$F$5:$F$185)</f>
        <v>85.4146341463415</v>
      </c>
      <c r="G139" s="18" t="n">
        <f aca="false" t="array" ref="G139:G139">MAX(IF((Data_Lama!$A$5:$A$185=$A139),Data_Lama!$F$5:$F$185))</f>
        <v>114</v>
      </c>
      <c r="H139" s="18" t="n">
        <f aca="false" t="array" ref="H139:H139">IF(B139&lt;2,"",STDEV(IF((Data_Lama!$A$5:$A$185=$A139),Data_Lama!$F$5:$F$185)))</f>
        <v>7.3074469199444</v>
      </c>
    </row>
    <row r="140" customFormat="false" ht="15" hidden="false" customHeight="false" outlineLevel="0" collapsed="false">
      <c r="A140" s="17" t="s">
        <v>523</v>
      </c>
      <c r="B140" s="15" t="n">
        <f aca="false">COUNTIF(Data_Lama!$A$5:$A$185,A140)</f>
        <v>22</v>
      </c>
      <c r="C140" s="18" t="n">
        <f aca="false">AVERAGEIF(Data_Lama!$A$5:$A$185,A140,Data_Lama!$C$5:$C$185)</f>
        <v>10.1363636363636</v>
      </c>
      <c r="D140" s="18" t="n">
        <f aca="false" t="array" ref="D140:D140">MAX(IF((Data_Lama!$A$5:$A$185=$A140),Data_Lama!$C$5:$C$185))</f>
        <v>17</v>
      </c>
      <c r="E140" s="18" t="n">
        <f aca="false">AVERAGEIF(Data_Lama!$A$5:$A$185,A140,Data_Lama!$B$5:$B$185)</f>
        <v>39</v>
      </c>
      <c r="F140" s="18" t="n">
        <f aca="false">AVERAGEIF(Data_Lama!$A$5:$A$185,A140,Data_Lama!$F$5:$F$185)</f>
        <v>53.1363636363636</v>
      </c>
      <c r="G140" s="18" t="n">
        <f aca="false" t="array" ref="G140:G140">MAX(IF((Data_Lama!$A$5:$A$185=$A140),Data_Lama!$F$5:$F$185))</f>
        <v>60</v>
      </c>
      <c r="H140" s="18" t="n">
        <f aca="false" t="array" ref="H140:H140">IF(B140&lt;2,"",STDEV(IF((Data_Lama!$A$5:$A$185=$A140),Data_Lama!$F$5:$F$185)))</f>
        <v>3.39881568372691</v>
      </c>
    </row>
    <row r="141" customFormat="false" ht="15" hidden="false" customHeight="false" outlineLevel="0" collapsed="false">
      <c r="A141" s="17" t="s">
        <v>599</v>
      </c>
      <c r="B141" s="15" t="n">
        <f aca="false">COUNTIF(Data_Lama!$A$5:$A$185,A141)</f>
        <v>23</v>
      </c>
      <c r="C141" s="18" t="n">
        <f aca="false">AVERAGEIF(Data_Lama!$A$5:$A$185,A141,Data_Lama!$C$5:$C$185)</f>
        <v>19.1739130434783</v>
      </c>
      <c r="D141" s="18" t="n">
        <f aca="false" t="array" ref="D141:D141">MAX(IF((Data_Lama!$A$5:$A$185=$A141),Data_Lama!$C$5:$C$185))</f>
        <v>20</v>
      </c>
      <c r="E141" s="18" t="n">
        <f aca="false">AVERAGEIF(Data_Lama!$A$5:$A$185,A141,Data_Lama!$B$5:$B$185)</f>
        <v>39</v>
      </c>
      <c r="F141" s="18" t="n">
        <f aca="false">AVERAGEIF(Data_Lama!$A$5:$A$185,A141,Data_Lama!$F$5:$F$185)</f>
        <v>68.1739130434783</v>
      </c>
      <c r="G141" s="18" t="n">
        <f aca="false" t="array" ref="G141:G141">MAX(IF((Data_Lama!$A$5:$A$185=$A141),Data_Lama!$F$5:$F$185))</f>
        <v>69</v>
      </c>
      <c r="H141" s="18" t="n">
        <f aca="false" t="array" ref="H141:H141">IF(B141&lt;2,"",STDEV(IF((Data_Lama!$A$5:$A$185=$A141),Data_Lama!$F$5:$F$185)))</f>
        <v>1.46635521905795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9" min="1" style="0" width="12"/>
  </cols>
  <sheetData>
    <row r="1" customFormat="false" ht="17.35" hidden="false" customHeight="false" outlineLevel="0" collapsed="false">
      <c r="A1" s="1" t="s">
        <v>718</v>
      </c>
    </row>
    <row r="2" customFormat="false" ht="15" hidden="false" customHeight="false" outlineLevel="0" collapsed="false">
      <c r="A2" s="2" t="s">
        <v>719</v>
      </c>
    </row>
    <row r="4" customFormat="false" ht="15" hidden="false" customHeight="false" outlineLevel="0" collapsed="false">
      <c r="A4" s="10" t="s">
        <v>720</v>
      </c>
      <c r="B4" s="10" t="s">
        <v>250</v>
      </c>
      <c r="C4" s="10" t="s">
        <v>73</v>
      </c>
      <c r="D4" s="10" t="s">
        <v>306</v>
      </c>
      <c r="E4" s="10" t="s">
        <v>415</v>
      </c>
      <c r="F4" s="10" t="s">
        <v>523</v>
      </c>
      <c r="G4" s="10" t="s">
        <v>692</v>
      </c>
      <c r="H4" s="10" t="s">
        <v>599</v>
      </c>
      <c r="I4" s="10" t="s">
        <v>693</v>
      </c>
    </row>
    <row r="5" customFormat="false" ht="15" hidden="false" customHeight="false" outlineLevel="0" collapsed="false">
      <c r="A5" s="21" t="n">
        <v>44562</v>
      </c>
      <c r="B5" s="22"/>
      <c r="C5" s="22"/>
      <c r="D5" s="22"/>
      <c r="E5" s="22"/>
      <c r="F5" s="22"/>
      <c r="G5" s="22"/>
      <c r="H5" s="22"/>
      <c r="I5" s="22"/>
    </row>
    <row r="6" customFormat="false" ht="15" hidden="false" customHeight="false" outlineLevel="0" collapsed="false">
      <c r="A6" s="21" t="n">
        <v>44593</v>
      </c>
      <c r="B6" s="22"/>
      <c r="C6" s="22"/>
      <c r="D6" s="22"/>
      <c r="E6" s="22"/>
      <c r="F6" s="22"/>
      <c r="G6" s="22"/>
      <c r="H6" s="22"/>
      <c r="I6" s="22"/>
    </row>
    <row r="7" customFormat="false" ht="15" hidden="false" customHeight="false" outlineLevel="0" collapsed="false">
      <c r="A7" s="21" t="n">
        <v>44621</v>
      </c>
      <c r="B7" s="22"/>
      <c r="C7" s="22"/>
      <c r="D7" s="22"/>
      <c r="E7" s="22"/>
      <c r="F7" s="22"/>
      <c r="G7" s="22"/>
      <c r="H7" s="22"/>
      <c r="I7" s="22"/>
    </row>
    <row r="8" customFormat="false" ht="15" hidden="false" customHeight="false" outlineLevel="0" collapsed="false">
      <c r="A8" s="21" t="n">
        <v>44652</v>
      </c>
      <c r="B8" s="22"/>
      <c r="C8" s="22"/>
      <c r="D8" s="22"/>
      <c r="E8" s="22"/>
      <c r="F8" s="22"/>
      <c r="G8" s="22"/>
      <c r="H8" s="22"/>
      <c r="I8" s="22"/>
    </row>
    <row r="9" customFormat="false" ht="15" hidden="false" customHeight="false" outlineLevel="0" collapsed="false">
      <c r="A9" s="21" t="n">
        <v>44682</v>
      </c>
      <c r="B9" s="22"/>
      <c r="C9" s="22"/>
      <c r="D9" s="22"/>
      <c r="E9" s="22"/>
      <c r="F9" s="22"/>
      <c r="G9" s="22"/>
      <c r="H9" s="22"/>
      <c r="I9" s="22"/>
    </row>
    <row r="10" customFormat="false" ht="15" hidden="false" customHeight="false" outlineLevel="0" collapsed="false">
      <c r="A10" s="21" t="n">
        <v>44713</v>
      </c>
      <c r="B10" s="22"/>
      <c r="C10" s="22"/>
      <c r="D10" s="22"/>
      <c r="E10" s="22"/>
      <c r="F10" s="22"/>
      <c r="G10" s="22"/>
      <c r="H10" s="22"/>
      <c r="I10" s="22"/>
    </row>
    <row r="11" customFormat="false" ht="15" hidden="false" customHeight="false" outlineLevel="0" collapsed="false">
      <c r="A11" s="21" t="n">
        <v>44743</v>
      </c>
      <c r="B11" s="22"/>
      <c r="C11" s="22"/>
      <c r="D11" s="22"/>
      <c r="E11" s="22"/>
      <c r="F11" s="22"/>
      <c r="G11" s="22"/>
      <c r="H11" s="22"/>
      <c r="I11" s="22"/>
    </row>
    <row r="12" customFormat="false" ht="15" hidden="false" customHeight="false" outlineLevel="0" collapsed="false">
      <c r="A12" s="21" t="n">
        <v>44774</v>
      </c>
      <c r="B12" s="22"/>
      <c r="C12" s="22"/>
      <c r="D12" s="22"/>
      <c r="E12" s="22"/>
      <c r="F12" s="22"/>
      <c r="G12" s="22"/>
      <c r="H12" s="22"/>
      <c r="I12" s="22"/>
    </row>
    <row r="13" customFormat="false" ht="15" hidden="false" customHeight="false" outlineLevel="0" collapsed="false">
      <c r="A13" s="21" t="n">
        <v>44805</v>
      </c>
      <c r="B13" s="22"/>
      <c r="C13" s="22"/>
      <c r="D13" s="22"/>
      <c r="E13" s="22"/>
      <c r="F13" s="22"/>
      <c r="G13" s="22"/>
      <c r="H13" s="22"/>
      <c r="I13" s="22"/>
    </row>
    <row r="14" customFormat="false" ht="15" hidden="false" customHeight="false" outlineLevel="0" collapsed="false">
      <c r="A14" s="21" t="n">
        <v>44835</v>
      </c>
      <c r="B14" s="22"/>
      <c r="C14" s="22"/>
      <c r="D14" s="22"/>
      <c r="E14" s="22"/>
      <c r="F14" s="22"/>
      <c r="G14" s="22"/>
      <c r="H14" s="22"/>
      <c r="I14" s="22"/>
    </row>
    <row r="15" customFormat="false" ht="15" hidden="false" customHeight="false" outlineLevel="0" collapsed="false">
      <c r="A15" s="21" t="n">
        <v>44866</v>
      </c>
      <c r="B15" s="22"/>
      <c r="C15" s="22"/>
      <c r="D15" s="22"/>
      <c r="E15" s="22"/>
      <c r="F15" s="22"/>
      <c r="G15" s="22"/>
      <c r="H15" s="22"/>
      <c r="I15" s="22"/>
    </row>
    <row r="16" customFormat="false" ht="15" hidden="false" customHeight="false" outlineLevel="0" collapsed="false">
      <c r="A16" s="21" t="n">
        <v>44896</v>
      </c>
      <c r="B16" s="22"/>
      <c r="C16" s="22"/>
      <c r="D16" s="22"/>
      <c r="E16" s="22"/>
      <c r="F16" s="22"/>
      <c r="G16" s="22"/>
      <c r="H16" s="22"/>
      <c r="I16" s="22"/>
    </row>
    <row r="17" customFormat="false" ht="15" hidden="false" customHeight="false" outlineLevel="0" collapsed="false">
      <c r="A17" s="21" t="n">
        <v>44927</v>
      </c>
      <c r="B17" s="22"/>
      <c r="C17" s="22"/>
      <c r="D17" s="22"/>
      <c r="E17" s="22"/>
      <c r="F17" s="22"/>
      <c r="G17" s="22"/>
      <c r="H17" s="22"/>
      <c r="I17" s="22"/>
    </row>
    <row r="18" customFormat="false" ht="15" hidden="false" customHeight="false" outlineLevel="0" collapsed="false">
      <c r="A18" s="21" t="n">
        <v>44958</v>
      </c>
      <c r="B18" s="22"/>
      <c r="C18" s="22"/>
      <c r="D18" s="22"/>
      <c r="E18" s="22"/>
      <c r="F18" s="22"/>
      <c r="G18" s="22"/>
      <c r="H18" s="22"/>
      <c r="I18" s="22"/>
    </row>
    <row r="19" customFormat="false" ht="15" hidden="false" customHeight="false" outlineLevel="0" collapsed="false">
      <c r="A19" s="21" t="n">
        <v>44986</v>
      </c>
      <c r="B19" s="22"/>
      <c r="C19" s="22"/>
      <c r="D19" s="22"/>
      <c r="E19" s="22"/>
      <c r="F19" s="22"/>
      <c r="G19" s="22"/>
      <c r="H19" s="22"/>
      <c r="I19" s="22"/>
    </row>
    <row r="20" customFormat="false" ht="15" hidden="false" customHeight="false" outlineLevel="0" collapsed="false">
      <c r="A20" s="21" t="n">
        <v>45017</v>
      </c>
      <c r="B20" s="22"/>
      <c r="C20" s="22"/>
      <c r="D20" s="22"/>
      <c r="E20" s="22"/>
      <c r="F20" s="22"/>
      <c r="G20" s="22"/>
      <c r="H20" s="22"/>
      <c r="I20" s="22"/>
    </row>
    <row r="21" customFormat="false" ht="15" hidden="false" customHeight="false" outlineLevel="0" collapsed="false">
      <c r="A21" s="21" t="n">
        <v>45047</v>
      </c>
      <c r="B21" s="22"/>
      <c r="C21" s="22"/>
      <c r="D21" s="22"/>
      <c r="E21" s="22"/>
      <c r="F21" s="22"/>
      <c r="G21" s="22"/>
      <c r="H21" s="22"/>
      <c r="I21" s="22"/>
    </row>
    <row r="22" customFormat="false" ht="15" hidden="false" customHeight="false" outlineLevel="0" collapsed="false">
      <c r="A22" s="21" t="n">
        <v>45078</v>
      </c>
      <c r="B22" s="22"/>
      <c r="C22" s="22"/>
      <c r="D22" s="22"/>
      <c r="E22" s="22"/>
      <c r="F22" s="22"/>
      <c r="G22" s="22"/>
      <c r="H22" s="22"/>
      <c r="I22" s="22"/>
    </row>
    <row r="23" customFormat="false" ht="15" hidden="false" customHeight="false" outlineLevel="0" collapsed="false">
      <c r="A23" s="21" t="n">
        <v>45108</v>
      </c>
      <c r="B23" s="22"/>
      <c r="C23" s="22"/>
      <c r="D23" s="22"/>
      <c r="E23" s="22"/>
      <c r="F23" s="22"/>
      <c r="G23" s="22"/>
      <c r="H23" s="22"/>
      <c r="I23" s="22"/>
    </row>
    <row r="24" customFormat="false" ht="15" hidden="false" customHeight="false" outlineLevel="0" collapsed="false">
      <c r="A24" s="21" t="n">
        <v>45139</v>
      </c>
      <c r="B24" s="22"/>
      <c r="C24" s="22"/>
      <c r="D24" s="22"/>
      <c r="E24" s="22"/>
      <c r="F24" s="22"/>
      <c r="G24" s="22"/>
      <c r="H24" s="22"/>
      <c r="I24" s="22"/>
    </row>
    <row r="25" customFormat="false" ht="15" hidden="false" customHeight="false" outlineLevel="0" collapsed="false">
      <c r="A25" s="21" t="n">
        <v>45170</v>
      </c>
      <c r="B25" s="22"/>
      <c r="C25" s="22"/>
      <c r="D25" s="22"/>
      <c r="E25" s="22"/>
      <c r="F25" s="22"/>
      <c r="G25" s="22"/>
      <c r="H25" s="22"/>
      <c r="I25" s="22"/>
    </row>
    <row r="26" customFormat="false" ht="15" hidden="false" customHeight="false" outlineLevel="0" collapsed="false">
      <c r="A26" s="21" t="n">
        <v>45200</v>
      </c>
      <c r="B26" s="22"/>
      <c r="C26" s="22"/>
      <c r="D26" s="22"/>
      <c r="E26" s="22"/>
      <c r="F26" s="22"/>
      <c r="G26" s="22"/>
      <c r="H26" s="22"/>
      <c r="I26" s="22"/>
    </row>
    <row r="27" customFormat="false" ht="15" hidden="false" customHeight="false" outlineLevel="0" collapsed="false">
      <c r="A27" s="21" t="n">
        <v>45231</v>
      </c>
      <c r="B27" s="22"/>
      <c r="C27" s="22"/>
      <c r="D27" s="22"/>
      <c r="E27" s="22"/>
      <c r="F27" s="22"/>
      <c r="G27" s="22"/>
      <c r="H27" s="22"/>
      <c r="I27" s="22"/>
    </row>
    <row r="28" customFormat="false" ht="15" hidden="false" customHeight="false" outlineLevel="0" collapsed="false">
      <c r="A28" s="21" t="n">
        <v>45261</v>
      </c>
      <c r="B28" s="22"/>
      <c r="C28" s="22"/>
      <c r="D28" s="22"/>
      <c r="E28" s="22"/>
      <c r="F28" s="22"/>
      <c r="G28" s="22"/>
      <c r="H28" s="22"/>
      <c r="I28" s="22"/>
    </row>
    <row r="29" customFormat="false" ht="15" hidden="false" customHeight="false" outlineLevel="0" collapsed="false">
      <c r="A29" s="21" t="n">
        <v>45292</v>
      </c>
      <c r="B29" s="22"/>
      <c r="C29" s="22"/>
      <c r="D29" s="22"/>
      <c r="E29" s="22"/>
      <c r="F29" s="22"/>
      <c r="G29" s="22"/>
      <c r="H29" s="22"/>
      <c r="I29" s="22"/>
    </row>
    <row r="30" customFormat="false" ht="15" hidden="false" customHeight="false" outlineLevel="0" collapsed="false">
      <c r="A30" s="21" t="n">
        <v>45323</v>
      </c>
      <c r="B30" s="22"/>
      <c r="C30" s="22"/>
      <c r="D30" s="22"/>
      <c r="E30" s="22"/>
      <c r="F30" s="22"/>
      <c r="G30" s="22"/>
      <c r="H30" s="22"/>
      <c r="I30" s="22"/>
    </row>
    <row r="31" customFormat="false" ht="15" hidden="false" customHeight="false" outlineLevel="0" collapsed="false">
      <c r="A31" s="21" t="n">
        <v>45352</v>
      </c>
      <c r="B31" s="22"/>
      <c r="C31" s="22"/>
      <c r="D31" s="22"/>
      <c r="E31" s="22"/>
      <c r="F31" s="22"/>
      <c r="G31" s="22"/>
      <c r="H31" s="22"/>
      <c r="I31" s="22"/>
    </row>
    <row r="32" customFormat="false" ht="15" hidden="false" customHeight="false" outlineLevel="0" collapsed="false">
      <c r="A32" s="21" t="n">
        <v>45383</v>
      </c>
      <c r="B32" s="22"/>
      <c r="C32" s="22"/>
      <c r="D32" s="22"/>
      <c r="E32" s="22"/>
      <c r="F32" s="22"/>
      <c r="G32" s="22"/>
      <c r="H32" s="22"/>
      <c r="I32" s="22"/>
    </row>
    <row r="33" customFormat="false" ht="15" hidden="false" customHeight="false" outlineLevel="0" collapsed="false">
      <c r="A33" s="21" t="n">
        <v>45413</v>
      </c>
      <c r="B33" s="22"/>
      <c r="C33" s="22"/>
      <c r="D33" s="22"/>
      <c r="E33" s="22"/>
      <c r="F33" s="22"/>
      <c r="G33" s="22"/>
      <c r="H33" s="22"/>
      <c r="I33" s="22"/>
    </row>
    <row r="34" customFormat="false" ht="15" hidden="false" customHeight="false" outlineLevel="0" collapsed="false">
      <c r="A34" s="21" t="n">
        <v>45444</v>
      </c>
      <c r="B34" s="22"/>
      <c r="C34" s="22"/>
      <c r="D34" s="22"/>
      <c r="E34" s="22"/>
      <c r="F34" s="22"/>
      <c r="G34" s="22"/>
      <c r="H34" s="22"/>
      <c r="I34" s="22"/>
    </row>
    <row r="35" customFormat="false" ht="15" hidden="false" customHeight="false" outlineLevel="0" collapsed="false">
      <c r="A35" s="21" t="n">
        <v>45474</v>
      </c>
      <c r="B35" s="22"/>
      <c r="C35" s="22"/>
      <c r="D35" s="22"/>
      <c r="E35" s="22"/>
      <c r="F35" s="22"/>
      <c r="G35" s="22"/>
      <c r="H35" s="22"/>
      <c r="I35" s="22"/>
    </row>
    <row r="36" customFormat="false" ht="15" hidden="false" customHeight="false" outlineLevel="0" collapsed="false">
      <c r="A36" s="21" t="n">
        <v>45505</v>
      </c>
      <c r="B36" s="22"/>
      <c r="C36" s="22"/>
      <c r="D36" s="22"/>
      <c r="E36" s="22"/>
      <c r="F36" s="22"/>
      <c r="G36" s="22"/>
      <c r="H36" s="22"/>
      <c r="I36" s="22"/>
    </row>
    <row r="37" customFormat="false" ht="15" hidden="false" customHeight="false" outlineLevel="0" collapsed="false">
      <c r="A37" s="21" t="n">
        <v>45536</v>
      </c>
      <c r="B37" s="22"/>
      <c r="C37" s="22"/>
      <c r="D37" s="22"/>
      <c r="E37" s="22"/>
      <c r="F37" s="22"/>
      <c r="G37" s="22"/>
      <c r="H37" s="22"/>
      <c r="I37" s="22"/>
    </row>
    <row r="38" customFormat="false" ht="15" hidden="false" customHeight="false" outlineLevel="0" collapsed="false">
      <c r="A38" s="21" t="n">
        <v>45566</v>
      </c>
      <c r="B38" s="22"/>
      <c r="C38" s="22"/>
      <c r="D38" s="22"/>
      <c r="E38" s="22"/>
      <c r="F38" s="22"/>
      <c r="G38" s="22"/>
      <c r="H38" s="22"/>
      <c r="I38" s="22"/>
    </row>
    <row r="39" customFormat="false" ht="15" hidden="false" customHeight="false" outlineLevel="0" collapsed="false">
      <c r="A39" s="21" t="n">
        <v>45597</v>
      </c>
      <c r="B39" s="22"/>
      <c r="C39" s="22"/>
      <c r="D39" s="22"/>
      <c r="E39" s="22"/>
      <c r="F39" s="22"/>
      <c r="G39" s="22"/>
      <c r="H39" s="22"/>
      <c r="I39" s="22"/>
    </row>
    <row r="40" customFormat="false" ht="15" hidden="false" customHeight="false" outlineLevel="0" collapsed="false">
      <c r="A40" s="21" t="n">
        <v>45627</v>
      </c>
      <c r="B40" s="22"/>
      <c r="C40" s="22"/>
      <c r="D40" s="22"/>
      <c r="E40" s="22"/>
      <c r="F40" s="22"/>
      <c r="G40" s="22"/>
      <c r="H40" s="22"/>
      <c r="I40" s="22"/>
    </row>
    <row r="41" customFormat="false" ht="15" hidden="false" customHeight="false" outlineLevel="0" collapsed="false">
      <c r="A41" s="21" t="n">
        <v>45658</v>
      </c>
      <c r="B41" s="22"/>
      <c r="C41" s="22"/>
      <c r="D41" s="22"/>
      <c r="E41" s="22"/>
      <c r="F41" s="22"/>
      <c r="G41" s="22"/>
      <c r="H41" s="22"/>
      <c r="I41" s="22"/>
    </row>
    <row r="42" customFormat="false" ht="15" hidden="false" customHeight="false" outlineLevel="0" collapsed="false">
      <c r="A42" s="21" t="n">
        <v>45689</v>
      </c>
      <c r="B42" s="22"/>
      <c r="C42" s="22"/>
      <c r="D42" s="22"/>
      <c r="E42" s="22"/>
      <c r="F42" s="22"/>
      <c r="G42" s="22"/>
      <c r="H42" s="22"/>
      <c r="I42" s="22"/>
    </row>
    <row r="43" customFormat="false" ht="15" hidden="false" customHeight="false" outlineLevel="0" collapsed="false">
      <c r="A43" s="21" t="n">
        <v>45717</v>
      </c>
      <c r="B43" s="22"/>
      <c r="C43" s="22"/>
      <c r="D43" s="22"/>
      <c r="E43" s="22"/>
      <c r="F43" s="22"/>
      <c r="G43" s="22"/>
      <c r="H43" s="22"/>
      <c r="I43" s="22"/>
    </row>
    <row r="44" customFormat="false" ht="15" hidden="false" customHeight="false" outlineLevel="0" collapsed="false">
      <c r="A44" s="21" t="n">
        <v>45748</v>
      </c>
      <c r="B44" s="22"/>
      <c r="C44" s="22"/>
      <c r="D44" s="22"/>
      <c r="E44" s="22"/>
      <c r="F44" s="22"/>
      <c r="G44" s="22"/>
      <c r="H44" s="22"/>
      <c r="I44" s="22"/>
    </row>
    <row r="45" customFormat="false" ht="15" hidden="false" customHeight="false" outlineLevel="0" collapsed="false">
      <c r="A45" s="21" t="n">
        <v>45778</v>
      </c>
      <c r="B45" s="22"/>
      <c r="C45" s="22"/>
      <c r="D45" s="22"/>
      <c r="E45" s="22"/>
      <c r="F45" s="22"/>
      <c r="G45" s="22"/>
      <c r="H45" s="22"/>
      <c r="I45" s="22"/>
    </row>
    <row r="46" customFormat="false" ht="15" hidden="false" customHeight="false" outlineLevel="0" collapsed="false">
      <c r="A46" s="21" t="n">
        <v>45809</v>
      </c>
      <c r="B46" s="22"/>
      <c r="C46" s="22"/>
      <c r="D46" s="22"/>
      <c r="E46" s="22"/>
      <c r="F46" s="22"/>
      <c r="G46" s="22"/>
      <c r="H46" s="22"/>
      <c r="I46" s="22"/>
    </row>
    <row r="47" customFormat="false" ht="15" hidden="false" customHeight="false" outlineLevel="0" collapsed="false">
      <c r="A47" s="21" t="n">
        <v>45839</v>
      </c>
      <c r="B47" s="22"/>
      <c r="C47" s="22"/>
      <c r="D47" s="22"/>
      <c r="E47" s="22"/>
      <c r="F47" s="22"/>
      <c r="G47" s="22"/>
      <c r="H47" s="22"/>
      <c r="I47" s="22"/>
    </row>
    <row r="48" customFormat="false" ht="15" hidden="false" customHeight="false" outlineLevel="0" collapsed="false">
      <c r="A48" s="21" t="n">
        <v>45870</v>
      </c>
      <c r="B48" s="22"/>
      <c r="C48" s="22"/>
      <c r="D48" s="22"/>
      <c r="E48" s="22"/>
      <c r="F48" s="22"/>
      <c r="G48" s="22"/>
      <c r="H48" s="22"/>
      <c r="I48" s="22"/>
    </row>
    <row r="49" customFormat="false" ht="15" hidden="false" customHeight="false" outlineLevel="0" collapsed="false">
      <c r="A49" s="21" t="n">
        <v>45901</v>
      </c>
      <c r="B49" s="22"/>
      <c r="C49" s="22"/>
      <c r="D49" s="22"/>
      <c r="E49" s="22"/>
      <c r="F49" s="22"/>
      <c r="G49" s="22"/>
      <c r="H49" s="22"/>
      <c r="I49" s="22"/>
    </row>
    <row r="50" customFormat="false" ht="15" hidden="false" customHeight="false" outlineLevel="0" collapsed="false">
      <c r="A50" s="21" t="n">
        <v>45931</v>
      </c>
      <c r="B50" s="22"/>
      <c r="C50" s="22"/>
      <c r="D50" s="22"/>
      <c r="E50" s="22"/>
      <c r="F50" s="22"/>
      <c r="G50" s="22"/>
      <c r="H50" s="22"/>
      <c r="I50" s="22"/>
    </row>
    <row r="51" customFormat="false" ht="15" hidden="false" customHeight="false" outlineLevel="0" collapsed="false">
      <c r="A51" s="21" t="n">
        <v>45962</v>
      </c>
      <c r="B51" s="22"/>
      <c r="C51" s="22"/>
      <c r="D51" s="22"/>
      <c r="E51" s="22"/>
      <c r="F51" s="22"/>
      <c r="G51" s="22"/>
      <c r="H51" s="22"/>
      <c r="I51" s="22"/>
    </row>
    <row r="52" customFormat="false" ht="15" hidden="false" customHeight="false" outlineLevel="0" collapsed="false">
      <c r="A52" s="21" t="n">
        <v>45992</v>
      </c>
      <c r="B52" s="22"/>
      <c r="C52" s="22"/>
      <c r="D52" s="22"/>
      <c r="E52" s="22"/>
      <c r="F52" s="22"/>
      <c r="G52" s="22"/>
      <c r="H52" s="22"/>
      <c r="I52" s="22"/>
    </row>
    <row r="53" customFormat="false" ht="15" hidden="false" customHeight="false" outlineLevel="0" collapsed="false">
      <c r="A53" s="21" t="n">
        <v>46023</v>
      </c>
      <c r="B53" s="22"/>
      <c r="C53" s="22"/>
      <c r="D53" s="22"/>
      <c r="E53" s="22"/>
      <c r="F53" s="22"/>
      <c r="G53" s="22"/>
      <c r="H53" s="22"/>
      <c r="I53" s="22"/>
    </row>
    <row r="54" customFormat="false" ht="15" hidden="false" customHeight="false" outlineLevel="0" collapsed="false">
      <c r="A54" s="21" t="n">
        <v>46054</v>
      </c>
      <c r="B54" s="22"/>
      <c r="C54" s="22"/>
      <c r="D54" s="22"/>
      <c r="E54" s="22"/>
      <c r="F54" s="22"/>
      <c r="G54" s="22"/>
      <c r="H54" s="22"/>
      <c r="I54" s="22"/>
    </row>
    <row r="55" customFormat="false" ht="15" hidden="false" customHeight="false" outlineLevel="0" collapsed="false">
      <c r="A55" s="21" t="n">
        <v>46082</v>
      </c>
      <c r="B55" s="22"/>
      <c r="C55" s="22"/>
      <c r="D55" s="22"/>
      <c r="E55" s="22"/>
      <c r="F55" s="22"/>
      <c r="G55" s="22"/>
      <c r="H55" s="22"/>
      <c r="I55" s="22"/>
    </row>
    <row r="56" customFormat="false" ht="15" hidden="false" customHeight="false" outlineLevel="0" collapsed="false">
      <c r="A56" s="21" t="n">
        <v>46113</v>
      </c>
      <c r="B56" s="22"/>
      <c r="C56" s="22"/>
      <c r="D56" s="22"/>
      <c r="E56" s="22"/>
      <c r="F56" s="22"/>
      <c r="G56" s="22"/>
      <c r="H56" s="22"/>
      <c r="I56" s="22"/>
    </row>
    <row r="57" customFormat="false" ht="15" hidden="false" customHeight="false" outlineLevel="0" collapsed="false">
      <c r="A57" s="21" t="n">
        <v>46143</v>
      </c>
      <c r="B57" s="22"/>
      <c r="C57" s="22"/>
      <c r="D57" s="22"/>
      <c r="E57" s="22"/>
      <c r="F57" s="22"/>
      <c r="G57" s="22"/>
      <c r="H57" s="22"/>
      <c r="I57" s="22"/>
    </row>
    <row r="58" customFormat="false" ht="15" hidden="false" customHeight="false" outlineLevel="0" collapsed="false">
      <c r="A58" s="21" t="n">
        <v>46174</v>
      </c>
      <c r="B58" s="22"/>
      <c r="C58" s="22"/>
      <c r="D58" s="22"/>
      <c r="E58" s="22"/>
      <c r="F58" s="22"/>
      <c r="G58" s="22"/>
      <c r="H58" s="22"/>
      <c r="I58" s="22"/>
    </row>
    <row r="59" customFormat="false" ht="15" hidden="false" customHeight="false" outlineLevel="0" collapsed="false">
      <c r="A59" s="21" t="n">
        <v>46204</v>
      </c>
      <c r="B59" s="22"/>
      <c r="C59" s="22"/>
      <c r="D59" s="22"/>
      <c r="E59" s="22"/>
      <c r="F59" s="22"/>
      <c r="G59" s="22"/>
      <c r="H59" s="22"/>
      <c r="I59" s="22"/>
    </row>
    <row r="60" customFormat="false" ht="15" hidden="false" customHeight="false" outlineLevel="0" collapsed="false">
      <c r="A60" s="21" t="n">
        <v>46235</v>
      </c>
      <c r="B60" s="22"/>
      <c r="C60" s="22"/>
      <c r="D60" s="22"/>
      <c r="E60" s="22"/>
      <c r="F60" s="22"/>
      <c r="G60" s="22"/>
      <c r="H60" s="22"/>
      <c r="I60" s="22"/>
    </row>
    <row r="61" customFormat="false" ht="15" hidden="false" customHeight="false" outlineLevel="0" collapsed="false">
      <c r="A61" s="21" t="n">
        <v>46266</v>
      </c>
      <c r="B61" s="22"/>
      <c r="C61" s="22"/>
      <c r="D61" s="22"/>
      <c r="E61" s="22"/>
      <c r="F61" s="22"/>
      <c r="G61" s="22"/>
      <c r="H61" s="22"/>
      <c r="I61" s="22"/>
    </row>
    <row r="62" customFormat="false" ht="15" hidden="false" customHeight="false" outlineLevel="0" collapsed="false">
      <c r="A62" s="21" t="n">
        <v>46296</v>
      </c>
      <c r="B62" s="22"/>
      <c r="C62" s="22"/>
      <c r="D62" s="22"/>
      <c r="E62" s="22"/>
      <c r="F62" s="22"/>
      <c r="G62" s="22"/>
      <c r="H62" s="22"/>
      <c r="I62" s="22"/>
    </row>
    <row r="63" customFormat="false" ht="15" hidden="false" customHeight="false" outlineLevel="0" collapsed="false">
      <c r="A63" s="21" t="n">
        <v>46327</v>
      </c>
      <c r="B63" s="22"/>
      <c r="C63" s="22"/>
      <c r="D63" s="22"/>
      <c r="E63" s="22"/>
      <c r="F63" s="22"/>
      <c r="G63" s="22"/>
      <c r="H63" s="22"/>
      <c r="I63" s="22"/>
    </row>
    <row r="64" customFormat="false" ht="15" hidden="false" customHeight="false" outlineLevel="0" collapsed="false">
      <c r="A64" s="21" t="n">
        <v>46357</v>
      </c>
      <c r="B64" s="22"/>
      <c r="C64" s="22"/>
      <c r="D64" s="22"/>
      <c r="E64" s="22"/>
      <c r="F64" s="22"/>
      <c r="G64" s="22"/>
      <c r="H64" s="22"/>
      <c r="I64"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5" min="2" style="0" width="7"/>
    <col collapsed="false" customWidth="true" hidden="false" outlineLevel="0" max="6" min="6" style="0" width="9"/>
    <col collapsed="false" customWidth="true" hidden="false" outlineLevel="0" max="7" min="7" style="0" width="12"/>
    <col collapsed="false" customWidth="true" hidden="false" outlineLevel="0" max="9" min="9" style="0" width="13"/>
    <col collapsed="false" customWidth="true" hidden="false" outlineLevel="0" max="10" min="10" style="0" width="8"/>
    <col collapsed="false" customWidth="true" hidden="false" outlineLevel="0" max="11" min="11" style="0" width="14"/>
  </cols>
  <sheetData>
    <row r="1" customFormat="false" ht="17.35" hidden="false" customHeight="false" outlineLevel="0" collapsed="false">
      <c r="A1" s="1" t="s">
        <v>721</v>
      </c>
    </row>
    <row r="2" customFormat="false" ht="15" hidden="false" customHeight="false" outlineLevel="0" collapsed="false">
      <c r="A2" s="2" t="s">
        <v>722</v>
      </c>
    </row>
    <row r="3" customFormat="false" ht="15" hidden="false" customHeight="false" outlineLevel="0" collapsed="false">
      <c r="I3" s="23" t="s">
        <v>723</v>
      </c>
    </row>
    <row r="4" customFormat="false" ht="28.35" hidden="false" customHeight="false" outlineLevel="0" collapsed="false">
      <c r="A4" s="10" t="s">
        <v>37</v>
      </c>
      <c r="B4" s="10" t="s">
        <v>724</v>
      </c>
      <c r="C4" s="10" t="s">
        <v>725</v>
      </c>
      <c r="D4" s="10" t="s">
        <v>726</v>
      </c>
      <c r="E4" s="10" t="s">
        <v>727</v>
      </c>
      <c r="F4" s="10" t="s">
        <v>728</v>
      </c>
      <c r="G4" s="10" t="s">
        <v>729</v>
      </c>
      <c r="I4" s="10" t="s">
        <v>37</v>
      </c>
      <c r="J4" s="10" t="s">
        <v>730</v>
      </c>
      <c r="K4" s="10" t="s">
        <v>731</v>
      </c>
    </row>
    <row r="5" customFormat="false" ht="15" hidden="false" customHeight="false" outlineLevel="0" collapsed="false">
      <c r="A5" s="17" t="s">
        <v>250</v>
      </c>
      <c r="B5" s="17" t="n">
        <v>39</v>
      </c>
      <c r="C5" s="17" t="n">
        <v>15</v>
      </c>
      <c r="D5" s="17" t="n">
        <v>10</v>
      </c>
      <c r="E5" s="17"/>
      <c r="F5" s="17" t="n">
        <v>64</v>
      </c>
      <c r="G5" s="17" t="s">
        <v>261</v>
      </c>
      <c r="I5" s="24" t="s">
        <v>250</v>
      </c>
      <c r="J5" s="0" t="n">
        <v>1</v>
      </c>
      <c r="K5" s="25" t="n">
        <v>9295.184</v>
      </c>
    </row>
    <row r="6" customFormat="false" ht="15" hidden="false" customHeight="false" outlineLevel="0" collapsed="false">
      <c r="A6" s="17" t="s">
        <v>250</v>
      </c>
      <c r="B6" s="17" t="n">
        <v>39</v>
      </c>
      <c r="C6" s="17" t="n">
        <v>7</v>
      </c>
      <c r="D6" s="17" t="n">
        <v>10</v>
      </c>
      <c r="E6" s="17"/>
      <c r="F6" s="17" t="n">
        <v>56</v>
      </c>
      <c r="G6" s="17" t="s">
        <v>98</v>
      </c>
      <c r="I6" s="24" t="s">
        <v>250</v>
      </c>
      <c r="J6" s="0" t="n">
        <v>2</v>
      </c>
      <c r="K6" s="25" t="n">
        <v>10314.188</v>
      </c>
    </row>
    <row r="7" customFormat="false" ht="15" hidden="false" customHeight="false" outlineLevel="0" collapsed="false">
      <c r="A7" s="17" t="s">
        <v>250</v>
      </c>
      <c r="B7" s="17" t="n">
        <v>39</v>
      </c>
      <c r="C7" s="17" t="n">
        <v>12</v>
      </c>
      <c r="D7" s="17" t="n">
        <v>10</v>
      </c>
      <c r="E7" s="17"/>
      <c r="F7" s="17" t="n">
        <v>61</v>
      </c>
      <c r="G7" s="17" t="s">
        <v>261</v>
      </c>
      <c r="I7" s="24" t="s">
        <v>250</v>
      </c>
      <c r="J7" s="0" t="n">
        <v>3</v>
      </c>
      <c r="K7" s="25" t="n">
        <v>7067.51</v>
      </c>
    </row>
    <row r="8" customFormat="false" ht="15" hidden="false" customHeight="false" outlineLevel="0" collapsed="false">
      <c r="A8" s="17" t="s">
        <v>250</v>
      </c>
      <c r="B8" s="17" t="n">
        <v>39</v>
      </c>
      <c r="C8" s="17" t="n">
        <v>7</v>
      </c>
      <c r="D8" s="17" t="n">
        <v>10</v>
      </c>
      <c r="E8" s="17"/>
      <c r="F8" s="17" t="n">
        <v>56</v>
      </c>
      <c r="G8" s="17" t="s">
        <v>269</v>
      </c>
      <c r="I8" s="24" t="s">
        <v>250</v>
      </c>
      <c r="J8" s="0" t="n">
        <v>4</v>
      </c>
      <c r="K8" s="25" t="n">
        <v>9061.582</v>
      </c>
    </row>
    <row r="9" customFormat="false" ht="15" hidden="false" customHeight="false" outlineLevel="0" collapsed="false">
      <c r="A9" s="17" t="s">
        <v>250</v>
      </c>
      <c r="B9" s="17" t="n">
        <v>39</v>
      </c>
      <c r="C9" s="17" t="n">
        <v>15</v>
      </c>
      <c r="D9" s="17" t="n">
        <v>10</v>
      </c>
      <c r="E9" s="17"/>
      <c r="F9" s="17" t="n">
        <v>64</v>
      </c>
      <c r="G9" s="17" t="s">
        <v>261</v>
      </c>
      <c r="I9" s="24" t="s">
        <v>250</v>
      </c>
      <c r="J9" s="0" t="n">
        <v>5</v>
      </c>
      <c r="K9" s="25" t="n">
        <v>9478.231</v>
      </c>
    </row>
    <row r="10" customFormat="false" ht="15" hidden="false" customHeight="false" outlineLevel="0" collapsed="false">
      <c r="A10" s="17" t="s">
        <v>250</v>
      </c>
      <c r="B10" s="17" t="n">
        <v>39</v>
      </c>
      <c r="C10" s="17" t="n">
        <v>15</v>
      </c>
      <c r="D10" s="17" t="n">
        <v>10</v>
      </c>
      <c r="E10" s="17"/>
      <c r="F10" s="17" t="n">
        <v>64</v>
      </c>
      <c r="G10" s="17" t="s">
        <v>261</v>
      </c>
      <c r="I10" s="24" t="s">
        <v>250</v>
      </c>
      <c r="J10" s="0" t="n">
        <v>6</v>
      </c>
      <c r="K10" s="25" t="n">
        <v>9158.077</v>
      </c>
    </row>
    <row r="11" customFormat="false" ht="15" hidden="false" customHeight="false" outlineLevel="0" collapsed="false">
      <c r="A11" s="17" t="s">
        <v>250</v>
      </c>
      <c r="B11" s="17" t="n">
        <v>39</v>
      </c>
      <c r="C11" s="17" t="n">
        <v>14</v>
      </c>
      <c r="D11" s="17" t="n">
        <v>10</v>
      </c>
      <c r="E11" s="17"/>
      <c r="F11" s="17" t="n">
        <v>63</v>
      </c>
      <c r="G11" s="17" t="s">
        <v>261</v>
      </c>
      <c r="I11" s="24" t="s">
        <v>250</v>
      </c>
      <c r="J11" s="0" t="n">
        <v>7</v>
      </c>
      <c r="K11" s="25" t="n">
        <v>12378.3572</v>
      </c>
    </row>
    <row r="12" customFormat="false" ht="15" hidden="false" customHeight="false" outlineLevel="0" collapsed="false">
      <c r="A12" s="17" t="s">
        <v>250</v>
      </c>
      <c r="B12" s="17" t="n">
        <v>39</v>
      </c>
      <c r="C12" s="17" t="n">
        <v>10</v>
      </c>
      <c r="D12" s="17" t="n">
        <v>10</v>
      </c>
      <c r="E12" s="17"/>
      <c r="F12" s="17" t="n">
        <v>59</v>
      </c>
      <c r="G12" s="17" t="s">
        <v>261</v>
      </c>
      <c r="I12" s="24" t="s">
        <v>250</v>
      </c>
      <c r="J12" s="0" t="n">
        <v>8</v>
      </c>
      <c r="K12" s="25" t="n">
        <v>10420.958</v>
      </c>
    </row>
    <row r="13" customFormat="false" ht="15" hidden="false" customHeight="false" outlineLevel="0" collapsed="false">
      <c r="A13" s="17" t="s">
        <v>250</v>
      </c>
      <c r="B13" s="17" t="n">
        <v>39</v>
      </c>
      <c r="C13" s="17" t="n">
        <v>7</v>
      </c>
      <c r="D13" s="17" t="n">
        <v>10</v>
      </c>
      <c r="E13" s="17"/>
      <c r="F13" s="17" t="n">
        <v>56</v>
      </c>
      <c r="G13" s="17" t="s">
        <v>269</v>
      </c>
      <c r="I13" s="24" t="s">
        <v>250</v>
      </c>
      <c r="J13" s="0" t="n">
        <v>9</v>
      </c>
      <c r="K13" s="25" t="n">
        <v>9226.875</v>
      </c>
    </row>
    <row r="14" customFormat="false" ht="15" hidden="false" customHeight="false" outlineLevel="0" collapsed="false">
      <c r="A14" s="17" t="s">
        <v>250</v>
      </c>
      <c r="B14" s="17" t="n">
        <v>39</v>
      </c>
      <c r="C14" s="17" t="n">
        <v>7</v>
      </c>
      <c r="D14" s="17" t="n">
        <v>10</v>
      </c>
      <c r="E14" s="17"/>
      <c r="F14" s="17" t="n">
        <v>56</v>
      </c>
      <c r="G14" s="17" t="s">
        <v>269</v>
      </c>
      <c r="I14" s="24" t="s">
        <v>250</v>
      </c>
      <c r="J14" s="0" t="n">
        <v>10</v>
      </c>
      <c r="K14" s="25" t="n">
        <v>10841.2301581161</v>
      </c>
    </row>
    <row r="15" customFormat="false" ht="15" hidden="false" customHeight="false" outlineLevel="0" collapsed="false">
      <c r="A15" s="17" t="s">
        <v>250</v>
      </c>
      <c r="B15" s="17" t="n">
        <v>39</v>
      </c>
      <c r="C15" s="17" t="n">
        <v>14</v>
      </c>
      <c r="D15" s="17" t="n">
        <v>10</v>
      </c>
      <c r="E15" s="17"/>
      <c r="F15" s="17" t="n">
        <v>63</v>
      </c>
      <c r="G15" s="17" t="s">
        <v>261</v>
      </c>
      <c r="I15" s="24" t="s">
        <v>250</v>
      </c>
      <c r="J15" s="0" t="n">
        <v>11</v>
      </c>
      <c r="K15" s="25" t="n">
        <v>9763.72</v>
      </c>
    </row>
    <row r="16" customFormat="false" ht="15" hidden="false" customHeight="false" outlineLevel="0" collapsed="false">
      <c r="A16" s="17" t="s">
        <v>250</v>
      </c>
      <c r="B16" s="17" t="n">
        <v>39</v>
      </c>
      <c r="C16" s="17" t="n">
        <v>9</v>
      </c>
      <c r="D16" s="17" t="n">
        <v>10</v>
      </c>
      <c r="E16" s="17"/>
      <c r="F16" s="17" t="n">
        <v>58</v>
      </c>
      <c r="G16" s="17" t="s">
        <v>261</v>
      </c>
      <c r="I16" s="24" t="s">
        <v>250</v>
      </c>
      <c r="J16" s="0" t="n">
        <v>12</v>
      </c>
      <c r="K16" s="25" t="n">
        <v>10601.24</v>
      </c>
    </row>
    <row r="17" customFormat="false" ht="15" hidden="false" customHeight="false" outlineLevel="0" collapsed="false">
      <c r="A17" s="17" t="s">
        <v>250</v>
      </c>
      <c r="B17" s="17" t="n">
        <v>39</v>
      </c>
      <c r="C17" s="17" t="n">
        <v>14</v>
      </c>
      <c r="D17" s="17" t="n">
        <v>10</v>
      </c>
      <c r="E17" s="17"/>
      <c r="F17" s="17" t="n">
        <v>63</v>
      </c>
      <c r="G17" s="17" t="s">
        <v>269</v>
      </c>
      <c r="I17" s="24" t="s">
        <v>717</v>
      </c>
      <c r="J17" s="0" t="n">
        <v>1</v>
      </c>
      <c r="K17" s="25" t="n">
        <v>55738.541</v>
      </c>
    </row>
    <row r="18" customFormat="false" ht="15" hidden="false" customHeight="false" outlineLevel="0" collapsed="false">
      <c r="A18" s="17" t="s">
        <v>250</v>
      </c>
      <c r="B18" s="17" t="n">
        <v>39</v>
      </c>
      <c r="C18" s="17" t="n">
        <v>10</v>
      </c>
      <c r="D18" s="17" t="n">
        <v>10</v>
      </c>
      <c r="E18" s="17"/>
      <c r="F18" s="17" t="n">
        <v>59</v>
      </c>
      <c r="G18" s="17" t="s">
        <v>261</v>
      </c>
      <c r="I18" s="24" t="s">
        <v>717</v>
      </c>
      <c r="J18" s="0" t="n">
        <v>2</v>
      </c>
      <c r="K18" s="25" t="n">
        <v>58749.507</v>
      </c>
    </row>
    <row r="19" customFormat="false" ht="15" hidden="false" customHeight="false" outlineLevel="0" collapsed="false">
      <c r="A19" s="17" t="s">
        <v>717</v>
      </c>
      <c r="B19" s="17" t="n">
        <v>46</v>
      </c>
      <c r="C19" s="17" t="n">
        <v>54</v>
      </c>
      <c r="D19" s="17" t="n">
        <v>10</v>
      </c>
      <c r="E19" s="17"/>
      <c r="F19" s="17" t="n">
        <v>110</v>
      </c>
      <c r="G19" s="17" t="s">
        <v>126</v>
      </c>
      <c r="I19" s="24" t="s">
        <v>717</v>
      </c>
      <c r="J19" s="0" t="n">
        <v>3</v>
      </c>
      <c r="K19" s="25" t="n">
        <v>55700.005</v>
      </c>
    </row>
    <row r="20" customFormat="false" ht="15" hidden="false" customHeight="false" outlineLevel="0" collapsed="false">
      <c r="A20" s="17" t="s">
        <v>717</v>
      </c>
      <c r="B20" s="17" t="n">
        <v>46</v>
      </c>
      <c r="C20" s="17" t="n">
        <v>28</v>
      </c>
      <c r="D20" s="17" t="n">
        <v>10</v>
      </c>
      <c r="E20" s="17"/>
      <c r="F20" s="17" t="n">
        <v>84</v>
      </c>
      <c r="G20" s="17" t="s">
        <v>94</v>
      </c>
      <c r="I20" s="24" t="s">
        <v>717</v>
      </c>
      <c r="J20" s="0" t="n">
        <v>4</v>
      </c>
      <c r="K20" s="25" t="n">
        <v>50873.094</v>
      </c>
    </row>
    <row r="21" customFormat="false" ht="15" hidden="false" customHeight="false" outlineLevel="0" collapsed="false">
      <c r="A21" s="17" t="s">
        <v>717</v>
      </c>
      <c r="B21" s="17" t="n">
        <v>46</v>
      </c>
      <c r="C21" s="17" t="n">
        <v>18</v>
      </c>
      <c r="D21" s="17" t="n">
        <v>10</v>
      </c>
      <c r="E21" s="17"/>
      <c r="F21" s="17" t="n">
        <v>74</v>
      </c>
      <c r="G21" s="17" t="s">
        <v>94</v>
      </c>
      <c r="I21" s="24" t="s">
        <v>717</v>
      </c>
      <c r="J21" s="0" t="n">
        <v>5</v>
      </c>
      <c r="K21" s="25" t="n">
        <v>45590.8298671464</v>
      </c>
    </row>
    <row r="22" customFormat="false" ht="15" hidden="false" customHeight="false" outlineLevel="0" collapsed="false">
      <c r="A22" s="17" t="s">
        <v>717</v>
      </c>
      <c r="B22" s="17" t="n">
        <v>46</v>
      </c>
      <c r="C22" s="17" t="n">
        <v>22</v>
      </c>
      <c r="D22" s="17" t="n">
        <v>10</v>
      </c>
      <c r="E22" s="17"/>
      <c r="F22" s="17" t="n">
        <v>78</v>
      </c>
      <c r="G22" s="17" t="s">
        <v>94</v>
      </c>
      <c r="I22" s="24" t="s">
        <v>717</v>
      </c>
      <c r="J22" s="0" t="n">
        <v>6</v>
      </c>
      <c r="K22" s="25" t="n">
        <v>57307.2328767124</v>
      </c>
    </row>
    <row r="23" customFormat="false" ht="15" hidden="false" customHeight="false" outlineLevel="0" collapsed="false">
      <c r="A23" s="17" t="s">
        <v>717</v>
      </c>
      <c r="B23" s="17" t="n">
        <v>46</v>
      </c>
      <c r="C23" s="17" t="n">
        <v>31</v>
      </c>
      <c r="D23" s="17" t="n">
        <v>10</v>
      </c>
      <c r="E23" s="17"/>
      <c r="F23" s="17" t="n">
        <v>87</v>
      </c>
      <c r="G23" s="17" t="s">
        <v>90</v>
      </c>
      <c r="I23" s="24" t="s">
        <v>717</v>
      </c>
      <c r="J23" s="0" t="n">
        <v>7</v>
      </c>
      <c r="K23" s="25" t="n">
        <v>61091.0252054795</v>
      </c>
    </row>
    <row r="24" customFormat="false" ht="15" hidden="false" customHeight="false" outlineLevel="0" collapsed="false">
      <c r="A24" s="17" t="s">
        <v>717</v>
      </c>
      <c r="B24" s="17" t="n">
        <v>46</v>
      </c>
      <c r="C24" s="17" t="n">
        <v>32</v>
      </c>
      <c r="D24" s="17" t="n">
        <v>10</v>
      </c>
      <c r="E24" s="17"/>
      <c r="F24" s="17" t="n">
        <v>88</v>
      </c>
      <c r="G24" s="17" t="s">
        <v>90</v>
      </c>
      <c r="I24" s="24" t="s">
        <v>306</v>
      </c>
      <c r="J24" s="0" t="n">
        <v>1</v>
      </c>
      <c r="K24" s="25" t="n">
        <v>53340.369</v>
      </c>
    </row>
    <row r="25" customFormat="false" ht="15" hidden="false" customHeight="false" outlineLevel="0" collapsed="false">
      <c r="A25" s="17" t="s">
        <v>717</v>
      </c>
      <c r="B25" s="17" t="n">
        <v>46</v>
      </c>
      <c r="C25" s="17" t="n">
        <v>37</v>
      </c>
      <c r="D25" s="17" t="n">
        <v>10</v>
      </c>
      <c r="E25" s="17"/>
      <c r="F25" s="17" t="n">
        <v>93</v>
      </c>
      <c r="G25" s="17" t="s">
        <v>90</v>
      </c>
      <c r="I25" s="24" t="s">
        <v>306</v>
      </c>
      <c r="J25" s="0" t="n">
        <v>2</v>
      </c>
      <c r="K25" s="25" t="n">
        <v>64190.058</v>
      </c>
    </row>
    <row r="26" customFormat="false" ht="15" hidden="false" customHeight="false" outlineLevel="0" collapsed="false">
      <c r="A26" s="17" t="s">
        <v>717</v>
      </c>
      <c r="B26" s="17" t="n">
        <v>46</v>
      </c>
      <c r="C26" s="17" t="n">
        <v>49</v>
      </c>
      <c r="D26" s="17" t="n">
        <v>10</v>
      </c>
      <c r="E26" s="17"/>
      <c r="F26" s="17" t="n">
        <v>105</v>
      </c>
      <c r="G26" s="17" t="s">
        <v>90</v>
      </c>
      <c r="I26" s="24" t="s">
        <v>306</v>
      </c>
      <c r="J26" s="0" t="n">
        <v>3</v>
      </c>
      <c r="K26" s="25" t="n">
        <v>66245.253</v>
      </c>
    </row>
    <row r="27" customFormat="false" ht="15" hidden="false" customHeight="false" outlineLevel="0" collapsed="false">
      <c r="A27" s="17" t="s">
        <v>717</v>
      </c>
      <c r="B27" s="17" t="n">
        <v>46</v>
      </c>
      <c r="C27" s="17" t="n">
        <v>40</v>
      </c>
      <c r="D27" s="17" t="n">
        <v>10</v>
      </c>
      <c r="E27" s="17"/>
      <c r="F27" s="17" t="n">
        <v>96</v>
      </c>
      <c r="G27" s="17" t="s">
        <v>90</v>
      </c>
      <c r="I27" s="24" t="s">
        <v>306</v>
      </c>
      <c r="J27" s="0" t="n">
        <v>4</v>
      </c>
      <c r="K27" s="25" t="n">
        <v>68312.16</v>
      </c>
    </row>
    <row r="28" customFormat="false" ht="15" hidden="false" customHeight="false" outlineLevel="0" collapsed="false">
      <c r="A28" s="17" t="s">
        <v>717</v>
      </c>
      <c r="B28" s="17" t="n">
        <v>46</v>
      </c>
      <c r="C28" s="17" t="n">
        <v>41</v>
      </c>
      <c r="D28" s="17" t="n">
        <v>10</v>
      </c>
      <c r="E28" s="17"/>
      <c r="F28" s="17" t="n">
        <v>97</v>
      </c>
      <c r="G28" s="17" t="s">
        <v>90</v>
      </c>
      <c r="I28" s="24" t="s">
        <v>306</v>
      </c>
      <c r="J28" s="0" t="n">
        <v>5</v>
      </c>
      <c r="K28" s="25" t="n">
        <v>63315.91535</v>
      </c>
    </row>
    <row r="29" customFormat="false" ht="15" hidden="false" customHeight="false" outlineLevel="0" collapsed="false">
      <c r="A29" s="17" t="s">
        <v>717</v>
      </c>
      <c r="B29" s="17" t="n">
        <v>46</v>
      </c>
      <c r="C29" s="17" t="n">
        <v>42</v>
      </c>
      <c r="D29" s="17" t="n">
        <v>10</v>
      </c>
      <c r="E29" s="17"/>
      <c r="F29" s="17" t="n">
        <v>98</v>
      </c>
      <c r="G29" s="17" t="s">
        <v>126</v>
      </c>
      <c r="I29" s="24" t="s">
        <v>306</v>
      </c>
      <c r="J29" s="0" t="n">
        <v>6</v>
      </c>
      <c r="K29" s="25" t="n">
        <v>70444.52</v>
      </c>
    </row>
    <row r="30" customFormat="false" ht="15" hidden="false" customHeight="false" outlineLevel="0" collapsed="false">
      <c r="A30" s="17" t="s">
        <v>717</v>
      </c>
      <c r="B30" s="17" t="n">
        <v>46</v>
      </c>
      <c r="C30" s="17" t="n">
        <v>27</v>
      </c>
      <c r="D30" s="17" t="n">
        <v>10</v>
      </c>
      <c r="E30" s="17"/>
      <c r="F30" s="17" t="n">
        <v>83</v>
      </c>
      <c r="G30" s="17" t="s">
        <v>94</v>
      </c>
      <c r="I30" s="24" t="s">
        <v>306</v>
      </c>
      <c r="J30" s="0" t="n">
        <v>7</v>
      </c>
      <c r="K30" s="25" t="n">
        <v>75232.8400000001</v>
      </c>
    </row>
    <row r="31" customFormat="false" ht="15" hidden="false" customHeight="false" outlineLevel="0" collapsed="false">
      <c r="A31" s="17" t="s">
        <v>717</v>
      </c>
      <c r="B31" s="17" t="n">
        <v>46</v>
      </c>
      <c r="C31" s="17" t="n">
        <v>28</v>
      </c>
      <c r="D31" s="17" t="n">
        <v>10</v>
      </c>
      <c r="E31" s="17"/>
      <c r="F31" s="17" t="n">
        <v>84</v>
      </c>
      <c r="G31" s="17" t="s">
        <v>94</v>
      </c>
      <c r="I31" s="24" t="s">
        <v>415</v>
      </c>
      <c r="J31" s="0" t="n">
        <v>1</v>
      </c>
      <c r="K31" s="25" t="n">
        <v>71311.452</v>
      </c>
    </row>
    <row r="32" customFormat="false" ht="15" hidden="false" customHeight="false" outlineLevel="0" collapsed="false">
      <c r="A32" s="17" t="s">
        <v>717</v>
      </c>
      <c r="B32" s="17" t="n">
        <v>46</v>
      </c>
      <c r="C32" s="17" t="n">
        <v>42</v>
      </c>
      <c r="D32" s="17" t="n">
        <v>10</v>
      </c>
      <c r="E32" s="17"/>
      <c r="F32" s="17" t="n">
        <v>98</v>
      </c>
      <c r="G32" s="17" t="s">
        <v>126</v>
      </c>
      <c r="I32" s="24" t="s">
        <v>415</v>
      </c>
      <c r="J32" s="0" t="n">
        <v>2</v>
      </c>
      <c r="K32" s="25" t="n">
        <v>51135.444</v>
      </c>
    </row>
    <row r="33" customFormat="false" ht="15" hidden="false" customHeight="false" outlineLevel="0" collapsed="false">
      <c r="A33" s="17" t="s">
        <v>717</v>
      </c>
      <c r="B33" s="17" t="n">
        <v>46</v>
      </c>
      <c r="C33" s="17" t="n">
        <v>50</v>
      </c>
      <c r="D33" s="17" t="n">
        <v>10</v>
      </c>
      <c r="E33" s="17"/>
      <c r="F33" s="17" t="n">
        <v>106</v>
      </c>
      <c r="G33" s="17" t="s">
        <v>126</v>
      </c>
      <c r="I33" s="24" t="s">
        <v>415</v>
      </c>
      <c r="J33" s="0" t="n">
        <v>3</v>
      </c>
      <c r="K33" s="25" t="n">
        <v>50384.733</v>
      </c>
    </row>
    <row r="34" customFormat="false" ht="15" hidden="false" customHeight="false" outlineLevel="0" collapsed="false">
      <c r="A34" s="17" t="s">
        <v>717</v>
      </c>
      <c r="B34" s="17" t="n">
        <v>46</v>
      </c>
      <c r="C34" s="17" t="n">
        <v>44</v>
      </c>
      <c r="D34" s="17" t="n">
        <v>10</v>
      </c>
      <c r="E34" s="17"/>
      <c r="F34" s="17" t="n">
        <v>100</v>
      </c>
      <c r="G34" s="17" t="s">
        <v>126</v>
      </c>
      <c r="I34" s="24" t="s">
        <v>415</v>
      </c>
      <c r="J34" s="0" t="n">
        <v>4</v>
      </c>
      <c r="K34" s="25" t="n">
        <v>75289.499</v>
      </c>
    </row>
    <row r="35" customFormat="false" ht="15" hidden="false" customHeight="false" outlineLevel="0" collapsed="false">
      <c r="A35" s="17" t="s">
        <v>717</v>
      </c>
      <c r="B35" s="17" t="n">
        <v>46</v>
      </c>
      <c r="C35" s="17" t="n">
        <v>43</v>
      </c>
      <c r="D35" s="17" t="n">
        <v>10</v>
      </c>
      <c r="E35" s="17"/>
      <c r="F35" s="17" t="n">
        <v>99</v>
      </c>
      <c r="G35" s="17" t="s">
        <v>126</v>
      </c>
      <c r="I35" s="24" t="s">
        <v>415</v>
      </c>
      <c r="J35" s="0" t="n">
        <v>5</v>
      </c>
      <c r="K35" s="25" t="n">
        <v>59594.9179999999</v>
      </c>
    </row>
    <row r="36" customFormat="false" ht="15" hidden="false" customHeight="false" outlineLevel="0" collapsed="false">
      <c r="A36" s="17" t="s">
        <v>717</v>
      </c>
      <c r="B36" s="17" t="n">
        <v>46</v>
      </c>
      <c r="C36" s="17" t="n">
        <v>39</v>
      </c>
      <c r="D36" s="17" t="n">
        <v>10</v>
      </c>
      <c r="E36" s="17"/>
      <c r="F36" s="17" t="n">
        <v>95</v>
      </c>
      <c r="G36" s="17" t="s">
        <v>90</v>
      </c>
      <c r="I36" s="24" t="s">
        <v>415</v>
      </c>
      <c r="J36" s="0" t="n">
        <v>6</v>
      </c>
      <c r="K36" s="25" t="n">
        <v>14859.894</v>
      </c>
    </row>
    <row r="37" customFormat="false" ht="15" hidden="false" customHeight="false" outlineLevel="0" collapsed="false">
      <c r="A37" s="17" t="s">
        <v>717</v>
      </c>
      <c r="B37" s="17" t="n">
        <v>46</v>
      </c>
      <c r="C37" s="17" t="n">
        <v>43</v>
      </c>
      <c r="D37" s="17" t="n">
        <v>10</v>
      </c>
      <c r="E37" s="17"/>
      <c r="F37" s="17" t="n">
        <v>99</v>
      </c>
      <c r="G37" s="17" t="s">
        <v>90</v>
      </c>
      <c r="I37" s="24" t="s">
        <v>415</v>
      </c>
      <c r="J37" s="0" t="n">
        <v>7</v>
      </c>
      <c r="K37" s="25" t="n">
        <v>25099.396</v>
      </c>
    </row>
    <row r="38" customFormat="false" ht="15" hidden="false" customHeight="false" outlineLevel="0" collapsed="false">
      <c r="A38" s="17" t="s">
        <v>717</v>
      </c>
      <c r="B38" s="17" t="n">
        <v>46</v>
      </c>
      <c r="C38" s="17" t="n">
        <v>43</v>
      </c>
      <c r="D38" s="17" t="n">
        <v>10</v>
      </c>
      <c r="E38" s="17"/>
      <c r="F38" s="17" t="n">
        <v>99</v>
      </c>
      <c r="G38" s="17" t="s">
        <v>90</v>
      </c>
      <c r="I38" s="24" t="s">
        <v>415</v>
      </c>
      <c r="J38" s="0" t="n">
        <v>8</v>
      </c>
      <c r="K38" s="25" t="n">
        <v>47951.612</v>
      </c>
    </row>
    <row r="39" customFormat="false" ht="15" hidden="false" customHeight="false" outlineLevel="0" collapsed="false">
      <c r="A39" s="17" t="s">
        <v>717</v>
      </c>
      <c r="B39" s="17" t="n">
        <v>46</v>
      </c>
      <c r="C39" s="17" t="n">
        <v>42</v>
      </c>
      <c r="D39" s="17" t="n">
        <v>10</v>
      </c>
      <c r="E39" s="17"/>
      <c r="F39" s="17" t="n">
        <v>98</v>
      </c>
      <c r="G39" s="17" t="s">
        <v>90</v>
      </c>
      <c r="I39" s="24" t="s">
        <v>415</v>
      </c>
      <c r="J39" s="0" t="n">
        <v>9</v>
      </c>
      <c r="K39" s="25" t="n">
        <v>81246.188</v>
      </c>
    </row>
    <row r="40" customFormat="false" ht="15" hidden="false" customHeight="false" outlineLevel="0" collapsed="false">
      <c r="A40" s="17" t="s">
        <v>717</v>
      </c>
      <c r="B40" s="17" t="n">
        <v>46</v>
      </c>
      <c r="C40" s="17" t="n">
        <v>44</v>
      </c>
      <c r="D40" s="17" t="n">
        <v>10</v>
      </c>
      <c r="E40" s="17"/>
      <c r="F40" s="17" t="n">
        <v>100</v>
      </c>
      <c r="G40" s="17" t="s">
        <v>90</v>
      </c>
      <c r="I40" s="24" t="s">
        <v>415</v>
      </c>
      <c r="J40" s="0" t="n">
        <v>10</v>
      </c>
      <c r="K40" s="25" t="n">
        <v>32747.102</v>
      </c>
    </row>
    <row r="41" customFormat="false" ht="15" hidden="false" customHeight="false" outlineLevel="0" collapsed="false">
      <c r="A41" s="17" t="s">
        <v>717</v>
      </c>
      <c r="B41" s="17" t="n">
        <v>46</v>
      </c>
      <c r="C41" s="17" t="n">
        <v>46</v>
      </c>
      <c r="D41" s="17" t="n">
        <v>10</v>
      </c>
      <c r="E41" s="17"/>
      <c r="F41" s="17" t="n">
        <v>102</v>
      </c>
      <c r="G41" s="17" t="s">
        <v>90</v>
      </c>
      <c r="I41" s="24" t="s">
        <v>415</v>
      </c>
      <c r="J41" s="0" t="n">
        <v>11</v>
      </c>
      <c r="K41" s="25" t="n">
        <v>54045.6</v>
      </c>
    </row>
    <row r="42" customFormat="false" ht="15" hidden="false" customHeight="false" outlineLevel="0" collapsed="false">
      <c r="A42" s="17" t="s">
        <v>717</v>
      </c>
      <c r="B42" s="17" t="n">
        <v>46</v>
      </c>
      <c r="C42" s="17" t="n">
        <v>35</v>
      </c>
      <c r="D42" s="17" t="n">
        <v>10</v>
      </c>
      <c r="E42" s="17"/>
      <c r="F42" s="17" t="n">
        <v>91</v>
      </c>
      <c r="G42" s="17" t="s">
        <v>90</v>
      </c>
      <c r="I42" s="24" t="s">
        <v>415</v>
      </c>
      <c r="J42" s="0" t="n">
        <v>12</v>
      </c>
      <c r="K42" s="25" t="n">
        <v>81465.2</v>
      </c>
    </row>
    <row r="43" customFormat="false" ht="15" hidden="false" customHeight="false" outlineLevel="0" collapsed="false">
      <c r="A43" s="17" t="s">
        <v>717</v>
      </c>
      <c r="B43" s="17" t="n">
        <v>46</v>
      </c>
      <c r="C43" s="17" t="n">
        <v>42</v>
      </c>
      <c r="D43" s="17" t="n">
        <v>10</v>
      </c>
      <c r="E43" s="17"/>
      <c r="F43" s="17" t="n">
        <v>98</v>
      </c>
      <c r="G43" s="17" t="s">
        <v>126</v>
      </c>
      <c r="I43" s="24" t="s">
        <v>523</v>
      </c>
      <c r="J43" s="0" t="n">
        <v>1</v>
      </c>
      <c r="K43" s="25" t="n">
        <v>8955.83</v>
      </c>
    </row>
    <row r="44" customFormat="false" ht="15" hidden="false" customHeight="false" outlineLevel="0" collapsed="false">
      <c r="A44" s="17" t="s">
        <v>717</v>
      </c>
      <c r="B44" s="17" t="n">
        <v>46</v>
      </c>
      <c r="C44" s="17" t="n">
        <v>51</v>
      </c>
      <c r="D44" s="17" t="n">
        <v>10</v>
      </c>
      <c r="E44" s="17"/>
      <c r="F44" s="17" t="n">
        <v>107</v>
      </c>
      <c r="G44" s="17" t="s">
        <v>126</v>
      </c>
      <c r="I44" s="24" t="s">
        <v>523</v>
      </c>
      <c r="J44" s="0" t="n">
        <v>2</v>
      </c>
      <c r="K44" s="25" t="n">
        <v>10860.3500000001</v>
      </c>
    </row>
    <row r="45" customFormat="false" ht="15" hidden="false" customHeight="false" outlineLevel="0" collapsed="false">
      <c r="A45" s="17" t="s">
        <v>717</v>
      </c>
      <c r="B45" s="17" t="n">
        <v>46</v>
      </c>
      <c r="C45" s="17" t="n">
        <v>58</v>
      </c>
      <c r="D45" s="17" t="n">
        <v>10</v>
      </c>
      <c r="E45" s="17"/>
      <c r="F45" s="17" t="n">
        <v>114</v>
      </c>
      <c r="G45" s="17" t="s">
        <v>126</v>
      </c>
      <c r="I45" s="24" t="s">
        <v>523</v>
      </c>
      <c r="J45" s="0" t="n">
        <v>3</v>
      </c>
      <c r="K45" s="25" t="n">
        <v>12758.644</v>
      </c>
    </row>
    <row r="46" customFormat="false" ht="15" hidden="false" customHeight="false" outlineLevel="0" collapsed="false">
      <c r="A46" s="17" t="s">
        <v>717</v>
      </c>
      <c r="B46" s="17" t="n">
        <v>46</v>
      </c>
      <c r="C46" s="17" t="n">
        <v>66</v>
      </c>
      <c r="D46" s="17" t="n">
        <v>10</v>
      </c>
      <c r="E46" s="17"/>
      <c r="F46" s="17" t="n">
        <v>122</v>
      </c>
      <c r="G46" s="17" t="s">
        <v>126</v>
      </c>
      <c r="I46" s="24" t="s">
        <v>523</v>
      </c>
      <c r="J46" s="0" t="n">
        <v>4</v>
      </c>
      <c r="K46" s="25" t="n">
        <v>19349.956</v>
      </c>
    </row>
    <row r="47" customFormat="false" ht="15" hidden="false" customHeight="false" outlineLevel="0" collapsed="false">
      <c r="A47" s="17" t="s">
        <v>717</v>
      </c>
      <c r="B47" s="17" t="n">
        <v>46</v>
      </c>
      <c r="C47" s="17" t="n">
        <v>22</v>
      </c>
      <c r="D47" s="17" t="n">
        <v>10</v>
      </c>
      <c r="E47" s="17"/>
      <c r="F47" s="17" t="n">
        <v>78</v>
      </c>
      <c r="G47" s="17" t="s">
        <v>94</v>
      </c>
      <c r="I47" s="24" t="s">
        <v>523</v>
      </c>
      <c r="J47" s="0" t="n">
        <v>5</v>
      </c>
      <c r="K47" s="25" t="n">
        <v>11255.078</v>
      </c>
    </row>
    <row r="48" customFormat="false" ht="15" hidden="false" customHeight="false" outlineLevel="0" collapsed="false">
      <c r="A48" s="17" t="s">
        <v>717</v>
      </c>
      <c r="B48" s="17" t="n">
        <v>46</v>
      </c>
      <c r="C48" s="17" t="n">
        <v>23</v>
      </c>
      <c r="D48" s="17" t="n">
        <v>10</v>
      </c>
      <c r="E48" s="17"/>
      <c r="F48" s="17" t="n">
        <v>79</v>
      </c>
      <c r="G48" s="17" t="s">
        <v>94</v>
      </c>
      <c r="I48" s="24" t="s">
        <v>523</v>
      </c>
      <c r="J48" s="0" t="n">
        <v>6</v>
      </c>
      <c r="K48" s="25" t="n">
        <v>23674.975</v>
      </c>
    </row>
    <row r="49" customFormat="false" ht="15" hidden="false" customHeight="false" outlineLevel="0" collapsed="false">
      <c r="A49" s="17" t="s">
        <v>717</v>
      </c>
      <c r="B49" s="17" t="n">
        <v>46</v>
      </c>
      <c r="C49" s="17" t="n">
        <v>45</v>
      </c>
      <c r="D49" s="17" t="n">
        <v>10</v>
      </c>
      <c r="E49" s="17"/>
      <c r="F49" s="17" t="n">
        <v>101</v>
      </c>
      <c r="G49" s="17" t="s">
        <v>90</v>
      </c>
      <c r="I49" s="24" t="s">
        <v>523</v>
      </c>
      <c r="J49" s="0" t="n">
        <v>7</v>
      </c>
      <c r="K49" s="25" t="n">
        <v>41353.2580000001</v>
      </c>
    </row>
    <row r="50" customFormat="false" ht="15" hidden="false" customHeight="false" outlineLevel="0" collapsed="false">
      <c r="A50" s="17" t="s">
        <v>717</v>
      </c>
      <c r="B50" s="17" t="n">
        <v>46</v>
      </c>
      <c r="C50" s="17" t="n">
        <v>63</v>
      </c>
      <c r="D50" s="17" t="n">
        <v>10</v>
      </c>
      <c r="E50" s="17"/>
      <c r="F50" s="17" t="n">
        <v>119</v>
      </c>
      <c r="G50" s="17" t="s">
        <v>90</v>
      </c>
      <c r="I50" s="24" t="s">
        <v>523</v>
      </c>
      <c r="J50" s="0" t="n">
        <v>8</v>
      </c>
      <c r="K50" s="25" t="n">
        <v>29977.9818027398</v>
      </c>
    </row>
    <row r="51" customFormat="false" ht="15" hidden="false" customHeight="false" outlineLevel="0" collapsed="false">
      <c r="A51" s="17" t="s">
        <v>717</v>
      </c>
      <c r="B51" s="17" t="n">
        <v>46</v>
      </c>
      <c r="C51" s="17" t="n">
        <v>28</v>
      </c>
      <c r="D51" s="17" t="n">
        <v>10</v>
      </c>
      <c r="E51" s="17"/>
      <c r="F51" s="17" t="n">
        <v>84</v>
      </c>
      <c r="G51" s="17" t="s">
        <v>90</v>
      </c>
      <c r="I51" s="24" t="s">
        <v>523</v>
      </c>
      <c r="J51" s="0" t="n">
        <v>9</v>
      </c>
      <c r="K51" s="25" t="n">
        <v>56245.5336986302</v>
      </c>
    </row>
    <row r="52" customFormat="false" ht="15" hidden="false" customHeight="false" outlineLevel="0" collapsed="false">
      <c r="A52" s="17" t="s">
        <v>717</v>
      </c>
      <c r="B52" s="17" t="n">
        <v>46</v>
      </c>
      <c r="C52" s="17" t="n">
        <v>45</v>
      </c>
      <c r="D52" s="17" t="n">
        <v>10</v>
      </c>
      <c r="E52" s="17"/>
      <c r="F52" s="17" t="n">
        <v>101</v>
      </c>
      <c r="G52" s="17" t="s">
        <v>90</v>
      </c>
      <c r="I52" s="24" t="s">
        <v>523</v>
      </c>
      <c r="J52" s="0" t="n">
        <v>10</v>
      </c>
      <c r="K52" s="25" t="n">
        <v>45511.2748356166</v>
      </c>
    </row>
    <row r="53" customFormat="false" ht="15" hidden="false" customHeight="false" outlineLevel="0" collapsed="false">
      <c r="A53" s="17" t="s">
        <v>717</v>
      </c>
      <c r="B53" s="17" t="n">
        <v>46</v>
      </c>
      <c r="C53" s="17" t="n">
        <v>42</v>
      </c>
      <c r="D53" s="17" t="n">
        <v>10</v>
      </c>
      <c r="E53" s="17"/>
      <c r="F53" s="17" t="n">
        <v>98</v>
      </c>
      <c r="G53" s="17" t="s">
        <v>90</v>
      </c>
      <c r="I53" s="24" t="s">
        <v>692</v>
      </c>
      <c r="J53" s="0" t="n">
        <v>1</v>
      </c>
      <c r="K53" s="25" t="n">
        <v>50200.158</v>
      </c>
    </row>
    <row r="54" customFormat="false" ht="15" hidden="false" customHeight="false" outlineLevel="0" collapsed="false">
      <c r="A54" s="17" t="s">
        <v>717</v>
      </c>
      <c r="B54" s="17" t="n">
        <v>46</v>
      </c>
      <c r="C54" s="17" t="n">
        <v>41</v>
      </c>
      <c r="D54" s="17" t="n">
        <v>10</v>
      </c>
      <c r="E54" s="17"/>
      <c r="F54" s="17" t="n">
        <v>97</v>
      </c>
      <c r="G54" s="17" t="s">
        <v>126</v>
      </c>
      <c r="I54" s="24" t="s">
        <v>692</v>
      </c>
      <c r="J54" s="0" t="n">
        <v>2</v>
      </c>
      <c r="K54" s="25" t="n">
        <v>52616.518</v>
      </c>
    </row>
    <row r="55" customFormat="false" ht="15" hidden="false" customHeight="false" outlineLevel="0" collapsed="false">
      <c r="A55" s="17" t="s">
        <v>717</v>
      </c>
      <c r="B55" s="17" t="n">
        <v>46</v>
      </c>
      <c r="C55" s="17" t="n">
        <v>44</v>
      </c>
      <c r="D55" s="17" t="n">
        <v>10</v>
      </c>
      <c r="E55" s="17"/>
      <c r="F55" s="17" t="n">
        <v>100</v>
      </c>
      <c r="G55" s="17" t="s">
        <v>90</v>
      </c>
      <c r="I55" s="24" t="s">
        <v>692</v>
      </c>
      <c r="J55" s="0" t="n">
        <v>3</v>
      </c>
      <c r="K55" s="25" t="n">
        <v>53692.729</v>
      </c>
    </row>
    <row r="56" customFormat="false" ht="15" hidden="false" customHeight="false" outlineLevel="0" collapsed="false">
      <c r="A56" s="17" t="s">
        <v>717</v>
      </c>
      <c r="B56" s="17" t="n">
        <v>46</v>
      </c>
      <c r="C56" s="17" t="n">
        <v>44</v>
      </c>
      <c r="D56" s="17" t="n">
        <v>10</v>
      </c>
      <c r="E56" s="17"/>
      <c r="F56" s="17" t="n">
        <v>100</v>
      </c>
      <c r="G56" s="17" t="s">
        <v>90</v>
      </c>
      <c r="I56" s="24" t="s">
        <v>692</v>
      </c>
      <c r="J56" s="0" t="n">
        <v>4</v>
      </c>
      <c r="K56" s="25" t="n">
        <v>60862.992</v>
      </c>
    </row>
    <row r="57" customFormat="false" ht="15" hidden="false" customHeight="false" outlineLevel="0" collapsed="false">
      <c r="A57" s="17" t="s">
        <v>717</v>
      </c>
      <c r="B57" s="17" t="n">
        <v>46</v>
      </c>
      <c r="C57" s="17" t="n">
        <v>49</v>
      </c>
      <c r="D57" s="17" t="n">
        <v>10</v>
      </c>
      <c r="E57" s="17"/>
      <c r="F57" s="17" t="n">
        <v>105</v>
      </c>
      <c r="G57" s="17" t="s">
        <v>90</v>
      </c>
      <c r="I57" s="24" t="s">
        <v>692</v>
      </c>
      <c r="J57" s="0" t="n">
        <v>5</v>
      </c>
      <c r="K57" s="25" t="n">
        <v>56730.735</v>
      </c>
    </row>
    <row r="58" customFormat="false" ht="15" hidden="false" customHeight="false" outlineLevel="0" collapsed="false">
      <c r="A58" s="17" t="s">
        <v>717</v>
      </c>
      <c r="B58" s="17" t="n">
        <v>46</v>
      </c>
      <c r="C58" s="17" t="n">
        <v>42</v>
      </c>
      <c r="D58" s="17" t="n">
        <v>10</v>
      </c>
      <c r="E58" s="17"/>
      <c r="F58" s="17" t="n">
        <v>98</v>
      </c>
      <c r="G58" s="17" t="s">
        <v>90</v>
      </c>
      <c r="I58" s="24" t="s">
        <v>692</v>
      </c>
      <c r="J58" s="0" t="n">
        <v>6</v>
      </c>
      <c r="K58" s="25" t="n">
        <v>54759.354</v>
      </c>
    </row>
    <row r="59" customFormat="false" ht="15" hidden="false" customHeight="false" outlineLevel="0" collapsed="false">
      <c r="A59" s="17" t="s">
        <v>717</v>
      </c>
      <c r="B59" s="17" t="n">
        <v>46</v>
      </c>
      <c r="C59" s="17" t="n">
        <v>40</v>
      </c>
      <c r="D59" s="17" t="n">
        <v>10</v>
      </c>
      <c r="E59" s="17"/>
      <c r="F59" s="17" t="n">
        <v>96</v>
      </c>
      <c r="G59" s="17" t="s">
        <v>90</v>
      </c>
      <c r="I59" s="24" t="s">
        <v>692</v>
      </c>
      <c r="J59" s="0" t="n">
        <v>7</v>
      </c>
      <c r="K59" s="25" t="n">
        <v>55188.753</v>
      </c>
    </row>
    <row r="60" customFormat="false" ht="15" hidden="false" customHeight="false" outlineLevel="0" collapsed="false">
      <c r="A60" s="17" t="s">
        <v>717</v>
      </c>
      <c r="B60" s="17" t="n">
        <v>46</v>
      </c>
      <c r="C60" s="17" t="n">
        <v>62</v>
      </c>
      <c r="D60" s="17" t="n">
        <v>10</v>
      </c>
      <c r="E60" s="17"/>
      <c r="F60" s="17" t="n">
        <v>118</v>
      </c>
      <c r="G60" s="17" t="s">
        <v>126</v>
      </c>
      <c r="I60" s="24" t="s">
        <v>692</v>
      </c>
      <c r="J60" s="0" t="n">
        <v>8</v>
      </c>
      <c r="K60" s="25" t="n">
        <v>59855.027</v>
      </c>
    </row>
    <row r="61" customFormat="false" ht="15" hidden="false" customHeight="false" outlineLevel="0" collapsed="false">
      <c r="A61" s="17" t="s">
        <v>717</v>
      </c>
      <c r="B61" s="17" t="n">
        <v>46</v>
      </c>
      <c r="C61" s="17" t="n">
        <v>51</v>
      </c>
      <c r="D61" s="17" t="n">
        <v>10</v>
      </c>
      <c r="E61" s="17"/>
      <c r="F61" s="17" t="n">
        <v>107</v>
      </c>
      <c r="G61" s="17" t="s">
        <v>126</v>
      </c>
      <c r="I61" s="24" t="s">
        <v>692</v>
      </c>
      <c r="J61" s="0" t="n">
        <v>9</v>
      </c>
      <c r="K61" s="25" t="n">
        <v>55262.192</v>
      </c>
    </row>
    <row r="62" customFormat="false" ht="15" hidden="false" customHeight="false" outlineLevel="0" collapsed="false">
      <c r="A62" s="17" t="s">
        <v>717</v>
      </c>
      <c r="B62" s="17" t="n">
        <v>46</v>
      </c>
      <c r="C62" s="17" t="n">
        <v>55</v>
      </c>
      <c r="D62" s="17" t="n">
        <v>10</v>
      </c>
      <c r="E62" s="17"/>
      <c r="F62" s="17" t="n">
        <v>111</v>
      </c>
      <c r="G62" s="17" t="s">
        <v>90</v>
      </c>
      <c r="I62" s="24" t="s">
        <v>692</v>
      </c>
      <c r="J62" s="0" t="n">
        <v>10</v>
      </c>
      <c r="K62" s="25" t="n">
        <v>36753.3356400151</v>
      </c>
    </row>
    <row r="63" customFormat="false" ht="15" hidden="false" customHeight="false" outlineLevel="0" collapsed="false">
      <c r="A63" s="17" t="s">
        <v>717</v>
      </c>
      <c r="B63" s="17" t="n">
        <v>46</v>
      </c>
      <c r="C63" s="17" t="n">
        <v>48</v>
      </c>
      <c r="D63" s="17" t="n">
        <v>10</v>
      </c>
      <c r="E63" s="17"/>
      <c r="F63" s="17" t="n">
        <v>104</v>
      </c>
      <c r="G63" s="17" t="s">
        <v>90</v>
      </c>
      <c r="I63" s="24" t="s">
        <v>692</v>
      </c>
      <c r="J63" s="0" t="n">
        <v>11</v>
      </c>
      <c r="K63" s="25" t="n">
        <v>48720.5456578947</v>
      </c>
    </row>
    <row r="64" customFormat="false" ht="15" hidden="false" customHeight="false" outlineLevel="0" collapsed="false">
      <c r="A64" s="17" t="s">
        <v>717</v>
      </c>
      <c r="B64" s="17" t="n">
        <v>46</v>
      </c>
      <c r="C64" s="17" t="n">
        <v>26</v>
      </c>
      <c r="D64" s="17" t="n">
        <v>10</v>
      </c>
      <c r="E64" s="17"/>
      <c r="F64" s="17" t="n">
        <v>82</v>
      </c>
      <c r="G64" s="17" t="s">
        <v>94</v>
      </c>
      <c r="I64" s="24" t="s">
        <v>692</v>
      </c>
      <c r="J64" s="0" t="n">
        <v>12</v>
      </c>
      <c r="K64" s="25" t="n">
        <v>61723.480131579</v>
      </c>
    </row>
    <row r="65" customFormat="false" ht="15" hidden="false" customHeight="false" outlineLevel="0" collapsed="false">
      <c r="A65" s="17" t="s">
        <v>717</v>
      </c>
      <c r="B65" s="17" t="n">
        <v>46</v>
      </c>
      <c r="C65" s="17" t="n">
        <v>25</v>
      </c>
      <c r="D65" s="17" t="n">
        <v>10</v>
      </c>
      <c r="E65" s="17"/>
      <c r="F65" s="17" t="n">
        <v>81</v>
      </c>
      <c r="G65" s="17" t="s">
        <v>94</v>
      </c>
      <c r="I65" s="24" t="s">
        <v>599</v>
      </c>
      <c r="J65" s="0" t="n">
        <v>1</v>
      </c>
      <c r="K65" s="25" t="n">
        <v>13838.288</v>
      </c>
    </row>
    <row r="66" customFormat="false" ht="15" hidden="false" customHeight="false" outlineLevel="0" collapsed="false">
      <c r="A66" s="17" t="s">
        <v>717</v>
      </c>
      <c r="B66" s="17" t="n">
        <v>46</v>
      </c>
      <c r="C66" s="17" t="n">
        <v>26</v>
      </c>
      <c r="D66" s="17" t="n">
        <v>10</v>
      </c>
      <c r="E66" s="17"/>
      <c r="F66" s="17" t="n">
        <v>82</v>
      </c>
      <c r="G66" s="17" t="s">
        <v>94</v>
      </c>
      <c r="I66" s="24" t="s">
        <v>599</v>
      </c>
      <c r="J66" s="0" t="n">
        <v>2</v>
      </c>
      <c r="K66" s="25" t="n">
        <v>11456.56</v>
      </c>
    </row>
    <row r="67" customFormat="false" ht="15" hidden="false" customHeight="false" outlineLevel="0" collapsed="false">
      <c r="A67" s="17" t="s">
        <v>717</v>
      </c>
      <c r="B67" s="17" t="n">
        <v>46</v>
      </c>
      <c r="C67" s="17" t="n">
        <v>25</v>
      </c>
      <c r="D67" s="17" t="n">
        <v>10</v>
      </c>
      <c r="E67" s="17"/>
      <c r="F67" s="17" t="n">
        <v>81</v>
      </c>
      <c r="G67" s="17" t="s">
        <v>94</v>
      </c>
      <c r="I67" s="24" t="s">
        <v>599</v>
      </c>
      <c r="J67" s="0" t="n">
        <v>3</v>
      </c>
      <c r="K67" s="25" t="n">
        <v>14732.374</v>
      </c>
    </row>
    <row r="68" customFormat="false" ht="15" hidden="false" customHeight="false" outlineLevel="0" collapsed="false">
      <c r="A68" s="17" t="s">
        <v>306</v>
      </c>
      <c r="B68" s="17" t="n">
        <v>46</v>
      </c>
      <c r="C68" s="17" t="n">
        <v>15</v>
      </c>
      <c r="D68" s="17" t="n">
        <v>10</v>
      </c>
      <c r="E68" s="17"/>
      <c r="F68" s="17" t="n">
        <v>71</v>
      </c>
      <c r="G68" s="17"/>
      <c r="I68" s="24" t="s">
        <v>599</v>
      </c>
      <c r="J68" s="0" t="n">
        <v>4</v>
      </c>
      <c r="K68" s="25" t="n">
        <v>15373.245</v>
      </c>
    </row>
    <row r="69" customFormat="false" ht="15" hidden="false" customHeight="false" outlineLevel="0" collapsed="false">
      <c r="A69" s="17" t="s">
        <v>306</v>
      </c>
      <c r="B69" s="17" t="n">
        <v>46</v>
      </c>
      <c r="C69" s="17" t="n">
        <v>18</v>
      </c>
      <c r="D69" s="17" t="n">
        <v>10</v>
      </c>
      <c r="E69" s="17"/>
      <c r="F69" s="17" t="n">
        <v>74</v>
      </c>
      <c r="G69" s="17" t="s">
        <v>261</v>
      </c>
      <c r="I69" s="24" t="s">
        <v>599</v>
      </c>
      <c r="J69" s="0" t="n">
        <v>5</v>
      </c>
      <c r="K69" s="25" t="n">
        <v>14928.775</v>
      </c>
    </row>
    <row r="70" customFormat="false" ht="15" hidden="false" customHeight="false" outlineLevel="0" collapsed="false">
      <c r="A70" s="17" t="s">
        <v>306</v>
      </c>
      <c r="B70" s="17" t="n">
        <v>46</v>
      </c>
      <c r="C70" s="17" t="n">
        <v>18</v>
      </c>
      <c r="D70" s="17" t="n">
        <v>10</v>
      </c>
      <c r="E70" s="17"/>
      <c r="F70" s="17" t="n">
        <v>74</v>
      </c>
      <c r="G70" s="17" t="s">
        <v>261</v>
      </c>
      <c r="I70" s="24" t="s">
        <v>599</v>
      </c>
      <c r="J70" s="0" t="n">
        <v>6</v>
      </c>
      <c r="K70" s="25" t="n">
        <v>16982.82</v>
      </c>
    </row>
    <row r="71" customFormat="false" ht="15" hidden="false" customHeight="false" outlineLevel="0" collapsed="false">
      <c r="A71" s="17" t="s">
        <v>306</v>
      </c>
      <c r="B71" s="17" t="n">
        <v>46</v>
      </c>
      <c r="C71" s="17" t="n">
        <v>18</v>
      </c>
      <c r="D71" s="17" t="n">
        <v>10</v>
      </c>
      <c r="E71" s="17"/>
      <c r="F71" s="17" t="n">
        <v>74</v>
      </c>
      <c r="G71" s="17" t="s">
        <v>261</v>
      </c>
      <c r="I71" s="24" t="s">
        <v>599</v>
      </c>
      <c r="J71" s="0" t="n">
        <v>7</v>
      </c>
      <c r="K71" s="25" t="n">
        <v>16024.093</v>
      </c>
    </row>
    <row r="72" customFormat="false" ht="15" hidden="false" customHeight="false" outlineLevel="0" collapsed="false">
      <c r="A72" s="17" t="s">
        <v>306</v>
      </c>
      <c r="B72" s="17" t="n">
        <v>46</v>
      </c>
      <c r="C72" s="17" t="n">
        <v>6</v>
      </c>
      <c r="D72" s="17" t="n">
        <v>10</v>
      </c>
      <c r="E72" s="17"/>
      <c r="F72" s="17" t="n">
        <v>62</v>
      </c>
      <c r="G72" s="17" t="s">
        <v>261</v>
      </c>
      <c r="I72" s="24" t="s">
        <v>599</v>
      </c>
      <c r="J72" s="0" t="n">
        <v>8</v>
      </c>
      <c r="K72" s="25" t="n">
        <v>16024.093</v>
      </c>
    </row>
    <row r="73" customFormat="false" ht="15" hidden="false" customHeight="false" outlineLevel="0" collapsed="false">
      <c r="A73" s="17" t="s">
        <v>306</v>
      </c>
      <c r="B73" s="17" t="n">
        <v>46</v>
      </c>
      <c r="C73" s="17" t="n">
        <v>12</v>
      </c>
      <c r="D73" s="17" t="n">
        <v>10</v>
      </c>
      <c r="E73" s="17"/>
      <c r="F73" s="17" t="n">
        <v>68</v>
      </c>
      <c r="G73" s="17" t="s">
        <v>261</v>
      </c>
      <c r="I73" s="24" t="s">
        <v>599</v>
      </c>
      <c r="J73" s="0" t="n">
        <v>9</v>
      </c>
      <c r="K73" s="25" t="n">
        <v>14125.672</v>
      </c>
    </row>
    <row r="74" customFormat="false" ht="15" hidden="false" customHeight="false" outlineLevel="0" collapsed="false">
      <c r="A74" s="17" t="s">
        <v>306</v>
      </c>
      <c r="B74" s="17" t="n">
        <v>46</v>
      </c>
      <c r="C74" s="17" t="n">
        <v>14</v>
      </c>
      <c r="D74" s="17" t="n">
        <v>10</v>
      </c>
      <c r="E74" s="17"/>
      <c r="F74" s="17" t="n">
        <v>70</v>
      </c>
      <c r="G74" s="17" t="s">
        <v>261</v>
      </c>
    </row>
    <row r="75" customFormat="false" ht="15" hidden="false" customHeight="false" outlineLevel="0" collapsed="false">
      <c r="A75" s="17" t="s">
        <v>306</v>
      </c>
      <c r="B75" s="17" t="n">
        <v>46</v>
      </c>
      <c r="C75" s="17" t="n">
        <v>15</v>
      </c>
      <c r="D75" s="17" t="n">
        <v>10</v>
      </c>
      <c r="E75" s="17"/>
      <c r="F75" s="17" t="n">
        <v>71</v>
      </c>
      <c r="G75" s="17" t="s">
        <v>261</v>
      </c>
    </row>
    <row r="76" customFormat="false" ht="15" hidden="false" customHeight="false" outlineLevel="0" collapsed="false">
      <c r="A76" s="17" t="s">
        <v>306</v>
      </c>
      <c r="B76" s="17" t="n">
        <v>46</v>
      </c>
      <c r="C76" s="17" t="n">
        <v>15</v>
      </c>
      <c r="D76" s="17" t="n">
        <v>10</v>
      </c>
      <c r="E76" s="17"/>
      <c r="F76" s="17" t="n">
        <v>71</v>
      </c>
      <c r="G76" s="17" t="s">
        <v>261</v>
      </c>
    </row>
    <row r="77" customFormat="false" ht="15" hidden="false" customHeight="false" outlineLevel="0" collapsed="false">
      <c r="A77" s="17" t="s">
        <v>306</v>
      </c>
      <c r="B77" s="17" t="n">
        <v>46</v>
      </c>
      <c r="C77" s="17" t="n">
        <v>8</v>
      </c>
      <c r="D77" s="17" t="n">
        <v>10</v>
      </c>
      <c r="E77" s="17"/>
      <c r="F77" s="17" t="n">
        <v>64</v>
      </c>
      <c r="G77" s="17" t="s">
        <v>261</v>
      </c>
    </row>
    <row r="78" customFormat="false" ht="15" hidden="false" customHeight="false" outlineLevel="0" collapsed="false">
      <c r="A78" s="17" t="s">
        <v>306</v>
      </c>
      <c r="B78" s="17" t="n">
        <v>46</v>
      </c>
      <c r="C78" s="17" t="n">
        <v>10</v>
      </c>
      <c r="D78" s="17" t="n">
        <v>10</v>
      </c>
      <c r="E78" s="17"/>
      <c r="F78" s="17" t="n">
        <v>66</v>
      </c>
      <c r="G78" s="17" t="s">
        <v>261</v>
      </c>
    </row>
    <row r="79" customFormat="false" ht="15" hidden="false" customHeight="false" outlineLevel="0" collapsed="false">
      <c r="A79" s="17" t="s">
        <v>306</v>
      </c>
      <c r="B79" s="17" t="n">
        <v>46</v>
      </c>
      <c r="C79" s="17" t="n">
        <v>19</v>
      </c>
      <c r="D79" s="17" t="n">
        <v>10</v>
      </c>
      <c r="E79" s="17"/>
      <c r="F79" s="17" t="n">
        <v>75</v>
      </c>
      <c r="G79" s="17" t="s">
        <v>261</v>
      </c>
    </row>
    <row r="80" customFormat="false" ht="15" hidden="false" customHeight="false" outlineLevel="0" collapsed="false">
      <c r="A80" s="17" t="s">
        <v>306</v>
      </c>
      <c r="B80" s="17" t="n">
        <v>46</v>
      </c>
      <c r="C80" s="17" t="n">
        <v>10</v>
      </c>
      <c r="D80" s="17" t="n">
        <v>10</v>
      </c>
      <c r="E80" s="17"/>
      <c r="F80" s="17" t="n">
        <v>66</v>
      </c>
      <c r="G80" s="17" t="s">
        <v>261</v>
      </c>
    </row>
    <row r="81" customFormat="false" ht="15" hidden="false" customHeight="false" outlineLevel="0" collapsed="false">
      <c r="A81" s="17" t="s">
        <v>306</v>
      </c>
      <c r="B81" s="17" t="n">
        <v>46</v>
      </c>
      <c r="C81" s="17" t="n">
        <v>5</v>
      </c>
      <c r="D81" s="17" t="n">
        <v>10</v>
      </c>
      <c r="E81" s="17"/>
      <c r="F81" s="17" t="n">
        <v>61</v>
      </c>
      <c r="G81" s="17" t="s">
        <v>261</v>
      </c>
    </row>
    <row r="82" customFormat="false" ht="15" hidden="false" customHeight="false" outlineLevel="0" collapsed="false">
      <c r="A82" s="17" t="s">
        <v>306</v>
      </c>
      <c r="B82" s="17" t="n">
        <v>46</v>
      </c>
      <c r="C82" s="17" t="n">
        <v>14</v>
      </c>
      <c r="D82" s="17" t="n">
        <v>10</v>
      </c>
      <c r="E82" s="17"/>
      <c r="F82" s="17" t="n">
        <v>70</v>
      </c>
      <c r="G82" s="17" t="s">
        <v>261</v>
      </c>
    </row>
    <row r="83" customFormat="false" ht="15" hidden="false" customHeight="false" outlineLevel="0" collapsed="false">
      <c r="A83" s="17" t="s">
        <v>306</v>
      </c>
      <c r="B83" s="17" t="n">
        <v>46</v>
      </c>
      <c r="C83" s="17" t="n">
        <v>8</v>
      </c>
      <c r="D83" s="17" t="n">
        <v>10</v>
      </c>
      <c r="E83" s="17"/>
      <c r="F83" s="17" t="n">
        <v>64</v>
      </c>
      <c r="G83" s="17" t="s">
        <v>261</v>
      </c>
    </row>
    <row r="84" customFormat="false" ht="15" hidden="false" customHeight="false" outlineLevel="0" collapsed="false">
      <c r="A84" s="17" t="s">
        <v>306</v>
      </c>
      <c r="B84" s="17" t="n">
        <v>46</v>
      </c>
      <c r="C84" s="17" t="n">
        <v>11</v>
      </c>
      <c r="D84" s="17" t="n">
        <v>10</v>
      </c>
      <c r="E84" s="17"/>
      <c r="F84" s="17" t="n">
        <v>67</v>
      </c>
      <c r="G84" s="17" t="s">
        <v>261</v>
      </c>
    </row>
    <row r="85" customFormat="false" ht="15" hidden="false" customHeight="false" outlineLevel="0" collapsed="false">
      <c r="A85" s="17" t="s">
        <v>306</v>
      </c>
      <c r="B85" s="17" t="n">
        <v>46</v>
      </c>
      <c r="C85" s="17" t="n">
        <v>19</v>
      </c>
      <c r="D85" s="17" t="n">
        <v>10</v>
      </c>
      <c r="E85" s="17"/>
      <c r="F85" s="17" t="n">
        <v>75</v>
      </c>
      <c r="G85" s="17" t="s">
        <v>261</v>
      </c>
    </row>
    <row r="86" customFormat="false" ht="15" hidden="false" customHeight="false" outlineLevel="0" collapsed="false">
      <c r="A86" s="17" t="s">
        <v>306</v>
      </c>
      <c r="B86" s="17" t="n">
        <v>46</v>
      </c>
      <c r="C86" s="17" t="n">
        <v>9</v>
      </c>
      <c r="D86" s="17" t="n">
        <v>10</v>
      </c>
      <c r="E86" s="17"/>
      <c r="F86" s="17" t="n">
        <v>65</v>
      </c>
      <c r="G86" s="17" t="s">
        <v>261</v>
      </c>
    </row>
    <row r="87" customFormat="false" ht="15" hidden="false" customHeight="false" outlineLevel="0" collapsed="false">
      <c r="A87" s="17" t="s">
        <v>306</v>
      </c>
      <c r="B87" s="17" t="n">
        <v>46</v>
      </c>
      <c r="C87" s="17" t="n">
        <v>9</v>
      </c>
      <c r="D87" s="17" t="n">
        <v>10</v>
      </c>
      <c r="E87" s="17"/>
      <c r="F87" s="17" t="n">
        <v>65</v>
      </c>
      <c r="G87" s="17" t="s">
        <v>261</v>
      </c>
    </row>
    <row r="88" customFormat="false" ht="15" hidden="false" customHeight="false" outlineLevel="0" collapsed="false">
      <c r="A88" s="17" t="s">
        <v>306</v>
      </c>
      <c r="B88" s="17" t="n">
        <v>46</v>
      </c>
      <c r="C88" s="17" t="n">
        <v>12</v>
      </c>
      <c r="D88" s="17" t="n">
        <v>10</v>
      </c>
      <c r="E88" s="17"/>
      <c r="F88" s="17" t="n">
        <v>68</v>
      </c>
      <c r="G88" s="17" t="s">
        <v>261</v>
      </c>
    </row>
    <row r="89" customFormat="false" ht="15" hidden="false" customHeight="false" outlineLevel="0" collapsed="false">
      <c r="A89" s="17" t="s">
        <v>306</v>
      </c>
      <c r="B89" s="17" t="n">
        <v>46</v>
      </c>
      <c r="C89" s="17" t="n">
        <v>12</v>
      </c>
      <c r="D89" s="17" t="n">
        <v>10</v>
      </c>
      <c r="E89" s="17"/>
      <c r="F89" s="17" t="n">
        <v>68</v>
      </c>
      <c r="G89" s="17" t="s">
        <v>261</v>
      </c>
    </row>
    <row r="90" customFormat="false" ht="15" hidden="false" customHeight="false" outlineLevel="0" collapsed="false">
      <c r="A90" s="17" t="s">
        <v>306</v>
      </c>
      <c r="B90" s="17" t="n">
        <v>46</v>
      </c>
      <c r="C90" s="17" t="n">
        <v>13</v>
      </c>
      <c r="D90" s="17" t="n">
        <v>10</v>
      </c>
      <c r="E90" s="17"/>
      <c r="F90" s="17" t="n">
        <v>69</v>
      </c>
      <c r="G90" s="17" t="s">
        <v>261</v>
      </c>
    </row>
    <row r="91" customFormat="false" ht="15" hidden="false" customHeight="false" outlineLevel="0" collapsed="false">
      <c r="A91" s="17" t="s">
        <v>306</v>
      </c>
      <c r="B91" s="17" t="n">
        <v>46</v>
      </c>
      <c r="C91" s="17" t="n">
        <v>13</v>
      </c>
      <c r="D91" s="17" t="n">
        <v>10</v>
      </c>
      <c r="E91" s="17"/>
      <c r="F91" s="17" t="n">
        <v>69</v>
      </c>
      <c r="G91" s="17" t="s">
        <v>261</v>
      </c>
    </row>
    <row r="92" customFormat="false" ht="15" hidden="false" customHeight="false" outlineLevel="0" collapsed="false">
      <c r="A92" s="17" t="s">
        <v>306</v>
      </c>
      <c r="B92" s="17" t="n">
        <v>46</v>
      </c>
      <c r="C92" s="17" t="n">
        <v>9</v>
      </c>
      <c r="D92" s="17" t="n">
        <v>10</v>
      </c>
      <c r="E92" s="17"/>
      <c r="F92" s="17" t="n">
        <v>65</v>
      </c>
      <c r="G92" s="17" t="s">
        <v>261</v>
      </c>
    </row>
    <row r="93" customFormat="false" ht="15" hidden="false" customHeight="false" outlineLevel="0" collapsed="false">
      <c r="A93" s="17" t="s">
        <v>306</v>
      </c>
      <c r="B93" s="17" t="n">
        <v>46</v>
      </c>
      <c r="C93" s="17" t="n">
        <v>12</v>
      </c>
      <c r="D93" s="17" t="n">
        <v>10</v>
      </c>
      <c r="E93" s="17"/>
      <c r="F93" s="17" t="n">
        <v>68</v>
      </c>
      <c r="G93" s="17" t="s">
        <v>261</v>
      </c>
    </row>
    <row r="94" customFormat="false" ht="15" hidden="false" customHeight="false" outlineLevel="0" collapsed="false">
      <c r="A94" s="17" t="s">
        <v>306</v>
      </c>
      <c r="B94" s="17" t="n">
        <v>46</v>
      </c>
      <c r="C94" s="17" t="n">
        <v>12</v>
      </c>
      <c r="D94" s="17" t="n">
        <v>10</v>
      </c>
      <c r="E94" s="17"/>
      <c r="F94" s="17" t="n">
        <v>68</v>
      </c>
      <c r="G94" s="17" t="s">
        <v>261</v>
      </c>
    </row>
    <row r="95" customFormat="false" ht="15" hidden="false" customHeight="false" outlineLevel="0" collapsed="false">
      <c r="A95" s="17" t="s">
        <v>306</v>
      </c>
      <c r="B95" s="17" t="n">
        <v>46</v>
      </c>
      <c r="C95" s="17" t="n">
        <v>10</v>
      </c>
      <c r="D95" s="17" t="n">
        <v>10</v>
      </c>
      <c r="E95" s="17"/>
      <c r="F95" s="17" t="n">
        <v>66</v>
      </c>
      <c r="G95" s="17" t="s">
        <v>261</v>
      </c>
    </row>
    <row r="96" customFormat="false" ht="15" hidden="false" customHeight="false" outlineLevel="0" collapsed="false">
      <c r="A96" s="17" t="s">
        <v>306</v>
      </c>
      <c r="B96" s="17" t="n">
        <v>46</v>
      </c>
      <c r="C96" s="17" t="n">
        <v>13</v>
      </c>
      <c r="D96" s="17" t="n">
        <v>10</v>
      </c>
      <c r="E96" s="17"/>
      <c r="F96" s="17" t="n">
        <v>69</v>
      </c>
      <c r="G96" s="17" t="s">
        <v>261</v>
      </c>
    </row>
    <row r="97" customFormat="false" ht="15" hidden="false" customHeight="false" outlineLevel="0" collapsed="false">
      <c r="A97" s="17" t="s">
        <v>306</v>
      </c>
      <c r="B97" s="17" t="n">
        <v>46</v>
      </c>
      <c r="C97" s="17" t="n">
        <v>13</v>
      </c>
      <c r="D97" s="17" t="n">
        <v>10</v>
      </c>
      <c r="E97" s="17"/>
      <c r="F97" s="17" t="n">
        <v>69</v>
      </c>
      <c r="G97" s="17" t="s">
        <v>261</v>
      </c>
    </row>
    <row r="98" customFormat="false" ht="15" hidden="false" customHeight="false" outlineLevel="0" collapsed="false">
      <c r="A98" s="17" t="s">
        <v>306</v>
      </c>
      <c r="B98" s="17" t="n">
        <v>46</v>
      </c>
      <c r="C98" s="17" t="n">
        <v>13</v>
      </c>
      <c r="D98" s="17" t="n">
        <v>10</v>
      </c>
      <c r="E98" s="17"/>
      <c r="F98" s="17" t="n">
        <v>69</v>
      </c>
      <c r="G98" s="17" t="s">
        <v>261</v>
      </c>
    </row>
    <row r="99" customFormat="false" ht="15" hidden="false" customHeight="false" outlineLevel="0" collapsed="false">
      <c r="A99" s="17" t="s">
        <v>306</v>
      </c>
      <c r="B99" s="17" t="n">
        <v>46</v>
      </c>
      <c r="C99" s="17" t="n">
        <v>13</v>
      </c>
      <c r="D99" s="17" t="n">
        <v>10</v>
      </c>
      <c r="E99" s="17"/>
      <c r="F99" s="17" t="n">
        <v>69</v>
      </c>
      <c r="G99" s="17" t="s">
        <v>261</v>
      </c>
    </row>
    <row r="100" customFormat="false" ht="15" hidden="false" customHeight="false" outlineLevel="0" collapsed="false">
      <c r="A100" s="17" t="s">
        <v>415</v>
      </c>
      <c r="B100" s="17" t="n">
        <v>46</v>
      </c>
      <c r="C100" s="17" t="n">
        <v>43</v>
      </c>
      <c r="D100" s="17" t="n">
        <v>14</v>
      </c>
      <c r="E100" s="17"/>
      <c r="F100" s="17" t="n">
        <v>103</v>
      </c>
      <c r="G100" s="17" t="s">
        <v>459</v>
      </c>
    </row>
    <row r="101" customFormat="false" ht="15" hidden="false" customHeight="false" outlineLevel="0" collapsed="false">
      <c r="A101" s="17" t="s">
        <v>415</v>
      </c>
      <c r="B101" s="17" t="n">
        <v>46</v>
      </c>
      <c r="C101" s="17" t="n">
        <v>23</v>
      </c>
      <c r="D101" s="17" t="n">
        <v>14</v>
      </c>
      <c r="E101" s="17"/>
      <c r="F101" s="17" t="n">
        <v>83</v>
      </c>
      <c r="G101" s="17" t="s">
        <v>94</v>
      </c>
    </row>
    <row r="102" customFormat="false" ht="15" hidden="false" customHeight="false" outlineLevel="0" collapsed="false">
      <c r="A102" s="17" t="s">
        <v>415</v>
      </c>
      <c r="B102" s="17" t="n">
        <v>46</v>
      </c>
      <c r="C102" s="17" t="n">
        <v>23</v>
      </c>
      <c r="D102" s="17" t="n">
        <v>14</v>
      </c>
      <c r="E102" s="17"/>
      <c r="F102" s="17" t="n">
        <v>83</v>
      </c>
      <c r="G102" s="17" t="s">
        <v>94</v>
      </c>
    </row>
    <row r="103" customFormat="false" ht="15" hidden="false" customHeight="false" outlineLevel="0" collapsed="false">
      <c r="A103" s="17" t="s">
        <v>415</v>
      </c>
      <c r="B103" s="17" t="n">
        <v>46</v>
      </c>
      <c r="C103" s="17" t="n">
        <v>23</v>
      </c>
      <c r="D103" s="17" t="n">
        <v>14</v>
      </c>
      <c r="E103" s="17"/>
      <c r="F103" s="17" t="n">
        <v>83</v>
      </c>
      <c r="G103" s="17" t="s">
        <v>94</v>
      </c>
    </row>
    <row r="104" customFormat="false" ht="15" hidden="false" customHeight="false" outlineLevel="0" collapsed="false">
      <c r="A104" s="17" t="s">
        <v>415</v>
      </c>
      <c r="B104" s="17" t="n">
        <v>46</v>
      </c>
      <c r="C104" s="17" t="n">
        <v>23</v>
      </c>
      <c r="D104" s="17" t="n">
        <v>14</v>
      </c>
      <c r="E104" s="17"/>
      <c r="F104" s="17" t="n">
        <v>83</v>
      </c>
      <c r="G104" s="17" t="s">
        <v>94</v>
      </c>
    </row>
    <row r="105" customFormat="false" ht="15" hidden="false" customHeight="false" outlineLevel="0" collapsed="false">
      <c r="A105" s="17" t="s">
        <v>415</v>
      </c>
      <c r="B105" s="17" t="n">
        <v>46</v>
      </c>
      <c r="C105" s="17" t="n">
        <v>23</v>
      </c>
      <c r="D105" s="17" t="n">
        <v>14</v>
      </c>
      <c r="E105" s="17"/>
      <c r="F105" s="17" t="n">
        <v>83</v>
      </c>
      <c r="G105" s="17" t="s">
        <v>426</v>
      </c>
    </row>
    <row r="106" customFormat="false" ht="15" hidden="false" customHeight="false" outlineLevel="0" collapsed="false">
      <c r="A106" s="17" t="s">
        <v>415</v>
      </c>
      <c r="B106" s="17" t="n">
        <v>46</v>
      </c>
      <c r="C106" s="17" t="n">
        <v>23</v>
      </c>
      <c r="D106" s="17" t="n">
        <v>14</v>
      </c>
      <c r="E106" s="17"/>
      <c r="F106" s="17" t="n">
        <v>83</v>
      </c>
      <c r="G106" s="17" t="s">
        <v>426</v>
      </c>
    </row>
    <row r="107" customFormat="false" ht="15" hidden="false" customHeight="false" outlineLevel="0" collapsed="false">
      <c r="A107" s="17" t="s">
        <v>415</v>
      </c>
      <c r="B107" s="17" t="n">
        <v>46</v>
      </c>
      <c r="C107" s="17" t="n">
        <v>23</v>
      </c>
      <c r="D107" s="17" t="n">
        <v>14</v>
      </c>
      <c r="E107" s="17"/>
      <c r="F107" s="17" t="n">
        <v>83</v>
      </c>
      <c r="G107" s="17" t="s">
        <v>426</v>
      </c>
    </row>
    <row r="108" customFormat="false" ht="15" hidden="false" customHeight="false" outlineLevel="0" collapsed="false">
      <c r="A108" s="17" t="s">
        <v>415</v>
      </c>
      <c r="B108" s="17" t="n">
        <v>46</v>
      </c>
      <c r="C108" s="17" t="n">
        <v>23</v>
      </c>
      <c r="D108" s="17" t="n">
        <v>14</v>
      </c>
      <c r="E108" s="17"/>
      <c r="F108" s="17" t="n">
        <v>83</v>
      </c>
      <c r="G108" s="17" t="s">
        <v>426</v>
      </c>
    </row>
    <row r="109" customFormat="false" ht="15" hidden="false" customHeight="false" outlineLevel="0" collapsed="false">
      <c r="A109" s="17" t="s">
        <v>415</v>
      </c>
      <c r="B109" s="17" t="n">
        <v>46</v>
      </c>
      <c r="C109" s="17" t="n">
        <v>23</v>
      </c>
      <c r="D109" s="17" t="n">
        <v>14</v>
      </c>
      <c r="E109" s="17"/>
      <c r="F109" s="17" t="n">
        <v>83</v>
      </c>
      <c r="G109" s="17" t="s">
        <v>437</v>
      </c>
    </row>
    <row r="110" customFormat="false" ht="15" hidden="false" customHeight="false" outlineLevel="0" collapsed="false">
      <c r="A110" s="17" t="s">
        <v>415</v>
      </c>
      <c r="B110" s="17" t="n">
        <v>46</v>
      </c>
      <c r="C110" s="17" t="n">
        <v>23</v>
      </c>
      <c r="D110" s="17" t="n">
        <v>14</v>
      </c>
      <c r="E110" s="17"/>
      <c r="F110" s="17" t="n">
        <v>83</v>
      </c>
      <c r="G110" s="17" t="s">
        <v>94</v>
      </c>
    </row>
    <row r="111" customFormat="false" ht="15" hidden="false" customHeight="false" outlineLevel="0" collapsed="false">
      <c r="A111" s="17" t="s">
        <v>415</v>
      </c>
      <c r="B111" s="17" t="n">
        <v>46</v>
      </c>
      <c r="C111" s="17" t="n">
        <v>23</v>
      </c>
      <c r="D111" s="17" t="n">
        <v>14</v>
      </c>
      <c r="E111" s="17"/>
      <c r="F111" s="17" t="n">
        <v>83</v>
      </c>
      <c r="G111" s="17" t="s">
        <v>94</v>
      </c>
    </row>
    <row r="112" customFormat="false" ht="15" hidden="false" customHeight="false" outlineLevel="0" collapsed="false">
      <c r="A112" s="17" t="s">
        <v>415</v>
      </c>
      <c r="B112" s="17" t="n">
        <v>46</v>
      </c>
      <c r="C112" s="17" t="n">
        <v>23</v>
      </c>
      <c r="D112" s="17" t="n">
        <v>14</v>
      </c>
      <c r="E112" s="17"/>
      <c r="F112" s="17" t="n">
        <v>83</v>
      </c>
      <c r="G112" s="17" t="s">
        <v>437</v>
      </c>
    </row>
    <row r="113" customFormat="false" ht="15" hidden="false" customHeight="false" outlineLevel="0" collapsed="false">
      <c r="A113" s="17" t="s">
        <v>415</v>
      </c>
      <c r="B113" s="17" t="n">
        <v>46</v>
      </c>
      <c r="C113" s="17" t="n">
        <v>23</v>
      </c>
      <c r="D113" s="17" t="n">
        <v>14</v>
      </c>
      <c r="E113" s="17"/>
      <c r="F113" s="17" t="n">
        <v>83</v>
      </c>
      <c r="G113" s="17" t="s">
        <v>94</v>
      </c>
    </row>
    <row r="114" customFormat="false" ht="15" hidden="false" customHeight="false" outlineLevel="0" collapsed="false">
      <c r="A114" s="17" t="s">
        <v>415</v>
      </c>
      <c r="B114" s="17" t="n">
        <v>46</v>
      </c>
      <c r="C114" s="17" t="n">
        <v>23</v>
      </c>
      <c r="D114" s="17" t="n">
        <v>14</v>
      </c>
      <c r="E114" s="17"/>
      <c r="F114" s="17" t="n">
        <v>83</v>
      </c>
      <c r="G114" s="17" t="s">
        <v>437</v>
      </c>
    </row>
    <row r="115" customFormat="false" ht="15" hidden="false" customHeight="false" outlineLevel="0" collapsed="false">
      <c r="A115" s="17" t="s">
        <v>415</v>
      </c>
      <c r="B115" s="17" t="n">
        <v>46</v>
      </c>
      <c r="C115" s="17" t="n">
        <v>34</v>
      </c>
      <c r="D115" s="17" t="n">
        <v>14</v>
      </c>
      <c r="E115" s="17"/>
      <c r="F115" s="17" t="n">
        <v>94</v>
      </c>
      <c r="G115" s="17" t="s">
        <v>437</v>
      </c>
    </row>
    <row r="116" customFormat="false" ht="15" hidden="false" customHeight="false" outlineLevel="0" collapsed="false">
      <c r="A116" s="17" t="s">
        <v>415</v>
      </c>
      <c r="B116" s="17" t="n">
        <v>46</v>
      </c>
      <c r="C116" s="17" t="n">
        <v>23</v>
      </c>
      <c r="D116" s="17" t="n">
        <v>14</v>
      </c>
      <c r="E116" s="17"/>
      <c r="F116" s="17" t="n">
        <v>83</v>
      </c>
      <c r="G116" s="17" t="s">
        <v>437</v>
      </c>
    </row>
    <row r="117" customFormat="false" ht="15" hidden="false" customHeight="false" outlineLevel="0" collapsed="false">
      <c r="A117" s="17" t="s">
        <v>415</v>
      </c>
      <c r="B117" s="17" t="n">
        <v>46</v>
      </c>
      <c r="C117" s="17" t="n">
        <v>23</v>
      </c>
      <c r="D117" s="17" t="n">
        <v>14</v>
      </c>
      <c r="E117" s="17"/>
      <c r="F117" s="17" t="n">
        <v>83</v>
      </c>
      <c r="G117" s="17" t="s">
        <v>94</v>
      </c>
    </row>
    <row r="118" customFormat="false" ht="15" hidden="false" customHeight="false" outlineLevel="0" collapsed="false">
      <c r="A118" s="17" t="s">
        <v>415</v>
      </c>
      <c r="B118" s="17" t="n">
        <v>46</v>
      </c>
      <c r="C118" s="17" t="n">
        <v>37</v>
      </c>
      <c r="D118" s="17" t="n">
        <v>14</v>
      </c>
      <c r="E118" s="17"/>
      <c r="F118" s="17" t="n">
        <v>97</v>
      </c>
      <c r="G118" s="17" t="s">
        <v>437</v>
      </c>
    </row>
    <row r="119" customFormat="false" ht="15" hidden="false" customHeight="false" outlineLevel="0" collapsed="false">
      <c r="A119" s="17" t="s">
        <v>415</v>
      </c>
      <c r="B119" s="17" t="n">
        <v>46</v>
      </c>
      <c r="C119" s="17" t="n">
        <v>28</v>
      </c>
      <c r="D119" s="17" t="n">
        <v>14</v>
      </c>
      <c r="E119" s="17"/>
      <c r="F119" s="17" t="n">
        <v>88</v>
      </c>
      <c r="G119" s="17" t="s">
        <v>437</v>
      </c>
    </row>
    <row r="120" customFormat="false" ht="15" hidden="false" customHeight="false" outlineLevel="0" collapsed="false">
      <c r="A120" s="17" t="s">
        <v>415</v>
      </c>
      <c r="B120" s="17" t="n">
        <v>46</v>
      </c>
      <c r="C120" s="17" t="n">
        <v>25</v>
      </c>
      <c r="D120" s="17" t="n">
        <v>14</v>
      </c>
      <c r="E120" s="17"/>
      <c r="F120" s="17" t="n">
        <v>85</v>
      </c>
      <c r="G120" s="17" t="s">
        <v>459</v>
      </c>
    </row>
    <row r="121" customFormat="false" ht="15" hidden="false" customHeight="false" outlineLevel="0" collapsed="false">
      <c r="A121" s="17" t="s">
        <v>415</v>
      </c>
      <c r="B121" s="17" t="n">
        <v>46</v>
      </c>
      <c r="C121" s="17" t="n">
        <v>20</v>
      </c>
      <c r="D121" s="17" t="n">
        <v>14</v>
      </c>
      <c r="E121" s="17"/>
      <c r="F121" s="17" t="n">
        <v>80</v>
      </c>
      <c r="G121" s="17" t="s">
        <v>437</v>
      </c>
    </row>
    <row r="122" customFormat="false" ht="15" hidden="false" customHeight="false" outlineLevel="0" collapsed="false">
      <c r="A122" s="17" t="s">
        <v>415</v>
      </c>
      <c r="B122" s="17" t="n">
        <v>46</v>
      </c>
      <c r="C122" s="17" t="n">
        <v>18</v>
      </c>
      <c r="D122" s="17" t="n">
        <v>14</v>
      </c>
      <c r="E122" s="17"/>
      <c r="F122" s="17" t="n">
        <v>78</v>
      </c>
      <c r="G122" s="17" t="s">
        <v>437</v>
      </c>
    </row>
    <row r="123" customFormat="false" ht="15" hidden="false" customHeight="false" outlineLevel="0" collapsed="false">
      <c r="A123" s="17" t="s">
        <v>415</v>
      </c>
      <c r="B123" s="17" t="n">
        <v>46</v>
      </c>
      <c r="C123" s="17" t="n">
        <v>23</v>
      </c>
      <c r="D123" s="17" t="n">
        <v>14</v>
      </c>
      <c r="E123" s="17"/>
      <c r="F123" s="17" t="n">
        <v>83</v>
      </c>
      <c r="G123" s="17" t="s">
        <v>94</v>
      </c>
    </row>
    <row r="124" customFormat="false" ht="15" hidden="false" customHeight="false" outlineLevel="0" collapsed="false">
      <c r="A124" s="17" t="s">
        <v>415</v>
      </c>
      <c r="B124" s="17" t="n">
        <v>46</v>
      </c>
      <c r="C124" s="17" t="n">
        <v>20</v>
      </c>
      <c r="D124" s="17" t="n">
        <v>14</v>
      </c>
      <c r="E124" s="17"/>
      <c r="F124" s="17" t="n">
        <v>80</v>
      </c>
      <c r="G124" s="17" t="s">
        <v>94</v>
      </c>
    </row>
    <row r="125" customFormat="false" ht="15" hidden="false" customHeight="false" outlineLevel="0" collapsed="false">
      <c r="A125" s="17" t="s">
        <v>415</v>
      </c>
      <c r="B125" s="17" t="n">
        <v>46</v>
      </c>
      <c r="C125" s="17" t="n">
        <v>21</v>
      </c>
      <c r="D125" s="17" t="n">
        <v>14</v>
      </c>
      <c r="E125" s="17"/>
      <c r="F125" s="17" t="n">
        <v>81</v>
      </c>
      <c r="G125" s="17" t="s">
        <v>94</v>
      </c>
    </row>
    <row r="126" customFormat="false" ht="15" hidden="false" customHeight="false" outlineLevel="0" collapsed="false">
      <c r="A126" s="17" t="s">
        <v>415</v>
      </c>
      <c r="B126" s="17" t="n">
        <v>46</v>
      </c>
      <c r="C126" s="17" t="n">
        <v>20</v>
      </c>
      <c r="D126" s="17" t="n">
        <v>14</v>
      </c>
      <c r="E126" s="17"/>
      <c r="F126" s="17" t="n">
        <v>80</v>
      </c>
      <c r="G126" s="17" t="s">
        <v>94</v>
      </c>
    </row>
    <row r="127" customFormat="false" ht="15" hidden="false" customHeight="false" outlineLevel="0" collapsed="false">
      <c r="A127" s="17" t="s">
        <v>415</v>
      </c>
      <c r="B127" s="17" t="n">
        <v>46</v>
      </c>
      <c r="C127" s="17" t="n">
        <v>19</v>
      </c>
      <c r="D127" s="17" t="n">
        <v>14</v>
      </c>
      <c r="E127" s="17"/>
      <c r="F127" s="17" t="n">
        <v>79</v>
      </c>
      <c r="G127" s="17" t="s">
        <v>94</v>
      </c>
    </row>
    <row r="128" customFormat="false" ht="15" hidden="false" customHeight="false" outlineLevel="0" collapsed="false">
      <c r="A128" s="17" t="s">
        <v>415</v>
      </c>
      <c r="B128" s="17" t="n">
        <v>46</v>
      </c>
      <c r="C128" s="17" t="n">
        <v>20</v>
      </c>
      <c r="D128" s="17" t="n">
        <v>14</v>
      </c>
      <c r="E128" s="17"/>
      <c r="F128" s="17" t="n">
        <v>80</v>
      </c>
      <c r="G128" s="17" t="s">
        <v>437</v>
      </c>
    </row>
    <row r="129" customFormat="false" ht="15" hidden="false" customHeight="false" outlineLevel="0" collapsed="false">
      <c r="A129" s="17" t="s">
        <v>415</v>
      </c>
      <c r="B129" s="17" t="n">
        <v>46</v>
      </c>
      <c r="C129" s="17" t="n">
        <v>25</v>
      </c>
      <c r="D129" s="17" t="n">
        <v>14</v>
      </c>
      <c r="E129" s="17"/>
      <c r="F129" s="17" t="n">
        <v>85</v>
      </c>
      <c r="G129" s="17" t="s">
        <v>437</v>
      </c>
    </row>
    <row r="130" customFormat="false" ht="15" hidden="false" customHeight="false" outlineLevel="0" collapsed="false">
      <c r="A130" s="17" t="s">
        <v>415</v>
      </c>
      <c r="B130" s="17" t="n">
        <v>46</v>
      </c>
      <c r="C130" s="17" t="n">
        <v>30</v>
      </c>
      <c r="D130" s="17" t="n">
        <v>14</v>
      </c>
      <c r="E130" s="17"/>
      <c r="F130" s="17" t="n">
        <v>90</v>
      </c>
      <c r="G130" s="17" t="s">
        <v>437</v>
      </c>
    </row>
    <row r="131" customFormat="false" ht="15" hidden="false" customHeight="false" outlineLevel="0" collapsed="false">
      <c r="A131" s="17" t="s">
        <v>415</v>
      </c>
      <c r="B131" s="17" t="n">
        <v>46</v>
      </c>
      <c r="C131" s="17" t="n">
        <v>22</v>
      </c>
      <c r="D131" s="17" t="n">
        <v>14</v>
      </c>
      <c r="E131" s="17"/>
      <c r="F131" s="17" t="n">
        <v>82</v>
      </c>
      <c r="G131" s="17" t="s">
        <v>459</v>
      </c>
    </row>
    <row r="132" customFormat="false" ht="15" hidden="false" customHeight="false" outlineLevel="0" collapsed="false">
      <c r="A132" s="17" t="s">
        <v>415</v>
      </c>
      <c r="B132" s="17" t="n">
        <v>46</v>
      </c>
      <c r="C132" s="17" t="n">
        <v>54</v>
      </c>
      <c r="D132" s="17" t="n">
        <v>14</v>
      </c>
      <c r="E132" s="17"/>
      <c r="F132" s="17" t="n">
        <v>114</v>
      </c>
      <c r="G132" s="17" t="s">
        <v>459</v>
      </c>
    </row>
    <row r="133" customFormat="false" ht="15" hidden="false" customHeight="false" outlineLevel="0" collapsed="false">
      <c r="A133" s="17" t="s">
        <v>415</v>
      </c>
      <c r="B133" s="17" t="n">
        <v>46</v>
      </c>
      <c r="C133" s="17" t="n">
        <v>44</v>
      </c>
      <c r="D133" s="17" t="n">
        <v>14</v>
      </c>
      <c r="E133" s="17"/>
      <c r="F133" s="17" t="n">
        <v>104</v>
      </c>
      <c r="G133" s="17" t="s">
        <v>459</v>
      </c>
    </row>
    <row r="134" customFormat="false" ht="15" hidden="false" customHeight="false" outlineLevel="0" collapsed="false">
      <c r="A134" s="17" t="s">
        <v>415</v>
      </c>
      <c r="B134" s="17" t="n">
        <v>46</v>
      </c>
      <c r="C134" s="17" t="n">
        <v>31</v>
      </c>
      <c r="D134" s="17" t="n">
        <v>14</v>
      </c>
      <c r="E134" s="17"/>
      <c r="F134" s="17" t="n">
        <v>91</v>
      </c>
      <c r="G134" s="17" t="s">
        <v>459</v>
      </c>
    </row>
    <row r="135" customFormat="false" ht="15" hidden="false" customHeight="false" outlineLevel="0" collapsed="false">
      <c r="A135" s="17" t="s">
        <v>415</v>
      </c>
      <c r="B135" s="17" t="n">
        <v>46</v>
      </c>
      <c r="C135" s="17" t="n">
        <v>19</v>
      </c>
      <c r="D135" s="17" t="n">
        <v>14</v>
      </c>
      <c r="E135" s="17"/>
      <c r="F135" s="17" t="n">
        <v>79</v>
      </c>
      <c r="G135" s="17" t="s">
        <v>94</v>
      </c>
    </row>
    <row r="136" customFormat="false" ht="15" hidden="false" customHeight="false" outlineLevel="0" collapsed="false">
      <c r="A136" s="17" t="s">
        <v>415</v>
      </c>
      <c r="B136" s="17" t="n">
        <v>46</v>
      </c>
      <c r="C136" s="17" t="n">
        <v>23</v>
      </c>
      <c r="D136" s="17" t="n">
        <v>14</v>
      </c>
      <c r="E136" s="17"/>
      <c r="F136" s="17" t="n">
        <v>83</v>
      </c>
      <c r="G136" s="17" t="s">
        <v>94</v>
      </c>
    </row>
    <row r="137" customFormat="false" ht="15" hidden="false" customHeight="false" outlineLevel="0" collapsed="false">
      <c r="A137" s="17" t="s">
        <v>415</v>
      </c>
      <c r="B137" s="17" t="n">
        <v>46</v>
      </c>
      <c r="C137" s="17" t="n">
        <v>23</v>
      </c>
      <c r="D137" s="17" t="n">
        <v>14</v>
      </c>
      <c r="E137" s="17"/>
      <c r="F137" s="17" t="n">
        <v>83</v>
      </c>
      <c r="G137" s="17" t="s">
        <v>94</v>
      </c>
    </row>
    <row r="138" customFormat="false" ht="15" hidden="false" customHeight="false" outlineLevel="0" collapsed="false">
      <c r="A138" s="17" t="s">
        <v>415</v>
      </c>
      <c r="B138" s="17" t="n">
        <v>46</v>
      </c>
      <c r="C138" s="17" t="n">
        <v>25</v>
      </c>
      <c r="D138" s="17" t="n">
        <v>14</v>
      </c>
      <c r="E138" s="17"/>
      <c r="F138" s="17" t="n">
        <v>85</v>
      </c>
      <c r="G138" s="17" t="s">
        <v>94</v>
      </c>
    </row>
    <row r="139" customFormat="false" ht="15" hidden="false" customHeight="false" outlineLevel="0" collapsed="false">
      <c r="A139" s="17" t="s">
        <v>415</v>
      </c>
      <c r="B139" s="17" t="n">
        <v>46</v>
      </c>
      <c r="C139" s="17" t="n">
        <v>25</v>
      </c>
      <c r="D139" s="17" t="n">
        <v>14</v>
      </c>
      <c r="E139" s="17"/>
      <c r="F139" s="17" t="n">
        <v>85</v>
      </c>
      <c r="G139" s="17" t="s">
        <v>437</v>
      </c>
    </row>
    <row r="140" customFormat="false" ht="15" hidden="false" customHeight="false" outlineLevel="0" collapsed="false">
      <c r="A140" s="17" t="s">
        <v>415</v>
      </c>
      <c r="B140" s="17" t="n">
        <v>46</v>
      </c>
      <c r="C140" s="17" t="n">
        <v>25</v>
      </c>
      <c r="D140" s="17" t="n">
        <v>14</v>
      </c>
      <c r="E140" s="17"/>
      <c r="F140" s="17" t="n">
        <v>85</v>
      </c>
      <c r="G140" s="17" t="s">
        <v>437</v>
      </c>
    </row>
    <row r="141" customFormat="false" ht="15" hidden="false" customHeight="false" outlineLevel="0" collapsed="false">
      <c r="A141" s="17" t="s">
        <v>523</v>
      </c>
      <c r="B141" s="17" t="n">
        <v>39</v>
      </c>
      <c r="C141" s="17" t="n">
        <v>15</v>
      </c>
      <c r="D141" s="17" t="n">
        <v>4</v>
      </c>
      <c r="E141" s="17"/>
      <c r="F141" s="17" t="n">
        <v>58</v>
      </c>
      <c r="G141" s="17" t="s">
        <v>528</v>
      </c>
    </row>
    <row r="142" customFormat="false" ht="15" hidden="false" customHeight="false" outlineLevel="0" collapsed="false">
      <c r="A142" s="17" t="s">
        <v>523</v>
      </c>
      <c r="B142" s="17" t="n">
        <v>39</v>
      </c>
      <c r="C142" s="17" t="n">
        <v>10</v>
      </c>
      <c r="D142" s="17" t="n">
        <v>4</v>
      </c>
      <c r="E142" s="17"/>
      <c r="F142" s="17" t="n">
        <v>53</v>
      </c>
      <c r="G142" s="17" t="s">
        <v>528</v>
      </c>
    </row>
    <row r="143" customFormat="false" ht="15" hidden="false" customHeight="false" outlineLevel="0" collapsed="false">
      <c r="A143" s="17" t="s">
        <v>523</v>
      </c>
      <c r="B143" s="17" t="n">
        <v>39</v>
      </c>
      <c r="C143" s="17" t="n">
        <v>12</v>
      </c>
      <c r="D143" s="17" t="n">
        <v>4</v>
      </c>
      <c r="E143" s="17"/>
      <c r="F143" s="17" t="n">
        <v>55</v>
      </c>
      <c r="G143" s="17" t="s">
        <v>261</v>
      </c>
    </row>
    <row r="144" customFormat="false" ht="15" hidden="false" customHeight="false" outlineLevel="0" collapsed="false">
      <c r="A144" s="17" t="s">
        <v>523</v>
      </c>
      <c r="B144" s="17" t="n">
        <v>39</v>
      </c>
      <c r="C144" s="17" t="n">
        <v>12</v>
      </c>
      <c r="D144" s="17" t="n">
        <v>4</v>
      </c>
      <c r="E144" s="17"/>
      <c r="F144" s="17" t="n">
        <v>55</v>
      </c>
      <c r="G144" s="17" t="s">
        <v>528</v>
      </c>
    </row>
    <row r="145" customFormat="false" ht="15" hidden="false" customHeight="false" outlineLevel="0" collapsed="false">
      <c r="A145" s="17" t="s">
        <v>523</v>
      </c>
      <c r="B145" s="17" t="n">
        <v>39</v>
      </c>
      <c r="C145" s="17" t="n">
        <v>8</v>
      </c>
      <c r="D145" s="17" t="n">
        <v>4</v>
      </c>
      <c r="E145" s="17"/>
      <c r="F145" s="17" t="n">
        <v>51</v>
      </c>
      <c r="G145" s="17" t="s">
        <v>537</v>
      </c>
    </row>
    <row r="146" customFormat="false" ht="15" hidden="false" customHeight="false" outlineLevel="0" collapsed="false">
      <c r="A146" s="17" t="s">
        <v>523</v>
      </c>
      <c r="B146" s="17" t="n">
        <v>39</v>
      </c>
      <c r="C146" s="17" t="n">
        <v>5</v>
      </c>
      <c r="D146" s="17" t="n">
        <v>4</v>
      </c>
      <c r="E146" s="17"/>
      <c r="F146" s="17" t="n">
        <v>48</v>
      </c>
      <c r="G146" s="17" t="s">
        <v>540</v>
      </c>
    </row>
    <row r="147" customFormat="false" ht="15" hidden="false" customHeight="false" outlineLevel="0" collapsed="false">
      <c r="A147" s="17" t="s">
        <v>523</v>
      </c>
      <c r="B147" s="17" t="n">
        <v>39</v>
      </c>
      <c r="C147" s="17" t="n">
        <v>9</v>
      </c>
      <c r="D147" s="17" t="n">
        <v>4</v>
      </c>
      <c r="E147" s="17"/>
      <c r="F147" s="17" t="n">
        <v>52</v>
      </c>
      <c r="G147" s="17" t="s">
        <v>528</v>
      </c>
    </row>
    <row r="148" customFormat="false" ht="15" hidden="false" customHeight="false" outlineLevel="0" collapsed="false">
      <c r="A148" s="17" t="s">
        <v>523</v>
      </c>
      <c r="B148" s="17" t="n">
        <v>39</v>
      </c>
      <c r="C148" s="17" t="n">
        <v>10</v>
      </c>
      <c r="D148" s="17" t="n">
        <v>4</v>
      </c>
      <c r="E148" s="17"/>
      <c r="F148" s="17" t="n">
        <v>53</v>
      </c>
      <c r="G148" s="17" t="s">
        <v>528</v>
      </c>
    </row>
    <row r="149" customFormat="false" ht="15" hidden="false" customHeight="false" outlineLevel="0" collapsed="false">
      <c r="A149" s="17" t="s">
        <v>523</v>
      </c>
      <c r="B149" s="17" t="n">
        <v>39</v>
      </c>
      <c r="C149" s="17" t="n">
        <v>14</v>
      </c>
      <c r="D149" s="17" t="n">
        <v>4</v>
      </c>
      <c r="E149" s="17"/>
      <c r="F149" s="17" t="n">
        <v>57</v>
      </c>
      <c r="G149" s="17" t="s">
        <v>548</v>
      </c>
    </row>
    <row r="150" customFormat="false" ht="15" hidden="false" customHeight="false" outlineLevel="0" collapsed="false">
      <c r="A150" s="17" t="s">
        <v>523</v>
      </c>
      <c r="B150" s="17" t="n">
        <v>39</v>
      </c>
      <c r="C150" s="17" t="n">
        <v>10</v>
      </c>
      <c r="D150" s="17" t="n">
        <v>4</v>
      </c>
      <c r="E150" s="17"/>
      <c r="F150" s="17" t="n">
        <v>53</v>
      </c>
      <c r="G150" s="17" t="s">
        <v>261</v>
      </c>
    </row>
    <row r="151" customFormat="false" ht="15" hidden="false" customHeight="false" outlineLevel="0" collapsed="false">
      <c r="A151" s="17" t="s">
        <v>523</v>
      </c>
      <c r="B151" s="17" t="n">
        <v>39</v>
      </c>
      <c r="C151" s="17" t="n">
        <v>17</v>
      </c>
      <c r="D151" s="17" t="n">
        <v>4</v>
      </c>
      <c r="E151" s="17"/>
      <c r="F151" s="17" t="n">
        <v>60</v>
      </c>
      <c r="G151" s="17" t="s">
        <v>528</v>
      </c>
    </row>
    <row r="152" customFormat="false" ht="15" hidden="false" customHeight="false" outlineLevel="0" collapsed="false">
      <c r="A152" s="17" t="s">
        <v>523</v>
      </c>
      <c r="B152" s="17" t="n">
        <v>39</v>
      </c>
      <c r="C152" s="17" t="n">
        <v>10</v>
      </c>
      <c r="D152" s="17" t="n">
        <v>4</v>
      </c>
      <c r="E152" s="17"/>
      <c r="F152" s="17" t="n">
        <v>53</v>
      </c>
      <c r="G152" s="17" t="s">
        <v>528</v>
      </c>
    </row>
    <row r="153" customFormat="false" ht="15" hidden="false" customHeight="false" outlineLevel="0" collapsed="false">
      <c r="A153" s="17" t="s">
        <v>523</v>
      </c>
      <c r="B153" s="17" t="n">
        <v>39</v>
      </c>
      <c r="C153" s="17" t="n">
        <v>5</v>
      </c>
      <c r="D153" s="17" t="n">
        <v>4</v>
      </c>
      <c r="E153" s="17"/>
      <c r="F153" s="17" t="n">
        <v>48</v>
      </c>
      <c r="G153" s="17" t="s">
        <v>540</v>
      </c>
    </row>
    <row r="154" customFormat="false" ht="15" hidden="false" customHeight="false" outlineLevel="0" collapsed="false">
      <c r="A154" s="17" t="s">
        <v>523</v>
      </c>
      <c r="B154" s="17" t="n">
        <v>39</v>
      </c>
      <c r="C154" s="17" t="n">
        <v>5</v>
      </c>
      <c r="D154" s="17" t="n">
        <v>4</v>
      </c>
      <c r="E154" s="17"/>
      <c r="F154" s="17" t="n">
        <v>48</v>
      </c>
      <c r="G154" s="17" t="s">
        <v>261</v>
      </c>
    </row>
    <row r="155" customFormat="false" ht="15" hidden="false" customHeight="false" outlineLevel="0" collapsed="false">
      <c r="A155" s="17" t="s">
        <v>523</v>
      </c>
      <c r="B155" s="17" t="n">
        <v>39</v>
      </c>
      <c r="C155" s="17" t="n">
        <v>5</v>
      </c>
      <c r="D155" s="17" t="n">
        <v>4</v>
      </c>
      <c r="E155" s="17"/>
      <c r="F155" s="17" t="n">
        <v>48</v>
      </c>
      <c r="G155" s="17" t="s">
        <v>540</v>
      </c>
    </row>
    <row r="156" customFormat="false" ht="15" hidden="false" customHeight="false" outlineLevel="0" collapsed="false">
      <c r="A156" s="17" t="s">
        <v>523</v>
      </c>
      <c r="B156" s="17" t="n">
        <v>39</v>
      </c>
      <c r="C156" s="17" t="n">
        <v>9</v>
      </c>
      <c r="D156" s="17" t="n">
        <v>4</v>
      </c>
      <c r="E156" s="17"/>
      <c r="F156" s="17" t="n">
        <v>52</v>
      </c>
      <c r="G156" s="17" t="s">
        <v>261</v>
      </c>
    </row>
    <row r="157" customFormat="false" ht="15" hidden="false" customHeight="false" outlineLevel="0" collapsed="false">
      <c r="A157" s="17" t="s">
        <v>523</v>
      </c>
      <c r="B157" s="17" t="n">
        <v>39</v>
      </c>
      <c r="C157" s="17" t="n">
        <v>14</v>
      </c>
      <c r="D157" s="17" t="n">
        <v>4</v>
      </c>
      <c r="E157" s="17"/>
      <c r="F157" s="17" t="n">
        <v>57</v>
      </c>
      <c r="G157" s="17" t="s">
        <v>261</v>
      </c>
    </row>
    <row r="158" customFormat="false" ht="15" hidden="false" customHeight="false" outlineLevel="0" collapsed="false">
      <c r="A158" s="17" t="s">
        <v>523</v>
      </c>
      <c r="B158" s="17" t="n">
        <v>39</v>
      </c>
      <c r="C158" s="17" t="n">
        <v>9</v>
      </c>
      <c r="D158" s="17" t="n">
        <v>4</v>
      </c>
      <c r="E158" s="17"/>
      <c r="F158" s="17" t="n">
        <v>52</v>
      </c>
      <c r="G158" s="17" t="s">
        <v>548</v>
      </c>
    </row>
    <row r="159" customFormat="false" ht="15" hidden="false" customHeight="false" outlineLevel="0" collapsed="false">
      <c r="A159" s="17" t="s">
        <v>523</v>
      </c>
      <c r="B159" s="17" t="n">
        <v>39</v>
      </c>
      <c r="C159" s="17" t="n">
        <v>8</v>
      </c>
      <c r="D159" s="17" t="n">
        <v>4</v>
      </c>
      <c r="E159" s="17"/>
      <c r="F159" s="17" t="n">
        <v>51</v>
      </c>
      <c r="G159" s="17" t="s">
        <v>261</v>
      </c>
    </row>
    <row r="160" customFormat="false" ht="15" hidden="false" customHeight="false" outlineLevel="0" collapsed="false">
      <c r="A160" s="17" t="s">
        <v>523</v>
      </c>
      <c r="B160" s="17" t="n">
        <v>39</v>
      </c>
      <c r="C160" s="17" t="n">
        <v>11</v>
      </c>
      <c r="D160" s="17" t="n">
        <v>4</v>
      </c>
      <c r="E160" s="17"/>
      <c r="F160" s="17" t="n">
        <v>54</v>
      </c>
      <c r="G160" s="17" t="s">
        <v>261</v>
      </c>
    </row>
    <row r="161" customFormat="false" ht="15" hidden="false" customHeight="false" outlineLevel="0" collapsed="false">
      <c r="A161" s="17" t="s">
        <v>523</v>
      </c>
      <c r="B161" s="17" t="n">
        <v>39</v>
      </c>
      <c r="C161" s="17" t="n">
        <v>14</v>
      </c>
      <c r="D161" s="17" t="n">
        <v>4</v>
      </c>
      <c r="E161" s="17"/>
      <c r="F161" s="17" t="n">
        <v>57</v>
      </c>
      <c r="G161" s="17" t="s">
        <v>261</v>
      </c>
    </row>
    <row r="162" customFormat="false" ht="15" hidden="false" customHeight="false" outlineLevel="0" collapsed="false">
      <c r="A162" s="17" t="s">
        <v>523</v>
      </c>
      <c r="B162" s="17" t="n">
        <v>39</v>
      </c>
      <c r="C162" s="17" t="n">
        <v>11</v>
      </c>
      <c r="D162" s="17" t="n">
        <v>4</v>
      </c>
      <c r="E162" s="17"/>
      <c r="F162" s="17" t="n">
        <v>54</v>
      </c>
      <c r="G162" s="17" t="s">
        <v>261</v>
      </c>
    </row>
    <row r="163" customFormat="false" ht="15" hidden="false" customHeight="false" outlineLevel="0" collapsed="false">
      <c r="A163" s="17" t="s">
        <v>599</v>
      </c>
      <c r="B163" s="17" t="n">
        <v>39</v>
      </c>
      <c r="C163" s="17" t="n">
        <v>20</v>
      </c>
      <c r="D163" s="17" t="n">
        <v>10</v>
      </c>
      <c r="E163" s="17"/>
      <c r="F163" s="17" t="n">
        <v>69</v>
      </c>
      <c r="G163" s="17" t="s">
        <v>601</v>
      </c>
    </row>
    <row r="164" customFormat="false" ht="15" hidden="false" customHeight="false" outlineLevel="0" collapsed="false">
      <c r="A164" s="17" t="s">
        <v>599</v>
      </c>
      <c r="B164" s="17" t="n">
        <v>39</v>
      </c>
      <c r="C164" s="17" t="n">
        <v>20</v>
      </c>
      <c r="D164" s="17" t="n">
        <v>10</v>
      </c>
      <c r="E164" s="17"/>
      <c r="F164" s="17" t="n">
        <v>69</v>
      </c>
      <c r="G164" s="17" t="s">
        <v>601</v>
      </c>
    </row>
    <row r="165" customFormat="false" ht="15" hidden="false" customHeight="false" outlineLevel="0" collapsed="false">
      <c r="A165" s="17" t="s">
        <v>599</v>
      </c>
      <c r="B165" s="17" t="n">
        <v>39</v>
      </c>
      <c r="C165" s="17" t="n">
        <v>20</v>
      </c>
      <c r="D165" s="17" t="n">
        <v>10</v>
      </c>
      <c r="E165" s="17"/>
      <c r="F165" s="17" t="n">
        <v>69</v>
      </c>
      <c r="G165" s="17" t="s">
        <v>605</v>
      </c>
    </row>
    <row r="166" customFormat="false" ht="15" hidden="false" customHeight="false" outlineLevel="0" collapsed="false">
      <c r="A166" s="17" t="s">
        <v>599</v>
      </c>
      <c r="B166" s="17" t="n">
        <v>39</v>
      </c>
      <c r="C166" s="17" t="n">
        <v>20</v>
      </c>
      <c r="D166" s="17" t="n">
        <v>10</v>
      </c>
      <c r="E166" s="17"/>
      <c r="F166" s="17" t="n">
        <v>69</v>
      </c>
      <c r="G166" s="17" t="s">
        <v>605</v>
      </c>
    </row>
    <row r="167" customFormat="false" ht="15" hidden="false" customHeight="false" outlineLevel="0" collapsed="false">
      <c r="A167" s="17" t="s">
        <v>599</v>
      </c>
      <c r="B167" s="17" t="n">
        <v>39</v>
      </c>
      <c r="C167" s="17" t="n">
        <v>20</v>
      </c>
      <c r="D167" s="17" t="n">
        <v>10</v>
      </c>
      <c r="E167" s="17"/>
      <c r="F167" s="17" t="n">
        <v>69</v>
      </c>
      <c r="G167" s="17" t="s">
        <v>611</v>
      </c>
    </row>
    <row r="168" customFormat="false" ht="15" hidden="false" customHeight="false" outlineLevel="0" collapsed="false">
      <c r="A168" s="17" t="s">
        <v>599</v>
      </c>
      <c r="B168" s="17" t="n">
        <v>39</v>
      </c>
      <c r="C168" s="17" t="n">
        <v>20</v>
      </c>
      <c r="D168" s="17" t="n">
        <v>10</v>
      </c>
      <c r="E168" s="17"/>
      <c r="F168" s="17" t="n">
        <v>69</v>
      </c>
      <c r="G168" s="17" t="s">
        <v>601</v>
      </c>
    </row>
    <row r="169" customFormat="false" ht="15" hidden="false" customHeight="false" outlineLevel="0" collapsed="false">
      <c r="A169" s="17" t="s">
        <v>599</v>
      </c>
      <c r="B169" s="17" t="n">
        <v>39</v>
      </c>
      <c r="C169" s="17" t="n">
        <v>20</v>
      </c>
      <c r="D169" s="17" t="n">
        <v>10</v>
      </c>
      <c r="E169" s="17"/>
      <c r="F169" s="17" t="n">
        <v>69</v>
      </c>
      <c r="G169" s="17" t="s">
        <v>601</v>
      </c>
    </row>
    <row r="170" customFormat="false" ht="15" hidden="false" customHeight="false" outlineLevel="0" collapsed="false">
      <c r="A170" s="17" t="s">
        <v>599</v>
      </c>
      <c r="B170" s="17" t="n">
        <v>39</v>
      </c>
      <c r="C170" s="17" t="n">
        <v>20</v>
      </c>
      <c r="D170" s="17" t="n">
        <v>10</v>
      </c>
      <c r="E170" s="17"/>
      <c r="F170" s="17" t="n">
        <v>69</v>
      </c>
      <c r="G170" s="17" t="s">
        <v>601</v>
      </c>
    </row>
    <row r="171" customFormat="false" ht="15" hidden="false" customHeight="false" outlineLevel="0" collapsed="false">
      <c r="A171" s="17" t="s">
        <v>599</v>
      </c>
      <c r="B171" s="17" t="n">
        <v>39</v>
      </c>
      <c r="C171" s="17" t="n">
        <v>20</v>
      </c>
      <c r="D171" s="17" t="n">
        <v>10</v>
      </c>
      <c r="E171" s="17"/>
      <c r="F171" s="17" t="n">
        <v>69</v>
      </c>
      <c r="G171" s="17" t="s">
        <v>605</v>
      </c>
    </row>
    <row r="172" customFormat="false" ht="15" hidden="false" customHeight="false" outlineLevel="0" collapsed="false">
      <c r="A172" s="17" t="s">
        <v>599</v>
      </c>
      <c r="B172" s="17" t="n">
        <v>39</v>
      </c>
      <c r="C172" s="17" t="n">
        <v>20</v>
      </c>
      <c r="D172" s="17" t="n">
        <v>10</v>
      </c>
      <c r="E172" s="17"/>
      <c r="F172" s="17" t="n">
        <v>69</v>
      </c>
      <c r="G172" s="17" t="s">
        <v>601</v>
      </c>
    </row>
    <row r="173" customFormat="false" ht="15" hidden="false" customHeight="false" outlineLevel="0" collapsed="false">
      <c r="A173" s="17" t="s">
        <v>599</v>
      </c>
      <c r="B173" s="17" t="n">
        <v>39</v>
      </c>
      <c r="C173" s="17" t="n">
        <v>20</v>
      </c>
      <c r="D173" s="17" t="n">
        <v>10</v>
      </c>
      <c r="E173" s="17"/>
      <c r="F173" s="17" t="n">
        <v>69</v>
      </c>
      <c r="G173" s="17" t="s">
        <v>601</v>
      </c>
    </row>
    <row r="174" customFormat="false" ht="15" hidden="false" customHeight="false" outlineLevel="0" collapsed="false">
      <c r="A174" s="17" t="s">
        <v>599</v>
      </c>
      <c r="B174" s="17" t="n">
        <v>39</v>
      </c>
      <c r="C174" s="17" t="n">
        <v>20</v>
      </c>
      <c r="D174" s="17" t="n">
        <v>10</v>
      </c>
      <c r="E174" s="17"/>
      <c r="F174" s="17" t="n">
        <v>69</v>
      </c>
      <c r="G174" s="17" t="s">
        <v>605</v>
      </c>
    </row>
    <row r="175" customFormat="false" ht="15" hidden="false" customHeight="false" outlineLevel="0" collapsed="false">
      <c r="A175" s="17" t="s">
        <v>599</v>
      </c>
      <c r="B175" s="17" t="n">
        <v>39</v>
      </c>
      <c r="C175" s="17" t="n">
        <v>20</v>
      </c>
      <c r="D175" s="17" t="n">
        <v>10</v>
      </c>
      <c r="E175" s="17"/>
      <c r="F175" s="17" t="n">
        <v>69</v>
      </c>
      <c r="G175" s="17" t="s">
        <v>631</v>
      </c>
    </row>
    <row r="176" customFormat="false" ht="15" hidden="false" customHeight="false" outlineLevel="0" collapsed="false">
      <c r="A176" s="17" t="s">
        <v>599</v>
      </c>
      <c r="B176" s="17" t="n">
        <v>39</v>
      </c>
      <c r="C176" s="17" t="n">
        <v>20</v>
      </c>
      <c r="D176" s="17" t="n">
        <v>10</v>
      </c>
      <c r="E176" s="17"/>
      <c r="F176" s="17" t="n">
        <v>69</v>
      </c>
      <c r="G176" s="17" t="s">
        <v>611</v>
      </c>
    </row>
    <row r="177" customFormat="false" ht="15" hidden="false" customHeight="false" outlineLevel="0" collapsed="false">
      <c r="A177" s="17" t="s">
        <v>599</v>
      </c>
      <c r="B177" s="17" t="n">
        <v>39</v>
      </c>
      <c r="C177" s="17" t="n">
        <v>17</v>
      </c>
      <c r="D177" s="17" t="n">
        <v>10</v>
      </c>
      <c r="E177" s="17"/>
      <c r="F177" s="17" t="n">
        <v>66</v>
      </c>
      <c r="G177" s="17" t="s">
        <v>605</v>
      </c>
    </row>
    <row r="178" customFormat="false" ht="15" hidden="false" customHeight="false" outlineLevel="0" collapsed="false">
      <c r="A178" s="17" t="s">
        <v>599</v>
      </c>
      <c r="B178" s="17" t="n">
        <v>39</v>
      </c>
      <c r="C178" s="17" t="n">
        <v>16</v>
      </c>
      <c r="D178" s="17" t="n">
        <v>10</v>
      </c>
      <c r="E178" s="17"/>
      <c r="F178" s="17" t="n">
        <v>65</v>
      </c>
      <c r="G178" s="17" t="s">
        <v>605</v>
      </c>
    </row>
    <row r="179" customFormat="false" ht="15" hidden="false" customHeight="false" outlineLevel="0" collapsed="false">
      <c r="A179" s="17" t="s">
        <v>599</v>
      </c>
      <c r="B179" s="17" t="n">
        <v>39</v>
      </c>
      <c r="C179" s="17" t="n">
        <v>20</v>
      </c>
      <c r="D179" s="17" t="n">
        <v>10</v>
      </c>
      <c r="E179" s="17"/>
      <c r="F179" s="17" t="n">
        <v>69</v>
      </c>
      <c r="G179" s="17" t="s">
        <v>605</v>
      </c>
    </row>
    <row r="180" customFormat="false" ht="15" hidden="false" customHeight="false" outlineLevel="0" collapsed="false">
      <c r="A180" s="17" t="s">
        <v>599</v>
      </c>
      <c r="B180" s="17" t="n">
        <v>39</v>
      </c>
      <c r="C180" s="17" t="n">
        <v>18</v>
      </c>
      <c r="D180" s="17" t="n">
        <v>10</v>
      </c>
      <c r="E180" s="17"/>
      <c r="F180" s="17" t="n">
        <v>67</v>
      </c>
      <c r="G180" s="17" t="s">
        <v>605</v>
      </c>
    </row>
    <row r="181" customFormat="false" ht="15" hidden="false" customHeight="false" outlineLevel="0" collapsed="false">
      <c r="A181" s="17" t="s">
        <v>599</v>
      </c>
      <c r="B181" s="17" t="n">
        <v>39</v>
      </c>
      <c r="C181" s="17" t="n">
        <v>20</v>
      </c>
      <c r="D181" s="17" t="n">
        <v>10</v>
      </c>
      <c r="E181" s="17"/>
      <c r="F181" s="17" t="n">
        <v>69</v>
      </c>
      <c r="G181" s="17" t="s">
        <v>605</v>
      </c>
    </row>
    <row r="182" customFormat="false" ht="15" hidden="false" customHeight="false" outlineLevel="0" collapsed="false">
      <c r="A182" s="17" t="s">
        <v>599</v>
      </c>
      <c r="B182" s="17" t="n">
        <v>39</v>
      </c>
      <c r="C182" s="17" t="n">
        <v>20</v>
      </c>
      <c r="D182" s="17" t="n">
        <v>10</v>
      </c>
      <c r="E182" s="17"/>
      <c r="F182" s="17" t="n">
        <v>69</v>
      </c>
      <c r="G182" s="17" t="s">
        <v>605</v>
      </c>
    </row>
    <row r="183" customFormat="false" ht="15" hidden="false" customHeight="false" outlineLevel="0" collapsed="false">
      <c r="A183" s="17" t="s">
        <v>599</v>
      </c>
      <c r="B183" s="17" t="n">
        <v>39</v>
      </c>
      <c r="C183" s="17" t="n">
        <v>17</v>
      </c>
      <c r="D183" s="17" t="n">
        <v>10</v>
      </c>
      <c r="E183" s="17"/>
      <c r="F183" s="17" t="n">
        <v>66</v>
      </c>
      <c r="G183" s="17" t="s">
        <v>605</v>
      </c>
    </row>
    <row r="184" customFormat="false" ht="15" hidden="false" customHeight="false" outlineLevel="0" collapsed="false">
      <c r="A184" s="17" t="s">
        <v>599</v>
      </c>
      <c r="B184" s="17" t="n">
        <v>39</v>
      </c>
      <c r="C184" s="17" t="n">
        <v>16</v>
      </c>
      <c r="D184" s="17" t="n">
        <v>10</v>
      </c>
      <c r="E184" s="17"/>
      <c r="F184" s="17" t="n">
        <v>65</v>
      </c>
      <c r="G184" s="17" t="s">
        <v>605</v>
      </c>
    </row>
    <row r="185" customFormat="false" ht="15" hidden="false" customHeight="false" outlineLevel="0" collapsed="false">
      <c r="A185" s="17" t="s">
        <v>599</v>
      </c>
      <c r="B185" s="17" t="n">
        <v>39</v>
      </c>
      <c r="C185" s="17" t="n">
        <v>17</v>
      </c>
      <c r="D185" s="17" t="n">
        <v>10</v>
      </c>
      <c r="E185" s="17"/>
      <c r="F185" s="17" t="n">
        <v>66</v>
      </c>
      <c r="G185" s="17" t="s">
        <v>605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2026-10-29T09:09:16Z</dcterms:created>
  <dc:creator>openpyxl</dc:creator>
  <dc:description/>
  <dc:language>en-US</dc:language>
  <cp:lastModifiedBy/>
  <dcterms:modified xsi:type="dcterms:W3CDTF">2026-10-29T09:09:17Z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