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Hasil" sheetId="2" state="visible" r:id="rId4"/>
    <sheet name="Asumsi" sheetId="3" state="visible" r:id="rId5"/>
    <sheet name="Neraca" sheetId="4" state="visible" r:id="rId6"/>
    <sheet name="Rencana_Dalo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Stok di atas heel. Negatif = kekurangan (model tidak memotong produksi, supaya Goal Seek bisa mencari titik patah).</t>
        </r>
      </text>
    </comment>
    <comment ref="P2" authorId="0">
      <text>
        <r>
          <rPr>
            <sz val="10"/>
            <rFont val="Arial"/>
            <family val="2"/>
          </rPr>
          <t xml:space="preserve">Stok awal − batas bawah + kumulatif pasokan − kumulatif pemakaian lain. Ruang yang tersedia untuk NPK sampai hari ini.</t>
        </r>
      </text>
    </comment>
    <comment ref="U2" authorId="0">
      <text>
        <r>
          <rPr>
            <sz val="10"/>
            <rFont val="Arial"/>
            <family val="2"/>
          </rPr>
          <t xml:space="preserve">Beban tertinggi yang masih aman sampai hari ini = ruang kumulatif ÷ kebutuhan kumulatif pada beban 100%.</t>
        </r>
      </text>
    </comment>
  </commentList>
</comments>
</file>

<file path=xl/sharedStrings.xml><?xml version="1.0" encoding="utf-8"?>
<sst xmlns="http://schemas.openxmlformats.org/spreadsheetml/2006/main" count="214" uniqueCount="178">
  <si>
    <t xml:space="preserve">Stress Test Laju Produksi NPK · PT Petrokimia Gresik</t>
  </si>
  <si>
    <t xml:space="preserve">Posisi data 4 Oktober 2026 · horizon 05 Oct 2026 – 31 Dec 2026 (88 hari) · sumber: rencana harian Dalops PKG di dashboard CAK PRI v2beta</t>
  </si>
  <si>
    <t xml:space="preserve">Pertanyaan yang dijawab</t>
  </si>
  <si>
    <t xml:space="preserve">Pada beban produksi NPK berapa stok bahan baku, ditambah pasokan yang sudah terjadwal, tidak lagi mencukupi kebutuhan pabrik NPK sampai akhir horizon?</t>
  </si>
  <si>
    <t xml:space="preserve">Cara memakai Goal Seek</t>
  </si>
  <si>
    <t xml:space="preserve">1. Buka sheet Asumsi. Sel merah-kuning C5 = beban produksi NPK (100% = rencana Dalops). Inilah sel yang diubah Goal Seek.</t>
  </si>
  <si>
    <t xml:space="preserve">2. Atur skenario pasokan di Asumsi (sel kuning): produksi asam fosfat, kiriman PJA, impor, keterlambatan kargo KCl, produksi amoniak, dll.</t>
  </si>
  <si>
    <t xml:space="preserve">3. Data &gt; What-If Analysis &gt; Goal Seek:  Set cell = Hasil!C6  ·  To value = 0  ·  By changing cell = Asumsi!C5.</t>
  </si>
  <si>
    <t xml:space="preserve">4. Hasil Goal Seek di Asumsi!C5 adalah TITIK PATAH: beban tertinggi yang masih bisa dilayani stok sampai akhir horizon. Bahan yang mengikat tampil di Hasil!C8.</t>
  </si>
  <si>
    <t xml:space="preserve">5. Untuk titik peringatan (stok menyentuh safety stock): Set cell = Hasil!C7, To value = 0.</t>
  </si>
  <si>
    <t xml:space="preserve">6. Pembanding tanpa Goal Seek: Hasil!C12 menghitung titik patah secara langsung (rumus). Hasil Goal Seek harus sama dengan angka ini.</t>
  </si>
  <si>
    <t xml:space="preserve">7. Catat hasil tiap skenario di tabel Hasil (baris 26 dst.), lalu kembalikan Asumsi!C5 ke 100%.</t>
  </si>
  <si>
    <t xml:space="preserve">Logika neraca harian</t>
  </si>
  <si>
    <t xml:space="preserve">• Kebutuhan bahan untuk NPK pada hari t = pemakaian NPK rencana Dalops hari t × (produksi NPK simulasi ÷ produksi NPK rencana). Rasio bahan per ton NPK harian mengikuti bauran unit Phonska di Dalops.</t>
  </si>
  <si>
    <t xml:space="preserve">• Stok siap pakai = stok kemarin + pasokan masuk − pemakaian di luar NPK − kebutuhan NPK, dikurangi batas bawah (heel/deadstock). Stok boleh negatif di model: angka negatif = kekurangan.</t>
  </si>
  <si>
    <t xml:space="preserve">• Asam fosfat: masuk = produksi PA-I/II × (1 − rasio sludge) + kiriman PJA + impor. Produksi PA diasumsikan tidak dibatasi belerang/asam sulfat (untuk itu pakai modul Stress Test dashboard).</t>
  </si>
  <si>
    <t xml:space="preserve">• KCl: masuk = kargo impor, bisa digeser sekian hari (keterlambatan). Amoniak: masuk = produksi Amoniak I A/I B + pengadaan luar; pemakaian lain = urea, ZA, penjualan.</t>
  </si>
  <si>
    <t xml:space="preserve">• Titik patah = beban tertinggi sehingga stok siap pakai terendah dari ketiga bahan, sepanjang horizon, tepat 0.</t>
  </si>
  <si>
    <t xml:space="preserve">Arti warna</t>
  </si>
  <si>
    <t xml:space="preserve">contoh</t>
  </si>
  <si>
    <t xml:space="preserve">Sel yang diubah Goal Seek (beban NPK)</t>
  </si>
  <si>
    <t xml:space="preserve">Asumsi skenario — boleh diubah</t>
  </si>
  <si>
    <t xml:space="preserve">Data rencana Dalops (teks hitam, sheet Rencana_Dalops)</t>
  </si>
  <si>
    <t xml:space="preserve">Hasil utama</t>
  </si>
  <si>
    <t xml:space="preserve">Teks hijau = mengambil nilai dari sheet lain</t>
  </si>
  <si>
    <t xml:space="preserve">Indikatif untuk penyaringan awal, bukan pengganti balans resmi Perencanaan dan Pengendalian Produksi.</t>
  </si>
  <si>
    <t xml:space="preserve">Hasil Stress Test Laju Produksi NPK · PKG</t>
  </si>
  <si>
    <t xml:space="preserve">SEL TARGET GOAL SEEK</t>
  </si>
  <si>
    <t xml:space="preserve">Ukuran</t>
  </si>
  <si>
    <t xml:space="preserve">Nilai</t>
  </si>
  <si>
    <t xml:space="preserve">Stok siap pakai terendah dari 3 bahan selama horizon (t)  →  Goal Seek ke 0 = TITIK PATAH</t>
  </si>
  <si>
    <t xml:space="preserve">Selisih stok terhadap safety stock, terendah (t)  →  Goal Seek ke 0 = TITIK PERINGATAN</t>
  </si>
  <si>
    <t xml:space="preserve">Bahan baku pengikat (stok siap pakai paling tipis)</t>
  </si>
  <si>
    <t xml:space="preserve">Status pada beban diuji</t>
  </si>
  <si>
    <t xml:space="preserve">TITIK PATAH TANPA GOAL SEEK (rumus langsung, untuk mencocokkan)</t>
  </si>
  <si>
    <t xml:space="preserve">Beban maksimum yang masih dicukupi stok, per bahan &amp; keseluruhan</t>
  </si>
  <si>
    <t xml:space="preserve">Titik patah = beban maksimum terkecil</t>
  </si>
  <si>
    <t xml:space="preserve">Setara produksi NPK rata-rata pada titik patah (t/hari)</t>
  </si>
  <si>
    <t xml:space="preserve">Per bahan baku</t>
  </si>
  <si>
    <t xml:space="preserve">Asam fosfat</t>
  </si>
  <si>
    <t xml:space="preserve">KCl</t>
  </si>
  <si>
    <t xml:space="preserve">Amoniak</t>
  </si>
  <si>
    <t xml:space="preserve">Stok siap pakai awal (di atas batas bawah, t)</t>
  </si>
  <si>
    <t xml:space="preserve">Stok siap pakai terendah pada beban diuji (t)</t>
  </si>
  <si>
    <t xml:space="preserve">Beban maksimum yang masih dicukupi</t>
  </si>
  <si>
    <t xml:space="preserve">Tanggal pertama stok habis pada beban diuji</t>
  </si>
  <si>
    <t xml:space="preserve">Stok siap pakai di akhir horizon (t)</t>
  </si>
  <si>
    <t xml:space="preserve">Total pasokan masuk dalam horizon (t)</t>
  </si>
  <si>
    <t xml:space="preserve">Total kebutuhan NPK + lain dalam horizon (t)</t>
  </si>
  <si>
    <t xml:space="preserve">Artinya</t>
  </si>
  <si>
    <t xml:space="preserve">CATATAN HASIL PER SKENARIO (isi manual setelah Goal Seek)</t>
  </si>
  <si>
    <t xml:space="preserve">Skenario</t>
  </si>
  <si>
    <t xml:space="preserve">Titik patah (beban)</t>
  </si>
  <si>
    <t xml:space="preserve">Bahan pengikat</t>
  </si>
  <si>
    <t xml:space="preserve">Tgl habis @100%</t>
  </si>
  <si>
    <t xml:space="preserve">Titik peringatan</t>
  </si>
  <si>
    <t xml:space="preserve">Catatan</t>
  </si>
  <si>
    <t xml:space="preserve">Rencana dasar (semua 100%)</t>
  </si>
  <si>
    <t xml:space="preserve">KCl mundur 30 hari</t>
  </si>
  <si>
    <t xml:space="preserve">PJA turun 50%</t>
  </si>
  <si>
    <t xml:space="preserve">Produksi amoniak −30%</t>
  </si>
  <si>
    <t xml:space="preserve">Impor PA batal</t>
  </si>
  <si>
    <t xml:space="preserve">Asumsi &amp; Tuas Skenario</t>
  </si>
  <si>
    <t xml:space="preserve">Parameter</t>
  </si>
  <si>
    <t xml:space="preserve">Satuan</t>
  </si>
  <si>
    <t xml:space="preserve">Sumber / keterangan</t>
  </si>
  <si>
    <t xml:space="preserve">TUAS GOAL SEEK</t>
  </si>
  <si>
    <t xml:space="preserve">Beban produksi NPK (semua unit)</t>
  </si>
  <si>
    <t xml:space="preserve">% rencana</t>
  </si>
  <si>
    <t xml:space="preserve">Sel yang diubah Goal Seek. 100% = rencana harian Dalops; 110% = 10% di atas rencana.</t>
  </si>
  <si>
    <t xml:space="preserve">Akhir horizon uji</t>
  </si>
  <si>
    <t xml:space="preserve">tanggal</t>
  </si>
  <si>
    <t xml:space="preserve">Maksimum 31 Dec 2026 (akhir rencana Dalops). Dipendekkan untuk uji 30/60 hari.</t>
  </si>
  <si>
    <t xml:space="preserve">Beban teknis maksimum pabrik NPK</t>
  </si>
  <si>
    <t xml:space="preserve">[ISI] Batas atas kemampuan pabrik terhadap rencana. Hasil Goal Seek di atas angka ini berarti stok bukan pembatas.</t>
  </si>
  <si>
    <t xml:space="preserve">BEBAN PER UNIT (opsional, dikalikan dengan beban di atas)</t>
  </si>
  <si>
    <t xml:space="preserve">Phonska I</t>
  </si>
  <si>
    <t xml:space="preserve">Rencana Dalops maks 1.400 t/hari; 84 hari operasi dalam horizon. Isi 0% untuk unit yang dimatikan.</t>
  </si>
  <si>
    <t xml:space="preserve">Phonska II</t>
  </si>
  <si>
    <t xml:space="preserve">Rencana Dalops maks 1.800 t/hari; 29 hari operasi dalam horizon. Isi 0% untuk unit yang dimatikan.</t>
  </si>
  <si>
    <t xml:space="preserve">Phonska III</t>
  </si>
  <si>
    <t xml:space="preserve">Rencana Dalops maks 1.800 t/hari; 57 hari operasi dalam horizon. Isi 0% untuk unit yang dimatikan.</t>
  </si>
  <si>
    <t xml:space="preserve">Phonska IV</t>
  </si>
  <si>
    <t xml:space="preserve">Rencana Dalops maks 1.800 t/hari; 84 hari operasi dalam horizon. Isi 0% untuk unit yang dimatikan.</t>
  </si>
  <si>
    <t xml:space="preserve">Phonska V</t>
  </si>
  <si>
    <t xml:space="preserve">Rencana Dalops maks 1.800 t/hari; 58 hari operasi dalam horizon. Isi 0% untuk unit yang dimatikan.</t>
  </si>
  <si>
    <t xml:space="preserve">PASOKAN (100% = sesuai rencana Dalops)</t>
  </si>
  <si>
    <t xml:space="preserve">Produksi asam fosfat sendiri (PA-I, PA-II)</t>
  </si>
  <si>
    <t xml:space="preserve">%</t>
  </si>
  <si>
    <t xml:space="preserve">Dalops: produksi PA rencana. Tidak dibatasi belerang di model ini.</t>
  </si>
  <si>
    <t xml:space="preserve">Kiriman asam fosfat PJA</t>
  </si>
  <si>
    <t xml:space="preserve">Petro Jordan Abadi.</t>
  </si>
  <si>
    <t xml:space="preserve">Impor asam fosfat</t>
  </si>
  <si>
    <t xml:space="preserve">Kargo impor terjadwal.</t>
  </si>
  <si>
    <t xml:space="preserve">Impor KCl</t>
  </si>
  <si>
    <t xml:space="preserve">Volume kargo impor KCl terjadwal.</t>
  </si>
  <si>
    <t xml:space="preserve">Keterlambatan seluruh kargo KCl</t>
  </si>
  <si>
    <t xml:space="preserve">hari</t>
  </si>
  <si>
    <t xml:space="preserve">Menggeser kedatangan KCl sekian hari; kargo yang lewat akhir horizon hilang dari hitungan.</t>
  </si>
  <si>
    <t xml:space="preserve">Produksi amoniak sendiri (I A, I B)</t>
  </si>
  <si>
    <t xml:space="preserve">Bergantung pasokan gas.</t>
  </si>
  <si>
    <t xml:space="preserve">Pengadaan amoniak dari luar</t>
  </si>
  <si>
    <t xml:space="preserve">Anper PI Group dan sumber luar.</t>
  </si>
  <si>
    <t xml:space="preserve">Pemakaian amoniak di luar NPK</t>
  </si>
  <si>
    <t xml:space="preserve">Urea, ZA, penjualan. Turunkan untuk menguji prioritas amoniak ke NPK.</t>
  </si>
  <si>
    <t xml:space="preserve">Pemakaian asam fosfat di luar NPK</t>
  </si>
  <si>
    <t xml:space="preserve">SP-36 dan lainnya.</t>
  </si>
  <si>
    <t xml:space="preserve">STOK AWAL &amp; BATAS (posisi data)</t>
  </si>
  <si>
    <t xml:space="preserve">Stok awal asam fosfat (cair, basis P2O5 54%)</t>
  </si>
  <si>
    <t xml:space="preserve">t</t>
  </si>
  <si>
    <t xml:space="preserve">Dalops, posisi 4 Oktober 2026. Sudah bersih dari sludge.</t>
  </si>
  <si>
    <t xml:space="preserve">Stok awal KCl (merah + putih)</t>
  </si>
  <si>
    <t xml:space="preserve">Dalops, posisi 4 Oktober 2026.</t>
  </si>
  <si>
    <t xml:space="preserve">Stok awal amoniak</t>
  </si>
  <si>
    <t xml:space="preserve">Batas bawah asam fosfat (heel)</t>
  </si>
  <si>
    <t xml:space="preserve">Heel tangki yang tidak dapat dipompa, sama dengan simulator dashboard. Ganti ke 6.000 bila ingin memakai deadstock Kesepakatan.</t>
  </si>
  <si>
    <t xml:space="preserve">Batas bawah KCl (deadstock)</t>
  </si>
  <si>
    <t xml:space="preserve">Deadstock Kesepakatan PI Group. Isi 0 untuk menyamakan dengan simulator dashboard.</t>
  </si>
  <si>
    <t xml:space="preserve">Batas bawah amoniak (deadstock)</t>
  </si>
  <si>
    <t xml:space="preserve">Safety stock asam fosfat</t>
  </si>
  <si>
    <t xml:space="preserve">Kesepakatan Safety Stock Bahan Baku PI Group.</t>
  </si>
  <si>
    <t xml:space="preserve">Safety stock KCl</t>
  </si>
  <si>
    <t xml:space="preserve">Safety stock amoniak</t>
  </si>
  <si>
    <t xml:space="preserve">Angka internal PKG (tidak tercantum di Kesepakatan PI Group).</t>
  </si>
  <si>
    <t xml:space="preserve">ASAM FOSFAT (t)</t>
  </si>
  <si>
    <t xml:space="preserve">KCl (t)</t>
  </si>
  <si>
    <t xml:space="preserve">AMONIAK (t)</t>
  </si>
  <si>
    <t xml:space="preserve">PEMBANDING ANALITIK (untuk cek Goal Seek)</t>
  </si>
  <si>
    <t xml:space="preserve">PENANDA</t>
  </si>
  <si>
    <t xml:space="preserve">Tanggal</t>
  </si>
  <si>
    <t xml:space="preserve">Hari ke</t>
  </si>
  <si>
    <t xml:space="preserve">Dalam horizon</t>
  </si>
  <si>
    <t xml:space="preserve">NPK simulasi (t)</t>
  </si>
  <si>
    <t xml:space="preserve">NPK rencana (t)</t>
  </si>
  <si>
    <t xml:space="preserve">PA masuk</t>
  </si>
  <si>
    <t xml:space="preserve">PA keluar</t>
  </si>
  <si>
    <t xml:space="preserve">PA stok siap pakai</t>
  </si>
  <si>
    <t xml:space="preserve">KCl masuk</t>
  </si>
  <si>
    <t xml:space="preserve">KCl keluar</t>
  </si>
  <si>
    <t xml:space="preserve">KCl stok siap pakai</t>
  </si>
  <si>
    <t xml:space="preserve">NH3 masuk</t>
  </si>
  <si>
    <t xml:space="preserve">NH3 keluar</t>
  </si>
  <si>
    <t xml:space="preserve">NH3 stok siap pakai</t>
  </si>
  <si>
    <t xml:space="preserve">PA kebutuhan @100% kum.</t>
  </si>
  <si>
    <t xml:space="preserve">PA ruang kum.</t>
  </si>
  <si>
    <t xml:space="preserve">KCl kebutuhan @100% kum.</t>
  </si>
  <si>
    <t xml:space="preserve">KCl ruang kum.</t>
  </si>
  <si>
    <t xml:space="preserve">NH3 kebutuhan @100% kum.</t>
  </si>
  <si>
    <t xml:space="preserve">NH3 ruang kum.</t>
  </si>
  <si>
    <t xml:space="preserve">Beban maks PA s.d. hari ini</t>
  </si>
  <si>
    <t xml:space="preserve">Beban maks KCl s.d. hari ini</t>
  </si>
  <si>
    <t xml:space="preserve">Beban maks NH3 s.d. hari ini</t>
  </si>
  <si>
    <t xml:space="preserve">PA habis (tgl)</t>
  </si>
  <si>
    <t xml:space="preserve">KCl habis (tgl)</t>
  </si>
  <si>
    <t xml:space="preserve">NH3 habis (tgl)</t>
  </si>
  <si>
    <t xml:space="preserve">Stok − SS terendah hari ini</t>
  </si>
  <si>
    <t xml:space="preserve">PA siap (horizon)</t>
  </si>
  <si>
    <t xml:space="preserve">KCl siap (horizon)</t>
  </si>
  <si>
    <t xml:space="preserve">NH3 siap (horizon)</t>
  </si>
  <si>
    <t xml:space="preserve">PRODUKSI NPK RENCANA (t/hari)</t>
  </si>
  <si>
    <t xml:space="preserve">ASAM FOSFAT (t/hari)</t>
  </si>
  <si>
    <t xml:space="preserve">KCl (t/hari)</t>
  </si>
  <si>
    <t xml:space="preserve">AMONIAK (t/hari)</t>
  </si>
  <si>
    <t xml:space="preserve">PA produksi</t>
  </si>
  <si>
    <t xml:space="preserve">Rasio sludge</t>
  </si>
  <si>
    <t xml:space="preserve">PA kiriman PJA</t>
  </si>
  <si>
    <t xml:space="preserve">PA impor</t>
  </si>
  <si>
    <t xml:space="preserve">PA pakai lain</t>
  </si>
  <si>
    <t xml:space="preserve">PA untuk NPK</t>
  </si>
  <si>
    <t xml:space="preserve">KCl impor</t>
  </si>
  <si>
    <t xml:space="preserve">KCl pakai lain</t>
  </si>
  <si>
    <t xml:space="preserve">KCl untuk NPK</t>
  </si>
  <si>
    <t xml:space="preserve">NH3 produksi</t>
  </si>
  <si>
    <t xml:space="preserve">NH3 luar</t>
  </si>
  <si>
    <t xml:space="preserve">NH3 pakai lain</t>
  </si>
  <si>
    <t xml:space="preserve">NH3 untuk NPK</t>
  </si>
  <si>
    <t xml:space="preserve">Jumlah</t>
  </si>
  <si>
    <t xml:space="preserve">Sumber: rencana harian Dalops PKG (D.sim) yang tertanam di Dashboard CAK PRI v2beta, posisi data 4 Oktober 2026; sama dengan angka simulator modul 08 di dashboard. Nilai hardcode, bukan rumus; perbarui dari Dalops terbaru bila posisi data berganti.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</si>
</sst>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dd\-mmm\-yyyy"/>
    <numFmt numFmtId="168" formatCode="0"/>
    <numFmt numFmtId="169" formatCode="#,##0.0;\(#,##0.0\);\-"/>
    <numFmt numFmtId="170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4"/>
      <color rgb="FF1F5F3A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5F3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Stok siap pakai pada beban diuji 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Neraca!H2</c:f>
              <c:strCache>
                <c:ptCount val="1"/>
                <c:pt idx="0">
                  <c:v>PA stok siap pakai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Neraca!$A$3:$A$90</c:f>
              <c:strCache>
                <c:ptCount val="88"/>
                <c:pt idx="0">
                  <c:v>05-Oct-2026</c:v>
                </c:pt>
                <c:pt idx="1">
                  <c:v>06-Oct-2026</c:v>
                </c:pt>
                <c:pt idx="2">
                  <c:v>07-Oct-2026</c:v>
                </c:pt>
                <c:pt idx="3">
                  <c:v>08-Oct-2026</c:v>
                </c:pt>
                <c:pt idx="4">
                  <c:v>09-Oct-2026</c:v>
                </c:pt>
                <c:pt idx="5">
                  <c:v>10-Oct-2026</c:v>
                </c:pt>
                <c:pt idx="6">
                  <c:v>11-Oct-2026</c:v>
                </c:pt>
                <c:pt idx="7">
                  <c:v>12-Oct-2026</c:v>
                </c:pt>
                <c:pt idx="8">
                  <c:v>13-Oct-2026</c:v>
                </c:pt>
                <c:pt idx="9">
                  <c:v>14-Oct-2026</c:v>
                </c:pt>
                <c:pt idx="10">
                  <c:v>15-Oct-2026</c:v>
                </c:pt>
                <c:pt idx="11">
                  <c:v>16-Oct-2026</c:v>
                </c:pt>
                <c:pt idx="12">
                  <c:v>17-Oct-2026</c:v>
                </c:pt>
                <c:pt idx="13">
                  <c:v>18-Oct-2026</c:v>
                </c:pt>
                <c:pt idx="14">
                  <c:v>19-Oct-2026</c:v>
                </c:pt>
                <c:pt idx="15">
                  <c:v>20-Oct-2026</c:v>
                </c:pt>
                <c:pt idx="16">
                  <c:v>21-Oct-2026</c:v>
                </c:pt>
                <c:pt idx="17">
                  <c:v>22-Oct-2026</c:v>
                </c:pt>
                <c:pt idx="18">
                  <c:v>23-Oct-2026</c:v>
                </c:pt>
                <c:pt idx="19">
                  <c:v>24-Oct-2026</c:v>
                </c:pt>
                <c:pt idx="20">
                  <c:v>25-Oct-2026</c:v>
                </c:pt>
                <c:pt idx="21">
                  <c:v>26-Oct-2026</c:v>
                </c:pt>
                <c:pt idx="22">
                  <c:v>27-Oct-2026</c:v>
                </c:pt>
                <c:pt idx="23">
                  <c:v>28-Oct-2026</c:v>
                </c:pt>
                <c:pt idx="24">
                  <c:v>29-Oct-2026</c:v>
                </c:pt>
                <c:pt idx="25">
                  <c:v>30-Oct-2026</c:v>
                </c:pt>
                <c:pt idx="26">
                  <c:v>31-Oct-2026</c:v>
                </c:pt>
                <c:pt idx="27">
                  <c:v>01-Nov-2026</c:v>
                </c:pt>
                <c:pt idx="28">
                  <c:v>02-Nov-2026</c:v>
                </c:pt>
                <c:pt idx="29">
                  <c:v>03-Nov-2026</c:v>
                </c:pt>
                <c:pt idx="30">
                  <c:v>04-Nov-2026</c:v>
                </c:pt>
                <c:pt idx="31">
                  <c:v>05-Nov-2026</c:v>
                </c:pt>
                <c:pt idx="32">
                  <c:v>06-Nov-2026</c:v>
                </c:pt>
                <c:pt idx="33">
                  <c:v>07-Nov-2026</c:v>
                </c:pt>
                <c:pt idx="34">
                  <c:v>08-Nov-2026</c:v>
                </c:pt>
                <c:pt idx="35">
                  <c:v>09-Nov-2026</c:v>
                </c:pt>
                <c:pt idx="36">
                  <c:v>10-Nov-2026</c:v>
                </c:pt>
                <c:pt idx="37">
                  <c:v>11-Nov-2026</c:v>
                </c:pt>
                <c:pt idx="38">
                  <c:v>12-Nov-2026</c:v>
                </c:pt>
                <c:pt idx="39">
                  <c:v>13-Nov-2026</c:v>
                </c:pt>
                <c:pt idx="40">
                  <c:v>14-Nov-2026</c:v>
                </c:pt>
                <c:pt idx="41">
                  <c:v>15-Nov-2026</c:v>
                </c:pt>
                <c:pt idx="42">
                  <c:v>16-Nov-2026</c:v>
                </c:pt>
                <c:pt idx="43">
                  <c:v>17-Nov-2026</c:v>
                </c:pt>
                <c:pt idx="44">
                  <c:v>18-Nov-2026</c:v>
                </c:pt>
                <c:pt idx="45">
                  <c:v>19-Nov-2026</c:v>
                </c:pt>
                <c:pt idx="46">
                  <c:v>20-Nov-2026</c:v>
                </c:pt>
                <c:pt idx="47">
                  <c:v>21-Nov-2026</c:v>
                </c:pt>
                <c:pt idx="48">
                  <c:v>22-Nov-2026</c:v>
                </c:pt>
                <c:pt idx="49">
                  <c:v>23-Nov-2026</c:v>
                </c:pt>
                <c:pt idx="50">
                  <c:v>24-Nov-2026</c:v>
                </c:pt>
                <c:pt idx="51">
                  <c:v>25-Nov-2026</c:v>
                </c:pt>
                <c:pt idx="52">
                  <c:v>26-Nov-2026</c:v>
                </c:pt>
                <c:pt idx="53">
                  <c:v>27-Nov-2026</c:v>
                </c:pt>
                <c:pt idx="54">
                  <c:v>28-Nov-2026</c:v>
                </c:pt>
                <c:pt idx="55">
                  <c:v>29-Nov-2026</c:v>
                </c:pt>
                <c:pt idx="56">
                  <c:v>30-Nov-2026</c:v>
                </c:pt>
                <c:pt idx="57">
                  <c:v>01-Dec-2026</c:v>
                </c:pt>
                <c:pt idx="58">
                  <c:v>02-Dec-2026</c:v>
                </c:pt>
                <c:pt idx="59">
                  <c:v>03-Dec-2026</c:v>
                </c:pt>
                <c:pt idx="60">
                  <c:v>04-Dec-2026</c:v>
                </c:pt>
                <c:pt idx="61">
                  <c:v>05-Dec-2026</c:v>
                </c:pt>
                <c:pt idx="62">
                  <c:v>06-Dec-2026</c:v>
                </c:pt>
                <c:pt idx="63">
                  <c:v>07-Dec-2026</c:v>
                </c:pt>
                <c:pt idx="64">
                  <c:v>08-Dec-2026</c:v>
                </c:pt>
                <c:pt idx="65">
                  <c:v>09-Dec-2026</c:v>
                </c:pt>
                <c:pt idx="66">
                  <c:v>10-Dec-2026</c:v>
                </c:pt>
                <c:pt idx="67">
                  <c:v>11-Dec-2026</c:v>
                </c:pt>
                <c:pt idx="68">
                  <c:v>12-Dec-2026</c:v>
                </c:pt>
                <c:pt idx="69">
                  <c:v>13-Dec-2026</c:v>
                </c:pt>
                <c:pt idx="70">
                  <c:v>14-Dec-2026</c:v>
                </c:pt>
                <c:pt idx="71">
                  <c:v>15-Dec-2026</c:v>
                </c:pt>
                <c:pt idx="72">
                  <c:v>16-Dec-2026</c:v>
                </c:pt>
                <c:pt idx="73">
                  <c:v>17-Dec-2026</c:v>
                </c:pt>
                <c:pt idx="74">
                  <c:v>18-Dec-2026</c:v>
                </c:pt>
                <c:pt idx="75">
                  <c:v>19-Dec-2026</c:v>
                </c:pt>
                <c:pt idx="76">
                  <c:v>20-Dec-2026</c:v>
                </c:pt>
                <c:pt idx="77">
                  <c:v>21-Dec-2026</c:v>
                </c:pt>
                <c:pt idx="78">
                  <c:v>22-Dec-2026</c:v>
                </c:pt>
                <c:pt idx="79">
                  <c:v>23-Dec-2026</c:v>
                </c:pt>
                <c:pt idx="80">
                  <c:v>24-Dec-2026</c:v>
                </c:pt>
                <c:pt idx="81">
                  <c:v>25-Dec-2026</c:v>
                </c:pt>
                <c:pt idx="82">
                  <c:v>26-Dec-2026</c:v>
                </c:pt>
                <c:pt idx="83">
                  <c:v>27-Dec-2026</c:v>
                </c:pt>
                <c:pt idx="84">
                  <c:v>28-Dec-2026</c:v>
                </c:pt>
                <c:pt idx="85">
                  <c:v>29-Dec-2026</c:v>
                </c:pt>
                <c:pt idx="86">
                  <c:v>30-Dec-2026</c:v>
                </c:pt>
                <c:pt idx="87">
                  <c:v>31-Dec-2026</c:v>
                </c:pt>
              </c:strCache>
            </c:strRef>
          </c:cat>
          <c:val>
            <c:numRef>
              <c:f>Neraca!$H$3:$H$90</c:f>
              <c:numCache>
                <c:formatCode>#,##0;\(#,##0\);\-</c:formatCode>
                <c:ptCount val="88"/>
                <c:pt idx="0">
                  <c:v>28778.1158559038</c:v>
                </c:pt>
                <c:pt idx="1">
                  <c:v>28883.1479930499</c:v>
                </c:pt>
                <c:pt idx="2">
                  <c:v>28988.180130196</c:v>
                </c:pt>
                <c:pt idx="3">
                  <c:v>29093.2122673421</c:v>
                </c:pt>
                <c:pt idx="4">
                  <c:v>29198.2444044882</c:v>
                </c:pt>
                <c:pt idx="5">
                  <c:v>29704.1995416343</c:v>
                </c:pt>
                <c:pt idx="6">
                  <c:v>30210.1546787804</c:v>
                </c:pt>
                <c:pt idx="7">
                  <c:v>30390.1868159265</c:v>
                </c:pt>
                <c:pt idx="8">
                  <c:v>30882.0479530726</c:v>
                </c:pt>
                <c:pt idx="9">
                  <c:v>31463.0030902187</c:v>
                </c:pt>
                <c:pt idx="10">
                  <c:v>36643.0352273648</c:v>
                </c:pt>
                <c:pt idx="11">
                  <c:v>41299.7698734553</c:v>
                </c:pt>
                <c:pt idx="12">
                  <c:v>40956.5045195458</c:v>
                </c:pt>
                <c:pt idx="13">
                  <c:v>40613.2391656363</c:v>
                </c:pt>
                <c:pt idx="14">
                  <c:v>40670.8968117268</c:v>
                </c:pt>
                <c:pt idx="15">
                  <c:v>40327.6314578173</c:v>
                </c:pt>
                <c:pt idx="16">
                  <c:v>39984.3661039078</c:v>
                </c:pt>
                <c:pt idx="17">
                  <c:v>39641.1007499983</c:v>
                </c:pt>
                <c:pt idx="18">
                  <c:v>39297.8353960888</c:v>
                </c:pt>
                <c:pt idx="19">
                  <c:v>38954.5700421793</c:v>
                </c:pt>
                <c:pt idx="20">
                  <c:v>38611.3046882698</c:v>
                </c:pt>
                <c:pt idx="21">
                  <c:v>38268.0393343603</c:v>
                </c:pt>
                <c:pt idx="22">
                  <c:v>37924.7739804508</c:v>
                </c:pt>
                <c:pt idx="23">
                  <c:v>37581.5086265413</c:v>
                </c:pt>
                <c:pt idx="24">
                  <c:v>37238.2432726318</c:v>
                </c:pt>
                <c:pt idx="25">
                  <c:v>36894.9779187224</c:v>
                </c:pt>
                <c:pt idx="26">
                  <c:v>36551.7125648129</c:v>
                </c:pt>
                <c:pt idx="27">
                  <c:v>36740.8657595721</c:v>
                </c:pt>
                <c:pt idx="28">
                  <c:v>36930.0189543315</c:v>
                </c:pt>
                <c:pt idx="29">
                  <c:v>37119.1721490908</c:v>
                </c:pt>
                <c:pt idx="30">
                  <c:v>37397.4193438501</c:v>
                </c:pt>
                <c:pt idx="31">
                  <c:v>37675.6665386094</c:v>
                </c:pt>
                <c:pt idx="32">
                  <c:v>37572.4137333687</c:v>
                </c:pt>
                <c:pt idx="33">
                  <c:v>37354.710928128</c:v>
                </c:pt>
                <c:pt idx="34">
                  <c:v>37448.8371228873</c:v>
                </c:pt>
                <c:pt idx="35">
                  <c:v>37542.9633176466</c:v>
                </c:pt>
                <c:pt idx="36">
                  <c:v>36801.9630213503</c:v>
                </c:pt>
                <c:pt idx="37">
                  <c:v>36060.962725054</c:v>
                </c:pt>
                <c:pt idx="38">
                  <c:v>35720.8854287577</c:v>
                </c:pt>
                <c:pt idx="39">
                  <c:v>34979.8851324614</c:v>
                </c:pt>
                <c:pt idx="40">
                  <c:v>34639.8078361651</c:v>
                </c:pt>
                <c:pt idx="41">
                  <c:v>34299.7305398688</c:v>
                </c:pt>
                <c:pt idx="42">
                  <c:v>33558.7302435725</c:v>
                </c:pt>
                <c:pt idx="43">
                  <c:v>32817.7299472762</c:v>
                </c:pt>
                <c:pt idx="44">
                  <c:v>32555.4801420355</c:v>
                </c:pt>
                <c:pt idx="45">
                  <c:v>32293.2303367948</c:v>
                </c:pt>
                <c:pt idx="46">
                  <c:v>37030.9805315541</c:v>
                </c:pt>
                <c:pt idx="47">
                  <c:v>41768.7307263134</c:v>
                </c:pt>
                <c:pt idx="48">
                  <c:v>41506.4809210727</c:v>
                </c:pt>
                <c:pt idx="49">
                  <c:v>41244.231115832</c:v>
                </c:pt>
                <c:pt idx="50">
                  <c:v>40981.9813105913</c:v>
                </c:pt>
                <c:pt idx="51">
                  <c:v>40719.7315053506</c:v>
                </c:pt>
                <c:pt idx="52">
                  <c:v>40457.4817001099</c:v>
                </c:pt>
                <c:pt idx="53">
                  <c:v>40195.2318948691</c:v>
                </c:pt>
                <c:pt idx="54">
                  <c:v>39932.9820896284</c:v>
                </c:pt>
                <c:pt idx="55">
                  <c:v>39670.7322843877</c:v>
                </c:pt>
                <c:pt idx="56">
                  <c:v>39408.482479147</c:v>
                </c:pt>
                <c:pt idx="57">
                  <c:v>39118.6393644517</c:v>
                </c:pt>
                <c:pt idx="58">
                  <c:v>39185.1722497564</c:v>
                </c:pt>
                <c:pt idx="59">
                  <c:v>39251.7051350611</c:v>
                </c:pt>
                <c:pt idx="60">
                  <c:v>38918.2380203659</c:v>
                </c:pt>
                <c:pt idx="61">
                  <c:v>28584.7709056706</c:v>
                </c:pt>
                <c:pt idx="62">
                  <c:v>28251.3037909753</c:v>
                </c:pt>
                <c:pt idx="63">
                  <c:v>27917.83667628</c:v>
                </c:pt>
                <c:pt idx="64">
                  <c:v>27584.3695615847</c:v>
                </c:pt>
                <c:pt idx="65">
                  <c:v>27250.9024468893</c:v>
                </c:pt>
                <c:pt idx="66">
                  <c:v>26917.435332194</c:v>
                </c:pt>
                <c:pt idx="67">
                  <c:v>26583.9682174987</c:v>
                </c:pt>
                <c:pt idx="68">
                  <c:v>26250.5011028034</c:v>
                </c:pt>
                <c:pt idx="69">
                  <c:v>25917.0339881081</c:v>
                </c:pt>
                <c:pt idx="70">
                  <c:v>26106.8643644684</c:v>
                </c:pt>
                <c:pt idx="71">
                  <c:v>26296.6947408287</c:v>
                </c:pt>
                <c:pt idx="72">
                  <c:v>26887.448117189</c:v>
                </c:pt>
                <c:pt idx="73">
                  <c:v>27389.1074935493</c:v>
                </c:pt>
                <c:pt idx="74">
                  <c:v>27578.9378699096</c:v>
                </c:pt>
                <c:pt idx="75">
                  <c:v>27768.7682462699</c:v>
                </c:pt>
                <c:pt idx="76">
                  <c:v>27958.5986226302</c:v>
                </c:pt>
                <c:pt idx="77">
                  <c:v>28148.4289989905</c:v>
                </c:pt>
                <c:pt idx="78">
                  <c:v>28338.2593753508</c:v>
                </c:pt>
                <c:pt idx="79">
                  <c:v>28528.0897517111</c:v>
                </c:pt>
                <c:pt idx="80">
                  <c:v>28717.9201280714</c:v>
                </c:pt>
                <c:pt idx="81">
                  <c:v>28907.7505044317</c:v>
                </c:pt>
                <c:pt idx="82">
                  <c:v>29497.580880792</c:v>
                </c:pt>
                <c:pt idx="83">
                  <c:v>30488.3342571523</c:v>
                </c:pt>
                <c:pt idx="84">
                  <c:v>31078.1646335126</c:v>
                </c:pt>
                <c:pt idx="85">
                  <c:v>31267.0720098729</c:v>
                </c:pt>
                <c:pt idx="86">
                  <c:v>31455.9793862332</c:v>
                </c:pt>
                <c:pt idx="87">
                  <c:v>31644.8867625935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Neraca!K2</c:f>
              <c:strCache>
                <c:ptCount val="1"/>
                <c:pt idx="0">
                  <c:v>KCl stok siap pakai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Neraca!$A$3:$A$90</c:f>
              <c:strCache>
                <c:ptCount val="88"/>
                <c:pt idx="0">
                  <c:v>05-Oct-2026</c:v>
                </c:pt>
                <c:pt idx="1">
                  <c:v>06-Oct-2026</c:v>
                </c:pt>
                <c:pt idx="2">
                  <c:v>07-Oct-2026</c:v>
                </c:pt>
                <c:pt idx="3">
                  <c:v>08-Oct-2026</c:v>
                </c:pt>
                <c:pt idx="4">
                  <c:v>09-Oct-2026</c:v>
                </c:pt>
                <c:pt idx="5">
                  <c:v>10-Oct-2026</c:v>
                </c:pt>
                <c:pt idx="6">
                  <c:v>11-Oct-2026</c:v>
                </c:pt>
                <c:pt idx="7">
                  <c:v>12-Oct-2026</c:v>
                </c:pt>
                <c:pt idx="8">
                  <c:v>13-Oct-2026</c:v>
                </c:pt>
                <c:pt idx="9">
                  <c:v>14-Oct-2026</c:v>
                </c:pt>
                <c:pt idx="10">
                  <c:v>15-Oct-2026</c:v>
                </c:pt>
                <c:pt idx="11">
                  <c:v>16-Oct-2026</c:v>
                </c:pt>
                <c:pt idx="12">
                  <c:v>17-Oct-2026</c:v>
                </c:pt>
                <c:pt idx="13">
                  <c:v>18-Oct-2026</c:v>
                </c:pt>
                <c:pt idx="14">
                  <c:v>19-Oct-2026</c:v>
                </c:pt>
                <c:pt idx="15">
                  <c:v>20-Oct-2026</c:v>
                </c:pt>
                <c:pt idx="16">
                  <c:v>21-Oct-2026</c:v>
                </c:pt>
                <c:pt idx="17">
                  <c:v>22-Oct-2026</c:v>
                </c:pt>
                <c:pt idx="18">
                  <c:v>23-Oct-2026</c:v>
                </c:pt>
                <c:pt idx="19">
                  <c:v>24-Oct-2026</c:v>
                </c:pt>
                <c:pt idx="20">
                  <c:v>25-Oct-2026</c:v>
                </c:pt>
                <c:pt idx="21">
                  <c:v>26-Oct-2026</c:v>
                </c:pt>
                <c:pt idx="22">
                  <c:v>27-Oct-2026</c:v>
                </c:pt>
                <c:pt idx="23">
                  <c:v>28-Oct-2026</c:v>
                </c:pt>
                <c:pt idx="24">
                  <c:v>29-Oct-2026</c:v>
                </c:pt>
                <c:pt idx="25">
                  <c:v>30-Oct-2026</c:v>
                </c:pt>
                <c:pt idx="26">
                  <c:v>31-Oct-2026</c:v>
                </c:pt>
                <c:pt idx="27">
                  <c:v>01-Nov-2026</c:v>
                </c:pt>
                <c:pt idx="28">
                  <c:v>02-Nov-2026</c:v>
                </c:pt>
                <c:pt idx="29">
                  <c:v>03-Nov-2026</c:v>
                </c:pt>
                <c:pt idx="30">
                  <c:v>04-Nov-2026</c:v>
                </c:pt>
                <c:pt idx="31">
                  <c:v>05-Nov-2026</c:v>
                </c:pt>
                <c:pt idx="32">
                  <c:v>06-Nov-2026</c:v>
                </c:pt>
                <c:pt idx="33">
                  <c:v>07-Nov-2026</c:v>
                </c:pt>
                <c:pt idx="34">
                  <c:v>08-Nov-2026</c:v>
                </c:pt>
                <c:pt idx="35">
                  <c:v>09-Nov-2026</c:v>
                </c:pt>
                <c:pt idx="36">
                  <c:v>10-Nov-2026</c:v>
                </c:pt>
                <c:pt idx="37">
                  <c:v>11-Nov-2026</c:v>
                </c:pt>
                <c:pt idx="38">
                  <c:v>12-Nov-2026</c:v>
                </c:pt>
                <c:pt idx="39">
                  <c:v>13-Nov-2026</c:v>
                </c:pt>
                <c:pt idx="40">
                  <c:v>14-Nov-2026</c:v>
                </c:pt>
                <c:pt idx="41">
                  <c:v>15-Nov-2026</c:v>
                </c:pt>
                <c:pt idx="42">
                  <c:v>16-Nov-2026</c:v>
                </c:pt>
                <c:pt idx="43">
                  <c:v>17-Nov-2026</c:v>
                </c:pt>
                <c:pt idx="44">
                  <c:v>18-Nov-2026</c:v>
                </c:pt>
                <c:pt idx="45">
                  <c:v>19-Nov-2026</c:v>
                </c:pt>
                <c:pt idx="46">
                  <c:v>20-Nov-2026</c:v>
                </c:pt>
                <c:pt idx="47">
                  <c:v>21-Nov-2026</c:v>
                </c:pt>
                <c:pt idx="48">
                  <c:v>22-Nov-2026</c:v>
                </c:pt>
                <c:pt idx="49">
                  <c:v>23-Nov-2026</c:v>
                </c:pt>
                <c:pt idx="50">
                  <c:v>24-Nov-2026</c:v>
                </c:pt>
                <c:pt idx="51">
                  <c:v>25-Nov-2026</c:v>
                </c:pt>
                <c:pt idx="52">
                  <c:v>26-Nov-2026</c:v>
                </c:pt>
                <c:pt idx="53">
                  <c:v>27-Nov-2026</c:v>
                </c:pt>
                <c:pt idx="54">
                  <c:v>28-Nov-2026</c:v>
                </c:pt>
                <c:pt idx="55">
                  <c:v>29-Nov-2026</c:v>
                </c:pt>
                <c:pt idx="56">
                  <c:v>30-Nov-2026</c:v>
                </c:pt>
                <c:pt idx="57">
                  <c:v>01-Dec-2026</c:v>
                </c:pt>
                <c:pt idx="58">
                  <c:v>02-Dec-2026</c:v>
                </c:pt>
                <c:pt idx="59">
                  <c:v>03-Dec-2026</c:v>
                </c:pt>
                <c:pt idx="60">
                  <c:v>04-Dec-2026</c:v>
                </c:pt>
                <c:pt idx="61">
                  <c:v>05-Dec-2026</c:v>
                </c:pt>
                <c:pt idx="62">
                  <c:v>06-Dec-2026</c:v>
                </c:pt>
                <c:pt idx="63">
                  <c:v>07-Dec-2026</c:v>
                </c:pt>
                <c:pt idx="64">
                  <c:v>08-Dec-2026</c:v>
                </c:pt>
                <c:pt idx="65">
                  <c:v>09-Dec-2026</c:v>
                </c:pt>
                <c:pt idx="66">
                  <c:v>10-Dec-2026</c:v>
                </c:pt>
                <c:pt idx="67">
                  <c:v>11-Dec-2026</c:v>
                </c:pt>
                <c:pt idx="68">
                  <c:v>12-Dec-2026</c:v>
                </c:pt>
                <c:pt idx="69">
                  <c:v>13-Dec-2026</c:v>
                </c:pt>
                <c:pt idx="70">
                  <c:v>14-Dec-2026</c:v>
                </c:pt>
                <c:pt idx="71">
                  <c:v>15-Dec-2026</c:v>
                </c:pt>
                <c:pt idx="72">
                  <c:v>16-Dec-2026</c:v>
                </c:pt>
                <c:pt idx="73">
                  <c:v>17-Dec-2026</c:v>
                </c:pt>
                <c:pt idx="74">
                  <c:v>18-Dec-2026</c:v>
                </c:pt>
                <c:pt idx="75">
                  <c:v>19-Dec-2026</c:v>
                </c:pt>
                <c:pt idx="76">
                  <c:v>20-Dec-2026</c:v>
                </c:pt>
                <c:pt idx="77">
                  <c:v>21-Dec-2026</c:v>
                </c:pt>
                <c:pt idx="78">
                  <c:v>22-Dec-2026</c:v>
                </c:pt>
                <c:pt idx="79">
                  <c:v>23-Dec-2026</c:v>
                </c:pt>
                <c:pt idx="80">
                  <c:v>24-Dec-2026</c:v>
                </c:pt>
                <c:pt idx="81">
                  <c:v>25-Dec-2026</c:v>
                </c:pt>
                <c:pt idx="82">
                  <c:v>26-Dec-2026</c:v>
                </c:pt>
                <c:pt idx="83">
                  <c:v>27-Dec-2026</c:v>
                </c:pt>
                <c:pt idx="84">
                  <c:v>28-Dec-2026</c:v>
                </c:pt>
                <c:pt idx="85">
                  <c:v>29-Dec-2026</c:v>
                </c:pt>
                <c:pt idx="86">
                  <c:v>30-Dec-2026</c:v>
                </c:pt>
                <c:pt idx="87">
                  <c:v>31-Dec-2026</c:v>
                </c:pt>
              </c:strCache>
            </c:strRef>
          </c:cat>
          <c:val>
            <c:numRef>
              <c:f>Neraca!$K$3:$K$90</c:f>
              <c:numCache>
                <c:formatCode>#,##0;\(#,##0\);\-</c:formatCode>
                <c:ptCount val="88"/>
                <c:pt idx="0">
                  <c:v>73229.8196</c:v>
                </c:pt>
                <c:pt idx="1">
                  <c:v>71490.8196</c:v>
                </c:pt>
                <c:pt idx="2">
                  <c:v>69751.8196</c:v>
                </c:pt>
                <c:pt idx="3">
                  <c:v>73012.8196</c:v>
                </c:pt>
                <c:pt idx="4">
                  <c:v>76273.8196</c:v>
                </c:pt>
                <c:pt idx="5">
                  <c:v>79911.0196</c:v>
                </c:pt>
                <c:pt idx="6">
                  <c:v>83652.7196</c:v>
                </c:pt>
                <c:pt idx="7">
                  <c:v>89447.3946</c:v>
                </c:pt>
                <c:pt idx="8">
                  <c:v>87930.1696</c:v>
                </c:pt>
                <c:pt idx="9">
                  <c:v>91580.1446</c:v>
                </c:pt>
                <c:pt idx="10">
                  <c:v>94770.3196</c:v>
                </c:pt>
                <c:pt idx="11">
                  <c:v>97960.4946</c:v>
                </c:pt>
                <c:pt idx="12">
                  <c:v>101150.6696</c:v>
                </c:pt>
                <c:pt idx="13">
                  <c:v>105288.7086</c:v>
                </c:pt>
                <c:pt idx="14">
                  <c:v>103855.0836</c:v>
                </c:pt>
                <c:pt idx="15">
                  <c:v>107045.2586</c:v>
                </c:pt>
                <c:pt idx="16">
                  <c:v>110235.4336</c:v>
                </c:pt>
                <c:pt idx="17">
                  <c:v>113530.1086</c:v>
                </c:pt>
                <c:pt idx="18">
                  <c:v>116720.2836</c:v>
                </c:pt>
                <c:pt idx="19">
                  <c:v>119910.4586</c:v>
                </c:pt>
                <c:pt idx="20">
                  <c:v>118100.6336</c:v>
                </c:pt>
                <c:pt idx="21">
                  <c:v>116290.8086</c:v>
                </c:pt>
                <c:pt idx="22">
                  <c:v>114480.9836</c:v>
                </c:pt>
                <c:pt idx="23">
                  <c:v>112671.1586</c:v>
                </c:pt>
                <c:pt idx="24">
                  <c:v>110861.3336</c:v>
                </c:pt>
                <c:pt idx="25">
                  <c:v>109051.5086</c:v>
                </c:pt>
                <c:pt idx="26">
                  <c:v>107241.6836</c:v>
                </c:pt>
                <c:pt idx="27">
                  <c:v>105436.8986</c:v>
                </c:pt>
                <c:pt idx="28">
                  <c:v>103736.6136</c:v>
                </c:pt>
                <c:pt idx="29">
                  <c:v>101931.8286</c:v>
                </c:pt>
                <c:pt idx="30">
                  <c:v>100210.6436</c:v>
                </c:pt>
                <c:pt idx="31">
                  <c:v>98489.4586</c:v>
                </c:pt>
                <c:pt idx="32">
                  <c:v>96768.2736</c:v>
                </c:pt>
                <c:pt idx="33">
                  <c:v>95047.0886000001</c:v>
                </c:pt>
                <c:pt idx="34">
                  <c:v>93618.5036</c:v>
                </c:pt>
                <c:pt idx="35">
                  <c:v>92189.9186</c:v>
                </c:pt>
                <c:pt idx="36">
                  <c:v>90468.7336</c:v>
                </c:pt>
                <c:pt idx="37">
                  <c:v>88747.5486</c:v>
                </c:pt>
                <c:pt idx="38">
                  <c:v>87402.5636</c:v>
                </c:pt>
                <c:pt idx="39">
                  <c:v>85681.3786</c:v>
                </c:pt>
                <c:pt idx="40">
                  <c:v>84440.8936</c:v>
                </c:pt>
                <c:pt idx="41">
                  <c:v>88271.2336</c:v>
                </c:pt>
                <c:pt idx="42">
                  <c:v>91725.3736</c:v>
                </c:pt>
                <c:pt idx="43">
                  <c:v>95075.0136</c:v>
                </c:pt>
                <c:pt idx="44">
                  <c:v>98278.3536</c:v>
                </c:pt>
                <c:pt idx="45">
                  <c:v>101481.6936</c:v>
                </c:pt>
                <c:pt idx="46">
                  <c:v>99685.0336</c:v>
                </c:pt>
                <c:pt idx="47">
                  <c:v>97888.3736</c:v>
                </c:pt>
                <c:pt idx="48">
                  <c:v>96091.7136</c:v>
                </c:pt>
                <c:pt idx="49">
                  <c:v>94295.0536</c:v>
                </c:pt>
                <c:pt idx="50">
                  <c:v>92498.3936</c:v>
                </c:pt>
                <c:pt idx="51">
                  <c:v>90701.7336</c:v>
                </c:pt>
                <c:pt idx="52">
                  <c:v>88905.0736</c:v>
                </c:pt>
                <c:pt idx="53">
                  <c:v>87192.0136</c:v>
                </c:pt>
                <c:pt idx="54">
                  <c:v>85395.3536</c:v>
                </c:pt>
                <c:pt idx="55">
                  <c:v>83598.6936</c:v>
                </c:pt>
                <c:pt idx="56">
                  <c:v>81802.0336</c:v>
                </c:pt>
                <c:pt idx="57">
                  <c:v>80015.4536</c:v>
                </c:pt>
                <c:pt idx="58">
                  <c:v>78563.2736</c:v>
                </c:pt>
                <c:pt idx="59">
                  <c:v>77215.5936</c:v>
                </c:pt>
                <c:pt idx="60">
                  <c:v>75867.9136</c:v>
                </c:pt>
                <c:pt idx="61">
                  <c:v>74520.2336</c:v>
                </c:pt>
                <c:pt idx="62">
                  <c:v>73068.0536</c:v>
                </c:pt>
                <c:pt idx="63">
                  <c:v>71615.8736</c:v>
                </c:pt>
                <c:pt idx="64">
                  <c:v>70268.1936</c:v>
                </c:pt>
                <c:pt idx="65">
                  <c:v>68816.0136000001</c:v>
                </c:pt>
                <c:pt idx="66">
                  <c:v>72363.8336000001</c:v>
                </c:pt>
                <c:pt idx="67">
                  <c:v>75911.6536000001</c:v>
                </c:pt>
                <c:pt idx="68">
                  <c:v>79459.4736000001</c:v>
                </c:pt>
                <c:pt idx="69">
                  <c:v>83007.2936000001</c:v>
                </c:pt>
                <c:pt idx="70">
                  <c:v>86555.1136000001</c:v>
                </c:pt>
                <c:pt idx="71">
                  <c:v>85102.9336000001</c:v>
                </c:pt>
                <c:pt idx="72">
                  <c:v>84026.9536000001</c:v>
                </c:pt>
                <c:pt idx="73">
                  <c:v>82867.3736000001</c:v>
                </c:pt>
                <c:pt idx="74">
                  <c:v>81415.1936000001</c:v>
                </c:pt>
                <c:pt idx="75">
                  <c:v>80046.6136000001</c:v>
                </c:pt>
                <c:pt idx="76">
                  <c:v>78782.5336000001</c:v>
                </c:pt>
                <c:pt idx="77">
                  <c:v>77413.9536000001</c:v>
                </c:pt>
                <c:pt idx="78">
                  <c:v>75961.7736000001</c:v>
                </c:pt>
                <c:pt idx="79">
                  <c:v>74509.5936000001</c:v>
                </c:pt>
                <c:pt idx="80">
                  <c:v>73057.4136000001</c:v>
                </c:pt>
                <c:pt idx="81">
                  <c:v>71605.2336000001</c:v>
                </c:pt>
                <c:pt idx="82">
                  <c:v>70153.0536000001</c:v>
                </c:pt>
                <c:pt idx="83">
                  <c:v>69077.0736000001</c:v>
                </c:pt>
                <c:pt idx="84">
                  <c:v>72624.8936000001</c:v>
                </c:pt>
                <c:pt idx="85">
                  <c:v>75796.5136000001</c:v>
                </c:pt>
                <c:pt idx="86">
                  <c:v>78968.1336000001</c:v>
                </c:pt>
                <c:pt idx="87">
                  <c:v>82139.7536000001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Neraca!N2</c:f>
              <c:strCache>
                <c:ptCount val="1"/>
                <c:pt idx="0">
                  <c:v>NH3 stok siap pakai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Neraca!$A$3:$A$90</c:f>
              <c:strCache>
                <c:ptCount val="88"/>
                <c:pt idx="0">
                  <c:v>05-Oct-2026</c:v>
                </c:pt>
                <c:pt idx="1">
                  <c:v>06-Oct-2026</c:v>
                </c:pt>
                <c:pt idx="2">
                  <c:v>07-Oct-2026</c:v>
                </c:pt>
                <c:pt idx="3">
                  <c:v>08-Oct-2026</c:v>
                </c:pt>
                <c:pt idx="4">
                  <c:v>09-Oct-2026</c:v>
                </c:pt>
                <c:pt idx="5">
                  <c:v>10-Oct-2026</c:v>
                </c:pt>
                <c:pt idx="6">
                  <c:v>11-Oct-2026</c:v>
                </c:pt>
                <c:pt idx="7">
                  <c:v>12-Oct-2026</c:v>
                </c:pt>
                <c:pt idx="8">
                  <c:v>13-Oct-2026</c:v>
                </c:pt>
                <c:pt idx="9">
                  <c:v>14-Oct-2026</c:v>
                </c:pt>
                <c:pt idx="10">
                  <c:v>15-Oct-2026</c:v>
                </c:pt>
                <c:pt idx="11">
                  <c:v>16-Oct-2026</c:v>
                </c:pt>
                <c:pt idx="12">
                  <c:v>17-Oct-2026</c:v>
                </c:pt>
                <c:pt idx="13">
                  <c:v>18-Oct-2026</c:v>
                </c:pt>
                <c:pt idx="14">
                  <c:v>19-Oct-2026</c:v>
                </c:pt>
                <c:pt idx="15">
                  <c:v>20-Oct-2026</c:v>
                </c:pt>
                <c:pt idx="16">
                  <c:v>21-Oct-2026</c:v>
                </c:pt>
                <c:pt idx="17">
                  <c:v>22-Oct-2026</c:v>
                </c:pt>
                <c:pt idx="18">
                  <c:v>23-Oct-2026</c:v>
                </c:pt>
                <c:pt idx="19">
                  <c:v>24-Oct-2026</c:v>
                </c:pt>
                <c:pt idx="20">
                  <c:v>25-Oct-2026</c:v>
                </c:pt>
                <c:pt idx="21">
                  <c:v>26-Oct-2026</c:v>
                </c:pt>
                <c:pt idx="22">
                  <c:v>27-Oct-2026</c:v>
                </c:pt>
                <c:pt idx="23">
                  <c:v>28-Oct-2026</c:v>
                </c:pt>
                <c:pt idx="24">
                  <c:v>29-Oct-2026</c:v>
                </c:pt>
                <c:pt idx="25">
                  <c:v>30-Oct-2026</c:v>
                </c:pt>
                <c:pt idx="26">
                  <c:v>31-Oct-2026</c:v>
                </c:pt>
                <c:pt idx="27">
                  <c:v>01-Nov-2026</c:v>
                </c:pt>
                <c:pt idx="28">
                  <c:v>02-Nov-2026</c:v>
                </c:pt>
                <c:pt idx="29">
                  <c:v>03-Nov-2026</c:v>
                </c:pt>
                <c:pt idx="30">
                  <c:v>04-Nov-2026</c:v>
                </c:pt>
                <c:pt idx="31">
                  <c:v>05-Nov-2026</c:v>
                </c:pt>
                <c:pt idx="32">
                  <c:v>06-Nov-2026</c:v>
                </c:pt>
                <c:pt idx="33">
                  <c:v>07-Nov-2026</c:v>
                </c:pt>
                <c:pt idx="34">
                  <c:v>08-Nov-2026</c:v>
                </c:pt>
                <c:pt idx="35">
                  <c:v>09-Nov-2026</c:v>
                </c:pt>
                <c:pt idx="36">
                  <c:v>10-Nov-2026</c:v>
                </c:pt>
                <c:pt idx="37">
                  <c:v>11-Nov-2026</c:v>
                </c:pt>
                <c:pt idx="38">
                  <c:v>12-Nov-2026</c:v>
                </c:pt>
                <c:pt idx="39">
                  <c:v>13-Nov-2026</c:v>
                </c:pt>
                <c:pt idx="40">
                  <c:v>14-Nov-2026</c:v>
                </c:pt>
                <c:pt idx="41">
                  <c:v>15-Nov-2026</c:v>
                </c:pt>
                <c:pt idx="42">
                  <c:v>16-Nov-2026</c:v>
                </c:pt>
                <c:pt idx="43">
                  <c:v>17-Nov-2026</c:v>
                </c:pt>
                <c:pt idx="44">
                  <c:v>18-Nov-2026</c:v>
                </c:pt>
                <c:pt idx="45">
                  <c:v>19-Nov-2026</c:v>
                </c:pt>
                <c:pt idx="46">
                  <c:v>20-Nov-2026</c:v>
                </c:pt>
                <c:pt idx="47">
                  <c:v>21-Nov-2026</c:v>
                </c:pt>
                <c:pt idx="48">
                  <c:v>22-Nov-2026</c:v>
                </c:pt>
                <c:pt idx="49">
                  <c:v>23-Nov-2026</c:v>
                </c:pt>
                <c:pt idx="50">
                  <c:v>24-Nov-2026</c:v>
                </c:pt>
                <c:pt idx="51">
                  <c:v>25-Nov-2026</c:v>
                </c:pt>
                <c:pt idx="52">
                  <c:v>26-Nov-2026</c:v>
                </c:pt>
                <c:pt idx="53">
                  <c:v>27-Nov-2026</c:v>
                </c:pt>
                <c:pt idx="54">
                  <c:v>28-Nov-2026</c:v>
                </c:pt>
                <c:pt idx="55">
                  <c:v>29-Nov-2026</c:v>
                </c:pt>
                <c:pt idx="56">
                  <c:v>30-Nov-2026</c:v>
                </c:pt>
                <c:pt idx="57">
                  <c:v>01-Dec-2026</c:v>
                </c:pt>
                <c:pt idx="58">
                  <c:v>02-Dec-2026</c:v>
                </c:pt>
                <c:pt idx="59">
                  <c:v>03-Dec-2026</c:v>
                </c:pt>
                <c:pt idx="60">
                  <c:v>04-Dec-2026</c:v>
                </c:pt>
                <c:pt idx="61">
                  <c:v>05-Dec-2026</c:v>
                </c:pt>
                <c:pt idx="62">
                  <c:v>06-Dec-2026</c:v>
                </c:pt>
                <c:pt idx="63">
                  <c:v>07-Dec-2026</c:v>
                </c:pt>
                <c:pt idx="64">
                  <c:v>08-Dec-2026</c:v>
                </c:pt>
                <c:pt idx="65">
                  <c:v>09-Dec-2026</c:v>
                </c:pt>
                <c:pt idx="66">
                  <c:v>10-Dec-2026</c:v>
                </c:pt>
                <c:pt idx="67">
                  <c:v>11-Dec-2026</c:v>
                </c:pt>
                <c:pt idx="68">
                  <c:v>12-Dec-2026</c:v>
                </c:pt>
                <c:pt idx="69">
                  <c:v>13-Dec-2026</c:v>
                </c:pt>
                <c:pt idx="70">
                  <c:v>14-Dec-2026</c:v>
                </c:pt>
                <c:pt idx="71">
                  <c:v>15-Dec-2026</c:v>
                </c:pt>
                <c:pt idx="72">
                  <c:v>16-Dec-2026</c:v>
                </c:pt>
                <c:pt idx="73">
                  <c:v>17-Dec-2026</c:v>
                </c:pt>
                <c:pt idx="74">
                  <c:v>18-Dec-2026</c:v>
                </c:pt>
                <c:pt idx="75">
                  <c:v>19-Dec-2026</c:v>
                </c:pt>
                <c:pt idx="76">
                  <c:v>20-Dec-2026</c:v>
                </c:pt>
                <c:pt idx="77">
                  <c:v>21-Dec-2026</c:v>
                </c:pt>
                <c:pt idx="78">
                  <c:v>22-Dec-2026</c:v>
                </c:pt>
                <c:pt idx="79">
                  <c:v>23-Dec-2026</c:v>
                </c:pt>
                <c:pt idx="80">
                  <c:v>24-Dec-2026</c:v>
                </c:pt>
                <c:pt idx="81">
                  <c:v>25-Dec-2026</c:v>
                </c:pt>
                <c:pt idx="82">
                  <c:v>26-Dec-2026</c:v>
                </c:pt>
                <c:pt idx="83">
                  <c:v>27-Dec-2026</c:v>
                </c:pt>
                <c:pt idx="84">
                  <c:v>28-Dec-2026</c:v>
                </c:pt>
                <c:pt idx="85">
                  <c:v>29-Dec-2026</c:v>
                </c:pt>
                <c:pt idx="86">
                  <c:v>30-Dec-2026</c:v>
                </c:pt>
                <c:pt idx="87">
                  <c:v>31-Dec-2026</c:v>
                </c:pt>
              </c:strCache>
            </c:strRef>
          </c:cat>
          <c:val>
            <c:numRef>
              <c:f>Neraca!$N$3:$N$90</c:f>
              <c:numCache>
                <c:formatCode>#,##0;\(#,##0\);\-</c:formatCode>
                <c:ptCount val="88"/>
                <c:pt idx="0">
                  <c:v>13091.0821333333</c:v>
                </c:pt>
                <c:pt idx="1">
                  <c:v>12726.5742666666</c:v>
                </c:pt>
                <c:pt idx="2">
                  <c:v>12362.0663999999</c:v>
                </c:pt>
                <c:pt idx="3">
                  <c:v>11997.5585333332</c:v>
                </c:pt>
                <c:pt idx="4">
                  <c:v>11403.0506666665</c:v>
                </c:pt>
                <c:pt idx="5">
                  <c:v>13009.3039999998</c:v>
                </c:pt>
                <c:pt idx="6">
                  <c:v>13615.5573333331</c:v>
                </c:pt>
                <c:pt idx="7">
                  <c:v>14221.0494666664</c:v>
                </c:pt>
                <c:pt idx="8">
                  <c:v>13782.6891999997</c:v>
                </c:pt>
                <c:pt idx="9">
                  <c:v>13388.942533333</c:v>
                </c:pt>
                <c:pt idx="10">
                  <c:v>12794.4346666663</c:v>
                </c:pt>
                <c:pt idx="11">
                  <c:v>12199.9267999996</c:v>
                </c:pt>
                <c:pt idx="12">
                  <c:v>13430.8789333329</c:v>
                </c:pt>
                <c:pt idx="13">
                  <c:v>12836.3710666662</c:v>
                </c:pt>
                <c:pt idx="14">
                  <c:v>12442.6243999995</c:v>
                </c:pt>
                <c:pt idx="15">
                  <c:v>11848.1165333328</c:v>
                </c:pt>
                <c:pt idx="16">
                  <c:v>11253.6086666661</c:v>
                </c:pt>
                <c:pt idx="17">
                  <c:v>12200.1007999994</c:v>
                </c:pt>
                <c:pt idx="18">
                  <c:v>11980.2229333327</c:v>
                </c:pt>
                <c:pt idx="19">
                  <c:v>11960.345066666</c:v>
                </c:pt>
                <c:pt idx="20">
                  <c:v>10740.4671999993</c:v>
                </c:pt>
                <c:pt idx="21">
                  <c:v>9520.5893333326</c:v>
                </c:pt>
                <c:pt idx="22">
                  <c:v>8433.1114666659</c:v>
                </c:pt>
                <c:pt idx="23">
                  <c:v>5395.6335999992</c:v>
                </c:pt>
                <c:pt idx="24">
                  <c:v>4175.7557333325</c:v>
                </c:pt>
                <c:pt idx="25">
                  <c:v>5955.8778666658</c:v>
                </c:pt>
                <c:pt idx="26">
                  <c:v>7735.9999999991</c:v>
                </c:pt>
                <c:pt idx="27">
                  <c:v>10147.1854666658</c:v>
                </c:pt>
                <c:pt idx="28">
                  <c:v>10558.3709333325</c:v>
                </c:pt>
                <c:pt idx="29">
                  <c:v>9969.5563999992</c:v>
                </c:pt>
                <c:pt idx="30">
                  <c:v>8743.2754666659</c:v>
                </c:pt>
                <c:pt idx="31">
                  <c:v>7516.9945333326</c:v>
                </c:pt>
                <c:pt idx="32">
                  <c:v>6123.8135999993</c:v>
                </c:pt>
                <c:pt idx="33">
                  <c:v>4680.562666666</c:v>
                </c:pt>
                <c:pt idx="34">
                  <c:v>4538.3593333327</c:v>
                </c:pt>
                <c:pt idx="35">
                  <c:v>4544.6559999994</c:v>
                </c:pt>
                <c:pt idx="36">
                  <c:v>4018.7950666661</c:v>
                </c:pt>
                <c:pt idx="37">
                  <c:v>3492.9341333328</c:v>
                </c:pt>
                <c:pt idx="38">
                  <c:v>6167.8343999995</c:v>
                </c:pt>
                <c:pt idx="39">
                  <c:v>8641.9734666662</c:v>
                </c:pt>
                <c:pt idx="40">
                  <c:v>11316.8737333329</c:v>
                </c:pt>
                <c:pt idx="41">
                  <c:v>12152.6739999996</c:v>
                </c:pt>
                <c:pt idx="42">
                  <c:v>11626.8130666663</c:v>
                </c:pt>
                <c:pt idx="43">
                  <c:v>11100.952133333</c:v>
                </c:pt>
                <c:pt idx="44">
                  <c:v>10552.7843999997</c:v>
                </c:pt>
                <c:pt idx="45">
                  <c:v>10004.6166666664</c:v>
                </c:pt>
                <c:pt idx="46">
                  <c:v>9456.4489333331</c:v>
                </c:pt>
                <c:pt idx="47">
                  <c:v>8908.2811999998</c:v>
                </c:pt>
                <c:pt idx="48">
                  <c:v>8360.1134666665</c:v>
                </c:pt>
                <c:pt idx="49">
                  <c:v>7811.9457333332</c:v>
                </c:pt>
                <c:pt idx="50">
                  <c:v>7263.7779999999</c:v>
                </c:pt>
                <c:pt idx="51">
                  <c:v>6715.6102666666</c:v>
                </c:pt>
                <c:pt idx="52">
                  <c:v>6167.4425333333</c:v>
                </c:pt>
                <c:pt idx="53">
                  <c:v>5619.2748</c:v>
                </c:pt>
                <c:pt idx="54">
                  <c:v>8071.1070666667</c:v>
                </c:pt>
                <c:pt idx="55">
                  <c:v>8722.93933333341</c:v>
                </c:pt>
                <c:pt idx="56">
                  <c:v>8174.77160000011</c:v>
                </c:pt>
                <c:pt idx="57">
                  <c:v>7849.48784516141</c:v>
                </c:pt>
                <c:pt idx="58">
                  <c:v>7702.65849032271</c:v>
                </c:pt>
                <c:pt idx="59">
                  <c:v>7555.82913548401</c:v>
                </c:pt>
                <c:pt idx="60">
                  <c:v>7408.9997806453</c:v>
                </c:pt>
                <c:pt idx="61">
                  <c:v>7262.1704258066</c:v>
                </c:pt>
                <c:pt idx="62">
                  <c:v>7115.3410709679</c:v>
                </c:pt>
                <c:pt idx="63">
                  <c:v>6968.5117161292</c:v>
                </c:pt>
                <c:pt idx="64">
                  <c:v>6821.6823612905</c:v>
                </c:pt>
                <c:pt idx="65">
                  <c:v>6674.8530064518</c:v>
                </c:pt>
                <c:pt idx="66">
                  <c:v>6528.0236516131</c:v>
                </c:pt>
                <c:pt idx="67">
                  <c:v>6381.1942967744</c:v>
                </c:pt>
                <c:pt idx="68">
                  <c:v>6234.3649419357</c:v>
                </c:pt>
                <c:pt idx="69">
                  <c:v>6087.535587097</c:v>
                </c:pt>
                <c:pt idx="70">
                  <c:v>5940.70623225829</c:v>
                </c:pt>
                <c:pt idx="71">
                  <c:v>5793.87687741959</c:v>
                </c:pt>
                <c:pt idx="72">
                  <c:v>5847.80872258089</c:v>
                </c:pt>
                <c:pt idx="73">
                  <c:v>5857.12696774219</c:v>
                </c:pt>
                <c:pt idx="74">
                  <c:v>5941.99761290349</c:v>
                </c:pt>
                <c:pt idx="75">
                  <c:v>6026.86825806479</c:v>
                </c:pt>
                <c:pt idx="76">
                  <c:v>5880.03890322609</c:v>
                </c:pt>
                <c:pt idx="77">
                  <c:v>5733.20954838739</c:v>
                </c:pt>
                <c:pt idx="78">
                  <c:v>4333.32019354869</c:v>
                </c:pt>
                <c:pt idx="79">
                  <c:v>4186.49083870999</c:v>
                </c:pt>
                <c:pt idx="80">
                  <c:v>4039.66148387129</c:v>
                </c:pt>
                <c:pt idx="81">
                  <c:v>6892.83212903259</c:v>
                </c:pt>
                <c:pt idx="82">
                  <c:v>9746.00277419389</c:v>
                </c:pt>
                <c:pt idx="83">
                  <c:v>12799.9346193552</c:v>
                </c:pt>
                <c:pt idx="84">
                  <c:v>13653.1052645165</c:v>
                </c:pt>
                <c:pt idx="85">
                  <c:v>13305.5147096778</c:v>
                </c:pt>
                <c:pt idx="86">
                  <c:v>12957.9241548391</c:v>
                </c:pt>
                <c:pt idx="87">
                  <c:v>12610.3336000004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995587"/>
        <c:axId val="50491059"/>
      </c:lineChart>
      <c:catAx>
        <c:axId val="37995587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91059"/>
        <c:crosses val="autoZero"/>
        <c:auto val="1"/>
        <c:lblAlgn val="ctr"/>
        <c:lblOffset val="100"/>
        <c:noMultiLvlLbl val="0"/>
      </c:catAx>
      <c:valAx>
        <c:axId val="50491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95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160920</xdr:rowOff>
    </xdr:from>
    <xdr:to>
      <xdr:col>4</xdr:col>
      <xdr:colOff>166320</xdr:colOff>
      <xdr:row>47</xdr:row>
      <xdr:rowOff>182880</xdr:rowOff>
    </xdr:to>
    <xdr:graphicFrame>
      <xdr:nvGraphicFramePr>
        <xdr:cNvPr id="0" name="Chart 1"/>
        <xdr:cNvGraphicFramePr/>
      </xdr:nvGraphicFramePr>
      <xdr:xfrm>
        <a:off x="211320" y="64962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5" min="4" style="0" width="1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4"/>
      <c r="D5" s="4"/>
      <c r="E5" s="4"/>
    </row>
    <row r="7" customFormat="false" ht="15" hidden="false" customHeight="false" outlineLevel="0" collapsed="false">
      <c r="B7" s="3" t="s">
        <v>4</v>
      </c>
    </row>
    <row r="8" customFormat="false" ht="27.75" hidden="false" customHeight="true" outlineLevel="0" collapsed="false">
      <c r="B8" s="5" t="s">
        <v>5</v>
      </c>
      <c r="C8" s="5"/>
      <c r="D8" s="5"/>
      <c r="E8" s="5"/>
    </row>
    <row r="9" customFormat="false" ht="27.75" hidden="false" customHeight="true" outlineLevel="0" collapsed="false">
      <c r="B9" s="5" t="s">
        <v>6</v>
      </c>
      <c r="C9" s="5"/>
      <c r="D9" s="5"/>
      <c r="E9" s="5"/>
    </row>
    <row r="10" customFormat="false" ht="27.75" hidden="false" customHeight="true" outlineLevel="0" collapsed="false">
      <c r="B10" s="5" t="s">
        <v>7</v>
      </c>
      <c r="C10" s="5"/>
      <c r="D10" s="5"/>
      <c r="E10" s="5"/>
    </row>
    <row r="11" customFormat="false" ht="27.75" hidden="false" customHeight="true" outlineLevel="0" collapsed="false">
      <c r="B11" s="5" t="s">
        <v>8</v>
      </c>
      <c r="C11" s="5"/>
      <c r="D11" s="5"/>
      <c r="E11" s="5"/>
    </row>
    <row r="12" customFormat="false" ht="27.75" hidden="false" customHeight="true" outlineLevel="0" collapsed="false">
      <c r="B12" s="5" t="s">
        <v>9</v>
      </c>
      <c r="C12" s="5"/>
      <c r="D12" s="5"/>
      <c r="E12" s="5"/>
    </row>
    <row r="13" customFormat="false" ht="27.75" hidden="false" customHeight="true" outlineLevel="0" collapsed="false">
      <c r="B13" s="5" t="s">
        <v>10</v>
      </c>
      <c r="C13" s="5"/>
      <c r="D13" s="5"/>
      <c r="E13" s="5"/>
    </row>
    <row r="14" customFormat="false" ht="27.75" hidden="false" customHeight="true" outlineLevel="0" collapsed="false">
      <c r="B14" s="5" t="s">
        <v>11</v>
      </c>
      <c r="C14" s="5"/>
      <c r="D14" s="5"/>
      <c r="E14" s="5"/>
    </row>
    <row r="16" customFormat="false" ht="15" hidden="false" customHeight="false" outlineLevel="0" collapsed="false">
      <c r="B16" s="3" t="s">
        <v>12</v>
      </c>
    </row>
    <row r="17" customFormat="false" ht="30" hidden="false" customHeight="true" outlineLevel="0" collapsed="false">
      <c r="B17" s="5" t="s">
        <v>13</v>
      </c>
      <c r="C17" s="5"/>
      <c r="D17" s="5"/>
      <c r="E17" s="5"/>
    </row>
    <row r="18" customFormat="false" ht="30" hidden="false" customHeight="true" outlineLevel="0" collapsed="false">
      <c r="B18" s="5" t="s">
        <v>14</v>
      </c>
      <c r="C18" s="5"/>
      <c r="D18" s="5"/>
      <c r="E18" s="5"/>
    </row>
    <row r="19" customFormat="false" ht="30" hidden="false" customHeight="true" outlineLevel="0" collapsed="false">
      <c r="B19" s="5" t="s">
        <v>15</v>
      </c>
      <c r="C19" s="5"/>
      <c r="D19" s="5"/>
      <c r="E19" s="5"/>
    </row>
    <row r="20" customFormat="false" ht="30" hidden="false" customHeight="true" outlineLevel="0" collapsed="false">
      <c r="B20" s="5" t="s">
        <v>16</v>
      </c>
      <c r="C20" s="5"/>
      <c r="D20" s="5"/>
      <c r="E20" s="5"/>
    </row>
    <row r="21" customFormat="false" ht="30" hidden="false" customHeight="true" outlineLevel="0" collapsed="false">
      <c r="B21" s="5" t="s">
        <v>17</v>
      </c>
      <c r="C21" s="5"/>
      <c r="D21" s="5"/>
      <c r="E21" s="5"/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6" t="s">
        <v>19</v>
      </c>
      <c r="C24" s="7" t="s">
        <v>20</v>
      </c>
    </row>
    <row r="25" customFormat="false" ht="15" hidden="false" customHeight="false" outlineLevel="0" collapsed="false">
      <c r="B25" s="8" t="s">
        <v>19</v>
      </c>
      <c r="C25" s="7" t="s">
        <v>21</v>
      </c>
    </row>
    <row r="26" customFormat="false" ht="15" hidden="false" customHeight="false" outlineLevel="0" collapsed="false">
      <c r="B26" s="9" t="s">
        <v>19</v>
      </c>
      <c r="C26" s="7" t="s">
        <v>22</v>
      </c>
    </row>
    <row r="27" customFormat="false" ht="15" hidden="false" customHeight="false" outlineLevel="0" collapsed="false">
      <c r="B27" s="10" t="s">
        <v>19</v>
      </c>
      <c r="C27" s="7" t="s">
        <v>23</v>
      </c>
    </row>
    <row r="28" customFormat="false" ht="15" hidden="false" customHeight="false" outlineLevel="0" collapsed="false">
      <c r="B28" s="11" t="s">
        <v>19</v>
      </c>
      <c r="C28" s="7" t="s">
        <v>24</v>
      </c>
    </row>
    <row r="30" customFormat="false" ht="15" hidden="false" customHeight="false" outlineLevel="0" collapsed="false">
      <c r="B30" s="12" t="s">
        <v>25</v>
      </c>
    </row>
  </sheetData>
  <mergeCells count="13">
    <mergeCell ref="B5:E5"/>
    <mergeCell ref="B8:E8"/>
    <mergeCell ref="B9:E9"/>
    <mergeCell ref="B10:E10"/>
    <mergeCell ref="B11:E11"/>
    <mergeCell ref="B12:E12"/>
    <mergeCell ref="B13:E13"/>
    <mergeCell ref="B14:E14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4"/>
    <col collapsed="false" customWidth="true" hidden="false" outlineLevel="0" max="6" min="3" style="0" width="18"/>
    <col collapsed="false" customWidth="true" hidden="false" outlineLevel="0" max="7" min="7" style="0" width="30"/>
  </cols>
  <sheetData>
    <row r="1" customFormat="false" ht="17.35" hidden="false" customHeight="false" outlineLevel="0" collapsed="false">
      <c r="B1" s="13" t="s">
        <v>26</v>
      </c>
    </row>
    <row r="2" customFormat="false" ht="15" hidden="false" customHeight="false" outlineLevel="0" collapsed="false">
      <c r="B2" s="2" t="str">
        <f aca="false">"Beban diuji: "&amp;ROUND(Asumsi!C5*100,1)&amp;"% · horizon s.d. "&amp;DAY(Asumsi!C6)&amp;"/"&amp;MONTH(Asumsi!C6)&amp;"/"&amp;YEAR(Asumsi!C6)&amp;" · indikatif, bukan pengganti balans resmi"</f>
        <v>Beban diuji: 100% · horizon s.d. 31/12/2026 · indikatif, bukan pengganti balans resmi</v>
      </c>
    </row>
    <row r="4" customFormat="false" ht="15" hidden="false" customHeight="true" outlineLevel="0" collapsed="false">
      <c r="B4" s="14" t="s">
        <v>27</v>
      </c>
      <c r="C4" s="14"/>
      <c r="D4" s="14"/>
    </row>
    <row r="5" customFormat="false" ht="15" hidden="false" customHeight="false" outlineLevel="0" collapsed="false">
      <c r="B5" s="7" t="s">
        <v>28</v>
      </c>
      <c r="C5" s="15" t="s">
        <v>29</v>
      </c>
    </row>
    <row r="6" customFormat="false" ht="15" hidden="false" customHeight="false" outlineLevel="0" collapsed="false">
      <c r="B6" s="16" t="s">
        <v>30</v>
      </c>
      <c r="C6" s="17" t="n">
        <f aca="false">MIN(D16:F16)</f>
        <v>3492.9341333328</v>
      </c>
    </row>
    <row r="7" customFormat="false" ht="15" hidden="false" customHeight="false" outlineLevel="0" collapsed="false">
      <c r="B7" s="16" t="s">
        <v>31</v>
      </c>
      <c r="C7" s="17" t="n">
        <f aca="false">MIN(Neraca!$AA$3:$AA$90)</f>
        <v>-507.065866667203</v>
      </c>
    </row>
    <row r="8" customFormat="false" ht="15" hidden="false" customHeight="false" outlineLevel="0" collapsed="false">
      <c r="B8" s="7" t="s">
        <v>32</v>
      </c>
      <c r="C8" s="18" t="str">
        <f aca="false">INDEX(D14:F14,MATCH(MIN(D16:F16),D16:F16,0))</f>
        <v>Amoniak</v>
      </c>
    </row>
    <row r="9" customFormat="false" ht="15" hidden="false" customHeight="false" outlineLevel="0" collapsed="false">
      <c r="B9" s="7" t="s">
        <v>33</v>
      </c>
      <c r="C9" s="18" t="str">
        <f aca="false">IF(C6&lt;-0.5,"STOK TIDAK CUKUP",IF(C6&lt;=0.5,"TEPAT DI TITIK PATAH","Stok cukup"))</f>
        <v>Stok cukup</v>
      </c>
    </row>
    <row r="10" customFormat="false" ht="15" hidden="false" customHeight="true" outlineLevel="0" collapsed="false">
      <c r="B10" s="14" t="s">
        <v>34</v>
      </c>
      <c r="C10" s="14"/>
      <c r="D10" s="14"/>
    </row>
    <row r="11" customFormat="false" ht="15" hidden="false" customHeight="false" outlineLevel="0" collapsed="false">
      <c r="B11" s="7" t="s">
        <v>35</v>
      </c>
    </row>
    <row r="12" customFormat="false" ht="15" hidden="false" customHeight="false" outlineLevel="0" collapsed="false">
      <c r="B12" s="16" t="s">
        <v>36</v>
      </c>
      <c r="C12" s="19" t="n">
        <f aca="false">MIN(D17:F17)</f>
        <v>1.06844327804547</v>
      </c>
    </row>
    <row r="13" customFormat="false" ht="15" hidden="false" customHeight="false" outlineLevel="0" collapsed="false">
      <c r="B13" s="7" t="s">
        <v>37</v>
      </c>
      <c r="C13" s="17" t="n">
        <f aca="false">C12*SUMPRODUCT(Neraca!$E$3:$E$90,Neraca!$C$3:$C$90)/SUM(Neraca!$C$3:$C$90)</f>
        <v>6308.67190082304</v>
      </c>
    </row>
    <row r="14" customFormat="false" ht="15" hidden="false" customHeight="false" outlineLevel="0" collapsed="false">
      <c r="B14" s="16" t="s">
        <v>38</v>
      </c>
      <c r="D14" s="15" t="s">
        <v>39</v>
      </c>
      <c r="E14" s="15" t="s">
        <v>40</v>
      </c>
      <c r="F14" s="15" t="s">
        <v>41</v>
      </c>
    </row>
    <row r="15" customFormat="false" ht="15" hidden="false" customHeight="false" outlineLevel="0" collapsed="false">
      <c r="B15" s="7" t="s">
        <v>42</v>
      </c>
      <c r="D15" s="20" t="n">
        <f aca="false">Asumsi!$C$28-Asumsi!$C$31</f>
        <v>28648.0837187578</v>
      </c>
      <c r="E15" s="20" t="n">
        <f aca="false">Asumsi!$C$29-Asumsi!$C$32</f>
        <v>74968.8196</v>
      </c>
      <c r="F15" s="20" t="n">
        <f aca="false">Asumsi!$C$30-Asumsi!$C$33</f>
        <v>13455.59</v>
      </c>
    </row>
    <row r="16" customFormat="false" ht="15" hidden="false" customHeight="false" outlineLevel="0" collapsed="false">
      <c r="B16" s="7" t="s">
        <v>43</v>
      </c>
      <c r="D16" s="21" t="n">
        <f aca="false">MIN(Neraca!$AB$3:$AB$90)</f>
        <v>25917.0339881081</v>
      </c>
      <c r="E16" s="21" t="n">
        <f aca="false">MIN(Neraca!$AC$3:$AC$90)</f>
        <v>68816.0136000001</v>
      </c>
      <c r="F16" s="21" t="n">
        <f aca="false">MIN(Neraca!$AD$3:$AD$90)</f>
        <v>3492.9341333328</v>
      </c>
    </row>
    <row r="17" customFormat="false" ht="15" hidden="false" customHeight="false" outlineLevel="0" collapsed="false">
      <c r="B17" s="7" t="s">
        <v>44</v>
      </c>
      <c r="D17" s="22" t="n">
        <f aca="false">MIN(Neraca!$U$3:$U$90)</f>
        <v>1.23882309768868</v>
      </c>
      <c r="E17" s="22" t="n">
        <f aca="false">MIN(Neraca!$V$3:$V$90)</f>
        <v>1.52022822026287</v>
      </c>
      <c r="F17" s="22" t="n">
        <f aca="false">MIN(Neraca!$W$3:$W$90)</f>
        <v>1.06844327804547</v>
      </c>
    </row>
    <row r="18" customFormat="false" ht="15" hidden="false" customHeight="false" outlineLevel="0" collapsed="false">
      <c r="B18" s="7" t="s">
        <v>45</v>
      </c>
      <c r="D18" s="23" t="str">
        <f aca="false">IF(MIN(Neraca!$X$3:$X$90)=0,"tidak habis",MIN(Neraca!$X$3:$X$90))</f>
        <v>tidak habis</v>
      </c>
      <c r="E18" s="23" t="str">
        <f aca="false">IF(MIN(Neraca!$Y$3:$Y$90)=0,"tidak habis",MIN(Neraca!$Y$3:$Y$90))</f>
        <v>tidak habis</v>
      </c>
      <c r="F18" s="23" t="str">
        <f aca="false">IF(MIN(Neraca!$Z$3:$Z$90)=0,"tidak habis",MIN(Neraca!$Z$3:$Z$90))</f>
        <v>tidak habis</v>
      </c>
    </row>
    <row r="19" customFormat="false" ht="15" hidden="false" customHeight="false" outlineLevel="0" collapsed="false">
      <c r="B19" s="7" t="s">
        <v>46</v>
      </c>
      <c r="D19" s="21" t="n">
        <f aca="false">INDEX(Neraca!$H$3:$H$90,SUM(Neraca!$C$3:$C$90))</f>
        <v>31644.8867625935</v>
      </c>
      <c r="E19" s="21" t="n">
        <f aca="false">INDEX(Neraca!$K$3:$K$90,SUM(Neraca!$C$3:$C$90))</f>
        <v>82139.7536000001</v>
      </c>
      <c r="F19" s="21" t="n">
        <f aca="false">INDEX(Neraca!$N$3:$N$90,SUM(Neraca!$C$3:$C$90))</f>
        <v>12610.3336000004</v>
      </c>
    </row>
    <row r="20" customFormat="false" ht="15" hidden="false" customHeight="false" outlineLevel="0" collapsed="false">
      <c r="B20" s="7" t="s">
        <v>47</v>
      </c>
      <c r="D20" s="21" t="n">
        <f aca="false">SUMPRODUCT(Neraca!$F$3:$F$90,Neraca!$C$3:$C$90)</f>
        <v>154814.209043837</v>
      </c>
      <c r="E20" s="21" t="n">
        <f aca="false">SUMPRODUCT(Neraca!$I$3:$I$90,Neraca!$C$3:$C$90)</f>
        <v>148447.864</v>
      </c>
      <c r="F20" s="21" t="n">
        <f aca="false">SUMPRODUCT(Neraca!$L$3:$L$90,Neraca!$C$3:$C$90)</f>
        <v>286252.5</v>
      </c>
    </row>
    <row r="21" customFormat="false" ht="15" hidden="false" customHeight="false" outlineLevel="0" collapsed="false">
      <c r="B21" s="7" t="s">
        <v>48</v>
      </c>
      <c r="D21" s="21" t="n">
        <f aca="false">SUMPRODUCT(Neraca!$G$3:$G$90,Neraca!$C$3:$C$90)</f>
        <v>151817.406000001</v>
      </c>
      <c r="E21" s="21" t="n">
        <f aca="false">SUMPRODUCT(Neraca!$J$3:$J$90,Neraca!$C$3:$C$90)</f>
        <v>141276.93</v>
      </c>
      <c r="F21" s="21" t="n">
        <f aca="false">SUMPRODUCT(Neraca!$M$3:$M$90,Neraca!$C$3:$C$90)</f>
        <v>287097.7564</v>
      </c>
    </row>
    <row r="23" customFormat="false" ht="15" hidden="false" customHeight="false" outlineLevel="0" collapsed="false">
      <c r="B23" s="2" t="str">
        <f aca="false">"Bila titik patah di atas beban teknis maksimum ("&amp;IF(Asumsi!C7="","[ISI]",ROUND(Asumsi!C7*100,0)&amp;"%")&amp;"), stok bahan baku bukan pembatas dalam horizon ini."</f>
        <v>Bila titik patah di atas beban teknis maksimum ([ISI]), stok bahan baku bukan pembatas dalam horizon ini.</v>
      </c>
    </row>
    <row r="24" customFormat="false" ht="31.5" hidden="false" customHeight="true" outlineLevel="0" collapsed="false">
      <c r="B24" s="16" t="s">
        <v>49</v>
      </c>
      <c r="C24" s="24" t="str">
        <f aca="false">IF(C12&lt;0,"Stok "&amp;INDEX(D14:F14,MATCH(C12,D17:F17,0))&amp;" habis bahkan bila pabrik NPK berhenti: pemakaian di luar NPK (urea, ZA, penjualan) harus dikurangi lebih dulu.",IF(C12&lt;1,"Rencana NPK tidak bisa dipenuhi penuh. Beban maksimum "&amp;ROUND(C12*100,1)&amp;"%"&amp;" dari rencana; pengikat: "&amp;INDEX(D14:F14,MATCH(C12,D17:F17,0))&amp;".","Rencana NPK tercukupi. Masih ada ruang "&amp;ROUND((C12-1)*100,1)&amp;"%"&amp;" di atas rencana sebelum "&amp;INDEX(D14:F14,MATCH(C12,D17:F17,0))&amp;" menjadi pembatas."))</f>
        <v>Rencana NPK tercukupi. Masih ada ruang 6.8% di atas rencana sebelum Amoniak menjadi pembatas.</v>
      </c>
      <c r="D24" s="24"/>
      <c r="E24" s="24"/>
      <c r="F24" s="24"/>
      <c r="G24" s="24"/>
    </row>
    <row r="25" customFormat="false" ht="15" hidden="false" customHeight="true" outlineLevel="0" collapsed="false">
      <c r="B25" s="14" t="s">
        <v>50</v>
      </c>
      <c r="C25" s="14"/>
      <c r="D25" s="14"/>
      <c r="E25" s="14"/>
      <c r="F25" s="14"/>
      <c r="G25" s="14"/>
    </row>
    <row r="26" customFormat="false" ht="15" hidden="false" customHeight="false" outlineLevel="0" collapsed="false">
      <c r="B26" s="15" t="s">
        <v>51</v>
      </c>
      <c r="C26" s="15" t="s">
        <v>52</v>
      </c>
      <c r="D26" s="15" t="s">
        <v>53</v>
      </c>
      <c r="E26" s="15" t="s">
        <v>54</v>
      </c>
      <c r="F26" s="15" t="s">
        <v>55</v>
      </c>
      <c r="G26" s="15" t="s">
        <v>56</v>
      </c>
    </row>
    <row r="27" customFormat="false" ht="15" hidden="false" customHeight="false" outlineLevel="0" collapsed="false">
      <c r="B27" s="7" t="s">
        <v>57</v>
      </c>
      <c r="C27" s="25"/>
      <c r="D27" s="26"/>
      <c r="E27" s="26"/>
      <c r="F27" s="25"/>
      <c r="G27" s="26"/>
    </row>
    <row r="28" customFormat="false" ht="15" hidden="false" customHeight="false" outlineLevel="0" collapsed="false">
      <c r="B28" s="7" t="s">
        <v>58</v>
      </c>
      <c r="C28" s="25"/>
      <c r="D28" s="26"/>
      <c r="E28" s="26"/>
      <c r="F28" s="25"/>
      <c r="G28" s="26"/>
    </row>
    <row r="29" customFormat="false" ht="15" hidden="false" customHeight="false" outlineLevel="0" collapsed="false">
      <c r="B29" s="7" t="s">
        <v>59</v>
      </c>
      <c r="C29" s="25"/>
      <c r="D29" s="26"/>
      <c r="E29" s="26"/>
      <c r="F29" s="25"/>
      <c r="G29" s="26"/>
    </row>
    <row r="30" customFormat="false" ht="15" hidden="false" customHeight="false" outlineLevel="0" collapsed="false">
      <c r="B30" s="7" t="s">
        <v>60</v>
      </c>
      <c r="C30" s="25"/>
      <c r="D30" s="26"/>
      <c r="E30" s="26"/>
      <c r="F30" s="25"/>
      <c r="G30" s="26"/>
    </row>
    <row r="31" customFormat="false" ht="15" hidden="false" customHeight="false" outlineLevel="0" collapsed="false">
      <c r="B31" s="7" t="s">
        <v>61</v>
      </c>
      <c r="C31" s="25"/>
      <c r="D31" s="26"/>
      <c r="E31" s="26"/>
      <c r="F31" s="25"/>
      <c r="G31" s="26"/>
    </row>
  </sheetData>
  <mergeCells count="4">
    <mergeCell ref="B4:D4"/>
    <mergeCell ref="B10:D10"/>
    <mergeCell ref="C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4"/>
  </cols>
  <sheetData>
    <row r="1" customFormat="false" ht="17.35" hidden="false" customHeight="false" outlineLevel="0" collapsed="false">
      <c r="B1" s="13" t="s">
        <v>62</v>
      </c>
    </row>
    <row r="3" customFormat="false" ht="15" hidden="false" customHeight="false" outlineLevel="0" collapsed="false">
      <c r="B3" s="15" t="s">
        <v>63</v>
      </c>
      <c r="C3" s="15" t="s">
        <v>29</v>
      </c>
      <c r="D3" s="15" t="s">
        <v>64</v>
      </c>
      <c r="E3" s="15" t="s">
        <v>65</v>
      </c>
    </row>
    <row r="4" customFormat="false" ht="15" hidden="false" customHeight="true" outlineLevel="0" collapsed="false">
      <c r="B4" s="14" t="s">
        <v>66</v>
      </c>
      <c r="C4" s="14"/>
      <c r="D4" s="14"/>
      <c r="E4" s="14"/>
    </row>
    <row r="5" customFormat="false" ht="22.35" hidden="false" customHeight="false" outlineLevel="0" collapsed="false">
      <c r="B5" s="7" t="s">
        <v>67</v>
      </c>
      <c r="C5" s="27" t="n">
        <v>1</v>
      </c>
      <c r="D5" s="2" t="s">
        <v>68</v>
      </c>
      <c r="E5" s="28" t="s">
        <v>69</v>
      </c>
    </row>
    <row r="6" customFormat="false" ht="15" hidden="false" customHeight="false" outlineLevel="0" collapsed="false">
      <c r="B6" s="7" t="s">
        <v>70</v>
      </c>
      <c r="C6" s="29" t="n">
        <v>46387</v>
      </c>
      <c r="D6" s="2" t="s">
        <v>71</v>
      </c>
      <c r="E6" s="28" t="s">
        <v>72</v>
      </c>
    </row>
    <row r="7" customFormat="false" ht="22.35" hidden="false" customHeight="false" outlineLevel="0" collapsed="false">
      <c r="B7" s="7" t="s">
        <v>73</v>
      </c>
      <c r="C7" s="25"/>
      <c r="D7" s="2" t="s">
        <v>68</v>
      </c>
      <c r="E7" s="28" t="s">
        <v>74</v>
      </c>
    </row>
    <row r="9" customFormat="false" ht="15" hidden="false" customHeight="true" outlineLevel="0" collapsed="false">
      <c r="B9" s="14" t="s">
        <v>75</v>
      </c>
      <c r="C9" s="14"/>
      <c r="D9" s="14"/>
      <c r="E9" s="14"/>
    </row>
    <row r="10" customFormat="false" ht="22.35" hidden="false" customHeight="false" outlineLevel="0" collapsed="false">
      <c r="B10" s="7" t="s">
        <v>76</v>
      </c>
      <c r="C10" s="25" t="n">
        <v>1</v>
      </c>
      <c r="D10" s="2" t="s">
        <v>68</v>
      </c>
      <c r="E10" s="28" t="s">
        <v>77</v>
      </c>
    </row>
    <row r="11" customFormat="false" ht="22.35" hidden="false" customHeight="false" outlineLevel="0" collapsed="false">
      <c r="B11" s="7" t="s">
        <v>78</v>
      </c>
      <c r="C11" s="25" t="n">
        <v>1</v>
      </c>
      <c r="D11" s="2" t="s">
        <v>68</v>
      </c>
      <c r="E11" s="28" t="s">
        <v>79</v>
      </c>
    </row>
    <row r="12" customFormat="false" ht="22.35" hidden="false" customHeight="false" outlineLevel="0" collapsed="false">
      <c r="B12" s="7" t="s">
        <v>80</v>
      </c>
      <c r="C12" s="25" t="n">
        <v>1</v>
      </c>
      <c r="D12" s="2" t="s">
        <v>68</v>
      </c>
      <c r="E12" s="28" t="s">
        <v>81</v>
      </c>
    </row>
    <row r="13" customFormat="false" ht="22.35" hidden="false" customHeight="false" outlineLevel="0" collapsed="false">
      <c r="B13" s="7" t="s">
        <v>82</v>
      </c>
      <c r="C13" s="25" t="n">
        <v>1</v>
      </c>
      <c r="D13" s="2" t="s">
        <v>68</v>
      </c>
      <c r="E13" s="28" t="s">
        <v>83</v>
      </c>
    </row>
    <row r="14" customFormat="false" ht="22.35" hidden="false" customHeight="false" outlineLevel="0" collapsed="false">
      <c r="B14" s="7" t="s">
        <v>84</v>
      </c>
      <c r="C14" s="25" t="n">
        <v>1</v>
      </c>
      <c r="D14" s="2" t="s">
        <v>68</v>
      </c>
      <c r="E14" s="28" t="s">
        <v>85</v>
      </c>
    </row>
    <row r="16" customFormat="false" ht="15" hidden="false" customHeight="true" outlineLevel="0" collapsed="false">
      <c r="B16" s="14" t="s">
        <v>86</v>
      </c>
      <c r="C16" s="14"/>
      <c r="D16" s="14"/>
      <c r="E16" s="14"/>
    </row>
    <row r="17" customFormat="false" ht="15" hidden="false" customHeight="false" outlineLevel="0" collapsed="false">
      <c r="B17" s="7" t="s">
        <v>87</v>
      </c>
      <c r="C17" s="25" t="n">
        <v>1</v>
      </c>
      <c r="D17" s="2" t="s">
        <v>88</v>
      </c>
      <c r="E17" s="28" t="s">
        <v>89</v>
      </c>
    </row>
    <row r="18" customFormat="false" ht="15" hidden="false" customHeight="false" outlineLevel="0" collapsed="false">
      <c r="B18" s="7" t="s">
        <v>90</v>
      </c>
      <c r="C18" s="25" t="n">
        <v>1</v>
      </c>
      <c r="D18" s="2" t="s">
        <v>88</v>
      </c>
      <c r="E18" s="28" t="s">
        <v>91</v>
      </c>
    </row>
    <row r="19" customFormat="false" ht="15" hidden="false" customHeight="false" outlineLevel="0" collapsed="false">
      <c r="B19" s="7" t="s">
        <v>92</v>
      </c>
      <c r="C19" s="25" t="n">
        <v>1</v>
      </c>
      <c r="D19" s="2" t="s">
        <v>88</v>
      </c>
      <c r="E19" s="28" t="s">
        <v>93</v>
      </c>
    </row>
    <row r="20" customFormat="false" ht="15" hidden="false" customHeight="false" outlineLevel="0" collapsed="false">
      <c r="B20" s="7" t="s">
        <v>94</v>
      </c>
      <c r="C20" s="25" t="n">
        <v>1</v>
      </c>
      <c r="D20" s="2" t="s">
        <v>88</v>
      </c>
      <c r="E20" s="28" t="s">
        <v>95</v>
      </c>
    </row>
    <row r="21" customFormat="false" ht="22.35" hidden="false" customHeight="false" outlineLevel="0" collapsed="false">
      <c r="B21" s="7" t="s">
        <v>96</v>
      </c>
      <c r="C21" s="30" t="n">
        <v>0</v>
      </c>
      <c r="D21" s="2" t="s">
        <v>97</v>
      </c>
      <c r="E21" s="28" t="s">
        <v>98</v>
      </c>
    </row>
    <row r="22" customFormat="false" ht="15" hidden="false" customHeight="false" outlineLevel="0" collapsed="false">
      <c r="B22" s="7" t="s">
        <v>99</v>
      </c>
      <c r="C22" s="25" t="n">
        <v>1</v>
      </c>
      <c r="D22" s="2" t="s">
        <v>88</v>
      </c>
      <c r="E22" s="28" t="s">
        <v>100</v>
      </c>
    </row>
    <row r="23" customFormat="false" ht="15" hidden="false" customHeight="false" outlineLevel="0" collapsed="false">
      <c r="B23" s="7" t="s">
        <v>101</v>
      </c>
      <c r="C23" s="25" t="n">
        <v>1</v>
      </c>
      <c r="D23" s="2" t="s">
        <v>88</v>
      </c>
      <c r="E23" s="28" t="s">
        <v>102</v>
      </c>
    </row>
    <row r="24" customFormat="false" ht="15" hidden="false" customHeight="false" outlineLevel="0" collapsed="false">
      <c r="B24" s="7" t="s">
        <v>103</v>
      </c>
      <c r="C24" s="25" t="n">
        <v>1</v>
      </c>
      <c r="D24" s="2" t="s">
        <v>88</v>
      </c>
      <c r="E24" s="28" t="s">
        <v>104</v>
      </c>
    </row>
    <row r="25" customFormat="false" ht="15" hidden="false" customHeight="false" outlineLevel="0" collapsed="false">
      <c r="B25" s="7" t="s">
        <v>105</v>
      </c>
      <c r="C25" s="25" t="n">
        <v>1</v>
      </c>
      <c r="D25" s="2" t="s">
        <v>88</v>
      </c>
      <c r="E25" s="28" t="s">
        <v>106</v>
      </c>
    </row>
    <row r="27" customFormat="false" ht="15" hidden="false" customHeight="true" outlineLevel="0" collapsed="false">
      <c r="B27" s="14" t="s">
        <v>107</v>
      </c>
      <c r="C27" s="14"/>
      <c r="D27" s="14"/>
      <c r="E27" s="14"/>
    </row>
    <row r="28" customFormat="false" ht="15" hidden="false" customHeight="false" outlineLevel="0" collapsed="false">
      <c r="B28" s="7" t="s">
        <v>108</v>
      </c>
      <c r="C28" s="21" t="n">
        <v>32758.0837187578</v>
      </c>
      <c r="D28" s="2" t="s">
        <v>109</v>
      </c>
      <c r="E28" s="28" t="s">
        <v>110</v>
      </c>
    </row>
    <row r="29" customFormat="false" ht="15" hidden="false" customHeight="false" outlineLevel="0" collapsed="false">
      <c r="B29" s="7" t="s">
        <v>111</v>
      </c>
      <c r="C29" s="21" t="n">
        <v>76968.8196</v>
      </c>
      <c r="D29" s="2" t="s">
        <v>109</v>
      </c>
      <c r="E29" s="28" t="s">
        <v>112</v>
      </c>
    </row>
    <row r="30" customFormat="false" ht="15" hidden="false" customHeight="false" outlineLevel="0" collapsed="false">
      <c r="B30" s="7" t="s">
        <v>113</v>
      </c>
      <c r="C30" s="21" t="n">
        <v>19455.59</v>
      </c>
      <c r="D30" s="2" t="s">
        <v>109</v>
      </c>
      <c r="E30" s="28" t="s">
        <v>112</v>
      </c>
    </row>
    <row r="31" customFormat="false" ht="22.35" hidden="false" customHeight="false" outlineLevel="0" collapsed="false">
      <c r="B31" s="7" t="s">
        <v>114</v>
      </c>
      <c r="C31" s="31" t="n">
        <v>4110</v>
      </c>
      <c r="D31" s="2" t="s">
        <v>109</v>
      </c>
      <c r="E31" s="28" t="s">
        <v>115</v>
      </c>
    </row>
    <row r="32" customFormat="false" ht="22.35" hidden="false" customHeight="false" outlineLevel="0" collapsed="false">
      <c r="B32" s="7" t="s">
        <v>116</v>
      </c>
      <c r="C32" s="31" t="n">
        <v>2000</v>
      </c>
      <c r="D32" s="2" t="s">
        <v>109</v>
      </c>
      <c r="E32" s="28" t="s">
        <v>117</v>
      </c>
    </row>
    <row r="33" customFormat="false" ht="22.35" hidden="false" customHeight="false" outlineLevel="0" collapsed="false">
      <c r="B33" s="7" t="s">
        <v>118</v>
      </c>
      <c r="C33" s="31" t="n">
        <v>6000</v>
      </c>
      <c r="D33" s="2" t="s">
        <v>109</v>
      </c>
      <c r="E33" s="28" t="s">
        <v>117</v>
      </c>
    </row>
    <row r="34" customFormat="false" ht="15" hidden="false" customHeight="false" outlineLevel="0" collapsed="false">
      <c r="B34" s="7" t="s">
        <v>119</v>
      </c>
      <c r="C34" s="21" t="n">
        <v>20000</v>
      </c>
      <c r="D34" s="2" t="s">
        <v>109</v>
      </c>
      <c r="E34" s="28" t="s">
        <v>120</v>
      </c>
    </row>
    <row r="35" customFormat="false" ht="15" hidden="false" customHeight="false" outlineLevel="0" collapsed="false">
      <c r="B35" s="7" t="s">
        <v>121</v>
      </c>
      <c r="C35" s="21" t="n">
        <v>37000</v>
      </c>
      <c r="D35" s="2" t="s">
        <v>109</v>
      </c>
      <c r="E35" s="28" t="s">
        <v>120</v>
      </c>
    </row>
    <row r="36" customFormat="false" ht="15" hidden="false" customHeight="false" outlineLevel="0" collapsed="false">
      <c r="B36" s="7" t="s">
        <v>122</v>
      </c>
      <c r="C36" s="21" t="n">
        <v>10000</v>
      </c>
      <c r="D36" s="2" t="s">
        <v>109</v>
      </c>
      <c r="E36" s="28" t="s">
        <v>123</v>
      </c>
    </row>
  </sheetData>
  <mergeCells count="4">
    <mergeCell ref="B4:E4"/>
    <mergeCell ref="B9:E9"/>
    <mergeCell ref="B16:E1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12.5"/>
  </cols>
  <sheetData>
    <row r="1" customFormat="false" ht="15" hidden="false" customHeight="true" outlineLevel="0" collapsed="false">
      <c r="F1" s="14" t="s">
        <v>124</v>
      </c>
      <c r="G1" s="14"/>
      <c r="H1" s="14"/>
      <c r="I1" s="14" t="s">
        <v>125</v>
      </c>
      <c r="J1" s="14"/>
      <c r="K1" s="14"/>
      <c r="L1" s="14" t="s">
        <v>126</v>
      </c>
      <c r="M1" s="14"/>
      <c r="N1" s="14"/>
      <c r="O1" s="14" t="s">
        <v>127</v>
      </c>
      <c r="P1" s="14"/>
      <c r="Q1" s="14"/>
      <c r="R1" s="14"/>
      <c r="S1" s="14"/>
      <c r="T1" s="14"/>
      <c r="U1" s="14"/>
      <c r="V1" s="14"/>
      <c r="W1" s="14"/>
      <c r="X1" s="14" t="s">
        <v>128</v>
      </c>
      <c r="Y1" s="14"/>
      <c r="Z1" s="14"/>
      <c r="AA1" s="14"/>
      <c r="AB1" s="14"/>
      <c r="AC1" s="14"/>
      <c r="AD1" s="14"/>
    </row>
    <row r="2" customFormat="false" ht="43.5" hidden="false" customHeight="true" outlineLevel="0" collapsed="false">
      <c r="A2" s="15" t="s">
        <v>129</v>
      </c>
      <c r="B2" s="15" t="s">
        <v>130</v>
      </c>
      <c r="C2" s="15" t="s">
        <v>131</v>
      </c>
      <c r="D2" s="15" t="s">
        <v>132</v>
      </c>
      <c r="E2" s="15" t="s">
        <v>133</v>
      </c>
      <c r="F2" s="15" t="s">
        <v>134</v>
      </c>
      <c r="G2" s="15" t="s">
        <v>135</v>
      </c>
      <c r="H2" s="15" t="s">
        <v>136</v>
      </c>
      <c r="I2" s="15" t="s">
        <v>137</v>
      </c>
      <c r="J2" s="15" t="s">
        <v>138</v>
      </c>
      <c r="K2" s="15" t="s">
        <v>139</v>
      </c>
      <c r="L2" s="15" t="s">
        <v>140</v>
      </c>
      <c r="M2" s="15" t="s">
        <v>141</v>
      </c>
      <c r="N2" s="15" t="s">
        <v>142</v>
      </c>
      <c r="O2" s="15" t="s">
        <v>143</v>
      </c>
      <c r="P2" s="15" t="s">
        <v>144</v>
      </c>
      <c r="Q2" s="15" t="s">
        <v>145</v>
      </c>
      <c r="R2" s="15" t="s">
        <v>146</v>
      </c>
      <c r="S2" s="15" t="s">
        <v>147</v>
      </c>
      <c r="T2" s="15" t="s">
        <v>148</v>
      </c>
      <c r="U2" s="15" t="s">
        <v>149</v>
      </c>
      <c r="V2" s="15" t="s">
        <v>150</v>
      </c>
      <c r="W2" s="15" t="s">
        <v>151</v>
      </c>
      <c r="X2" s="15" t="s">
        <v>152</v>
      </c>
      <c r="Y2" s="15" t="s">
        <v>153</v>
      </c>
      <c r="Z2" s="15" t="s">
        <v>154</v>
      </c>
      <c r="AA2" s="15" t="s">
        <v>155</v>
      </c>
      <c r="AB2" s="15" t="s">
        <v>156</v>
      </c>
      <c r="AC2" s="15" t="s">
        <v>157</v>
      </c>
      <c r="AD2" s="15" t="s">
        <v>158</v>
      </c>
    </row>
    <row r="3" customFormat="false" ht="15" hidden="false" customHeight="false" outlineLevel="0" collapsed="false">
      <c r="A3" s="32" t="n">
        <f aca="false">Rencana_Dalops!A3</f>
        <v>46300</v>
      </c>
      <c r="B3" s="33" t="n">
        <f aca="false">A3-Rencana_Dalops!$A$3+1</f>
        <v>1</v>
      </c>
      <c r="C3" s="33" t="n">
        <f aca="false">IF(A3&lt;=Asumsi!$C$6,1,0)</f>
        <v>1</v>
      </c>
      <c r="D3" s="34" t="n">
        <f aca="false">(Rencana_Dalops!B3*Asumsi!$C$10+Rencana_Dalops!C3*Asumsi!$C$11+Rencana_Dalops!D3*Asumsi!$C$12+Rencana_Dalops!E3*Asumsi!$C$13+Rencana_Dalops!F3*Asumsi!$C$14)*Asumsi!$C$5</f>
        <v>6800</v>
      </c>
      <c r="E3" s="35" t="n">
        <f aca="false">Rencana_Dalops!G3</f>
        <v>6800</v>
      </c>
      <c r="F3" s="34" t="n">
        <f aca="false">Rencana_Dalops!H3*Asumsi!$C$17*(1-Rencana_Dalops!I3)+Rencana_Dalops!J3*Asumsi!$C$18+Rencana_Dalops!K3*Asumsi!$C$19</f>
        <v>1750.1856927017</v>
      </c>
      <c r="G3" s="34" t="n">
        <f aca="false">Rencana_Dalops!L3*Asumsi!$C$25+Rencana_Dalops!M3*IF(E3&gt;0,D3/E3,0)</f>
        <v>1620.1535555556</v>
      </c>
      <c r="H3" s="21" t="n">
        <f aca="false">Asumsi!$C$28-Asumsi!$C$31+F3-G3</f>
        <v>28778.1158559038</v>
      </c>
      <c r="I3" s="34" t="n">
        <f aca="false">IF(B3-Asumsi!$C$21&gt;=1,INDEX(Rencana_Dalops!$N$3:$N$90,B3-Asumsi!$C$21),0)*Asumsi!$C$20</f>
        <v>0</v>
      </c>
      <c r="J3" s="34" t="n">
        <f aca="false">Rencana_Dalops!O3+Rencana_Dalops!P3*IF(E3&gt;0,D3/E3,0)</f>
        <v>1739</v>
      </c>
      <c r="K3" s="21" t="n">
        <f aca="false">Asumsi!$C$29-Asumsi!$C$32+I3-J3</f>
        <v>73229.8196</v>
      </c>
      <c r="L3" s="34" t="n">
        <f aca="false">Rencana_Dalops!Q3*Asumsi!$C$22+Rencana_Dalops!R3*Asumsi!$C$23</f>
        <v>3016.5</v>
      </c>
      <c r="M3" s="34" t="n">
        <f aca="false">Rencana_Dalops!S3*Asumsi!$C$24+Rencana_Dalops!T3*IF(E3&gt;0,D3/E3,0)</f>
        <v>3381.0078666667</v>
      </c>
      <c r="N3" s="21" t="n">
        <f aca="false">Asumsi!$C$30-Asumsi!$C$33+L3-M3</f>
        <v>13091.0821333333</v>
      </c>
      <c r="O3" s="21" t="n">
        <f aca="false">Rencana_Dalops!M3*IF(Asumsi!$C$5&gt;0,IF(E3&gt;0,D3/E3,0)/Asumsi!$C$5,0)</f>
        <v>1514.598</v>
      </c>
      <c r="P3" s="21" t="n">
        <f aca="false">H3+O3*Asumsi!$C$5</f>
        <v>30292.7138559038</v>
      </c>
      <c r="Q3" s="21" t="n">
        <f aca="false">Rencana_Dalops!P3*IF(Asumsi!$C$5&gt;0,IF(E3&gt;0,D3/E3,0)/Asumsi!$C$5,0)</f>
        <v>1713.8</v>
      </c>
      <c r="R3" s="21" t="n">
        <f aca="false">K3+Q3*Asumsi!$C$5</f>
        <v>74943.6196</v>
      </c>
      <c r="S3" s="21" t="n">
        <f aca="false">Rencana_Dalops!T3*IF(Asumsi!$C$5&gt;0,IF(E3&gt;0,D3/E3,0)/Asumsi!$C$5,0)</f>
        <v>758.4312</v>
      </c>
      <c r="T3" s="21" t="n">
        <f aca="false">N3+S3*Asumsi!$C$5</f>
        <v>13849.5133333333</v>
      </c>
      <c r="U3" s="22" t="n">
        <f aca="false">IF(OR(C3=0,O3&lt;=0),"",P3/O3)</f>
        <v>20.0004977267261</v>
      </c>
      <c r="V3" s="22" t="n">
        <f aca="false">IF(OR(C3=0,Q3&lt;=0),"",R3/Q3)</f>
        <v>43.7295014587467</v>
      </c>
      <c r="W3" s="22" t="n">
        <f aca="false">IF(OR(C3=0,S3&lt;=0),"",T3/S3)</f>
        <v>18.2607378669724</v>
      </c>
      <c r="X3" s="23" t="str">
        <f aca="false">IF(AND(C3=1,H3&lt;0),A3,"")</f>
        <v/>
      </c>
      <c r="Y3" s="23" t="str">
        <f aca="false">IF(AND(C3=1,K3&lt;0),A3,"")</f>
        <v/>
      </c>
      <c r="Z3" s="23" t="str">
        <f aca="false">IF(AND(C3=1,N3&lt;0),A3,"")</f>
        <v/>
      </c>
      <c r="AA3" s="21" t="n">
        <f aca="false">IF(C3=0,"",MIN(H3+Asumsi!$C$31-Asumsi!$C$34,K3+Asumsi!$C$32-Asumsi!$C$35,N3+Asumsi!$C$33-Asumsi!$C$36))</f>
        <v>9091.0821333333</v>
      </c>
      <c r="AB3" s="21" t="n">
        <f aca="false">IF(C3=1,H3,"")</f>
        <v>28778.1158559038</v>
      </c>
      <c r="AC3" s="21" t="n">
        <f aca="false">IF(C3=1,K3,"")</f>
        <v>73229.8196</v>
      </c>
      <c r="AD3" s="21" t="n">
        <f aca="false">IF(C3=1,N3,"")</f>
        <v>13091.0821333333</v>
      </c>
    </row>
    <row r="4" customFormat="false" ht="15" hidden="false" customHeight="false" outlineLevel="0" collapsed="false">
      <c r="A4" s="32" t="n">
        <f aca="false">Rencana_Dalops!A4</f>
        <v>46301</v>
      </c>
      <c r="B4" s="33" t="n">
        <f aca="false">A4-Rencana_Dalops!$A$3+1</f>
        <v>2</v>
      </c>
      <c r="C4" s="33" t="n">
        <f aca="false">IF(A4&lt;=Asumsi!$C$6,1,0)</f>
        <v>1</v>
      </c>
      <c r="D4" s="34" t="n">
        <f aca="false">(Rencana_Dalops!B4*Asumsi!$C$10+Rencana_Dalops!C4*Asumsi!$C$11+Rencana_Dalops!D4*Asumsi!$C$12+Rencana_Dalops!E4*Asumsi!$C$13+Rencana_Dalops!F4*Asumsi!$C$14)*Asumsi!$C$5</f>
        <v>6800</v>
      </c>
      <c r="E4" s="35" t="n">
        <f aca="false">Rencana_Dalops!G4</f>
        <v>6800</v>
      </c>
      <c r="F4" s="34" t="n">
        <f aca="false">Rencana_Dalops!H4*Asumsi!$C$17*(1-Rencana_Dalops!I4)+Rencana_Dalops!J4*Asumsi!$C$18+Rencana_Dalops!K4*Asumsi!$C$19</f>
        <v>1750.1856927017</v>
      </c>
      <c r="G4" s="34" t="n">
        <f aca="false">Rencana_Dalops!L4*Asumsi!$C$25+Rencana_Dalops!M4*IF(E4&gt;0,D4/E4,0)</f>
        <v>1645.1535555556</v>
      </c>
      <c r="H4" s="21" t="n">
        <f aca="false">H3+F4-G4</f>
        <v>28883.1479930499</v>
      </c>
      <c r="I4" s="34" t="n">
        <f aca="false">IF(B4-Asumsi!$C$21&gt;=1,INDEX(Rencana_Dalops!$N$3:$N$90,B4-Asumsi!$C$21),0)*Asumsi!$C$20</f>
        <v>0</v>
      </c>
      <c r="J4" s="34" t="n">
        <f aca="false">Rencana_Dalops!O4+Rencana_Dalops!P4*IF(E4&gt;0,D4/E4,0)</f>
        <v>1739</v>
      </c>
      <c r="K4" s="21" t="n">
        <f aca="false">K3+I4-J4</f>
        <v>71490.8196</v>
      </c>
      <c r="L4" s="34" t="n">
        <f aca="false">Rencana_Dalops!Q4*Asumsi!$C$22+Rencana_Dalops!R4*Asumsi!$C$23</f>
        <v>3016.5</v>
      </c>
      <c r="M4" s="34" t="n">
        <f aca="false">Rencana_Dalops!S4*Asumsi!$C$24+Rencana_Dalops!T4*IF(E4&gt;0,D4/E4,0)</f>
        <v>3381.0078666667</v>
      </c>
      <c r="N4" s="21" t="n">
        <f aca="false">N3+L4-M4</f>
        <v>12726.5742666666</v>
      </c>
      <c r="O4" s="21" t="n">
        <f aca="false">O3+Rencana_Dalops!M4*IF(Asumsi!$C$5&gt;0,IF(E4&gt;0,D4/E4,0)/Asumsi!$C$5,0)</f>
        <v>3029.196</v>
      </c>
      <c r="P4" s="21" t="n">
        <f aca="false">H4+O4*Asumsi!$C$5</f>
        <v>31912.3439930499</v>
      </c>
      <c r="Q4" s="21" t="n">
        <f aca="false">Q3+Rencana_Dalops!P4*IF(Asumsi!$C$5&gt;0,IF(E4&gt;0,D4/E4,0)/Asumsi!$C$5,0)</f>
        <v>3427.6</v>
      </c>
      <c r="R4" s="21" t="n">
        <f aca="false">K4+Q4*Asumsi!$C$5</f>
        <v>74918.4196</v>
      </c>
      <c r="S4" s="21" t="n">
        <f aca="false">S3+Rencana_Dalops!T4*IF(Asumsi!$C$5&gt;0,IF(E4&gt;0,D4/E4,0)/Asumsi!$C$5,0)</f>
        <v>1516.8624</v>
      </c>
      <c r="T4" s="21" t="n">
        <f aca="false">N4+S4*Asumsi!$C$5</f>
        <v>14243.4366666666</v>
      </c>
      <c r="U4" s="22" t="n">
        <f aca="false">IF(OR(C4=0,O4&lt;=0),"",P4/O4)</f>
        <v>10.534922135461</v>
      </c>
      <c r="V4" s="22" t="n">
        <f aca="false">IF(OR(C4=0,Q4&lt;=0),"",R4/Q4)</f>
        <v>21.8573986462831</v>
      </c>
      <c r="W4" s="22" t="n">
        <f aca="false">IF(OR(C4=0,S4&lt;=0),"",T4/S4)</f>
        <v>9.39006508874279</v>
      </c>
      <c r="X4" s="23" t="str">
        <f aca="false">IF(AND(C4=1,H4&lt;0),A4,"")</f>
        <v/>
      </c>
      <c r="Y4" s="23" t="str">
        <f aca="false">IF(AND(C4=1,K4&lt;0),A4,"")</f>
        <v/>
      </c>
      <c r="Z4" s="23" t="str">
        <f aca="false">IF(AND(C4=1,N4&lt;0),A4,"")</f>
        <v/>
      </c>
      <c r="AA4" s="21" t="n">
        <f aca="false">IF(C4=0,"",MIN(H4+Asumsi!$C$31-Asumsi!$C$34,K4+Asumsi!$C$32-Asumsi!$C$35,N4+Asumsi!$C$33-Asumsi!$C$36))</f>
        <v>8726.5742666666</v>
      </c>
      <c r="AB4" s="21" t="n">
        <f aca="false">IF(C4=1,H4,"")</f>
        <v>28883.1479930499</v>
      </c>
      <c r="AC4" s="21" t="n">
        <f aca="false">IF(C4=1,K4,"")</f>
        <v>71490.8196</v>
      </c>
      <c r="AD4" s="21" t="n">
        <f aca="false">IF(C4=1,N4,"")</f>
        <v>12726.5742666666</v>
      </c>
    </row>
    <row r="5" customFormat="false" ht="15" hidden="false" customHeight="false" outlineLevel="0" collapsed="false">
      <c r="A5" s="32" t="n">
        <f aca="false">Rencana_Dalops!A5</f>
        <v>46302</v>
      </c>
      <c r="B5" s="33" t="n">
        <f aca="false">A5-Rencana_Dalops!$A$3+1</f>
        <v>3</v>
      </c>
      <c r="C5" s="33" t="n">
        <f aca="false">IF(A5&lt;=Asumsi!$C$6,1,0)</f>
        <v>1</v>
      </c>
      <c r="D5" s="34" t="n">
        <f aca="false">(Rencana_Dalops!B5*Asumsi!$C$10+Rencana_Dalops!C5*Asumsi!$C$11+Rencana_Dalops!D5*Asumsi!$C$12+Rencana_Dalops!E5*Asumsi!$C$13+Rencana_Dalops!F5*Asumsi!$C$14)*Asumsi!$C$5</f>
        <v>6800</v>
      </c>
      <c r="E5" s="35" t="n">
        <f aca="false">Rencana_Dalops!G5</f>
        <v>6800</v>
      </c>
      <c r="F5" s="34" t="n">
        <f aca="false">Rencana_Dalops!H5*Asumsi!$C$17*(1-Rencana_Dalops!I5)+Rencana_Dalops!J5*Asumsi!$C$18+Rencana_Dalops!K5*Asumsi!$C$19</f>
        <v>1750.1856927017</v>
      </c>
      <c r="G5" s="34" t="n">
        <f aca="false">Rencana_Dalops!L5*Asumsi!$C$25+Rencana_Dalops!M5*IF(E5&gt;0,D5/E5,0)</f>
        <v>1645.1535555556</v>
      </c>
      <c r="H5" s="21" t="n">
        <f aca="false">H4+F5-G5</f>
        <v>28988.180130196</v>
      </c>
      <c r="I5" s="34" t="n">
        <f aca="false">IF(B5-Asumsi!$C$21&gt;=1,INDEX(Rencana_Dalops!$N$3:$N$90,B5-Asumsi!$C$21),0)*Asumsi!$C$20</f>
        <v>0</v>
      </c>
      <c r="J5" s="34" t="n">
        <f aca="false">Rencana_Dalops!O5+Rencana_Dalops!P5*IF(E5&gt;0,D5/E5,0)</f>
        <v>1739</v>
      </c>
      <c r="K5" s="21" t="n">
        <f aca="false">K4+I5-J5</f>
        <v>69751.8196</v>
      </c>
      <c r="L5" s="34" t="n">
        <f aca="false">Rencana_Dalops!Q5*Asumsi!$C$22+Rencana_Dalops!R5*Asumsi!$C$23</f>
        <v>3016.5</v>
      </c>
      <c r="M5" s="34" t="n">
        <f aca="false">Rencana_Dalops!S5*Asumsi!$C$24+Rencana_Dalops!T5*IF(E5&gt;0,D5/E5,0)</f>
        <v>3381.0078666667</v>
      </c>
      <c r="N5" s="21" t="n">
        <f aca="false">N4+L5-M5</f>
        <v>12362.0663999999</v>
      </c>
      <c r="O5" s="21" t="n">
        <f aca="false">O4+Rencana_Dalops!M5*IF(Asumsi!$C$5&gt;0,IF(E5&gt;0,D5/E5,0)/Asumsi!$C$5,0)</f>
        <v>4543.794</v>
      </c>
      <c r="P5" s="21" t="n">
        <f aca="false">H5+O5*Asumsi!$C$5</f>
        <v>33531.974130196</v>
      </c>
      <c r="Q5" s="21" t="n">
        <f aca="false">Q4+Rencana_Dalops!P5*IF(Asumsi!$C$5&gt;0,IF(E5&gt;0,D5/E5,0)/Asumsi!$C$5,0)</f>
        <v>5141.4</v>
      </c>
      <c r="R5" s="21" t="n">
        <f aca="false">K5+Q5*Asumsi!$C$5</f>
        <v>74893.2196</v>
      </c>
      <c r="S5" s="21" t="n">
        <f aca="false">S4+Rencana_Dalops!T5*IF(Asumsi!$C$5&gt;0,IF(E5&gt;0,D5/E5,0)/Asumsi!$C$5,0)</f>
        <v>2275.2936</v>
      </c>
      <c r="T5" s="21" t="n">
        <f aca="false">N5+S5*Asumsi!$C$5</f>
        <v>14637.3599999999</v>
      </c>
      <c r="U5" s="22" t="n">
        <f aca="false">IF(OR(C5=0,O5&lt;=0),"",P5/O5)</f>
        <v>7.37973027170599</v>
      </c>
      <c r="V5" s="22" t="n">
        <f aca="false">IF(OR(C5=0,Q5&lt;=0),"",R5/Q5)</f>
        <v>14.5666977087953</v>
      </c>
      <c r="W5" s="22" t="n">
        <f aca="false">IF(OR(C5=0,S5&lt;=0),"",T5/S5)</f>
        <v>6.43317416266626</v>
      </c>
      <c r="X5" s="23" t="str">
        <f aca="false">IF(AND(C5=1,H5&lt;0),A5,"")</f>
        <v/>
      </c>
      <c r="Y5" s="23" t="str">
        <f aca="false">IF(AND(C5=1,K5&lt;0),A5,"")</f>
        <v/>
      </c>
      <c r="Z5" s="23" t="str">
        <f aca="false">IF(AND(C5=1,N5&lt;0),A5,"")</f>
        <v/>
      </c>
      <c r="AA5" s="21" t="n">
        <f aca="false">IF(C5=0,"",MIN(H5+Asumsi!$C$31-Asumsi!$C$34,K5+Asumsi!$C$32-Asumsi!$C$35,N5+Asumsi!$C$33-Asumsi!$C$36))</f>
        <v>8362.0663999999</v>
      </c>
      <c r="AB5" s="21" t="n">
        <f aca="false">IF(C5=1,H5,"")</f>
        <v>28988.180130196</v>
      </c>
      <c r="AC5" s="21" t="n">
        <f aca="false">IF(C5=1,K5,"")</f>
        <v>69751.8196</v>
      </c>
      <c r="AD5" s="21" t="n">
        <f aca="false">IF(C5=1,N5,"")</f>
        <v>12362.0663999999</v>
      </c>
    </row>
    <row r="6" customFormat="false" ht="15" hidden="false" customHeight="false" outlineLevel="0" collapsed="false">
      <c r="A6" s="32" t="n">
        <f aca="false">Rencana_Dalops!A6</f>
        <v>46303</v>
      </c>
      <c r="B6" s="33" t="n">
        <f aca="false">A6-Rencana_Dalops!$A$3+1</f>
        <v>4</v>
      </c>
      <c r="C6" s="33" t="n">
        <f aca="false">IF(A6&lt;=Asumsi!$C$6,1,0)</f>
        <v>1</v>
      </c>
      <c r="D6" s="34" t="n">
        <f aca="false">(Rencana_Dalops!B6*Asumsi!$C$10+Rencana_Dalops!C6*Asumsi!$C$11+Rencana_Dalops!D6*Asumsi!$C$12+Rencana_Dalops!E6*Asumsi!$C$13+Rencana_Dalops!F6*Asumsi!$C$14)*Asumsi!$C$5</f>
        <v>6800</v>
      </c>
      <c r="E6" s="35" t="n">
        <f aca="false">Rencana_Dalops!G6</f>
        <v>6800</v>
      </c>
      <c r="F6" s="34" t="n">
        <f aca="false">Rencana_Dalops!H6*Asumsi!$C$17*(1-Rencana_Dalops!I6)+Rencana_Dalops!J6*Asumsi!$C$18+Rencana_Dalops!K6*Asumsi!$C$19</f>
        <v>1750.1856927017</v>
      </c>
      <c r="G6" s="34" t="n">
        <f aca="false">Rencana_Dalops!L6*Asumsi!$C$25+Rencana_Dalops!M6*IF(E6&gt;0,D6/E6,0)</f>
        <v>1645.1535555556</v>
      </c>
      <c r="H6" s="21" t="n">
        <f aca="false">H5+F6-G6</f>
        <v>29093.2122673421</v>
      </c>
      <c r="I6" s="34" t="n">
        <f aca="false">IF(B6-Asumsi!$C$21&gt;=1,INDEX(Rencana_Dalops!$N$3:$N$90,B6-Asumsi!$C$21),0)*Asumsi!$C$20</f>
        <v>5000</v>
      </c>
      <c r="J6" s="34" t="n">
        <f aca="false">Rencana_Dalops!O6+Rencana_Dalops!P6*IF(E6&gt;0,D6/E6,0)</f>
        <v>1739</v>
      </c>
      <c r="K6" s="21" t="n">
        <f aca="false">K5+I6-J6</f>
        <v>73012.8196</v>
      </c>
      <c r="L6" s="34" t="n">
        <f aca="false">Rencana_Dalops!Q6*Asumsi!$C$22+Rencana_Dalops!R6*Asumsi!$C$23</f>
        <v>3016.5</v>
      </c>
      <c r="M6" s="34" t="n">
        <f aca="false">Rencana_Dalops!S6*Asumsi!$C$24+Rencana_Dalops!T6*IF(E6&gt;0,D6/E6,0)</f>
        <v>3381.0078666667</v>
      </c>
      <c r="N6" s="21" t="n">
        <f aca="false">N5+L6-M6</f>
        <v>11997.5585333332</v>
      </c>
      <c r="O6" s="21" t="n">
        <f aca="false">O5+Rencana_Dalops!M6*IF(Asumsi!$C$5&gt;0,IF(E6&gt;0,D6/E6,0)/Asumsi!$C$5,0)</f>
        <v>6058.392</v>
      </c>
      <c r="P6" s="21" t="n">
        <f aca="false">H6+O6*Asumsi!$C$5</f>
        <v>35151.6042673421</v>
      </c>
      <c r="Q6" s="21" t="n">
        <f aca="false">Q5+Rencana_Dalops!P6*IF(Asumsi!$C$5&gt;0,IF(E6&gt;0,D6/E6,0)/Asumsi!$C$5,0)</f>
        <v>6855.2</v>
      </c>
      <c r="R6" s="21" t="n">
        <f aca="false">K6+Q6*Asumsi!$C$5</f>
        <v>79868.0196</v>
      </c>
      <c r="S6" s="21" t="n">
        <f aca="false">S5+Rencana_Dalops!T6*IF(Asumsi!$C$5&gt;0,IF(E6&gt;0,D6/E6,0)/Asumsi!$C$5,0)</f>
        <v>3033.7248</v>
      </c>
      <c r="T6" s="21" t="n">
        <f aca="false">N6+S6*Asumsi!$C$5</f>
        <v>15031.2833333332</v>
      </c>
      <c r="U6" s="22" t="n">
        <f aca="false">IF(OR(C6=0,O6&lt;=0),"",P6/O6)</f>
        <v>5.80213433982848</v>
      </c>
      <c r="V6" s="22" t="n">
        <f aca="false">IF(OR(C6=0,Q6&lt;=0),"",R6/Q6)</f>
        <v>11.6507205624927</v>
      </c>
      <c r="W6" s="22" t="n">
        <f aca="false">IF(OR(C6=0,S6&lt;=0),"",T6/S6)</f>
        <v>4.954728699628</v>
      </c>
      <c r="X6" s="23" t="str">
        <f aca="false">IF(AND(C6=1,H6&lt;0),A6,"")</f>
        <v/>
      </c>
      <c r="Y6" s="23" t="str">
        <f aca="false">IF(AND(C6=1,K6&lt;0),A6,"")</f>
        <v/>
      </c>
      <c r="Z6" s="23" t="str">
        <f aca="false">IF(AND(C6=1,N6&lt;0),A6,"")</f>
        <v/>
      </c>
      <c r="AA6" s="21" t="n">
        <f aca="false">IF(C6=0,"",MIN(H6+Asumsi!$C$31-Asumsi!$C$34,K6+Asumsi!$C$32-Asumsi!$C$35,N6+Asumsi!$C$33-Asumsi!$C$36))</f>
        <v>7997.5585333332</v>
      </c>
      <c r="AB6" s="21" t="n">
        <f aca="false">IF(C6=1,H6,"")</f>
        <v>29093.2122673421</v>
      </c>
      <c r="AC6" s="21" t="n">
        <f aca="false">IF(C6=1,K6,"")</f>
        <v>73012.8196</v>
      </c>
      <c r="AD6" s="21" t="n">
        <f aca="false">IF(C6=1,N6,"")</f>
        <v>11997.5585333332</v>
      </c>
    </row>
    <row r="7" customFormat="false" ht="15" hidden="false" customHeight="false" outlineLevel="0" collapsed="false">
      <c r="A7" s="32" t="n">
        <f aca="false">Rencana_Dalops!A7</f>
        <v>46304</v>
      </c>
      <c r="B7" s="33" t="n">
        <f aca="false">A7-Rencana_Dalops!$A$3+1</f>
        <v>5</v>
      </c>
      <c r="C7" s="33" t="n">
        <f aca="false">IF(A7&lt;=Asumsi!$C$6,1,0)</f>
        <v>1</v>
      </c>
      <c r="D7" s="34" t="n">
        <f aca="false">(Rencana_Dalops!B7*Asumsi!$C$10+Rencana_Dalops!C7*Asumsi!$C$11+Rencana_Dalops!D7*Asumsi!$C$12+Rencana_Dalops!E7*Asumsi!$C$13+Rencana_Dalops!F7*Asumsi!$C$14)*Asumsi!$C$5</f>
        <v>6800</v>
      </c>
      <c r="E7" s="35" t="n">
        <f aca="false">Rencana_Dalops!G7</f>
        <v>6800</v>
      </c>
      <c r="F7" s="34" t="n">
        <f aca="false">Rencana_Dalops!H7*Asumsi!$C$17*(1-Rencana_Dalops!I7)+Rencana_Dalops!J7*Asumsi!$C$18+Rencana_Dalops!K7*Asumsi!$C$19</f>
        <v>1750.1856927017</v>
      </c>
      <c r="G7" s="34" t="n">
        <f aca="false">Rencana_Dalops!L7*Asumsi!$C$25+Rencana_Dalops!M7*IF(E7&gt;0,D7/E7,0)</f>
        <v>1645.1535555556</v>
      </c>
      <c r="H7" s="21" t="n">
        <f aca="false">H6+F7-G7</f>
        <v>29198.2444044882</v>
      </c>
      <c r="I7" s="34" t="n">
        <f aca="false">IF(B7-Asumsi!$C$21&gt;=1,INDEX(Rencana_Dalops!$N$3:$N$90,B7-Asumsi!$C$21),0)*Asumsi!$C$20</f>
        <v>5000</v>
      </c>
      <c r="J7" s="34" t="n">
        <f aca="false">Rencana_Dalops!O7+Rencana_Dalops!P7*IF(E7&gt;0,D7/E7,0)</f>
        <v>1739</v>
      </c>
      <c r="K7" s="21" t="n">
        <f aca="false">K6+I7-J7</f>
        <v>76273.8196</v>
      </c>
      <c r="L7" s="34" t="n">
        <f aca="false">Rencana_Dalops!Q7*Asumsi!$C$22+Rencana_Dalops!R7*Asumsi!$C$23</f>
        <v>2786.5</v>
      </c>
      <c r="M7" s="34" t="n">
        <f aca="false">Rencana_Dalops!S7*Asumsi!$C$24+Rencana_Dalops!T7*IF(E7&gt;0,D7/E7,0)</f>
        <v>3381.0078666667</v>
      </c>
      <c r="N7" s="21" t="n">
        <f aca="false">N6+L7-M7</f>
        <v>11403.0506666665</v>
      </c>
      <c r="O7" s="21" t="n">
        <f aca="false">O6+Rencana_Dalops!M7*IF(Asumsi!$C$5&gt;0,IF(E7&gt;0,D7/E7,0)/Asumsi!$C$5,0)</f>
        <v>7572.99</v>
      </c>
      <c r="P7" s="21" t="n">
        <f aca="false">H7+O7*Asumsi!$C$5</f>
        <v>36771.2344044882</v>
      </c>
      <c r="Q7" s="21" t="n">
        <f aca="false">Q6+Rencana_Dalops!P7*IF(Asumsi!$C$5&gt;0,IF(E7&gt;0,D7/E7,0)/Asumsi!$C$5,0)</f>
        <v>8569</v>
      </c>
      <c r="R7" s="21" t="n">
        <f aca="false">K7+Q7*Asumsi!$C$5</f>
        <v>84842.8196</v>
      </c>
      <c r="S7" s="21" t="n">
        <f aca="false">S6+Rencana_Dalops!T7*IF(Asumsi!$C$5&gt;0,IF(E7&gt;0,D7/E7,0)/Asumsi!$C$5,0)</f>
        <v>3792.156</v>
      </c>
      <c r="T7" s="21" t="n">
        <f aca="false">N7+S7*Asumsi!$C$5</f>
        <v>15195.2066666665</v>
      </c>
      <c r="U7" s="22" t="n">
        <f aca="false">IF(OR(C7=0,O7&lt;=0),"",P7/O7)</f>
        <v>4.85557678070197</v>
      </c>
      <c r="V7" s="22" t="n">
        <f aca="false">IF(OR(C7=0,Q7&lt;=0),"",R7/Q7)</f>
        <v>9.90113427471117</v>
      </c>
      <c r="W7" s="22" t="n">
        <f aca="false">IF(OR(C7=0,S7&lt;=0),"",T7/S7)</f>
        <v>4.00700990852341</v>
      </c>
      <c r="X7" s="23" t="str">
        <f aca="false">IF(AND(C7=1,H7&lt;0),A7,"")</f>
        <v/>
      </c>
      <c r="Y7" s="23" t="str">
        <f aca="false">IF(AND(C7=1,K7&lt;0),A7,"")</f>
        <v/>
      </c>
      <c r="Z7" s="23" t="str">
        <f aca="false">IF(AND(C7=1,N7&lt;0),A7,"")</f>
        <v/>
      </c>
      <c r="AA7" s="21" t="n">
        <f aca="false">IF(C7=0,"",MIN(H7+Asumsi!$C$31-Asumsi!$C$34,K7+Asumsi!$C$32-Asumsi!$C$35,N7+Asumsi!$C$33-Asumsi!$C$36))</f>
        <v>7403.0506666665</v>
      </c>
      <c r="AB7" s="21" t="n">
        <f aca="false">IF(C7=1,H7,"")</f>
        <v>29198.2444044882</v>
      </c>
      <c r="AC7" s="21" t="n">
        <f aca="false">IF(C7=1,K7,"")</f>
        <v>76273.8196</v>
      </c>
      <c r="AD7" s="21" t="n">
        <f aca="false">IF(C7=1,N7,"")</f>
        <v>11403.0506666665</v>
      </c>
    </row>
    <row r="8" customFormat="false" ht="15" hidden="false" customHeight="false" outlineLevel="0" collapsed="false">
      <c r="A8" s="32" t="n">
        <f aca="false">Rencana_Dalops!A8</f>
        <v>46305</v>
      </c>
      <c r="B8" s="33" t="n">
        <f aca="false">A8-Rencana_Dalops!$A$3+1</f>
        <v>6</v>
      </c>
      <c r="C8" s="33" t="n">
        <f aca="false">IF(A8&lt;=Asumsi!$C$6,1,0)</f>
        <v>1</v>
      </c>
      <c r="D8" s="34" t="n">
        <f aca="false">(Rencana_Dalops!B8*Asumsi!$C$10+Rencana_Dalops!C8*Asumsi!$C$11+Rencana_Dalops!D8*Asumsi!$C$12+Rencana_Dalops!E8*Asumsi!$C$13+Rencana_Dalops!F8*Asumsi!$C$14)*Asumsi!$C$5</f>
        <v>5000</v>
      </c>
      <c r="E8" s="35" t="n">
        <f aca="false">Rencana_Dalops!G8</f>
        <v>5000</v>
      </c>
      <c r="F8" s="34" t="n">
        <f aca="false">Rencana_Dalops!H8*Asumsi!$C$17*(1-Rencana_Dalops!I8)+Rencana_Dalops!J8*Asumsi!$C$18+Rencana_Dalops!K8*Asumsi!$C$19</f>
        <v>1750.1856927017</v>
      </c>
      <c r="G8" s="34" t="n">
        <f aca="false">Rencana_Dalops!L8*Asumsi!$C$25+Rencana_Dalops!M8*IF(E8&gt;0,D8/E8,0)</f>
        <v>1244.2305555556</v>
      </c>
      <c r="H8" s="21" t="n">
        <f aca="false">H7+F8-G8</f>
        <v>29704.1995416343</v>
      </c>
      <c r="I8" s="34" t="n">
        <f aca="false">IF(B8-Asumsi!$C$21&gt;=1,INDEX(Rencana_Dalops!$N$3:$N$90,B8-Asumsi!$C$21),0)*Asumsi!$C$20</f>
        <v>5000</v>
      </c>
      <c r="J8" s="34" t="n">
        <f aca="false">Rencana_Dalops!O8+Rencana_Dalops!P8*IF(E8&gt;0,D8/E8,0)</f>
        <v>1362.8</v>
      </c>
      <c r="K8" s="21" t="n">
        <f aca="false">K7+I8-J8</f>
        <v>79911.0196</v>
      </c>
      <c r="L8" s="34" t="n">
        <f aca="false">Rencana_Dalops!Q8*Asumsi!$C$22+Rencana_Dalops!R8*Asumsi!$C$23</f>
        <v>4786.5</v>
      </c>
      <c r="M8" s="34" t="n">
        <f aca="false">Rencana_Dalops!S8*Asumsi!$C$24+Rencana_Dalops!T8*IF(E8&gt;0,D8/E8,0)</f>
        <v>3180.2466666667</v>
      </c>
      <c r="N8" s="21" t="n">
        <f aca="false">N7+L8-M8</f>
        <v>13009.3039999998</v>
      </c>
      <c r="O8" s="21" t="n">
        <f aca="false">O7+Rencana_Dalops!M8*IF(Asumsi!$C$5&gt;0,IF(E8&gt;0,D8/E8,0)/Asumsi!$C$5,0)</f>
        <v>8686.665</v>
      </c>
      <c r="P8" s="21" t="n">
        <f aca="false">H8+O8*Asumsi!$C$5</f>
        <v>38390.8645416343</v>
      </c>
      <c r="Q8" s="21" t="n">
        <f aca="false">Q7+Rencana_Dalops!P8*IF(Asumsi!$C$5&gt;0,IF(E8&gt;0,D8/E8,0)/Asumsi!$C$5,0)</f>
        <v>9906.6</v>
      </c>
      <c r="R8" s="21" t="n">
        <f aca="false">K8+Q8*Asumsi!$C$5</f>
        <v>89817.6196</v>
      </c>
      <c r="S8" s="21" t="n">
        <f aca="false">S7+Rencana_Dalops!T8*IF(Asumsi!$C$5&gt;0,IF(E8&gt;0,D8/E8,0)/Asumsi!$C$5,0)</f>
        <v>4349.826</v>
      </c>
      <c r="T8" s="21" t="n">
        <f aca="false">N8+S8*Asumsi!$C$5</f>
        <v>17359.1299999998</v>
      </c>
      <c r="U8" s="22" t="n">
        <f aca="false">IF(OR(C8=0,O8&lt;=0),"",P8/O8)</f>
        <v>4.41951710370255</v>
      </c>
      <c r="V8" s="22" t="n">
        <f aca="false">IF(OR(C8=0,Q8&lt;=0),"",R8/Q8)</f>
        <v>9.06644253326066</v>
      </c>
      <c r="W8" s="22" t="n">
        <f aca="false">IF(OR(C8=0,S8&lt;=0),"",T8/S8)</f>
        <v>3.99076422827023</v>
      </c>
      <c r="X8" s="23" t="str">
        <f aca="false">IF(AND(C8=1,H8&lt;0),A8,"")</f>
        <v/>
      </c>
      <c r="Y8" s="23" t="str">
        <f aca="false">IF(AND(C8=1,K8&lt;0),A8,"")</f>
        <v/>
      </c>
      <c r="Z8" s="23" t="str">
        <f aca="false">IF(AND(C8=1,N8&lt;0),A8,"")</f>
        <v/>
      </c>
      <c r="AA8" s="21" t="n">
        <f aca="false">IF(C8=0,"",MIN(H8+Asumsi!$C$31-Asumsi!$C$34,K8+Asumsi!$C$32-Asumsi!$C$35,N8+Asumsi!$C$33-Asumsi!$C$36))</f>
        <v>9009.3039999998</v>
      </c>
      <c r="AB8" s="21" t="n">
        <f aca="false">IF(C8=1,H8,"")</f>
        <v>29704.1995416343</v>
      </c>
      <c r="AC8" s="21" t="n">
        <f aca="false">IF(C8=1,K8,"")</f>
        <v>79911.0196</v>
      </c>
      <c r="AD8" s="21" t="n">
        <f aca="false">IF(C8=1,N8,"")</f>
        <v>13009.3039999998</v>
      </c>
    </row>
    <row r="9" customFormat="false" ht="15" hidden="false" customHeight="false" outlineLevel="0" collapsed="false">
      <c r="A9" s="32" t="n">
        <f aca="false">Rencana_Dalops!A9</f>
        <v>46306</v>
      </c>
      <c r="B9" s="33" t="n">
        <f aca="false">A9-Rencana_Dalops!$A$3+1</f>
        <v>7</v>
      </c>
      <c r="C9" s="33" t="n">
        <f aca="false">IF(A9&lt;=Asumsi!$C$6,1,0)</f>
        <v>1</v>
      </c>
      <c r="D9" s="34" t="n">
        <f aca="false">(Rencana_Dalops!B9*Asumsi!$C$10+Rencana_Dalops!C9*Asumsi!$C$11+Rencana_Dalops!D9*Asumsi!$C$12+Rencana_Dalops!E9*Asumsi!$C$13+Rencana_Dalops!F9*Asumsi!$C$14)*Asumsi!$C$5</f>
        <v>5000</v>
      </c>
      <c r="E9" s="35" t="n">
        <f aca="false">Rencana_Dalops!G9</f>
        <v>5000</v>
      </c>
      <c r="F9" s="34" t="n">
        <f aca="false">Rencana_Dalops!H9*Asumsi!$C$17*(1-Rencana_Dalops!I9)+Rencana_Dalops!J9*Asumsi!$C$18+Rencana_Dalops!K9*Asumsi!$C$19</f>
        <v>1750.1856927017</v>
      </c>
      <c r="G9" s="34" t="n">
        <f aca="false">Rencana_Dalops!L9*Asumsi!$C$25+Rencana_Dalops!M9*IF(E9&gt;0,D9/E9,0)</f>
        <v>1244.2305555556</v>
      </c>
      <c r="H9" s="21" t="n">
        <f aca="false">H8+F9-G9</f>
        <v>30210.1546787804</v>
      </c>
      <c r="I9" s="34" t="n">
        <f aca="false">IF(B9-Asumsi!$C$21&gt;=1,INDEX(Rencana_Dalops!$N$3:$N$90,B9-Asumsi!$C$21),0)*Asumsi!$C$20</f>
        <v>5000</v>
      </c>
      <c r="J9" s="34" t="n">
        <f aca="false">Rencana_Dalops!O9+Rencana_Dalops!P9*IF(E9&gt;0,D9/E9,0)</f>
        <v>1258.3</v>
      </c>
      <c r="K9" s="21" t="n">
        <f aca="false">K8+I9-J9</f>
        <v>83652.7196</v>
      </c>
      <c r="L9" s="34" t="n">
        <f aca="false">Rencana_Dalops!Q9*Asumsi!$C$22+Rencana_Dalops!R9*Asumsi!$C$23</f>
        <v>3786.5</v>
      </c>
      <c r="M9" s="34" t="n">
        <f aca="false">Rencana_Dalops!S9*Asumsi!$C$24+Rencana_Dalops!T9*IF(E9&gt;0,D9/E9,0)</f>
        <v>3180.2466666667</v>
      </c>
      <c r="N9" s="21" t="n">
        <f aca="false">N8+L9-M9</f>
        <v>13615.5573333331</v>
      </c>
      <c r="O9" s="21" t="n">
        <f aca="false">O8+Rencana_Dalops!M9*IF(Asumsi!$C$5&gt;0,IF(E9&gt;0,D9/E9,0)/Asumsi!$C$5,0)</f>
        <v>9800.34</v>
      </c>
      <c r="P9" s="21" t="n">
        <f aca="false">H9+O9*Asumsi!$C$5</f>
        <v>40010.4946787804</v>
      </c>
      <c r="Q9" s="21" t="n">
        <f aca="false">Q8+Rencana_Dalops!P9*IF(Asumsi!$C$5&gt;0,IF(E9&gt;0,D9/E9,0)/Asumsi!$C$5,0)</f>
        <v>11139.7</v>
      </c>
      <c r="R9" s="21" t="n">
        <f aca="false">K9+Q9*Asumsi!$C$5</f>
        <v>94792.4196</v>
      </c>
      <c r="S9" s="21" t="n">
        <f aca="false">S8+Rencana_Dalops!T9*IF(Asumsi!$C$5&gt;0,IF(E9&gt;0,D9/E9,0)/Asumsi!$C$5,0)</f>
        <v>4907.496</v>
      </c>
      <c r="T9" s="21" t="n">
        <f aca="false">N9+S9*Asumsi!$C$5</f>
        <v>18523.0533333331</v>
      </c>
      <c r="U9" s="22" t="n">
        <f aca="false">IF(OR(C9=0,O9&lt;=0),"",P9/O9)</f>
        <v>4.08256189874845</v>
      </c>
      <c r="V9" s="22" t="n">
        <f aca="false">IF(OR(C9=0,Q9&lt;=0),"",R9/Q9)</f>
        <v>8.50942301857321</v>
      </c>
      <c r="W9" s="22" t="n">
        <f aca="false">IF(OR(C9=0,S9&lt;=0),"",T9/S9)</f>
        <v>3.77444084179245</v>
      </c>
      <c r="X9" s="23" t="str">
        <f aca="false">IF(AND(C9=1,H9&lt;0),A9,"")</f>
        <v/>
      </c>
      <c r="Y9" s="23" t="str">
        <f aca="false">IF(AND(C9=1,K9&lt;0),A9,"")</f>
        <v/>
      </c>
      <c r="Z9" s="23" t="str">
        <f aca="false">IF(AND(C9=1,N9&lt;0),A9,"")</f>
        <v/>
      </c>
      <c r="AA9" s="21" t="n">
        <f aca="false">IF(C9=0,"",MIN(H9+Asumsi!$C$31-Asumsi!$C$34,K9+Asumsi!$C$32-Asumsi!$C$35,N9+Asumsi!$C$33-Asumsi!$C$36))</f>
        <v>9615.5573333331</v>
      </c>
      <c r="AB9" s="21" t="n">
        <f aca="false">IF(C9=1,H9,"")</f>
        <v>30210.1546787804</v>
      </c>
      <c r="AC9" s="21" t="n">
        <f aca="false">IF(C9=1,K9,"")</f>
        <v>83652.7196</v>
      </c>
      <c r="AD9" s="21" t="n">
        <f aca="false">IF(C9=1,N9,"")</f>
        <v>13615.5573333331</v>
      </c>
    </row>
    <row r="10" customFormat="false" ht="15" hidden="false" customHeight="false" outlineLevel="0" collapsed="false">
      <c r="A10" s="32" t="n">
        <f aca="false">Rencana_Dalops!A10</f>
        <v>46307</v>
      </c>
      <c r="B10" s="33" t="n">
        <f aca="false">A10-Rencana_Dalops!$A$3+1</f>
        <v>8</v>
      </c>
      <c r="C10" s="33" t="n">
        <f aca="false">IF(A10&lt;=Asumsi!$C$6,1,0)</f>
        <v>1</v>
      </c>
      <c r="D10" s="34" t="n">
        <f aca="false">(Rencana_Dalops!B10*Asumsi!$C$10+Rencana_Dalops!C10*Asumsi!$C$11+Rencana_Dalops!D10*Asumsi!$C$12+Rencana_Dalops!E10*Asumsi!$C$13+Rencana_Dalops!F10*Asumsi!$C$14)*Asumsi!$C$5</f>
        <v>6800</v>
      </c>
      <c r="E10" s="35" t="n">
        <f aca="false">Rencana_Dalops!G10</f>
        <v>6800</v>
      </c>
      <c r="F10" s="34" t="n">
        <f aca="false">Rencana_Dalops!H10*Asumsi!$C$17*(1-Rencana_Dalops!I10)+Rencana_Dalops!J10*Asumsi!$C$18+Rencana_Dalops!K10*Asumsi!$C$19</f>
        <v>1750.1856927017</v>
      </c>
      <c r="G10" s="34" t="n">
        <f aca="false">Rencana_Dalops!L10*Asumsi!$C$25+Rencana_Dalops!M10*IF(E10&gt;0,D10/E10,0)</f>
        <v>1570.1535555556</v>
      </c>
      <c r="H10" s="21" t="n">
        <f aca="false">H9+F10-G10</f>
        <v>30390.1868159265</v>
      </c>
      <c r="I10" s="34" t="n">
        <f aca="false">IF(B10-Asumsi!$C$21&gt;=1,INDEX(Rencana_Dalops!$N$3:$N$90,B10-Asumsi!$C$21),0)*Asumsi!$C$20</f>
        <v>7500</v>
      </c>
      <c r="J10" s="34" t="n">
        <f aca="false">Rencana_Dalops!O10+Rencana_Dalops!P10*IF(E10&gt;0,D10/E10,0)</f>
        <v>1705.325</v>
      </c>
      <c r="K10" s="21" t="n">
        <f aca="false">K9+I10-J10</f>
        <v>89447.3946</v>
      </c>
      <c r="L10" s="34" t="n">
        <f aca="false">Rencana_Dalops!Q10*Asumsi!$C$22+Rencana_Dalops!R10*Asumsi!$C$23</f>
        <v>3986.5</v>
      </c>
      <c r="M10" s="34" t="n">
        <f aca="false">Rencana_Dalops!S10*Asumsi!$C$24+Rencana_Dalops!T10*IF(E10&gt;0,D10/E10,0)</f>
        <v>3381.0078666667</v>
      </c>
      <c r="N10" s="21" t="n">
        <f aca="false">N9+L10-M10</f>
        <v>14221.0494666664</v>
      </c>
      <c r="O10" s="21" t="n">
        <f aca="false">O9+Rencana_Dalops!M10*IF(Asumsi!$C$5&gt;0,IF(E10&gt;0,D10/E10,0)/Asumsi!$C$5,0)</f>
        <v>11314.938</v>
      </c>
      <c r="P10" s="21" t="n">
        <f aca="false">H10+O10*Asumsi!$C$5</f>
        <v>41705.1248159265</v>
      </c>
      <c r="Q10" s="21" t="n">
        <f aca="false">Q9+Rencana_Dalops!P10*IF(Asumsi!$C$5&gt;0,IF(E10&gt;0,D10/E10,0)/Asumsi!$C$5,0)</f>
        <v>12819.825</v>
      </c>
      <c r="R10" s="21" t="n">
        <f aca="false">K10+Q10*Asumsi!$C$5</f>
        <v>102267.2196</v>
      </c>
      <c r="S10" s="21" t="n">
        <f aca="false">S9+Rencana_Dalops!T10*IF(Asumsi!$C$5&gt;0,IF(E10&gt;0,D10/E10,0)/Asumsi!$C$5,0)</f>
        <v>5665.9272</v>
      </c>
      <c r="T10" s="21" t="n">
        <f aca="false">N10+S10*Asumsi!$C$5</f>
        <v>19886.9766666664</v>
      </c>
      <c r="U10" s="22" t="n">
        <f aca="false">IF(OR(C10=0,O10&lt;=0),"",P10/O10)</f>
        <v>3.68584651687234</v>
      </c>
      <c r="V10" s="22" t="n">
        <f aca="false">IF(OR(C10=0,Q10&lt;=0),"",R10/Q10)</f>
        <v>7.97727110939502</v>
      </c>
      <c r="W10" s="22" t="n">
        <f aca="false">IF(OR(C10=0,S10&lt;=0),"",T10/S10)</f>
        <v>3.50992449508818</v>
      </c>
      <c r="X10" s="23" t="str">
        <f aca="false">IF(AND(C10=1,H10&lt;0),A10,"")</f>
        <v/>
      </c>
      <c r="Y10" s="23" t="str">
        <f aca="false">IF(AND(C10=1,K10&lt;0),A10,"")</f>
        <v/>
      </c>
      <c r="Z10" s="23" t="str">
        <f aca="false">IF(AND(C10=1,N10&lt;0),A10,"")</f>
        <v/>
      </c>
      <c r="AA10" s="21" t="n">
        <f aca="false">IF(C10=0,"",MIN(H10+Asumsi!$C$31-Asumsi!$C$34,K10+Asumsi!$C$32-Asumsi!$C$35,N10+Asumsi!$C$33-Asumsi!$C$36))</f>
        <v>10221.0494666664</v>
      </c>
      <c r="AB10" s="21" t="n">
        <f aca="false">IF(C10=1,H10,"")</f>
        <v>30390.1868159265</v>
      </c>
      <c r="AC10" s="21" t="n">
        <f aca="false">IF(C10=1,K10,"")</f>
        <v>89447.3946</v>
      </c>
      <c r="AD10" s="21" t="n">
        <f aca="false">IF(C10=1,N10,"")</f>
        <v>14221.0494666664</v>
      </c>
    </row>
    <row r="11" customFormat="false" ht="15" hidden="false" customHeight="false" outlineLevel="0" collapsed="false">
      <c r="A11" s="32" t="n">
        <f aca="false">Rencana_Dalops!A11</f>
        <v>46308</v>
      </c>
      <c r="B11" s="33" t="n">
        <f aca="false">A11-Rencana_Dalops!$A$3+1</f>
        <v>9</v>
      </c>
      <c r="C11" s="33" t="n">
        <f aca="false">IF(A11&lt;=Asumsi!$C$6,1,0)</f>
        <v>1</v>
      </c>
      <c r="D11" s="34" t="n">
        <f aca="false">(Rencana_Dalops!B11*Asumsi!$C$10+Rencana_Dalops!C11*Asumsi!$C$11+Rencana_Dalops!D11*Asumsi!$C$12+Rencana_Dalops!E11*Asumsi!$C$13+Rencana_Dalops!F11*Asumsi!$C$14)*Asumsi!$C$5</f>
        <v>5400</v>
      </c>
      <c r="E11" s="35" t="n">
        <f aca="false">Rencana_Dalops!G11</f>
        <v>5400</v>
      </c>
      <c r="F11" s="34" t="n">
        <f aca="false">Rencana_Dalops!H11*Asumsi!$C$17*(1-Rencana_Dalops!I11)+Rencana_Dalops!J11*Asumsi!$C$18+Rencana_Dalops!K11*Asumsi!$C$19</f>
        <v>1750.1856927017</v>
      </c>
      <c r="G11" s="34" t="n">
        <f aca="false">Rencana_Dalops!L11*Asumsi!$C$25+Rencana_Dalops!M11*IF(E11&gt;0,D11/E11,0)</f>
        <v>1258.3245555556</v>
      </c>
      <c r="H11" s="21" t="n">
        <f aca="false">H10+F11-G11</f>
        <v>30882.0479530726</v>
      </c>
      <c r="I11" s="34" t="n">
        <f aca="false">IF(B11-Asumsi!$C$21&gt;=1,INDEX(Rencana_Dalops!$N$3:$N$90,B11-Asumsi!$C$21),0)*Asumsi!$C$20</f>
        <v>0</v>
      </c>
      <c r="J11" s="34" t="n">
        <f aca="false">Rencana_Dalops!O11+Rencana_Dalops!P11*IF(E11&gt;0,D11/E11,0)</f>
        <v>1517.225</v>
      </c>
      <c r="K11" s="21" t="n">
        <f aca="false">K10+I11-J11</f>
        <v>87930.1696</v>
      </c>
      <c r="L11" s="34" t="n">
        <f aca="false">Rencana_Dalops!Q11*Asumsi!$C$22+Rencana_Dalops!R11*Asumsi!$C$23</f>
        <v>2786.5</v>
      </c>
      <c r="M11" s="34" t="n">
        <f aca="false">Rencana_Dalops!S11*Asumsi!$C$24+Rencana_Dalops!T11*IF(E11&gt;0,D11/E11,0)</f>
        <v>3224.8602666667</v>
      </c>
      <c r="N11" s="21" t="n">
        <f aca="false">N10+L11-M11</f>
        <v>13782.6891999997</v>
      </c>
      <c r="O11" s="21" t="n">
        <f aca="false">O10+Rencana_Dalops!M11*IF(Asumsi!$C$5&gt;0,IF(E11&gt;0,D11/E11,0)/Asumsi!$C$5,0)</f>
        <v>12517.707</v>
      </c>
      <c r="P11" s="21" t="n">
        <f aca="false">H11+O11*Asumsi!$C$5</f>
        <v>43399.7549530726</v>
      </c>
      <c r="Q11" s="21" t="n">
        <f aca="false">Q10+Rencana_Dalops!P11*IF(Asumsi!$C$5&gt;0,IF(E11&gt;0,D11/E11,0)/Asumsi!$C$5,0)</f>
        <v>14311.85</v>
      </c>
      <c r="R11" s="21" t="n">
        <f aca="false">K11+Q11*Asumsi!$C$5</f>
        <v>102242.0196</v>
      </c>
      <c r="S11" s="21" t="n">
        <f aca="false">S10+Rencana_Dalops!T11*IF(Asumsi!$C$5&gt;0,IF(E11&gt;0,D11/E11,0)/Asumsi!$C$5,0)</f>
        <v>6268.2108</v>
      </c>
      <c r="T11" s="21" t="n">
        <f aca="false">N11+S11*Asumsi!$C$5</f>
        <v>20050.8999999997</v>
      </c>
      <c r="U11" s="22" t="n">
        <f aca="false">IF(OR(C11=0,O11&lt;=0),"",P11/O11)</f>
        <v>3.46706908486296</v>
      </c>
      <c r="V11" s="22" t="n">
        <f aca="false">IF(OR(C11=0,Q11&lt;=0),"",R11/Q11)</f>
        <v>7.14387165880023</v>
      </c>
      <c r="W11" s="22" t="n">
        <f aca="false">IF(OR(C11=0,S11&lt;=0),"",T11/S11)</f>
        <v>3.19882349840559</v>
      </c>
      <c r="X11" s="23" t="str">
        <f aca="false">IF(AND(C11=1,H11&lt;0),A11,"")</f>
        <v/>
      </c>
      <c r="Y11" s="23" t="str">
        <f aca="false">IF(AND(C11=1,K11&lt;0),A11,"")</f>
        <v/>
      </c>
      <c r="Z11" s="23" t="str">
        <f aca="false">IF(AND(C11=1,N11&lt;0),A11,"")</f>
        <v/>
      </c>
      <c r="AA11" s="21" t="n">
        <f aca="false">IF(C11=0,"",MIN(H11+Asumsi!$C$31-Asumsi!$C$34,K11+Asumsi!$C$32-Asumsi!$C$35,N11+Asumsi!$C$33-Asumsi!$C$36))</f>
        <v>9782.6891999997</v>
      </c>
      <c r="AB11" s="21" t="n">
        <f aca="false">IF(C11=1,H11,"")</f>
        <v>30882.0479530726</v>
      </c>
      <c r="AC11" s="21" t="n">
        <f aca="false">IF(C11=1,K11,"")</f>
        <v>87930.1696</v>
      </c>
      <c r="AD11" s="21" t="n">
        <f aca="false">IF(C11=1,N11,"")</f>
        <v>13782.6891999997</v>
      </c>
    </row>
    <row r="12" customFormat="false" ht="15" hidden="false" customHeight="false" outlineLevel="0" collapsed="false">
      <c r="A12" s="32" t="n">
        <f aca="false">Rencana_Dalops!A12</f>
        <v>46309</v>
      </c>
      <c r="B12" s="33" t="n">
        <f aca="false">A12-Rencana_Dalops!$A$3+1</f>
        <v>10</v>
      </c>
      <c r="C12" s="33" t="n">
        <f aca="false">IF(A12&lt;=Asumsi!$C$6,1,0)</f>
        <v>1</v>
      </c>
      <c r="D12" s="34" t="n">
        <f aca="false">(Rencana_Dalops!B12*Asumsi!$C$10+Rencana_Dalops!C12*Asumsi!$C$11+Rencana_Dalops!D12*Asumsi!$C$12+Rencana_Dalops!E12*Asumsi!$C$13+Rencana_Dalops!F12*Asumsi!$C$14)*Asumsi!$C$5</f>
        <v>5000</v>
      </c>
      <c r="E12" s="35" t="n">
        <f aca="false">Rencana_Dalops!G12</f>
        <v>5000</v>
      </c>
      <c r="F12" s="34" t="n">
        <f aca="false">Rencana_Dalops!H12*Asumsi!$C$17*(1-Rencana_Dalops!I12)+Rencana_Dalops!J12*Asumsi!$C$18+Rencana_Dalops!K12*Asumsi!$C$19</f>
        <v>1750.1856927017</v>
      </c>
      <c r="G12" s="34" t="n">
        <f aca="false">Rencana_Dalops!L12*Asumsi!$C$25+Rencana_Dalops!M12*IF(E12&gt;0,D12/E12,0)</f>
        <v>1169.2305555556</v>
      </c>
      <c r="H12" s="21" t="n">
        <f aca="false">H11+F12-G12</f>
        <v>31463.0030902187</v>
      </c>
      <c r="I12" s="34" t="n">
        <f aca="false">IF(B12-Asumsi!$C$21&gt;=1,INDEX(Rencana_Dalops!$N$3:$N$90,B12-Asumsi!$C$21),0)*Asumsi!$C$20</f>
        <v>5000</v>
      </c>
      <c r="J12" s="34" t="n">
        <f aca="false">Rencana_Dalops!O12+Rencana_Dalops!P12*IF(E12&gt;0,D12/E12,0)</f>
        <v>1350.025</v>
      </c>
      <c r="K12" s="21" t="n">
        <f aca="false">K11+I12-J12</f>
        <v>91580.1446</v>
      </c>
      <c r="L12" s="34" t="n">
        <f aca="false">Rencana_Dalops!Q12*Asumsi!$C$22+Rencana_Dalops!R12*Asumsi!$C$23</f>
        <v>2786.5</v>
      </c>
      <c r="M12" s="34" t="n">
        <f aca="false">Rencana_Dalops!S12*Asumsi!$C$24+Rencana_Dalops!T12*IF(E12&gt;0,D12/E12,0)</f>
        <v>3180.2466666667</v>
      </c>
      <c r="N12" s="21" t="n">
        <f aca="false">N11+L12-M12</f>
        <v>13388.942533333</v>
      </c>
      <c r="O12" s="21" t="n">
        <f aca="false">O11+Rencana_Dalops!M12*IF(Asumsi!$C$5&gt;0,IF(E12&gt;0,D12/E12,0)/Asumsi!$C$5,0)</f>
        <v>13631.382</v>
      </c>
      <c r="P12" s="21" t="n">
        <f aca="false">H12+O12*Asumsi!$C$5</f>
        <v>45094.3850902187</v>
      </c>
      <c r="Q12" s="21" t="n">
        <f aca="false">Q11+Rencana_Dalops!P12*IF(Asumsi!$C$5&gt;0,IF(E12&gt;0,D12/E12,0)/Asumsi!$C$5,0)</f>
        <v>15636.675</v>
      </c>
      <c r="R12" s="21" t="n">
        <f aca="false">K12+Q12*Asumsi!$C$5</f>
        <v>107216.8196</v>
      </c>
      <c r="S12" s="21" t="n">
        <f aca="false">S11+Rencana_Dalops!T12*IF(Asumsi!$C$5&gt;0,IF(E12&gt;0,D12/E12,0)/Asumsi!$C$5,0)</f>
        <v>6825.8808</v>
      </c>
      <c r="T12" s="21" t="n">
        <f aca="false">N12+S12*Asumsi!$C$5</f>
        <v>20214.823333333</v>
      </c>
      <c r="U12" s="22" t="n">
        <f aca="false">IF(OR(C12=0,O12&lt;=0),"",P12/O12)</f>
        <v>3.30813009937061</v>
      </c>
      <c r="V12" s="22" t="n">
        <f aca="false">IF(OR(C12=0,Q12&lt;=0),"",R12/Q12)</f>
        <v>6.85675308849228</v>
      </c>
      <c r="W12" s="22" t="n">
        <f aca="false">IF(OR(C12=0,S12&lt;=0),"",T12/S12)</f>
        <v>2.9614966808874</v>
      </c>
      <c r="X12" s="23" t="str">
        <f aca="false">IF(AND(C12=1,H12&lt;0),A12,"")</f>
        <v/>
      </c>
      <c r="Y12" s="23" t="str">
        <f aca="false">IF(AND(C12=1,K12&lt;0),A12,"")</f>
        <v/>
      </c>
      <c r="Z12" s="23" t="str">
        <f aca="false">IF(AND(C12=1,N12&lt;0),A12,"")</f>
        <v/>
      </c>
      <c r="AA12" s="21" t="n">
        <f aca="false">IF(C12=0,"",MIN(H12+Asumsi!$C$31-Asumsi!$C$34,K12+Asumsi!$C$32-Asumsi!$C$35,N12+Asumsi!$C$33-Asumsi!$C$36))</f>
        <v>9388.942533333</v>
      </c>
      <c r="AB12" s="21" t="n">
        <f aca="false">IF(C12=1,H12,"")</f>
        <v>31463.0030902187</v>
      </c>
      <c r="AC12" s="21" t="n">
        <f aca="false">IF(C12=1,K12,"")</f>
        <v>91580.1446</v>
      </c>
      <c r="AD12" s="21" t="n">
        <f aca="false">IF(C12=1,N12,"")</f>
        <v>13388.942533333</v>
      </c>
    </row>
    <row r="13" customFormat="false" ht="15" hidden="false" customHeight="false" outlineLevel="0" collapsed="false">
      <c r="A13" s="32" t="n">
        <f aca="false">Rencana_Dalops!A13</f>
        <v>46310</v>
      </c>
      <c r="B13" s="33" t="n">
        <f aca="false">A13-Rencana_Dalops!$A$3+1</f>
        <v>11</v>
      </c>
      <c r="C13" s="33" t="n">
        <f aca="false">IF(A13&lt;=Asumsi!$C$6,1,0)</f>
        <v>1</v>
      </c>
      <c r="D13" s="34" t="n">
        <f aca="false">(Rencana_Dalops!B13*Asumsi!$C$10+Rencana_Dalops!C13*Asumsi!$C$11+Rencana_Dalops!D13*Asumsi!$C$12+Rencana_Dalops!E13*Asumsi!$C$13+Rencana_Dalops!F13*Asumsi!$C$14)*Asumsi!$C$5</f>
        <v>6800</v>
      </c>
      <c r="E13" s="35" t="n">
        <f aca="false">Rencana_Dalops!G13</f>
        <v>6800</v>
      </c>
      <c r="F13" s="34" t="n">
        <f aca="false">Rencana_Dalops!H13*Asumsi!$C$17*(1-Rencana_Dalops!I13)+Rencana_Dalops!J13*Asumsi!$C$18+Rencana_Dalops!K13*Asumsi!$C$19</f>
        <v>6750.1856927017</v>
      </c>
      <c r="G13" s="34" t="n">
        <f aca="false">Rencana_Dalops!L13*Asumsi!$C$25+Rencana_Dalops!M13*IF(E13&gt;0,D13/E13,0)</f>
        <v>1570.1535555556</v>
      </c>
      <c r="H13" s="21" t="n">
        <f aca="false">H12+F13-G13</f>
        <v>36643.0352273648</v>
      </c>
      <c r="I13" s="34" t="n">
        <f aca="false">IF(B13-Asumsi!$C$21&gt;=1,INDEX(Rencana_Dalops!$N$3:$N$90,B13-Asumsi!$C$21),0)*Asumsi!$C$20</f>
        <v>5000</v>
      </c>
      <c r="J13" s="34" t="n">
        <f aca="false">Rencana_Dalops!O13+Rencana_Dalops!P13*IF(E13&gt;0,D13/E13,0)</f>
        <v>1809.825</v>
      </c>
      <c r="K13" s="21" t="n">
        <f aca="false">K12+I13-J13</f>
        <v>94770.3196</v>
      </c>
      <c r="L13" s="34" t="n">
        <f aca="false">Rencana_Dalops!Q13*Asumsi!$C$22+Rencana_Dalops!R13*Asumsi!$C$23</f>
        <v>2786.5</v>
      </c>
      <c r="M13" s="34" t="n">
        <f aca="false">Rencana_Dalops!S13*Asumsi!$C$24+Rencana_Dalops!T13*IF(E13&gt;0,D13/E13,0)</f>
        <v>3381.0078666667</v>
      </c>
      <c r="N13" s="21" t="n">
        <f aca="false">N12+L13-M13</f>
        <v>12794.4346666663</v>
      </c>
      <c r="O13" s="21" t="n">
        <f aca="false">O12+Rencana_Dalops!M13*IF(Asumsi!$C$5&gt;0,IF(E13&gt;0,D13/E13,0)/Asumsi!$C$5,0)</f>
        <v>15145.98</v>
      </c>
      <c r="P13" s="21" t="n">
        <f aca="false">H13+O13*Asumsi!$C$5</f>
        <v>51789.0152273648</v>
      </c>
      <c r="Q13" s="21" t="n">
        <f aca="false">Q12+Rencana_Dalops!P13*IF(Asumsi!$C$5&gt;0,IF(E13&gt;0,D13/E13,0)/Asumsi!$C$5,0)</f>
        <v>17421.3</v>
      </c>
      <c r="R13" s="21" t="n">
        <f aca="false">K13+Q13*Asumsi!$C$5</f>
        <v>112191.6196</v>
      </c>
      <c r="S13" s="21" t="n">
        <f aca="false">S12+Rencana_Dalops!T13*IF(Asumsi!$C$5&gt;0,IF(E13&gt;0,D13/E13,0)/Asumsi!$C$5,0)</f>
        <v>7584.312</v>
      </c>
      <c r="T13" s="21" t="n">
        <f aca="false">N13+S13*Asumsi!$C$5</f>
        <v>20378.7466666663</v>
      </c>
      <c r="U13" s="22" t="n">
        <f aca="false">IF(OR(C13=0,O13&lt;=0),"",P13/O13)</f>
        <v>3.41932415250547</v>
      </c>
      <c r="V13" s="22" t="n">
        <f aca="false">IF(OR(C13=0,Q13&lt;=0),"",R13/Q13)</f>
        <v>6.43991089069128</v>
      </c>
      <c r="W13" s="22" t="n">
        <f aca="false">IF(OR(C13=0,S13&lt;=0),"",T13/S13)</f>
        <v>2.68696048720916</v>
      </c>
      <c r="X13" s="23" t="str">
        <f aca="false">IF(AND(C13=1,H13&lt;0),A13,"")</f>
        <v/>
      </c>
      <c r="Y13" s="23" t="str">
        <f aca="false">IF(AND(C13=1,K13&lt;0),A13,"")</f>
        <v/>
      </c>
      <c r="Z13" s="23" t="str">
        <f aca="false">IF(AND(C13=1,N13&lt;0),A13,"")</f>
        <v/>
      </c>
      <c r="AA13" s="21" t="n">
        <f aca="false">IF(C13=0,"",MIN(H13+Asumsi!$C$31-Asumsi!$C$34,K13+Asumsi!$C$32-Asumsi!$C$35,N13+Asumsi!$C$33-Asumsi!$C$36))</f>
        <v>8794.4346666663</v>
      </c>
      <c r="AB13" s="21" t="n">
        <f aca="false">IF(C13=1,H13,"")</f>
        <v>36643.0352273648</v>
      </c>
      <c r="AC13" s="21" t="n">
        <f aca="false">IF(C13=1,K13,"")</f>
        <v>94770.3196</v>
      </c>
      <c r="AD13" s="21" t="n">
        <f aca="false">IF(C13=1,N13,"")</f>
        <v>12794.4346666663</v>
      </c>
    </row>
    <row r="14" customFormat="false" ht="15" hidden="false" customHeight="false" outlineLevel="0" collapsed="false">
      <c r="A14" s="32" t="n">
        <f aca="false">Rencana_Dalops!A14</f>
        <v>46311</v>
      </c>
      <c r="B14" s="33" t="n">
        <f aca="false">A14-Rencana_Dalops!$A$3+1</f>
        <v>12</v>
      </c>
      <c r="C14" s="33" t="n">
        <f aca="false">IF(A14&lt;=Asumsi!$C$6,1,0)</f>
        <v>1</v>
      </c>
      <c r="D14" s="34" t="n">
        <f aca="false">(Rencana_Dalops!B14*Asumsi!$C$10+Rencana_Dalops!C14*Asumsi!$C$11+Rencana_Dalops!D14*Asumsi!$C$12+Rencana_Dalops!E14*Asumsi!$C$13+Rencana_Dalops!F14*Asumsi!$C$14)*Asumsi!$C$5</f>
        <v>6800</v>
      </c>
      <c r="E14" s="35" t="n">
        <f aca="false">Rencana_Dalops!G14</f>
        <v>6800</v>
      </c>
      <c r="F14" s="34" t="n">
        <f aca="false">Rencana_Dalops!H14*Asumsi!$C$17*(1-Rencana_Dalops!I14)+Rencana_Dalops!J14*Asumsi!$C$18+Rencana_Dalops!K14*Asumsi!$C$19</f>
        <v>6226.8882016461</v>
      </c>
      <c r="G14" s="34" t="n">
        <f aca="false">Rencana_Dalops!L14*Asumsi!$C$25+Rencana_Dalops!M14*IF(E14&gt;0,D14/E14,0)</f>
        <v>1570.1535555556</v>
      </c>
      <c r="H14" s="21" t="n">
        <f aca="false">H13+F14-G14</f>
        <v>41299.7698734553</v>
      </c>
      <c r="I14" s="34" t="n">
        <f aca="false">IF(B14-Asumsi!$C$21&gt;=1,INDEX(Rencana_Dalops!$N$3:$N$90,B14-Asumsi!$C$21),0)*Asumsi!$C$20</f>
        <v>5000</v>
      </c>
      <c r="J14" s="34" t="n">
        <f aca="false">Rencana_Dalops!O14+Rencana_Dalops!P14*IF(E14&gt;0,D14/E14,0)</f>
        <v>1809.825</v>
      </c>
      <c r="K14" s="21" t="n">
        <f aca="false">K13+I14-J14</f>
        <v>97960.4946</v>
      </c>
      <c r="L14" s="34" t="n">
        <f aca="false">Rencana_Dalops!Q14*Asumsi!$C$22+Rencana_Dalops!R14*Asumsi!$C$23</f>
        <v>2786.5</v>
      </c>
      <c r="M14" s="34" t="n">
        <f aca="false">Rencana_Dalops!S14*Asumsi!$C$24+Rencana_Dalops!T14*IF(E14&gt;0,D14/E14,0)</f>
        <v>3381.0078666667</v>
      </c>
      <c r="N14" s="21" t="n">
        <f aca="false">N13+L14-M14</f>
        <v>12199.9267999996</v>
      </c>
      <c r="O14" s="21" t="n">
        <f aca="false">O13+Rencana_Dalops!M14*IF(Asumsi!$C$5&gt;0,IF(E14&gt;0,D14/E14,0)/Asumsi!$C$5,0)</f>
        <v>16660.578</v>
      </c>
      <c r="P14" s="21" t="n">
        <f aca="false">H14+O14*Asumsi!$C$5</f>
        <v>57960.3478734553</v>
      </c>
      <c r="Q14" s="21" t="n">
        <f aca="false">Q13+Rencana_Dalops!P14*IF(Asumsi!$C$5&gt;0,IF(E14&gt;0,D14/E14,0)/Asumsi!$C$5,0)</f>
        <v>19205.925</v>
      </c>
      <c r="R14" s="21" t="n">
        <f aca="false">K14+Q14*Asumsi!$C$5</f>
        <v>117166.4196</v>
      </c>
      <c r="S14" s="21" t="n">
        <f aca="false">S13+Rencana_Dalops!T14*IF(Asumsi!$C$5&gt;0,IF(E14&gt;0,D14/E14,0)/Asumsi!$C$5,0)</f>
        <v>8342.7432</v>
      </c>
      <c r="T14" s="21" t="n">
        <f aca="false">N14+S14*Asumsi!$C$5</f>
        <v>20542.6699999996</v>
      </c>
      <c r="U14" s="22" t="n">
        <f aca="false">IF(OR(C14=0,O14&lt;=0),"",P14/O14)</f>
        <v>3.47889178115281</v>
      </c>
      <c r="V14" s="22" t="n">
        <f aca="false">IF(OR(C14=0,Q14&lt;=0),"",R14/Q14)</f>
        <v>6.10053510049633</v>
      </c>
      <c r="W14" s="22" t="n">
        <f aca="false">IF(OR(C14=0,S14&lt;=0),"",T14/S14)</f>
        <v>2.46233996510879</v>
      </c>
      <c r="X14" s="23" t="str">
        <f aca="false">IF(AND(C14=1,H14&lt;0),A14,"")</f>
        <v/>
      </c>
      <c r="Y14" s="23" t="str">
        <f aca="false">IF(AND(C14=1,K14&lt;0),A14,"")</f>
        <v/>
      </c>
      <c r="Z14" s="23" t="str">
        <f aca="false">IF(AND(C14=1,N14&lt;0),A14,"")</f>
        <v/>
      </c>
      <c r="AA14" s="21" t="n">
        <f aca="false">IF(C14=0,"",MIN(H14+Asumsi!$C$31-Asumsi!$C$34,K14+Asumsi!$C$32-Asumsi!$C$35,N14+Asumsi!$C$33-Asumsi!$C$36))</f>
        <v>8199.9267999996</v>
      </c>
      <c r="AB14" s="21" t="n">
        <f aca="false">IF(C14=1,H14,"")</f>
        <v>41299.7698734553</v>
      </c>
      <c r="AC14" s="21" t="n">
        <f aca="false">IF(C14=1,K14,"")</f>
        <v>97960.4946</v>
      </c>
      <c r="AD14" s="21" t="n">
        <f aca="false">IF(C14=1,N14,"")</f>
        <v>12199.9267999996</v>
      </c>
    </row>
    <row r="15" customFormat="false" ht="15" hidden="false" customHeight="false" outlineLevel="0" collapsed="false">
      <c r="A15" s="32" t="n">
        <f aca="false">Rencana_Dalops!A15</f>
        <v>46312</v>
      </c>
      <c r="B15" s="33" t="n">
        <f aca="false">A15-Rencana_Dalops!$A$3+1</f>
        <v>13</v>
      </c>
      <c r="C15" s="33" t="n">
        <f aca="false">IF(A15&lt;=Asumsi!$C$6,1,0)</f>
        <v>1</v>
      </c>
      <c r="D15" s="34" t="n">
        <f aca="false">(Rencana_Dalops!B15*Asumsi!$C$10+Rencana_Dalops!C15*Asumsi!$C$11+Rencana_Dalops!D15*Asumsi!$C$12+Rencana_Dalops!E15*Asumsi!$C$13+Rencana_Dalops!F15*Asumsi!$C$14)*Asumsi!$C$5</f>
        <v>6800</v>
      </c>
      <c r="E15" s="35" t="n">
        <f aca="false">Rencana_Dalops!G15</f>
        <v>6800</v>
      </c>
      <c r="F15" s="34" t="n">
        <f aca="false">Rencana_Dalops!H15*Asumsi!$C$17*(1-Rencana_Dalops!I15)+Rencana_Dalops!J15*Asumsi!$C$18+Rencana_Dalops!K15*Asumsi!$C$19</f>
        <v>1226.8882016461</v>
      </c>
      <c r="G15" s="34" t="n">
        <f aca="false">Rencana_Dalops!L15*Asumsi!$C$25+Rencana_Dalops!M15*IF(E15&gt;0,D15/E15,0)</f>
        <v>1570.1535555556</v>
      </c>
      <c r="H15" s="21" t="n">
        <f aca="false">H14+F15-G15</f>
        <v>40956.5045195458</v>
      </c>
      <c r="I15" s="34" t="n">
        <f aca="false">IF(B15-Asumsi!$C$21&gt;=1,INDEX(Rencana_Dalops!$N$3:$N$90,B15-Asumsi!$C$21),0)*Asumsi!$C$20</f>
        <v>5000</v>
      </c>
      <c r="J15" s="34" t="n">
        <f aca="false">Rencana_Dalops!O15+Rencana_Dalops!P15*IF(E15&gt;0,D15/E15,0)</f>
        <v>1809.825</v>
      </c>
      <c r="K15" s="21" t="n">
        <f aca="false">K14+I15-J15</f>
        <v>101150.6696</v>
      </c>
      <c r="L15" s="34" t="n">
        <f aca="false">Rencana_Dalops!Q15*Asumsi!$C$22+Rencana_Dalops!R15*Asumsi!$C$23</f>
        <v>2786.5</v>
      </c>
      <c r="M15" s="34" t="n">
        <f aca="false">Rencana_Dalops!S15*Asumsi!$C$24+Rencana_Dalops!T15*IF(E15&gt;0,D15/E15,0)</f>
        <v>1555.5478666667</v>
      </c>
      <c r="N15" s="21" t="n">
        <f aca="false">N14+L15-M15</f>
        <v>13430.8789333329</v>
      </c>
      <c r="O15" s="21" t="n">
        <f aca="false">O14+Rencana_Dalops!M15*IF(Asumsi!$C$5&gt;0,IF(E15&gt;0,D15/E15,0)/Asumsi!$C$5,0)</f>
        <v>18175.176</v>
      </c>
      <c r="P15" s="21" t="n">
        <f aca="false">H15+O15*Asumsi!$C$5</f>
        <v>59131.6805195458</v>
      </c>
      <c r="Q15" s="21" t="n">
        <f aca="false">Q14+Rencana_Dalops!P15*IF(Asumsi!$C$5&gt;0,IF(E15&gt;0,D15/E15,0)/Asumsi!$C$5,0)</f>
        <v>20990.55</v>
      </c>
      <c r="R15" s="21" t="n">
        <f aca="false">K15+Q15*Asumsi!$C$5</f>
        <v>122141.2196</v>
      </c>
      <c r="S15" s="21" t="n">
        <f aca="false">S14+Rencana_Dalops!T15*IF(Asumsi!$C$5&gt;0,IF(E15&gt;0,D15/E15,0)/Asumsi!$C$5,0)</f>
        <v>9101.1744</v>
      </c>
      <c r="T15" s="21" t="n">
        <f aca="false">N15+S15*Asumsi!$C$5</f>
        <v>22532.0533333329</v>
      </c>
      <c r="U15" s="22" t="n">
        <f aca="false">IF(OR(C15=0,O15&lt;=0),"",P15/O15)</f>
        <v>3.2534309719777</v>
      </c>
      <c r="V15" s="22" t="n">
        <f aca="false">IF(OR(C15=0,Q15&lt;=0),"",R15/Q15)</f>
        <v>5.8188670425501</v>
      </c>
      <c r="W15" s="22" t="n">
        <f aca="false">IF(OR(C15=0,S15&lt;=0),"",T15/S15)</f>
        <v>2.47573031161043</v>
      </c>
      <c r="X15" s="23" t="str">
        <f aca="false">IF(AND(C15=1,H15&lt;0),A15,"")</f>
        <v/>
      </c>
      <c r="Y15" s="23" t="str">
        <f aca="false">IF(AND(C15=1,K15&lt;0),A15,"")</f>
        <v/>
      </c>
      <c r="Z15" s="23" t="str">
        <f aca="false">IF(AND(C15=1,N15&lt;0),A15,"")</f>
        <v/>
      </c>
      <c r="AA15" s="21" t="n">
        <f aca="false">IF(C15=0,"",MIN(H15+Asumsi!$C$31-Asumsi!$C$34,K15+Asumsi!$C$32-Asumsi!$C$35,N15+Asumsi!$C$33-Asumsi!$C$36))</f>
        <v>9430.8789333329</v>
      </c>
      <c r="AB15" s="21" t="n">
        <f aca="false">IF(C15=1,H15,"")</f>
        <v>40956.5045195458</v>
      </c>
      <c r="AC15" s="21" t="n">
        <f aca="false">IF(C15=1,K15,"")</f>
        <v>101150.6696</v>
      </c>
      <c r="AD15" s="21" t="n">
        <f aca="false">IF(C15=1,N15,"")</f>
        <v>13430.8789333329</v>
      </c>
    </row>
    <row r="16" customFormat="false" ht="15" hidden="false" customHeight="false" outlineLevel="0" collapsed="false">
      <c r="A16" s="32" t="n">
        <f aca="false">Rencana_Dalops!A16</f>
        <v>46313</v>
      </c>
      <c r="B16" s="33" t="n">
        <f aca="false">A16-Rencana_Dalops!$A$3+1</f>
        <v>14</v>
      </c>
      <c r="C16" s="33" t="n">
        <f aca="false">IF(A16&lt;=Asumsi!$C$6,1,0)</f>
        <v>1</v>
      </c>
      <c r="D16" s="34" t="n">
        <f aca="false">(Rencana_Dalops!B16*Asumsi!$C$10+Rencana_Dalops!C16*Asumsi!$C$11+Rencana_Dalops!D16*Asumsi!$C$12+Rencana_Dalops!E16*Asumsi!$C$13+Rencana_Dalops!F16*Asumsi!$C$14)*Asumsi!$C$5</f>
        <v>6800</v>
      </c>
      <c r="E16" s="35" t="n">
        <f aca="false">Rencana_Dalops!G16</f>
        <v>6800</v>
      </c>
      <c r="F16" s="34" t="n">
        <f aca="false">Rencana_Dalops!H16*Asumsi!$C$17*(1-Rencana_Dalops!I16)+Rencana_Dalops!J16*Asumsi!$C$18+Rencana_Dalops!K16*Asumsi!$C$19</f>
        <v>1226.8882016461</v>
      </c>
      <c r="G16" s="34" t="n">
        <f aca="false">Rencana_Dalops!L16*Asumsi!$C$25+Rencana_Dalops!M16*IF(E16&gt;0,D16/E16,0)</f>
        <v>1570.1535555556</v>
      </c>
      <c r="H16" s="21" t="n">
        <f aca="false">H15+F16-G16</f>
        <v>40613.2391656363</v>
      </c>
      <c r="I16" s="34" t="n">
        <f aca="false">IF(B16-Asumsi!$C$21&gt;=1,INDEX(Rencana_Dalops!$N$3:$N$90,B16-Asumsi!$C$21),0)*Asumsi!$C$20</f>
        <v>5947.864</v>
      </c>
      <c r="J16" s="34" t="n">
        <f aca="false">Rencana_Dalops!O16+Rencana_Dalops!P16*IF(E16&gt;0,D16/E16,0)</f>
        <v>1809.825</v>
      </c>
      <c r="K16" s="21" t="n">
        <f aca="false">K15+I16-J16</f>
        <v>105288.7086</v>
      </c>
      <c r="L16" s="34" t="n">
        <f aca="false">Rencana_Dalops!Q16*Asumsi!$C$22+Rencana_Dalops!R16*Asumsi!$C$23</f>
        <v>2786.5</v>
      </c>
      <c r="M16" s="34" t="n">
        <f aca="false">Rencana_Dalops!S16*Asumsi!$C$24+Rencana_Dalops!T16*IF(E16&gt;0,D16/E16,0)</f>
        <v>3381.0078666667</v>
      </c>
      <c r="N16" s="21" t="n">
        <f aca="false">N15+L16-M16</f>
        <v>12836.3710666662</v>
      </c>
      <c r="O16" s="21" t="n">
        <f aca="false">O15+Rencana_Dalops!M16*IF(Asumsi!$C$5&gt;0,IF(E16&gt;0,D16/E16,0)/Asumsi!$C$5,0)</f>
        <v>19689.774</v>
      </c>
      <c r="P16" s="21" t="n">
        <f aca="false">H16+O16*Asumsi!$C$5</f>
        <v>60303.0131656363</v>
      </c>
      <c r="Q16" s="21" t="n">
        <f aca="false">Q15+Rencana_Dalops!P16*IF(Asumsi!$C$5&gt;0,IF(E16&gt;0,D16/E16,0)/Asumsi!$C$5,0)</f>
        <v>22775.175</v>
      </c>
      <c r="R16" s="21" t="n">
        <f aca="false">K16+Q16*Asumsi!$C$5</f>
        <v>128063.8836</v>
      </c>
      <c r="S16" s="21" t="n">
        <f aca="false">S15+Rencana_Dalops!T16*IF(Asumsi!$C$5&gt;0,IF(E16&gt;0,D16/E16,0)/Asumsi!$C$5,0)</f>
        <v>9859.6056</v>
      </c>
      <c r="T16" s="21" t="n">
        <f aca="false">N16+S16*Asumsi!$C$5</f>
        <v>22695.9766666662</v>
      </c>
      <c r="U16" s="22" t="n">
        <f aca="false">IF(OR(C16=0,O16&lt;=0),"",P16/O16)</f>
        <v>3.06265644113723</v>
      </c>
      <c r="V16" s="22" t="n">
        <f aca="false">IF(OR(C16=0,Q16&lt;=0),"",R16/Q16)</f>
        <v>5.6229593669423</v>
      </c>
      <c r="W16" s="22" t="n">
        <f aca="false">IF(OR(C16=0,S16&lt;=0),"",T16/S16)</f>
        <v>2.30191526795617</v>
      </c>
      <c r="X16" s="23" t="str">
        <f aca="false">IF(AND(C16=1,H16&lt;0),A16,"")</f>
        <v/>
      </c>
      <c r="Y16" s="23" t="str">
        <f aca="false">IF(AND(C16=1,K16&lt;0),A16,"")</f>
        <v/>
      </c>
      <c r="Z16" s="23" t="str">
        <f aca="false">IF(AND(C16=1,N16&lt;0),A16,"")</f>
        <v/>
      </c>
      <c r="AA16" s="21" t="n">
        <f aca="false">IF(C16=0,"",MIN(H16+Asumsi!$C$31-Asumsi!$C$34,K16+Asumsi!$C$32-Asumsi!$C$35,N16+Asumsi!$C$33-Asumsi!$C$36))</f>
        <v>8836.3710666662</v>
      </c>
      <c r="AB16" s="21" t="n">
        <f aca="false">IF(C16=1,H16,"")</f>
        <v>40613.2391656363</v>
      </c>
      <c r="AC16" s="21" t="n">
        <f aca="false">IF(C16=1,K16,"")</f>
        <v>105288.7086</v>
      </c>
      <c r="AD16" s="21" t="n">
        <f aca="false">IF(C16=1,N16,"")</f>
        <v>12836.3710666662</v>
      </c>
    </row>
    <row r="17" customFormat="false" ht="15" hidden="false" customHeight="false" outlineLevel="0" collapsed="false">
      <c r="A17" s="32" t="n">
        <f aca="false">Rencana_Dalops!A17</f>
        <v>46314</v>
      </c>
      <c r="B17" s="33" t="n">
        <f aca="false">A17-Rencana_Dalops!$A$3+1</f>
        <v>15</v>
      </c>
      <c r="C17" s="33" t="n">
        <f aca="false">IF(A17&lt;=Asumsi!$C$6,1,0)</f>
        <v>1</v>
      </c>
      <c r="D17" s="34" t="n">
        <f aca="false">(Rencana_Dalops!B17*Asumsi!$C$10+Rencana_Dalops!C17*Asumsi!$C$11+Rencana_Dalops!D17*Asumsi!$C$12+Rencana_Dalops!E17*Asumsi!$C$13+Rencana_Dalops!F17*Asumsi!$C$14)*Asumsi!$C$5</f>
        <v>5000</v>
      </c>
      <c r="E17" s="35" t="n">
        <f aca="false">Rencana_Dalops!G17</f>
        <v>5000</v>
      </c>
      <c r="F17" s="34" t="n">
        <f aca="false">Rencana_Dalops!H17*Asumsi!$C$17*(1-Rencana_Dalops!I17)+Rencana_Dalops!J17*Asumsi!$C$18+Rencana_Dalops!K17*Asumsi!$C$19</f>
        <v>1226.8882016461</v>
      </c>
      <c r="G17" s="34" t="n">
        <f aca="false">Rencana_Dalops!L17*Asumsi!$C$25+Rencana_Dalops!M17*IF(E17&gt;0,D17/E17,0)</f>
        <v>1169.2305555556</v>
      </c>
      <c r="H17" s="21" t="n">
        <f aca="false">H16+F17-G17</f>
        <v>40670.8968117268</v>
      </c>
      <c r="I17" s="34" t="n">
        <f aca="false">IF(B17-Asumsi!$C$21&gt;=1,INDEX(Rencana_Dalops!$N$3:$N$90,B17-Asumsi!$C$21),0)*Asumsi!$C$20</f>
        <v>0</v>
      </c>
      <c r="J17" s="34" t="n">
        <f aca="false">Rencana_Dalops!O17+Rencana_Dalops!P17*IF(E17&gt;0,D17/E17,0)</f>
        <v>1433.625</v>
      </c>
      <c r="K17" s="21" t="n">
        <f aca="false">K16+I17-J17</f>
        <v>103855.0836</v>
      </c>
      <c r="L17" s="34" t="n">
        <f aca="false">Rencana_Dalops!Q17*Asumsi!$C$22+Rencana_Dalops!R17*Asumsi!$C$23</f>
        <v>2786.5</v>
      </c>
      <c r="M17" s="34" t="n">
        <f aca="false">Rencana_Dalops!S17*Asumsi!$C$24+Rencana_Dalops!T17*IF(E17&gt;0,D17/E17,0)</f>
        <v>3180.2466666667</v>
      </c>
      <c r="N17" s="21" t="n">
        <f aca="false">N16+L17-M17</f>
        <v>12442.6243999995</v>
      </c>
      <c r="O17" s="21" t="n">
        <f aca="false">O16+Rencana_Dalops!M17*IF(Asumsi!$C$5&gt;0,IF(E17&gt;0,D17/E17,0)/Asumsi!$C$5,0)</f>
        <v>20803.449</v>
      </c>
      <c r="P17" s="21" t="n">
        <f aca="false">H17+O17*Asumsi!$C$5</f>
        <v>61474.3458117268</v>
      </c>
      <c r="Q17" s="21" t="n">
        <f aca="false">Q16+Rencana_Dalops!P17*IF(Asumsi!$C$5&gt;0,IF(E17&gt;0,D17/E17,0)/Asumsi!$C$5,0)</f>
        <v>24183.6</v>
      </c>
      <c r="R17" s="21" t="n">
        <f aca="false">K17+Q17*Asumsi!$C$5</f>
        <v>128038.6836</v>
      </c>
      <c r="S17" s="21" t="n">
        <f aca="false">S16+Rencana_Dalops!T17*IF(Asumsi!$C$5&gt;0,IF(E17&gt;0,D17/E17,0)/Asumsi!$C$5,0)</f>
        <v>10417.2756</v>
      </c>
      <c r="T17" s="21" t="n">
        <f aca="false">N17+S17*Asumsi!$C$5</f>
        <v>22859.8999999995</v>
      </c>
      <c r="U17" s="22" t="n">
        <f aca="false">IF(OR(C17=0,O17&lt;=0),"",P17/O17)</f>
        <v>2.95500740342271</v>
      </c>
      <c r="V17" s="22" t="n">
        <f aca="false">IF(OR(C17=0,Q17&lt;=0),"",R17/Q17)</f>
        <v>5.29444266362328</v>
      </c>
      <c r="W17" s="22" t="n">
        <f aca="false">IF(OR(C17=0,S17&lt;=0),"",T17/S17)</f>
        <v>2.19442211934947</v>
      </c>
      <c r="X17" s="23" t="str">
        <f aca="false">IF(AND(C17=1,H17&lt;0),A17,"")</f>
        <v/>
      </c>
      <c r="Y17" s="23" t="str">
        <f aca="false">IF(AND(C17=1,K17&lt;0),A17,"")</f>
        <v/>
      </c>
      <c r="Z17" s="23" t="str">
        <f aca="false">IF(AND(C17=1,N17&lt;0),A17,"")</f>
        <v/>
      </c>
      <c r="AA17" s="21" t="n">
        <f aca="false">IF(C17=0,"",MIN(H17+Asumsi!$C$31-Asumsi!$C$34,K17+Asumsi!$C$32-Asumsi!$C$35,N17+Asumsi!$C$33-Asumsi!$C$36))</f>
        <v>8442.6243999995</v>
      </c>
      <c r="AB17" s="21" t="n">
        <f aca="false">IF(C17=1,H17,"")</f>
        <v>40670.8968117268</v>
      </c>
      <c r="AC17" s="21" t="n">
        <f aca="false">IF(C17=1,K17,"")</f>
        <v>103855.0836</v>
      </c>
      <c r="AD17" s="21" t="n">
        <f aca="false">IF(C17=1,N17,"")</f>
        <v>12442.6243999995</v>
      </c>
    </row>
    <row r="18" customFormat="false" ht="15" hidden="false" customHeight="false" outlineLevel="0" collapsed="false">
      <c r="A18" s="32" t="n">
        <f aca="false">Rencana_Dalops!A18</f>
        <v>46315</v>
      </c>
      <c r="B18" s="33" t="n">
        <f aca="false">A18-Rencana_Dalops!$A$3+1</f>
        <v>16</v>
      </c>
      <c r="C18" s="33" t="n">
        <f aca="false">IF(A18&lt;=Asumsi!$C$6,1,0)</f>
        <v>1</v>
      </c>
      <c r="D18" s="34" t="n">
        <f aca="false">(Rencana_Dalops!B18*Asumsi!$C$10+Rencana_Dalops!C18*Asumsi!$C$11+Rencana_Dalops!D18*Asumsi!$C$12+Rencana_Dalops!E18*Asumsi!$C$13+Rencana_Dalops!F18*Asumsi!$C$14)*Asumsi!$C$5</f>
        <v>6800</v>
      </c>
      <c r="E18" s="35" t="n">
        <f aca="false">Rencana_Dalops!G18</f>
        <v>6800</v>
      </c>
      <c r="F18" s="34" t="n">
        <f aca="false">Rencana_Dalops!H18*Asumsi!$C$17*(1-Rencana_Dalops!I18)+Rencana_Dalops!J18*Asumsi!$C$18+Rencana_Dalops!K18*Asumsi!$C$19</f>
        <v>1226.8882016461</v>
      </c>
      <c r="G18" s="34" t="n">
        <f aca="false">Rencana_Dalops!L18*Asumsi!$C$25+Rencana_Dalops!M18*IF(E18&gt;0,D18/E18,0)</f>
        <v>1570.1535555556</v>
      </c>
      <c r="H18" s="21" t="n">
        <f aca="false">H17+F18-G18</f>
        <v>40327.6314578173</v>
      </c>
      <c r="I18" s="34" t="n">
        <f aca="false">IF(B18-Asumsi!$C$21&gt;=1,INDEX(Rencana_Dalops!$N$3:$N$90,B18-Asumsi!$C$21),0)*Asumsi!$C$20</f>
        <v>5000</v>
      </c>
      <c r="J18" s="34" t="n">
        <f aca="false">Rencana_Dalops!O18+Rencana_Dalops!P18*IF(E18&gt;0,D18/E18,0)</f>
        <v>1809.825</v>
      </c>
      <c r="K18" s="21" t="n">
        <f aca="false">K17+I18-J18</f>
        <v>107045.2586</v>
      </c>
      <c r="L18" s="34" t="n">
        <f aca="false">Rencana_Dalops!Q18*Asumsi!$C$22+Rencana_Dalops!R18*Asumsi!$C$23</f>
        <v>2786.5</v>
      </c>
      <c r="M18" s="34" t="n">
        <f aca="false">Rencana_Dalops!S18*Asumsi!$C$24+Rencana_Dalops!T18*IF(E18&gt;0,D18/E18,0)</f>
        <v>3381.0078666667</v>
      </c>
      <c r="N18" s="21" t="n">
        <f aca="false">N17+L18-M18</f>
        <v>11848.1165333328</v>
      </c>
      <c r="O18" s="21" t="n">
        <f aca="false">O17+Rencana_Dalops!M18*IF(Asumsi!$C$5&gt;0,IF(E18&gt;0,D18/E18,0)/Asumsi!$C$5,0)</f>
        <v>22318.047</v>
      </c>
      <c r="P18" s="21" t="n">
        <f aca="false">H18+O18*Asumsi!$C$5</f>
        <v>62645.6784578173</v>
      </c>
      <c r="Q18" s="21" t="n">
        <f aca="false">Q17+Rencana_Dalops!P18*IF(Asumsi!$C$5&gt;0,IF(E18&gt;0,D18/E18,0)/Asumsi!$C$5,0)</f>
        <v>25968.225</v>
      </c>
      <c r="R18" s="21" t="n">
        <f aca="false">K18+Q18*Asumsi!$C$5</f>
        <v>133013.4836</v>
      </c>
      <c r="S18" s="21" t="n">
        <f aca="false">S17+Rencana_Dalops!T18*IF(Asumsi!$C$5&gt;0,IF(E18&gt;0,D18/E18,0)/Asumsi!$C$5,0)</f>
        <v>11175.7068</v>
      </c>
      <c r="T18" s="21" t="n">
        <f aca="false">N18+S18*Asumsi!$C$5</f>
        <v>23023.8233333328</v>
      </c>
      <c r="U18" s="22" t="n">
        <f aca="false">IF(OR(C18=0,O18&lt;=0),"",P18/O18)</f>
        <v>2.80695163236359</v>
      </c>
      <c r="V18" s="22" t="n">
        <f aca="false">IF(OR(C18=0,Q18&lt;=0),"",R18/Q18)</f>
        <v>5.12216308969905</v>
      </c>
      <c r="W18" s="22" t="n">
        <f aca="false">IF(OR(C18=0,S18&lt;=0),"",T18/S18)</f>
        <v>2.06016708789576</v>
      </c>
      <c r="X18" s="23" t="str">
        <f aca="false">IF(AND(C18=1,H18&lt;0),A18,"")</f>
        <v/>
      </c>
      <c r="Y18" s="23" t="str">
        <f aca="false">IF(AND(C18=1,K18&lt;0),A18,"")</f>
        <v/>
      </c>
      <c r="Z18" s="23" t="str">
        <f aca="false">IF(AND(C18=1,N18&lt;0),A18,"")</f>
        <v/>
      </c>
      <c r="AA18" s="21" t="n">
        <f aca="false">IF(C18=0,"",MIN(H18+Asumsi!$C$31-Asumsi!$C$34,K18+Asumsi!$C$32-Asumsi!$C$35,N18+Asumsi!$C$33-Asumsi!$C$36))</f>
        <v>7848.1165333328</v>
      </c>
      <c r="AB18" s="21" t="n">
        <f aca="false">IF(C18=1,H18,"")</f>
        <v>40327.6314578173</v>
      </c>
      <c r="AC18" s="21" t="n">
        <f aca="false">IF(C18=1,K18,"")</f>
        <v>107045.2586</v>
      </c>
      <c r="AD18" s="21" t="n">
        <f aca="false">IF(C18=1,N18,"")</f>
        <v>11848.1165333328</v>
      </c>
    </row>
    <row r="19" customFormat="false" ht="15" hidden="false" customHeight="false" outlineLevel="0" collapsed="false">
      <c r="A19" s="32" t="n">
        <f aca="false">Rencana_Dalops!A19</f>
        <v>46316</v>
      </c>
      <c r="B19" s="33" t="n">
        <f aca="false">A19-Rencana_Dalops!$A$3+1</f>
        <v>17</v>
      </c>
      <c r="C19" s="33" t="n">
        <f aca="false">IF(A19&lt;=Asumsi!$C$6,1,0)</f>
        <v>1</v>
      </c>
      <c r="D19" s="34" t="n">
        <f aca="false">(Rencana_Dalops!B19*Asumsi!$C$10+Rencana_Dalops!C19*Asumsi!$C$11+Rencana_Dalops!D19*Asumsi!$C$12+Rencana_Dalops!E19*Asumsi!$C$13+Rencana_Dalops!F19*Asumsi!$C$14)*Asumsi!$C$5</f>
        <v>6800</v>
      </c>
      <c r="E19" s="35" t="n">
        <f aca="false">Rencana_Dalops!G19</f>
        <v>6800</v>
      </c>
      <c r="F19" s="34" t="n">
        <f aca="false">Rencana_Dalops!H19*Asumsi!$C$17*(1-Rencana_Dalops!I19)+Rencana_Dalops!J19*Asumsi!$C$18+Rencana_Dalops!K19*Asumsi!$C$19</f>
        <v>1226.8882016461</v>
      </c>
      <c r="G19" s="34" t="n">
        <f aca="false">Rencana_Dalops!L19*Asumsi!$C$25+Rencana_Dalops!M19*IF(E19&gt;0,D19/E19,0)</f>
        <v>1570.1535555556</v>
      </c>
      <c r="H19" s="21" t="n">
        <f aca="false">H18+F19-G19</f>
        <v>39984.3661039078</v>
      </c>
      <c r="I19" s="34" t="n">
        <f aca="false">IF(B19-Asumsi!$C$21&gt;=1,INDEX(Rencana_Dalops!$N$3:$N$90,B19-Asumsi!$C$21),0)*Asumsi!$C$20</f>
        <v>5000</v>
      </c>
      <c r="J19" s="34" t="n">
        <f aca="false">Rencana_Dalops!O19+Rencana_Dalops!P19*IF(E19&gt;0,D19/E19,0)</f>
        <v>1809.825</v>
      </c>
      <c r="K19" s="21" t="n">
        <f aca="false">K18+I19-J19</f>
        <v>110235.4336</v>
      </c>
      <c r="L19" s="34" t="n">
        <f aca="false">Rencana_Dalops!Q19*Asumsi!$C$22+Rencana_Dalops!R19*Asumsi!$C$23</f>
        <v>2786.5</v>
      </c>
      <c r="M19" s="34" t="n">
        <f aca="false">Rencana_Dalops!S19*Asumsi!$C$24+Rencana_Dalops!T19*IF(E19&gt;0,D19/E19,0)</f>
        <v>3381.0078666667</v>
      </c>
      <c r="N19" s="21" t="n">
        <f aca="false">N18+L19-M19</f>
        <v>11253.6086666661</v>
      </c>
      <c r="O19" s="21" t="n">
        <f aca="false">O18+Rencana_Dalops!M19*IF(Asumsi!$C$5&gt;0,IF(E19&gt;0,D19/E19,0)/Asumsi!$C$5,0)</f>
        <v>23832.645</v>
      </c>
      <c r="P19" s="21" t="n">
        <f aca="false">H19+O19*Asumsi!$C$5</f>
        <v>63817.0111039078</v>
      </c>
      <c r="Q19" s="21" t="n">
        <f aca="false">Q18+Rencana_Dalops!P19*IF(Asumsi!$C$5&gt;0,IF(E19&gt;0,D19/E19,0)/Asumsi!$C$5,0)</f>
        <v>27752.85</v>
      </c>
      <c r="R19" s="21" t="n">
        <f aca="false">K19+Q19*Asumsi!$C$5</f>
        <v>137988.2836</v>
      </c>
      <c r="S19" s="21" t="n">
        <f aca="false">S18+Rencana_Dalops!T19*IF(Asumsi!$C$5&gt;0,IF(E19&gt;0,D19/E19,0)/Asumsi!$C$5,0)</f>
        <v>11934.138</v>
      </c>
      <c r="T19" s="21" t="n">
        <f aca="false">N19+S19*Asumsi!$C$5</f>
        <v>23187.7466666661</v>
      </c>
      <c r="U19" s="22" t="n">
        <f aca="false">IF(OR(C19=0,O19&lt;=0),"",P19/O19)</f>
        <v>2.67771416491572</v>
      </c>
      <c r="V19" s="22" t="n">
        <f aca="false">IF(OR(C19=0,Q19&lt;=0),"",R19/Q19)</f>
        <v>4.97204011840226</v>
      </c>
      <c r="W19" s="22" t="n">
        <f aca="false">IF(OR(C19=0,S19&lt;=0),"",T19/S19)</f>
        <v>1.94297624735579</v>
      </c>
      <c r="X19" s="23" t="str">
        <f aca="false">IF(AND(C19=1,H19&lt;0),A19,"")</f>
        <v/>
      </c>
      <c r="Y19" s="23" t="str">
        <f aca="false">IF(AND(C19=1,K19&lt;0),A19,"")</f>
        <v/>
      </c>
      <c r="Z19" s="23" t="str">
        <f aca="false">IF(AND(C19=1,N19&lt;0),A19,"")</f>
        <v/>
      </c>
      <c r="AA19" s="21" t="n">
        <f aca="false">IF(C19=0,"",MIN(H19+Asumsi!$C$31-Asumsi!$C$34,K19+Asumsi!$C$32-Asumsi!$C$35,N19+Asumsi!$C$33-Asumsi!$C$36))</f>
        <v>7253.6086666661</v>
      </c>
      <c r="AB19" s="21" t="n">
        <f aca="false">IF(C19=1,H19,"")</f>
        <v>39984.3661039078</v>
      </c>
      <c r="AC19" s="21" t="n">
        <f aca="false">IF(C19=1,K19,"")</f>
        <v>110235.4336</v>
      </c>
      <c r="AD19" s="21" t="n">
        <f aca="false">IF(C19=1,N19,"")</f>
        <v>11253.6086666661</v>
      </c>
    </row>
    <row r="20" customFormat="false" ht="15" hidden="false" customHeight="false" outlineLevel="0" collapsed="false">
      <c r="A20" s="32" t="n">
        <f aca="false">Rencana_Dalops!A20</f>
        <v>46317</v>
      </c>
      <c r="B20" s="33" t="n">
        <f aca="false">A20-Rencana_Dalops!$A$3+1</f>
        <v>18</v>
      </c>
      <c r="C20" s="33" t="n">
        <f aca="false">IF(A20&lt;=Asumsi!$C$6,1,0)</f>
        <v>1</v>
      </c>
      <c r="D20" s="34" t="n">
        <f aca="false">(Rencana_Dalops!B20*Asumsi!$C$10+Rencana_Dalops!C20*Asumsi!$C$11+Rencana_Dalops!D20*Asumsi!$C$12+Rencana_Dalops!E20*Asumsi!$C$13+Rencana_Dalops!F20*Asumsi!$C$14)*Asumsi!$C$5</f>
        <v>6800</v>
      </c>
      <c r="E20" s="35" t="n">
        <f aca="false">Rencana_Dalops!G20</f>
        <v>6800</v>
      </c>
      <c r="F20" s="34" t="n">
        <f aca="false">Rencana_Dalops!H20*Asumsi!$C$17*(1-Rencana_Dalops!I20)+Rencana_Dalops!J20*Asumsi!$C$18+Rencana_Dalops!K20*Asumsi!$C$19</f>
        <v>1226.8882016461</v>
      </c>
      <c r="G20" s="34" t="n">
        <f aca="false">Rencana_Dalops!L20*Asumsi!$C$25+Rencana_Dalops!M20*IF(E20&gt;0,D20/E20,0)</f>
        <v>1570.1535555556</v>
      </c>
      <c r="H20" s="21" t="n">
        <f aca="false">H19+F20-G20</f>
        <v>39641.1007499983</v>
      </c>
      <c r="I20" s="34" t="n">
        <f aca="false">IF(B20-Asumsi!$C$21&gt;=1,INDEX(Rencana_Dalops!$N$3:$N$90,B20-Asumsi!$C$21),0)*Asumsi!$C$20</f>
        <v>5000</v>
      </c>
      <c r="J20" s="34" t="n">
        <f aca="false">Rencana_Dalops!O20+Rencana_Dalops!P20*IF(E20&gt;0,D20/E20,0)</f>
        <v>1705.325</v>
      </c>
      <c r="K20" s="21" t="n">
        <f aca="false">K19+I20-J20</f>
        <v>113530.1086</v>
      </c>
      <c r="L20" s="34" t="n">
        <f aca="false">Rencana_Dalops!Q20*Asumsi!$C$22+Rencana_Dalops!R20*Asumsi!$C$23</f>
        <v>4327.5</v>
      </c>
      <c r="M20" s="34" t="n">
        <f aca="false">Rencana_Dalops!S20*Asumsi!$C$24+Rencana_Dalops!T20*IF(E20&gt;0,D20/E20,0)</f>
        <v>3381.0078666667</v>
      </c>
      <c r="N20" s="21" t="n">
        <f aca="false">N19+L20-M20</f>
        <v>12200.1007999994</v>
      </c>
      <c r="O20" s="21" t="n">
        <f aca="false">O19+Rencana_Dalops!M20*IF(Asumsi!$C$5&gt;0,IF(E20&gt;0,D20/E20,0)/Asumsi!$C$5,0)</f>
        <v>25347.243</v>
      </c>
      <c r="P20" s="21" t="n">
        <f aca="false">H20+O20*Asumsi!$C$5</f>
        <v>64988.3437499983</v>
      </c>
      <c r="Q20" s="21" t="n">
        <f aca="false">Q19+Rencana_Dalops!P20*IF(Asumsi!$C$5&gt;0,IF(E20&gt;0,D20/E20,0)/Asumsi!$C$5,0)</f>
        <v>29432.975</v>
      </c>
      <c r="R20" s="21" t="n">
        <f aca="false">K20+Q20*Asumsi!$C$5</f>
        <v>142963.0836</v>
      </c>
      <c r="S20" s="21" t="n">
        <f aca="false">S19+Rencana_Dalops!T20*IF(Asumsi!$C$5&gt;0,IF(E20&gt;0,D20/E20,0)/Asumsi!$C$5,0)</f>
        <v>12692.5692</v>
      </c>
      <c r="T20" s="21" t="n">
        <f aca="false">N20+S20*Asumsi!$C$5</f>
        <v>24892.6699999994</v>
      </c>
      <c r="U20" s="22" t="n">
        <f aca="false">IF(OR(C20=0,O20&lt;=0),"",P20/O20)</f>
        <v>2.56392159691681</v>
      </c>
      <c r="V20" s="22" t="n">
        <f aca="false">IF(OR(C20=0,Q20&lt;=0),"",R20/Q20)</f>
        <v>4.8572420423012</v>
      </c>
      <c r="W20" s="22" t="n">
        <f aca="false">IF(OR(C20=0,S20&lt;=0),"",T20/S20)</f>
        <v>1.96120025880965</v>
      </c>
      <c r="X20" s="23" t="str">
        <f aca="false">IF(AND(C20=1,H20&lt;0),A20,"")</f>
        <v/>
      </c>
      <c r="Y20" s="23" t="str">
        <f aca="false">IF(AND(C20=1,K20&lt;0),A20,"")</f>
        <v/>
      </c>
      <c r="Z20" s="23" t="str">
        <f aca="false">IF(AND(C20=1,N20&lt;0),A20,"")</f>
        <v/>
      </c>
      <c r="AA20" s="21" t="n">
        <f aca="false">IF(C20=0,"",MIN(H20+Asumsi!$C$31-Asumsi!$C$34,K20+Asumsi!$C$32-Asumsi!$C$35,N20+Asumsi!$C$33-Asumsi!$C$36))</f>
        <v>8200.1007999994</v>
      </c>
      <c r="AB20" s="21" t="n">
        <f aca="false">IF(C20=1,H20,"")</f>
        <v>39641.1007499983</v>
      </c>
      <c r="AC20" s="21" t="n">
        <f aca="false">IF(C20=1,K20,"")</f>
        <v>113530.1086</v>
      </c>
      <c r="AD20" s="21" t="n">
        <f aca="false">IF(C20=1,N20,"")</f>
        <v>12200.1007999994</v>
      </c>
    </row>
    <row r="21" customFormat="false" ht="15" hidden="false" customHeight="false" outlineLevel="0" collapsed="false">
      <c r="A21" s="32" t="n">
        <f aca="false">Rencana_Dalops!A21</f>
        <v>46318</v>
      </c>
      <c r="B21" s="33" t="n">
        <f aca="false">A21-Rencana_Dalops!$A$3+1</f>
        <v>19</v>
      </c>
      <c r="C21" s="33" t="n">
        <f aca="false">IF(A21&lt;=Asumsi!$C$6,1,0)</f>
        <v>1</v>
      </c>
      <c r="D21" s="34" t="n">
        <f aca="false">(Rencana_Dalops!B21*Asumsi!$C$10+Rencana_Dalops!C21*Asumsi!$C$11+Rencana_Dalops!D21*Asumsi!$C$12+Rencana_Dalops!E21*Asumsi!$C$13+Rencana_Dalops!F21*Asumsi!$C$14)*Asumsi!$C$5</f>
        <v>6800</v>
      </c>
      <c r="E21" s="35" t="n">
        <f aca="false">Rencana_Dalops!G21</f>
        <v>6800</v>
      </c>
      <c r="F21" s="34" t="n">
        <f aca="false">Rencana_Dalops!H21*Asumsi!$C$17*(1-Rencana_Dalops!I21)+Rencana_Dalops!J21*Asumsi!$C$18+Rencana_Dalops!K21*Asumsi!$C$19</f>
        <v>1226.8882016461</v>
      </c>
      <c r="G21" s="34" t="n">
        <f aca="false">Rencana_Dalops!L21*Asumsi!$C$25+Rencana_Dalops!M21*IF(E21&gt;0,D21/E21,0)</f>
        <v>1570.1535555556</v>
      </c>
      <c r="H21" s="21" t="n">
        <f aca="false">H20+F21-G21</f>
        <v>39297.8353960888</v>
      </c>
      <c r="I21" s="34" t="n">
        <f aca="false">IF(B21-Asumsi!$C$21&gt;=1,INDEX(Rencana_Dalops!$N$3:$N$90,B21-Asumsi!$C$21),0)*Asumsi!$C$20</f>
        <v>5000</v>
      </c>
      <c r="J21" s="34" t="n">
        <f aca="false">Rencana_Dalops!O21+Rencana_Dalops!P21*IF(E21&gt;0,D21/E21,0)</f>
        <v>1809.825</v>
      </c>
      <c r="K21" s="21" t="n">
        <f aca="false">K20+I21-J21</f>
        <v>116720.2836</v>
      </c>
      <c r="L21" s="34" t="n">
        <f aca="false">Rencana_Dalops!Q21*Asumsi!$C$22+Rencana_Dalops!R21*Asumsi!$C$23</f>
        <v>2950</v>
      </c>
      <c r="M21" s="34" t="n">
        <f aca="false">Rencana_Dalops!S21*Asumsi!$C$24+Rencana_Dalops!T21*IF(E21&gt;0,D21/E21,0)</f>
        <v>3169.8778666667</v>
      </c>
      <c r="N21" s="21" t="n">
        <f aca="false">N20+L21-M21</f>
        <v>11980.2229333327</v>
      </c>
      <c r="O21" s="21" t="n">
        <f aca="false">O20+Rencana_Dalops!M21*IF(Asumsi!$C$5&gt;0,IF(E21&gt;0,D21/E21,0)/Asumsi!$C$5,0)</f>
        <v>26861.841</v>
      </c>
      <c r="P21" s="21" t="n">
        <f aca="false">H21+O21*Asumsi!$C$5</f>
        <v>66159.6763960888</v>
      </c>
      <c r="Q21" s="21" t="n">
        <f aca="false">Q20+Rencana_Dalops!P21*IF(Asumsi!$C$5&gt;0,IF(E21&gt;0,D21/E21,0)/Asumsi!$C$5,0)</f>
        <v>31217.6</v>
      </c>
      <c r="R21" s="21" t="n">
        <f aca="false">K21+Q21*Asumsi!$C$5</f>
        <v>147937.8836</v>
      </c>
      <c r="S21" s="21" t="n">
        <f aca="false">S20+Rencana_Dalops!T21*IF(Asumsi!$C$5&gt;0,IF(E21&gt;0,D21/E21,0)/Asumsi!$C$5,0)</f>
        <v>13451.0004</v>
      </c>
      <c r="T21" s="21" t="n">
        <f aca="false">N21+S21*Asumsi!$C$5</f>
        <v>25431.2233333327</v>
      </c>
      <c r="U21" s="22" t="n">
        <f aca="false">IF(OR(C21=0,O21&lt;=0),"",P21/O21)</f>
        <v>2.4629613583108</v>
      </c>
      <c r="V21" s="22" t="n">
        <f aca="false">IF(OR(C21=0,Q21&lt;=0),"",R21/Q21)</f>
        <v>4.73892559325509</v>
      </c>
      <c r="W21" s="22" t="n">
        <f aca="false">IF(OR(C21=0,S21&lt;=0),"",T21/S21)</f>
        <v>1.89065664835849</v>
      </c>
      <c r="X21" s="23" t="str">
        <f aca="false">IF(AND(C21=1,H21&lt;0),A21,"")</f>
        <v/>
      </c>
      <c r="Y21" s="23" t="str">
        <f aca="false">IF(AND(C21=1,K21&lt;0),A21,"")</f>
        <v/>
      </c>
      <c r="Z21" s="23" t="str">
        <f aca="false">IF(AND(C21=1,N21&lt;0),A21,"")</f>
        <v/>
      </c>
      <c r="AA21" s="21" t="n">
        <f aca="false">IF(C21=0,"",MIN(H21+Asumsi!$C$31-Asumsi!$C$34,K21+Asumsi!$C$32-Asumsi!$C$35,N21+Asumsi!$C$33-Asumsi!$C$36))</f>
        <v>7980.2229333327</v>
      </c>
      <c r="AB21" s="21" t="n">
        <f aca="false">IF(C21=1,H21,"")</f>
        <v>39297.8353960888</v>
      </c>
      <c r="AC21" s="21" t="n">
        <f aca="false">IF(C21=1,K21,"")</f>
        <v>116720.2836</v>
      </c>
      <c r="AD21" s="21" t="n">
        <f aca="false">IF(C21=1,N21,"")</f>
        <v>11980.2229333327</v>
      </c>
    </row>
    <row r="22" customFormat="false" ht="15" hidden="false" customHeight="false" outlineLevel="0" collapsed="false">
      <c r="A22" s="32" t="n">
        <f aca="false">Rencana_Dalops!A22</f>
        <v>46319</v>
      </c>
      <c r="B22" s="33" t="n">
        <f aca="false">A22-Rencana_Dalops!$A$3+1</f>
        <v>20</v>
      </c>
      <c r="C22" s="33" t="n">
        <f aca="false">IF(A22&lt;=Asumsi!$C$6,1,0)</f>
        <v>1</v>
      </c>
      <c r="D22" s="34" t="n">
        <f aca="false">(Rencana_Dalops!B22*Asumsi!$C$10+Rencana_Dalops!C22*Asumsi!$C$11+Rencana_Dalops!D22*Asumsi!$C$12+Rencana_Dalops!E22*Asumsi!$C$13+Rencana_Dalops!F22*Asumsi!$C$14)*Asumsi!$C$5</f>
        <v>6800</v>
      </c>
      <c r="E22" s="35" t="n">
        <f aca="false">Rencana_Dalops!G22</f>
        <v>6800</v>
      </c>
      <c r="F22" s="34" t="n">
        <f aca="false">Rencana_Dalops!H22*Asumsi!$C$17*(1-Rencana_Dalops!I22)+Rencana_Dalops!J22*Asumsi!$C$18+Rencana_Dalops!K22*Asumsi!$C$19</f>
        <v>1226.8882016461</v>
      </c>
      <c r="G22" s="34" t="n">
        <f aca="false">Rencana_Dalops!L22*Asumsi!$C$25+Rencana_Dalops!M22*IF(E22&gt;0,D22/E22,0)</f>
        <v>1570.1535555556</v>
      </c>
      <c r="H22" s="21" t="n">
        <f aca="false">H21+F22-G22</f>
        <v>38954.5700421793</v>
      </c>
      <c r="I22" s="34" t="n">
        <f aca="false">IF(B22-Asumsi!$C$21&gt;=1,INDEX(Rencana_Dalops!$N$3:$N$90,B22-Asumsi!$C$21),0)*Asumsi!$C$20</f>
        <v>5000</v>
      </c>
      <c r="J22" s="34" t="n">
        <f aca="false">Rencana_Dalops!O22+Rencana_Dalops!P22*IF(E22&gt;0,D22/E22,0)</f>
        <v>1809.825</v>
      </c>
      <c r="K22" s="21" t="n">
        <f aca="false">K21+I22-J22</f>
        <v>119910.4586</v>
      </c>
      <c r="L22" s="34" t="n">
        <f aca="false">Rencana_Dalops!Q22*Asumsi!$C$22+Rencana_Dalops!R22*Asumsi!$C$23</f>
        <v>3150</v>
      </c>
      <c r="M22" s="34" t="n">
        <f aca="false">Rencana_Dalops!S22*Asumsi!$C$24+Rencana_Dalops!T22*IF(E22&gt;0,D22/E22,0)</f>
        <v>3169.8778666667</v>
      </c>
      <c r="N22" s="21" t="n">
        <f aca="false">N21+L22-M22</f>
        <v>11960.345066666</v>
      </c>
      <c r="O22" s="21" t="n">
        <f aca="false">O21+Rencana_Dalops!M22*IF(Asumsi!$C$5&gt;0,IF(E22&gt;0,D22/E22,0)/Asumsi!$C$5,0)</f>
        <v>28376.439</v>
      </c>
      <c r="P22" s="21" t="n">
        <f aca="false">H22+O22*Asumsi!$C$5</f>
        <v>67331.0090421793</v>
      </c>
      <c r="Q22" s="21" t="n">
        <f aca="false">Q21+Rencana_Dalops!P22*IF(Asumsi!$C$5&gt;0,IF(E22&gt;0,D22/E22,0)/Asumsi!$C$5,0)</f>
        <v>33002.225</v>
      </c>
      <c r="R22" s="21" t="n">
        <f aca="false">K22+Q22*Asumsi!$C$5</f>
        <v>152912.6836</v>
      </c>
      <c r="S22" s="21" t="n">
        <f aca="false">S21+Rencana_Dalops!T22*IF(Asumsi!$C$5&gt;0,IF(E22&gt;0,D22/E22,0)/Asumsi!$C$5,0)</f>
        <v>14209.4316</v>
      </c>
      <c r="T22" s="21" t="n">
        <f aca="false">N22+S22*Asumsi!$C$5</f>
        <v>26169.776666666</v>
      </c>
      <c r="U22" s="22" t="n">
        <f aca="false">IF(OR(C22=0,O22&lt;=0),"",P22/O22)</f>
        <v>2.37277866479932</v>
      </c>
      <c r="V22" s="22" t="n">
        <f aca="false">IF(OR(C22=0,Q22&lt;=0),"",R22/Q22)</f>
        <v>4.63340528100757</v>
      </c>
      <c r="W22" s="22" t="n">
        <f aca="false">IF(OR(C22=0,S22&lt;=0),"",T22/S22)</f>
        <v>1.84171875437058</v>
      </c>
      <c r="X22" s="23" t="str">
        <f aca="false">IF(AND(C22=1,H22&lt;0),A22,"")</f>
        <v/>
      </c>
      <c r="Y22" s="23" t="str">
        <f aca="false">IF(AND(C22=1,K22&lt;0),A22,"")</f>
        <v/>
      </c>
      <c r="Z22" s="23" t="str">
        <f aca="false">IF(AND(C22=1,N22&lt;0),A22,"")</f>
        <v/>
      </c>
      <c r="AA22" s="21" t="n">
        <f aca="false">IF(C22=0,"",MIN(H22+Asumsi!$C$31-Asumsi!$C$34,K22+Asumsi!$C$32-Asumsi!$C$35,N22+Asumsi!$C$33-Asumsi!$C$36))</f>
        <v>7960.345066666</v>
      </c>
      <c r="AB22" s="21" t="n">
        <f aca="false">IF(C22=1,H22,"")</f>
        <v>38954.5700421793</v>
      </c>
      <c r="AC22" s="21" t="n">
        <f aca="false">IF(C22=1,K22,"")</f>
        <v>119910.4586</v>
      </c>
      <c r="AD22" s="21" t="n">
        <f aca="false">IF(C22=1,N22,"")</f>
        <v>11960.345066666</v>
      </c>
    </row>
    <row r="23" customFormat="false" ht="15" hidden="false" customHeight="false" outlineLevel="0" collapsed="false">
      <c r="A23" s="32" t="n">
        <f aca="false">Rencana_Dalops!A23</f>
        <v>46320</v>
      </c>
      <c r="B23" s="33" t="n">
        <f aca="false">A23-Rencana_Dalops!$A$3+1</f>
        <v>21</v>
      </c>
      <c r="C23" s="33" t="n">
        <f aca="false">IF(A23&lt;=Asumsi!$C$6,1,0)</f>
        <v>1</v>
      </c>
      <c r="D23" s="34" t="n">
        <f aca="false">(Rencana_Dalops!B23*Asumsi!$C$10+Rencana_Dalops!C23*Asumsi!$C$11+Rencana_Dalops!D23*Asumsi!$C$12+Rencana_Dalops!E23*Asumsi!$C$13+Rencana_Dalops!F23*Asumsi!$C$14)*Asumsi!$C$5</f>
        <v>6800</v>
      </c>
      <c r="E23" s="35" t="n">
        <f aca="false">Rencana_Dalops!G23</f>
        <v>6800</v>
      </c>
      <c r="F23" s="34" t="n">
        <f aca="false">Rencana_Dalops!H23*Asumsi!$C$17*(1-Rencana_Dalops!I23)+Rencana_Dalops!J23*Asumsi!$C$18+Rencana_Dalops!K23*Asumsi!$C$19</f>
        <v>1226.8882016461</v>
      </c>
      <c r="G23" s="34" t="n">
        <f aca="false">Rencana_Dalops!L23*Asumsi!$C$25+Rencana_Dalops!M23*IF(E23&gt;0,D23/E23,0)</f>
        <v>1570.1535555556</v>
      </c>
      <c r="H23" s="21" t="n">
        <f aca="false">H22+F23-G23</f>
        <v>38611.3046882698</v>
      </c>
      <c r="I23" s="34" t="n">
        <f aca="false">IF(B23-Asumsi!$C$21&gt;=1,INDEX(Rencana_Dalops!$N$3:$N$90,B23-Asumsi!$C$21),0)*Asumsi!$C$20</f>
        <v>0</v>
      </c>
      <c r="J23" s="34" t="n">
        <f aca="false">Rencana_Dalops!O23+Rencana_Dalops!P23*IF(E23&gt;0,D23/E23,0)</f>
        <v>1809.825</v>
      </c>
      <c r="K23" s="21" t="n">
        <f aca="false">K22+I23-J23</f>
        <v>118100.6336</v>
      </c>
      <c r="L23" s="34" t="n">
        <f aca="false">Rencana_Dalops!Q23*Asumsi!$C$22+Rencana_Dalops!R23*Asumsi!$C$23</f>
        <v>1950</v>
      </c>
      <c r="M23" s="34" t="n">
        <f aca="false">Rencana_Dalops!S23*Asumsi!$C$24+Rencana_Dalops!T23*IF(E23&gt;0,D23/E23,0)</f>
        <v>3169.8778666667</v>
      </c>
      <c r="N23" s="21" t="n">
        <f aca="false">N22+L23-M23</f>
        <v>10740.4671999993</v>
      </c>
      <c r="O23" s="21" t="n">
        <f aca="false">O22+Rencana_Dalops!M23*IF(Asumsi!$C$5&gt;0,IF(E23&gt;0,D23/E23,0)/Asumsi!$C$5,0)</f>
        <v>29891.037</v>
      </c>
      <c r="P23" s="21" t="n">
        <f aca="false">H23+O23*Asumsi!$C$5</f>
        <v>68502.3416882698</v>
      </c>
      <c r="Q23" s="21" t="n">
        <f aca="false">Q22+Rencana_Dalops!P23*IF(Asumsi!$C$5&gt;0,IF(E23&gt;0,D23/E23,0)/Asumsi!$C$5,0)</f>
        <v>34786.85</v>
      </c>
      <c r="R23" s="21" t="n">
        <f aca="false">K23+Q23*Asumsi!$C$5</f>
        <v>152887.4836</v>
      </c>
      <c r="S23" s="21" t="n">
        <f aca="false">S22+Rencana_Dalops!T23*IF(Asumsi!$C$5&gt;0,IF(E23&gt;0,D23/E23,0)/Asumsi!$C$5,0)</f>
        <v>14967.8628</v>
      </c>
      <c r="T23" s="21" t="n">
        <f aca="false">N23+S23*Asumsi!$C$5</f>
        <v>25708.3299999993</v>
      </c>
      <c r="U23" s="22" t="n">
        <f aca="false">IF(OR(C23=0,O23&lt;=0),"",P23/O23)</f>
        <v>2.29173520103267</v>
      </c>
      <c r="V23" s="22" t="n">
        <f aca="false">IF(OR(C23=0,Q23&lt;=0),"",R23/Q23)</f>
        <v>4.39497924071884</v>
      </c>
      <c r="W23" s="22" t="n">
        <f aca="false">IF(OR(C23=0,S23&lt;=0),"",T23/S23)</f>
        <v>1.71756852287551</v>
      </c>
      <c r="X23" s="23" t="str">
        <f aca="false">IF(AND(C23=1,H23&lt;0),A23,"")</f>
        <v/>
      </c>
      <c r="Y23" s="23" t="str">
        <f aca="false">IF(AND(C23=1,K23&lt;0),A23,"")</f>
        <v/>
      </c>
      <c r="Z23" s="23" t="str">
        <f aca="false">IF(AND(C23=1,N23&lt;0),A23,"")</f>
        <v/>
      </c>
      <c r="AA23" s="21" t="n">
        <f aca="false">IF(C23=0,"",MIN(H23+Asumsi!$C$31-Asumsi!$C$34,K23+Asumsi!$C$32-Asumsi!$C$35,N23+Asumsi!$C$33-Asumsi!$C$36))</f>
        <v>6740.4671999993</v>
      </c>
      <c r="AB23" s="21" t="n">
        <f aca="false">IF(C23=1,H23,"")</f>
        <v>38611.3046882698</v>
      </c>
      <c r="AC23" s="21" t="n">
        <f aca="false">IF(C23=1,K23,"")</f>
        <v>118100.6336</v>
      </c>
      <c r="AD23" s="21" t="n">
        <f aca="false">IF(C23=1,N23,"")</f>
        <v>10740.4671999993</v>
      </c>
    </row>
    <row r="24" customFormat="false" ht="15" hidden="false" customHeight="false" outlineLevel="0" collapsed="false">
      <c r="A24" s="32" t="n">
        <f aca="false">Rencana_Dalops!A24</f>
        <v>46321</v>
      </c>
      <c r="B24" s="33" t="n">
        <f aca="false">A24-Rencana_Dalops!$A$3+1</f>
        <v>22</v>
      </c>
      <c r="C24" s="33" t="n">
        <f aca="false">IF(A24&lt;=Asumsi!$C$6,1,0)</f>
        <v>1</v>
      </c>
      <c r="D24" s="34" t="n">
        <f aca="false">(Rencana_Dalops!B24*Asumsi!$C$10+Rencana_Dalops!C24*Asumsi!$C$11+Rencana_Dalops!D24*Asumsi!$C$12+Rencana_Dalops!E24*Asumsi!$C$13+Rencana_Dalops!F24*Asumsi!$C$14)*Asumsi!$C$5</f>
        <v>6800</v>
      </c>
      <c r="E24" s="35" t="n">
        <f aca="false">Rencana_Dalops!G24</f>
        <v>6800</v>
      </c>
      <c r="F24" s="34" t="n">
        <f aca="false">Rencana_Dalops!H24*Asumsi!$C$17*(1-Rencana_Dalops!I24)+Rencana_Dalops!J24*Asumsi!$C$18+Rencana_Dalops!K24*Asumsi!$C$19</f>
        <v>1226.8882016461</v>
      </c>
      <c r="G24" s="34" t="n">
        <f aca="false">Rencana_Dalops!L24*Asumsi!$C$25+Rencana_Dalops!M24*IF(E24&gt;0,D24/E24,0)</f>
        <v>1570.1535555556</v>
      </c>
      <c r="H24" s="21" t="n">
        <f aca="false">H23+F24-G24</f>
        <v>38268.0393343603</v>
      </c>
      <c r="I24" s="34" t="n">
        <f aca="false">IF(B24-Asumsi!$C$21&gt;=1,INDEX(Rencana_Dalops!$N$3:$N$90,B24-Asumsi!$C$21),0)*Asumsi!$C$20</f>
        <v>0</v>
      </c>
      <c r="J24" s="34" t="n">
        <f aca="false">Rencana_Dalops!O24+Rencana_Dalops!P24*IF(E24&gt;0,D24/E24,0)</f>
        <v>1809.825</v>
      </c>
      <c r="K24" s="21" t="n">
        <f aca="false">K23+I24-J24</f>
        <v>116290.8086</v>
      </c>
      <c r="L24" s="34" t="n">
        <f aca="false">Rencana_Dalops!Q24*Asumsi!$C$22+Rencana_Dalops!R24*Asumsi!$C$23</f>
        <v>1950</v>
      </c>
      <c r="M24" s="34" t="n">
        <f aca="false">Rencana_Dalops!S24*Asumsi!$C$24+Rencana_Dalops!T24*IF(E24&gt;0,D24/E24,0)</f>
        <v>3169.8778666667</v>
      </c>
      <c r="N24" s="21" t="n">
        <f aca="false">N23+L24-M24</f>
        <v>9520.5893333326</v>
      </c>
      <c r="O24" s="21" t="n">
        <f aca="false">O23+Rencana_Dalops!M24*IF(Asumsi!$C$5&gt;0,IF(E24&gt;0,D24/E24,0)/Asumsi!$C$5,0)</f>
        <v>31405.635</v>
      </c>
      <c r="P24" s="21" t="n">
        <f aca="false">H24+O24*Asumsi!$C$5</f>
        <v>69673.6743343603</v>
      </c>
      <c r="Q24" s="21" t="n">
        <f aca="false">Q23+Rencana_Dalops!P24*IF(Asumsi!$C$5&gt;0,IF(E24&gt;0,D24/E24,0)/Asumsi!$C$5,0)</f>
        <v>36571.475</v>
      </c>
      <c r="R24" s="21" t="n">
        <f aca="false">K24+Q24*Asumsi!$C$5</f>
        <v>152862.2836</v>
      </c>
      <c r="S24" s="21" t="n">
        <f aca="false">S23+Rencana_Dalops!T24*IF(Asumsi!$C$5&gt;0,IF(E24&gt;0,D24/E24,0)/Asumsi!$C$5,0)</f>
        <v>15726.294</v>
      </c>
      <c r="T24" s="21" t="n">
        <f aca="false">N24+S24*Asumsi!$C$5</f>
        <v>25246.8833333326</v>
      </c>
      <c r="U24" s="22" t="n">
        <f aca="false">IF(OR(C24=0,O24&lt;=0),"",P24/O24)</f>
        <v>2.21850869547329</v>
      </c>
      <c r="V24" s="22" t="n">
        <f aca="false">IF(OR(C24=0,Q24&lt;=0),"",R24/Q24)</f>
        <v>4.17982276077189</v>
      </c>
      <c r="W24" s="22" t="n">
        <f aca="false">IF(OR(C24=0,S24&lt;=0),"",T24/S24)</f>
        <v>1.60539306548209</v>
      </c>
      <c r="X24" s="23" t="str">
        <f aca="false">IF(AND(C24=1,H24&lt;0),A24,"")</f>
        <v/>
      </c>
      <c r="Y24" s="23" t="str">
        <f aca="false">IF(AND(C24=1,K24&lt;0),A24,"")</f>
        <v/>
      </c>
      <c r="Z24" s="23" t="str">
        <f aca="false">IF(AND(C24=1,N24&lt;0),A24,"")</f>
        <v/>
      </c>
      <c r="AA24" s="21" t="n">
        <f aca="false">IF(C24=0,"",MIN(H24+Asumsi!$C$31-Asumsi!$C$34,K24+Asumsi!$C$32-Asumsi!$C$35,N24+Asumsi!$C$33-Asumsi!$C$36))</f>
        <v>5520.5893333326</v>
      </c>
      <c r="AB24" s="21" t="n">
        <f aca="false">IF(C24=1,H24,"")</f>
        <v>38268.0393343603</v>
      </c>
      <c r="AC24" s="21" t="n">
        <f aca="false">IF(C24=1,K24,"")</f>
        <v>116290.8086</v>
      </c>
      <c r="AD24" s="21" t="n">
        <f aca="false">IF(C24=1,N24,"")</f>
        <v>9520.5893333326</v>
      </c>
    </row>
    <row r="25" customFormat="false" ht="15" hidden="false" customHeight="false" outlineLevel="0" collapsed="false">
      <c r="A25" s="32" t="n">
        <f aca="false">Rencana_Dalops!A25</f>
        <v>46322</v>
      </c>
      <c r="B25" s="33" t="n">
        <f aca="false">A25-Rencana_Dalops!$A$3+1</f>
        <v>23</v>
      </c>
      <c r="C25" s="33" t="n">
        <f aca="false">IF(A25&lt;=Asumsi!$C$6,1,0)</f>
        <v>1</v>
      </c>
      <c r="D25" s="34" t="n">
        <f aca="false">(Rencana_Dalops!B25*Asumsi!$C$10+Rencana_Dalops!C25*Asumsi!$C$11+Rencana_Dalops!D25*Asumsi!$C$12+Rencana_Dalops!E25*Asumsi!$C$13+Rencana_Dalops!F25*Asumsi!$C$14)*Asumsi!$C$5</f>
        <v>6800</v>
      </c>
      <c r="E25" s="35" t="n">
        <f aca="false">Rencana_Dalops!G25</f>
        <v>6800</v>
      </c>
      <c r="F25" s="34" t="n">
        <f aca="false">Rencana_Dalops!H25*Asumsi!$C$17*(1-Rencana_Dalops!I25)+Rencana_Dalops!J25*Asumsi!$C$18+Rencana_Dalops!K25*Asumsi!$C$19</f>
        <v>1226.8882016461</v>
      </c>
      <c r="G25" s="34" t="n">
        <f aca="false">Rencana_Dalops!L25*Asumsi!$C$25+Rencana_Dalops!M25*IF(E25&gt;0,D25/E25,0)</f>
        <v>1570.1535555556</v>
      </c>
      <c r="H25" s="21" t="n">
        <f aca="false">H24+F25-G25</f>
        <v>37924.7739804508</v>
      </c>
      <c r="I25" s="34" t="n">
        <f aca="false">IF(B25-Asumsi!$C$21&gt;=1,INDEX(Rencana_Dalops!$N$3:$N$90,B25-Asumsi!$C$21),0)*Asumsi!$C$20</f>
        <v>0</v>
      </c>
      <c r="J25" s="34" t="n">
        <f aca="false">Rencana_Dalops!O25+Rencana_Dalops!P25*IF(E25&gt;0,D25/E25,0)</f>
        <v>1809.825</v>
      </c>
      <c r="K25" s="21" t="n">
        <f aca="false">K24+I25-J25</f>
        <v>114480.9836</v>
      </c>
      <c r="L25" s="34" t="n">
        <f aca="false">Rencana_Dalops!Q25*Asumsi!$C$22+Rencana_Dalops!R25*Asumsi!$C$23</f>
        <v>1950</v>
      </c>
      <c r="M25" s="34" t="n">
        <f aca="false">Rencana_Dalops!S25*Asumsi!$C$24+Rencana_Dalops!T25*IF(E25&gt;0,D25/E25,0)</f>
        <v>3037.4778666667</v>
      </c>
      <c r="N25" s="21" t="n">
        <f aca="false">N24+L25-M25</f>
        <v>8433.1114666659</v>
      </c>
      <c r="O25" s="21" t="n">
        <f aca="false">O24+Rencana_Dalops!M25*IF(Asumsi!$C$5&gt;0,IF(E25&gt;0,D25/E25,0)/Asumsi!$C$5,0)</f>
        <v>32920.233</v>
      </c>
      <c r="P25" s="21" t="n">
        <f aca="false">H25+O25*Asumsi!$C$5</f>
        <v>70845.0069804508</v>
      </c>
      <c r="Q25" s="21" t="n">
        <f aca="false">Q24+Rencana_Dalops!P25*IF(Asumsi!$C$5&gt;0,IF(E25&gt;0,D25/E25,0)/Asumsi!$C$5,0)</f>
        <v>38356.1</v>
      </c>
      <c r="R25" s="21" t="n">
        <f aca="false">K25+Q25*Asumsi!$C$5</f>
        <v>152837.0836</v>
      </c>
      <c r="S25" s="21" t="n">
        <f aca="false">S24+Rencana_Dalops!T25*IF(Asumsi!$C$5&gt;0,IF(E25&gt;0,D25/E25,0)/Asumsi!$C$5,0)</f>
        <v>16484.7252</v>
      </c>
      <c r="T25" s="21" t="n">
        <f aca="false">N25+S25*Asumsi!$C$5</f>
        <v>24917.8366666659</v>
      </c>
      <c r="U25" s="22" t="n">
        <f aca="false">IF(OR(C25=0,O25&lt;=0),"",P25/O25)</f>
        <v>2.15202021748907</v>
      </c>
      <c r="V25" s="22" t="n">
        <f aca="false">IF(OR(C25=0,Q25&lt;=0),"",R25/Q25)</f>
        <v>3.98468779672595</v>
      </c>
      <c r="W25" s="22" t="n">
        <f aca="false">IF(OR(C25=0,S25&lt;=0),"",T25/S25)</f>
        <v>1.51157124940523</v>
      </c>
      <c r="X25" s="23" t="str">
        <f aca="false">IF(AND(C25=1,H25&lt;0),A25,"")</f>
        <v/>
      </c>
      <c r="Y25" s="23" t="str">
        <f aca="false">IF(AND(C25=1,K25&lt;0),A25,"")</f>
        <v/>
      </c>
      <c r="Z25" s="23" t="str">
        <f aca="false">IF(AND(C25=1,N25&lt;0),A25,"")</f>
        <v/>
      </c>
      <c r="AA25" s="21" t="n">
        <f aca="false">IF(C25=0,"",MIN(H25+Asumsi!$C$31-Asumsi!$C$34,K25+Asumsi!$C$32-Asumsi!$C$35,N25+Asumsi!$C$33-Asumsi!$C$36))</f>
        <v>4433.1114666659</v>
      </c>
      <c r="AB25" s="21" t="n">
        <f aca="false">IF(C25=1,H25,"")</f>
        <v>37924.7739804508</v>
      </c>
      <c r="AC25" s="21" t="n">
        <f aca="false">IF(C25=1,K25,"")</f>
        <v>114480.9836</v>
      </c>
      <c r="AD25" s="21" t="n">
        <f aca="false">IF(C25=1,N25,"")</f>
        <v>8433.1114666659</v>
      </c>
    </row>
    <row r="26" customFormat="false" ht="15" hidden="false" customHeight="false" outlineLevel="0" collapsed="false">
      <c r="A26" s="32" t="n">
        <f aca="false">Rencana_Dalops!A26</f>
        <v>46323</v>
      </c>
      <c r="B26" s="33" t="n">
        <f aca="false">A26-Rencana_Dalops!$A$3+1</f>
        <v>24</v>
      </c>
      <c r="C26" s="33" t="n">
        <f aca="false">IF(A26&lt;=Asumsi!$C$6,1,0)</f>
        <v>1</v>
      </c>
      <c r="D26" s="34" t="n">
        <f aca="false">(Rencana_Dalops!B26*Asumsi!$C$10+Rencana_Dalops!C26*Asumsi!$C$11+Rencana_Dalops!D26*Asumsi!$C$12+Rencana_Dalops!E26*Asumsi!$C$13+Rencana_Dalops!F26*Asumsi!$C$14)*Asumsi!$C$5</f>
        <v>6800</v>
      </c>
      <c r="E26" s="35" t="n">
        <f aca="false">Rencana_Dalops!G26</f>
        <v>6800</v>
      </c>
      <c r="F26" s="34" t="n">
        <f aca="false">Rencana_Dalops!H26*Asumsi!$C$17*(1-Rencana_Dalops!I26)+Rencana_Dalops!J26*Asumsi!$C$18+Rencana_Dalops!K26*Asumsi!$C$19</f>
        <v>1226.8882016461</v>
      </c>
      <c r="G26" s="34" t="n">
        <f aca="false">Rencana_Dalops!L26*Asumsi!$C$25+Rencana_Dalops!M26*IF(E26&gt;0,D26/E26,0)</f>
        <v>1570.1535555556</v>
      </c>
      <c r="H26" s="21" t="n">
        <f aca="false">H25+F26-G26</f>
        <v>37581.5086265413</v>
      </c>
      <c r="I26" s="34" t="n">
        <f aca="false">IF(B26-Asumsi!$C$21&gt;=1,INDEX(Rencana_Dalops!$N$3:$N$90,B26-Asumsi!$C$21),0)*Asumsi!$C$20</f>
        <v>0</v>
      </c>
      <c r="J26" s="34" t="n">
        <f aca="false">Rencana_Dalops!O26+Rencana_Dalops!P26*IF(E26&gt;0,D26/E26,0)</f>
        <v>1809.825</v>
      </c>
      <c r="K26" s="21" t="n">
        <f aca="false">K25+I26-J26</f>
        <v>112671.1586</v>
      </c>
      <c r="L26" s="34" t="n">
        <f aca="false">Rencana_Dalops!Q26*Asumsi!$C$22+Rencana_Dalops!R26*Asumsi!$C$23</f>
        <v>0</v>
      </c>
      <c r="M26" s="34" t="n">
        <f aca="false">Rencana_Dalops!S26*Asumsi!$C$24+Rencana_Dalops!T26*IF(E26&gt;0,D26/E26,0)</f>
        <v>3037.4778666667</v>
      </c>
      <c r="N26" s="21" t="n">
        <f aca="false">N25+L26-M26</f>
        <v>5395.6335999992</v>
      </c>
      <c r="O26" s="21" t="n">
        <f aca="false">O25+Rencana_Dalops!M26*IF(Asumsi!$C$5&gt;0,IF(E26&gt;0,D26/E26,0)/Asumsi!$C$5,0)</f>
        <v>34434.831</v>
      </c>
      <c r="P26" s="21" t="n">
        <f aca="false">H26+O26*Asumsi!$C$5</f>
        <v>72016.3396265413</v>
      </c>
      <c r="Q26" s="21" t="n">
        <f aca="false">Q25+Rencana_Dalops!P26*IF(Asumsi!$C$5&gt;0,IF(E26&gt;0,D26/E26,0)/Asumsi!$C$5,0)</f>
        <v>40140.725</v>
      </c>
      <c r="R26" s="21" t="n">
        <f aca="false">K26+Q26*Asumsi!$C$5</f>
        <v>152811.8836</v>
      </c>
      <c r="S26" s="21" t="n">
        <f aca="false">S25+Rencana_Dalops!T26*IF(Asumsi!$C$5&gt;0,IF(E26&gt;0,D26/E26,0)/Asumsi!$C$5,0)</f>
        <v>17243.1564</v>
      </c>
      <c r="T26" s="21" t="n">
        <f aca="false">N26+S26*Asumsi!$C$5</f>
        <v>22638.7899999992</v>
      </c>
      <c r="U26" s="22" t="n">
        <f aca="false">IF(OR(C26=0,O26&lt;=0),"",P26/O26)</f>
        <v>2.09138066124214</v>
      </c>
      <c r="V26" s="22" t="n">
        <f aca="false">IF(OR(C26=0,Q26&lt;=0),"",R26/Q26)</f>
        <v>3.8069039261249</v>
      </c>
      <c r="W26" s="22" t="n">
        <f aca="false">IF(OR(C26=0,S26&lt;=0),"",T26/S26)</f>
        <v>1.31291449632732</v>
      </c>
      <c r="X26" s="23" t="str">
        <f aca="false">IF(AND(C26=1,H26&lt;0),A26,"")</f>
        <v/>
      </c>
      <c r="Y26" s="23" t="str">
        <f aca="false">IF(AND(C26=1,K26&lt;0),A26,"")</f>
        <v/>
      </c>
      <c r="Z26" s="23" t="str">
        <f aca="false">IF(AND(C26=1,N26&lt;0),A26,"")</f>
        <v/>
      </c>
      <c r="AA26" s="21" t="n">
        <f aca="false">IF(C26=0,"",MIN(H26+Asumsi!$C$31-Asumsi!$C$34,K26+Asumsi!$C$32-Asumsi!$C$35,N26+Asumsi!$C$33-Asumsi!$C$36))</f>
        <v>1395.6335999992</v>
      </c>
      <c r="AB26" s="21" t="n">
        <f aca="false">IF(C26=1,H26,"")</f>
        <v>37581.5086265413</v>
      </c>
      <c r="AC26" s="21" t="n">
        <f aca="false">IF(C26=1,K26,"")</f>
        <v>112671.1586</v>
      </c>
      <c r="AD26" s="21" t="n">
        <f aca="false">IF(C26=1,N26,"")</f>
        <v>5395.6335999992</v>
      </c>
    </row>
    <row r="27" customFormat="false" ht="15" hidden="false" customHeight="false" outlineLevel="0" collapsed="false">
      <c r="A27" s="32" t="n">
        <f aca="false">Rencana_Dalops!A27</f>
        <v>46324</v>
      </c>
      <c r="B27" s="33" t="n">
        <f aca="false">A27-Rencana_Dalops!$A$3+1</f>
        <v>25</v>
      </c>
      <c r="C27" s="33" t="n">
        <f aca="false">IF(A27&lt;=Asumsi!$C$6,1,0)</f>
        <v>1</v>
      </c>
      <c r="D27" s="34" t="n">
        <f aca="false">(Rencana_Dalops!B27*Asumsi!$C$10+Rencana_Dalops!C27*Asumsi!$C$11+Rencana_Dalops!D27*Asumsi!$C$12+Rencana_Dalops!E27*Asumsi!$C$13+Rencana_Dalops!F27*Asumsi!$C$14)*Asumsi!$C$5</f>
        <v>6800</v>
      </c>
      <c r="E27" s="35" t="n">
        <f aca="false">Rencana_Dalops!G27</f>
        <v>6800</v>
      </c>
      <c r="F27" s="34" t="n">
        <f aca="false">Rencana_Dalops!H27*Asumsi!$C$17*(1-Rencana_Dalops!I27)+Rencana_Dalops!J27*Asumsi!$C$18+Rencana_Dalops!K27*Asumsi!$C$19</f>
        <v>1226.8882016461</v>
      </c>
      <c r="G27" s="34" t="n">
        <f aca="false">Rencana_Dalops!L27*Asumsi!$C$25+Rencana_Dalops!M27*IF(E27&gt;0,D27/E27,0)</f>
        <v>1570.1535555556</v>
      </c>
      <c r="H27" s="21" t="n">
        <f aca="false">H26+F27-G27</f>
        <v>37238.2432726318</v>
      </c>
      <c r="I27" s="34" t="n">
        <f aca="false">IF(B27-Asumsi!$C$21&gt;=1,INDEX(Rencana_Dalops!$N$3:$N$90,B27-Asumsi!$C$21),0)*Asumsi!$C$20</f>
        <v>0</v>
      </c>
      <c r="J27" s="34" t="n">
        <f aca="false">Rencana_Dalops!O27+Rencana_Dalops!P27*IF(E27&gt;0,D27/E27,0)</f>
        <v>1809.825</v>
      </c>
      <c r="K27" s="21" t="n">
        <f aca="false">K26+I27-J27</f>
        <v>110861.3336</v>
      </c>
      <c r="L27" s="34" t="n">
        <f aca="false">Rencana_Dalops!Q27*Asumsi!$C$22+Rencana_Dalops!R27*Asumsi!$C$23</f>
        <v>1950</v>
      </c>
      <c r="M27" s="34" t="n">
        <f aca="false">Rencana_Dalops!S27*Asumsi!$C$24+Rencana_Dalops!T27*IF(E27&gt;0,D27/E27,0)</f>
        <v>3169.8778666667</v>
      </c>
      <c r="N27" s="21" t="n">
        <f aca="false">N26+L27-M27</f>
        <v>4175.7557333325</v>
      </c>
      <c r="O27" s="21" t="n">
        <f aca="false">O26+Rencana_Dalops!M27*IF(Asumsi!$C$5&gt;0,IF(E27&gt;0,D27/E27,0)/Asumsi!$C$5,0)</f>
        <v>35949.429</v>
      </c>
      <c r="P27" s="21" t="n">
        <f aca="false">H27+O27*Asumsi!$C$5</f>
        <v>73187.6722726318</v>
      </c>
      <c r="Q27" s="21" t="n">
        <f aca="false">Q26+Rencana_Dalops!P27*IF(Asumsi!$C$5&gt;0,IF(E27&gt;0,D27/E27,0)/Asumsi!$C$5,0)</f>
        <v>41925.35</v>
      </c>
      <c r="R27" s="21" t="n">
        <f aca="false">K27+Q27*Asumsi!$C$5</f>
        <v>152786.6836</v>
      </c>
      <c r="S27" s="21" t="n">
        <f aca="false">S26+Rencana_Dalops!T27*IF(Asumsi!$C$5&gt;0,IF(E27&gt;0,D27/E27,0)/Asumsi!$C$5,0)</f>
        <v>18001.5876</v>
      </c>
      <c r="T27" s="21" t="n">
        <f aca="false">N27+S27*Asumsi!$C$5</f>
        <v>22177.3433333325</v>
      </c>
      <c r="U27" s="22" t="n">
        <f aca="false">IF(OR(C27=0,O27&lt;=0),"",P27/O27)</f>
        <v>2.03585075781404</v>
      </c>
      <c r="V27" s="22" t="n">
        <f aca="false">IF(OR(C27=0,Q27&lt;=0),"",R27/Q27)</f>
        <v>3.64425541110569</v>
      </c>
      <c r="W27" s="22" t="n">
        <f aca="false">IF(OR(C27=0,S27&lt;=0),"",T27/S27)</f>
        <v>1.23196597023101</v>
      </c>
      <c r="X27" s="23" t="str">
        <f aca="false">IF(AND(C27=1,H27&lt;0),A27,"")</f>
        <v/>
      </c>
      <c r="Y27" s="23" t="str">
        <f aca="false">IF(AND(C27=1,K27&lt;0),A27,"")</f>
        <v/>
      </c>
      <c r="Z27" s="23" t="str">
        <f aca="false">IF(AND(C27=1,N27&lt;0),A27,"")</f>
        <v/>
      </c>
      <c r="AA27" s="21" t="n">
        <f aca="false">IF(C27=0,"",MIN(H27+Asumsi!$C$31-Asumsi!$C$34,K27+Asumsi!$C$32-Asumsi!$C$35,N27+Asumsi!$C$33-Asumsi!$C$36))</f>
        <v>175.755733332499</v>
      </c>
      <c r="AB27" s="21" t="n">
        <f aca="false">IF(C27=1,H27,"")</f>
        <v>37238.2432726318</v>
      </c>
      <c r="AC27" s="21" t="n">
        <f aca="false">IF(C27=1,K27,"")</f>
        <v>110861.3336</v>
      </c>
      <c r="AD27" s="21" t="n">
        <f aca="false">IF(C27=1,N27,"")</f>
        <v>4175.7557333325</v>
      </c>
    </row>
    <row r="28" customFormat="false" ht="15" hidden="false" customHeight="false" outlineLevel="0" collapsed="false">
      <c r="A28" s="32" t="n">
        <f aca="false">Rencana_Dalops!A28</f>
        <v>46325</v>
      </c>
      <c r="B28" s="33" t="n">
        <f aca="false">A28-Rencana_Dalops!$A$3+1</f>
        <v>26</v>
      </c>
      <c r="C28" s="33" t="n">
        <f aca="false">IF(A28&lt;=Asumsi!$C$6,1,0)</f>
        <v>1</v>
      </c>
      <c r="D28" s="34" t="n">
        <f aca="false">(Rencana_Dalops!B28*Asumsi!$C$10+Rencana_Dalops!C28*Asumsi!$C$11+Rencana_Dalops!D28*Asumsi!$C$12+Rencana_Dalops!E28*Asumsi!$C$13+Rencana_Dalops!F28*Asumsi!$C$14)*Asumsi!$C$5</f>
        <v>6800</v>
      </c>
      <c r="E28" s="35" t="n">
        <f aca="false">Rencana_Dalops!G28</f>
        <v>6800</v>
      </c>
      <c r="F28" s="34" t="n">
        <f aca="false">Rencana_Dalops!H28*Asumsi!$C$17*(1-Rencana_Dalops!I28)+Rencana_Dalops!J28*Asumsi!$C$18+Rencana_Dalops!K28*Asumsi!$C$19</f>
        <v>1226.8882016461</v>
      </c>
      <c r="G28" s="34" t="n">
        <f aca="false">Rencana_Dalops!L28*Asumsi!$C$25+Rencana_Dalops!M28*IF(E28&gt;0,D28/E28,0)</f>
        <v>1570.1535555556</v>
      </c>
      <c r="H28" s="21" t="n">
        <f aca="false">H27+F28-G28</f>
        <v>36894.9779187224</v>
      </c>
      <c r="I28" s="34" t="n">
        <f aca="false">IF(B28-Asumsi!$C$21&gt;=1,INDEX(Rencana_Dalops!$N$3:$N$90,B28-Asumsi!$C$21),0)*Asumsi!$C$20</f>
        <v>0</v>
      </c>
      <c r="J28" s="34" t="n">
        <f aca="false">Rencana_Dalops!O28+Rencana_Dalops!P28*IF(E28&gt;0,D28/E28,0)</f>
        <v>1809.825</v>
      </c>
      <c r="K28" s="21" t="n">
        <f aca="false">K27+I28-J28</f>
        <v>109051.5086</v>
      </c>
      <c r="L28" s="34" t="n">
        <f aca="false">Rencana_Dalops!Q28*Asumsi!$C$22+Rencana_Dalops!R28*Asumsi!$C$23</f>
        <v>4950</v>
      </c>
      <c r="M28" s="34" t="n">
        <f aca="false">Rencana_Dalops!S28*Asumsi!$C$24+Rencana_Dalops!T28*IF(E28&gt;0,D28/E28,0)</f>
        <v>3169.8778666667</v>
      </c>
      <c r="N28" s="21" t="n">
        <f aca="false">N27+L28-M28</f>
        <v>5955.8778666658</v>
      </c>
      <c r="O28" s="21" t="n">
        <f aca="false">O27+Rencana_Dalops!M28*IF(Asumsi!$C$5&gt;0,IF(E28&gt;0,D28/E28,0)/Asumsi!$C$5,0)</f>
        <v>37464.027</v>
      </c>
      <c r="P28" s="21" t="n">
        <f aca="false">H28+O28*Asumsi!$C$5</f>
        <v>74359.0049187223</v>
      </c>
      <c r="Q28" s="21" t="n">
        <f aca="false">Q27+Rencana_Dalops!P28*IF(Asumsi!$C$5&gt;0,IF(E28&gt;0,D28/E28,0)/Asumsi!$C$5,0)</f>
        <v>43709.975</v>
      </c>
      <c r="R28" s="21" t="n">
        <f aca="false">K28+Q28*Asumsi!$C$5</f>
        <v>152761.4836</v>
      </c>
      <c r="S28" s="21" t="n">
        <f aca="false">S27+Rencana_Dalops!T28*IF(Asumsi!$C$5&gt;0,IF(E28&gt;0,D28/E28,0)/Asumsi!$C$5,0)</f>
        <v>18760.0188</v>
      </c>
      <c r="T28" s="21" t="n">
        <f aca="false">N28+S28*Asumsi!$C$5</f>
        <v>24715.8966666658</v>
      </c>
      <c r="U28" s="22" t="n">
        <f aca="false">IF(OR(C28=0,O28&lt;=0),"",P28/O28)</f>
        <v>1.98481078712447</v>
      </c>
      <c r="V28" s="22" t="n">
        <f aca="false">IF(OR(C28=0,Q28&lt;=0),"",R28/Q28)</f>
        <v>3.49488837730976</v>
      </c>
      <c r="W28" s="22" t="n">
        <f aca="false">IF(OR(C28=0,S28&lt;=0),"",T28/S28)</f>
        <v>1.31747718006902</v>
      </c>
      <c r="X28" s="23" t="str">
        <f aca="false">IF(AND(C28=1,H28&lt;0),A28,"")</f>
        <v/>
      </c>
      <c r="Y28" s="23" t="str">
        <f aca="false">IF(AND(C28=1,K28&lt;0),A28,"")</f>
        <v/>
      </c>
      <c r="Z28" s="23" t="str">
        <f aca="false">IF(AND(C28=1,N28&lt;0),A28,"")</f>
        <v/>
      </c>
      <c r="AA28" s="21" t="n">
        <f aca="false">IF(C28=0,"",MIN(H28+Asumsi!$C$31-Asumsi!$C$34,K28+Asumsi!$C$32-Asumsi!$C$35,N28+Asumsi!$C$33-Asumsi!$C$36))</f>
        <v>1955.8778666658</v>
      </c>
      <c r="AB28" s="21" t="n">
        <f aca="false">IF(C28=1,H28,"")</f>
        <v>36894.9779187224</v>
      </c>
      <c r="AC28" s="21" t="n">
        <f aca="false">IF(C28=1,K28,"")</f>
        <v>109051.5086</v>
      </c>
      <c r="AD28" s="21" t="n">
        <f aca="false">IF(C28=1,N28,"")</f>
        <v>5955.8778666658</v>
      </c>
    </row>
    <row r="29" customFormat="false" ht="15" hidden="false" customHeight="false" outlineLevel="0" collapsed="false">
      <c r="A29" s="32" t="n">
        <f aca="false">Rencana_Dalops!A29</f>
        <v>46326</v>
      </c>
      <c r="B29" s="33" t="n">
        <f aca="false">A29-Rencana_Dalops!$A$3+1</f>
        <v>27</v>
      </c>
      <c r="C29" s="33" t="n">
        <f aca="false">IF(A29&lt;=Asumsi!$C$6,1,0)</f>
        <v>1</v>
      </c>
      <c r="D29" s="34" t="n">
        <f aca="false">(Rencana_Dalops!B29*Asumsi!$C$10+Rencana_Dalops!C29*Asumsi!$C$11+Rencana_Dalops!D29*Asumsi!$C$12+Rencana_Dalops!E29*Asumsi!$C$13+Rencana_Dalops!F29*Asumsi!$C$14)*Asumsi!$C$5</f>
        <v>6800</v>
      </c>
      <c r="E29" s="35" t="n">
        <f aca="false">Rencana_Dalops!G29</f>
        <v>6800</v>
      </c>
      <c r="F29" s="34" t="n">
        <f aca="false">Rencana_Dalops!H29*Asumsi!$C$17*(1-Rencana_Dalops!I29)+Rencana_Dalops!J29*Asumsi!$C$18+Rencana_Dalops!K29*Asumsi!$C$19</f>
        <v>1226.8882016461</v>
      </c>
      <c r="G29" s="34" t="n">
        <f aca="false">Rencana_Dalops!L29*Asumsi!$C$25+Rencana_Dalops!M29*IF(E29&gt;0,D29/E29,0)</f>
        <v>1570.1535555556</v>
      </c>
      <c r="H29" s="21" t="n">
        <f aca="false">H28+F29-G29</f>
        <v>36551.7125648129</v>
      </c>
      <c r="I29" s="34" t="n">
        <f aca="false">IF(B29-Asumsi!$C$21&gt;=1,INDEX(Rencana_Dalops!$N$3:$N$90,B29-Asumsi!$C$21),0)*Asumsi!$C$20</f>
        <v>0</v>
      </c>
      <c r="J29" s="34" t="n">
        <f aca="false">Rencana_Dalops!O29+Rencana_Dalops!P29*IF(E29&gt;0,D29/E29,0)</f>
        <v>1809.825</v>
      </c>
      <c r="K29" s="21" t="n">
        <f aca="false">K28+I29-J29</f>
        <v>107241.6836</v>
      </c>
      <c r="L29" s="34" t="n">
        <f aca="false">Rencana_Dalops!Q29*Asumsi!$C$22+Rencana_Dalops!R29*Asumsi!$C$23</f>
        <v>4950</v>
      </c>
      <c r="M29" s="34" t="n">
        <f aca="false">Rencana_Dalops!S29*Asumsi!$C$24+Rencana_Dalops!T29*IF(E29&gt;0,D29/E29,0)</f>
        <v>3169.8778666667</v>
      </c>
      <c r="N29" s="21" t="n">
        <f aca="false">N28+L29-M29</f>
        <v>7735.9999999991</v>
      </c>
      <c r="O29" s="21" t="n">
        <f aca="false">O28+Rencana_Dalops!M29*IF(Asumsi!$C$5&gt;0,IF(E29&gt;0,D29/E29,0)/Asumsi!$C$5,0)</f>
        <v>38978.625</v>
      </c>
      <c r="P29" s="21" t="n">
        <f aca="false">H29+O29*Asumsi!$C$5</f>
        <v>75530.3375648128</v>
      </c>
      <c r="Q29" s="21" t="n">
        <f aca="false">Q28+Rencana_Dalops!P29*IF(Asumsi!$C$5&gt;0,IF(E29&gt;0,D29/E29,0)/Asumsi!$C$5,0)</f>
        <v>45494.6</v>
      </c>
      <c r="R29" s="21" t="n">
        <f aca="false">K29+Q29*Asumsi!$C$5</f>
        <v>152736.2836</v>
      </c>
      <c r="S29" s="21" t="n">
        <f aca="false">S28+Rencana_Dalops!T29*IF(Asumsi!$C$5&gt;0,IF(E29&gt;0,D29/E29,0)/Asumsi!$C$5,0)</f>
        <v>19518.45</v>
      </c>
      <c r="T29" s="21" t="n">
        <f aca="false">N29+S29*Asumsi!$C$5</f>
        <v>27254.4499999991</v>
      </c>
      <c r="U29" s="22" t="n">
        <f aca="false">IF(OR(C29=0,O29&lt;=0),"",P29/O29)</f>
        <v>1.93773735129992</v>
      </c>
      <c r="V29" s="22" t="n">
        <f aca="false">IF(OR(C29=0,Q29&lt;=0),"",R29/Q29)</f>
        <v>3.35723983945347</v>
      </c>
      <c r="W29" s="22" t="n">
        <f aca="false">IF(OR(C29=0,S29&lt;=0),"",T29/S29)</f>
        <v>1.39634294731391</v>
      </c>
      <c r="X29" s="23" t="str">
        <f aca="false">IF(AND(C29=1,H29&lt;0),A29,"")</f>
        <v/>
      </c>
      <c r="Y29" s="23" t="str">
        <f aca="false">IF(AND(C29=1,K29&lt;0),A29,"")</f>
        <v/>
      </c>
      <c r="Z29" s="23" t="str">
        <f aca="false">IF(AND(C29=1,N29&lt;0),A29,"")</f>
        <v/>
      </c>
      <c r="AA29" s="21" t="n">
        <f aca="false">IF(C29=0,"",MIN(H29+Asumsi!$C$31-Asumsi!$C$34,K29+Asumsi!$C$32-Asumsi!$C$35,N29+Asumsi!$C$33-Asumsi!$C$36))</f>
        <v>3735.9999999991</v>
      </c>
      <c r="AB29" s="21" t="n">
        <f aca="false">IF(C29=1,H29,"")</f>
        <v>36551.7125648129</v>
      </c>
      <c r="AC29" s="21" t="n">
        <f aca="false">IF(C29=1,K29,"")</f>
        <v>107241.6836</v>
      </c>
      <c r="AD29" s="21" t="n">
        <f aca="false">IF(C29=1,N29,"")</f>
        <v>7735.9999999991</v>
      </c>
    </row>
    <row r="30" customFormat="false" ht="15" hidden="false" customHeight="false" outlineLevel="0" collapsed="false">
      <c r="A30" s="32" t="n">
        <f aca="false">Rencana_Dalops!A30</f>
        <v>46327</v>
      </c>
      <c r="B30" s="33" t="n">
        <f aca="false">A30-Rencana_Dalops!$A$3+1</f>
        <v>28</v>
      </c>
      <c r="C30" s="33" t="n">
        <f aca="false">IF(A30&lt;=Asumsi!$C$6,1,0)</f>
        <v>1</v>
      </c>
      <c r="D30" s="34" t="n">
        <f aca="false">(Rencana_Dalops!B30*Asumsi!$C$10+Rencana_Dalops!C30*Asumsi!$C$11+Rencana_Dalops!D30*Asumsi!$C$12+Rencana_Dalops!E30*Asumsi!$C$13+Rencana_Dalops!F30*Asumsi!$C$14)*Asumsi!$C$5</f>
        <v>6800</v>
      </c>
      <c r="E30" s="35" t="n">
        <f aca="false">Rencana_Dalops!G30</f>
        <v>6800</v>
      </c>
      <c r="F30" s="34" t="n">
        <f aca="false">Rencana_Dalops!H30*Asumsi!$C$17*(1-Rencana_Dalops!I30)+Rencana_Dalops!J30*Asumsi!$C$18+Rencana_Dalops!K30*Asumsi!$C$19</f>
        <v>1753.7511947593</v>
      </c>
      <c r="G30" s="34" t="n">
        <f aca="false">Rencana_Dalops!L30*Asumsi!$C$25+Rencana_Dalops!M30*IF(E30&gt;0,D30/E30,0)</f>
        <v>1564.598</v>
      </c>
      <c r="H30" s="21" t="n">
        <f aca="false">H29+F30-G30</f>
        <v>36740.8657595721</v>
      </c>
      <c r="I30" s="34" t="n">
        <f aca="false">IF(B30-Asumsi!$C$21&gt;=1,INDEX(Rencana_Dalops!$N$3:$N$90,B30-Asumsi!$C$21),0)*Asumsi!$C$20</f>
        <v>0</v>
      </c>
      <c r="J30" s="34" t="n">
        <f aca="false">Rencana_Dalops!O30+Rencana_Dalops!P30*IF(E30&gt;0,D30/E30,0)</f>
        <v>1804.785</v>
      </c>
      <c r="K30" s="21" t="n">
        <f aca="false">K29+I30-J30</f>
        <v>105436.8986</v>
      </c>
      <c r="L30" s="34" t="n">
        <f aca="false">Rencana_Dalops!Q30*Asumsi!$C$22+Rencana_Dalops!R30*Asumsi!$C$23</f>
        <v>4950</v>
      </c>
      <c r="M30" s="34" t="n">
        <f aca="false">Rencana_Dalops!S30*Asumsi!$C$24+Rencana_Dalops!T30*IF(E30&gt;0,D30/E30,0)</f>
        <v>2538.8145333333</v>
      </c>
      <c r="N30" s="21" t="n">
        <f aca="false">N29+L30-M30</f>
        <v>10147.1854666658</v>
      </c>
      <c r="O30" s="21" t="n">
        <f aca="false">O29+Rencana_Dalops!M30*IF(Asumsi!$C$5&gt;0,IF(E30&gt;0,D30/E30,0)/Asumsi!$C$5,0)</f>
        <v>40493.223</v>
      </c>
      <c r="P30" s="21" t="n">
        <f aca="false">H30+O30*Asumsi!$C$5</f>
        <v>77234.0887595721</v>
      </c>
      <c r="Q30" s="21" t="n">
        <f aca="false">Q29+Rencana_Dalops!P30*IF(Asumsi!$C$5&gt;0,IF(E30&gt;0,D30/E30,0)/Asumsi!$C$5,0)</f>
        <v>47279.225</v>
      </c>
      <c r="R30" s="21" t="n">
        <f aca="false">K30+Q30*Asumsi!$C$5</f>
        <v>152716.1236</v>
      </c>
      <c r="S30" s="21" t="n">
        <f aca="false">S29+Rencana_Dalops!T30*IF(Asumsi!$C$5&gt;0,IF(E30&gt;0,D30/E30,0)/Asumsi!$C$5,0)</f>
        <v>20276.8812</v>
      </c>
      <c r="T30" s="21" t="n">
        <f aca="false">N30+S30*Asumsi!$C$5</f>
        <v>30424.0666666658</v>
      </c>
      <c r="U30" s="22" t="n">
        <f aca="false">IF(OR(C30=0,O30&lt;=0),"",P30/O30)</f>
        <v>1.90733369777882</v>
      </c>
      <c r="V30" s="22" t="n">
        <f aca="false">IF(OR(C30=0,Q30&lt;=0),"",R30/Q30)</f>
        <v>3.23008940184616</v>
      </c>
      <c r="W30" s="22" t="n">
        <f aca="false">IF(OR(C30=0,S30&lt;=0),"",T30/S30)</f>
        <v>1.50043127276722</v>
      </c>
      <c r="X30" s="23" t="str">
        <f aca="false">IF(AND(C30=1,H30&lt;0),A30,"")</f>
        <v/>
      </c>
      <c r="Y30" s="23" t="str">
        <f aca="false">IF(AND(C30=1,K30&lt;0),A30,"")</f>
        <v/>
      </c>
      <c r="Z30" s="23" t="str">
        <f aca="false">IF(AND(C30=1,N30&lt;0),A30,"")</f>
        <v/>
      </c>
      <c r="AA30" s="21" t="n">
        <f aca="false">IF(C30=0,"",MIN(H30+Asumsi!$C$31-Asumsi!$C$34,K30+Asumsi!$C$32-Asumsi!$C$35,N30+Asumsi!$C$33-Asumsi!$C$36))</f>
        <v>6147.1854666658</v>
      </c>
      <c r="AB30" s="21" t="n">
        <f aca="false">IF(C30=1,H30,"")</f>
        <v>36740.8657595721</v>
      </c>
      <c r="AC30" s="21" t="n">
        <f aca="false">IF(C30=1,K30,"")</f>
        <v>105436.8986</v>
      </c>
      <c r="AD30" s="21" t="n">
        <f aca="false">IF(C30=1,N30,"")</f>
        <v>10147.1854666658</v>
      </c>
    </row>
    <row r="31" customFormat="false" ht="15" hidden="false" customHeight="false" outlineLevel="0" collapsed="false">
      <c r="A31" s="32" t="n">
        <f aca="false">Rencana_Dalops!A31</f>
        <v>46328</v>
      </c>
      <c r="B31" s="33" t="n">
        <f aca="false">A31-Rencana_Dalops!$A$3+1</f>
        <v>29</v>
      </c>
      <c r="C31" s="33" t="n">
        <f aca="false">IF(A31&lt;=Asumsi!$C$6,1,0)</f>
        <v>1</v>
      </c>
      <c r="D31" s="34" t="n">
        <f aca="false">(Rencana_Dalops!B31*Asumsi!$C$10+Rencana_Dalops!C31*Asumsi!$C$11+Rencana_Dalops!D31*Asumsi!$C$12+Rencana_Dalops!E31*Asumsi!$C$13+Rencana_Dalops!F31*Asumsi!$C$14)*Asumsi!$C$5</f>
        <v>6800</v>
      </c>
      <c r="E31" s="35" t="n">
        <f aca="false">Rencana_Dalops!G31</f>
        <v>6800</v>
      </c>
      <c r="F31" s="34" t="n">
        <f aca="false">Rencana_Dalops!H31*Asumsi!$C$17*(1-Rencana_Dalops!I31)+Rencana_Dalops!J31*Asumsi!$C$18+Rencana_Dalops!K31*Asumsi!$C$19</f>
        <v>1753.7511947593</v>
      </c>
      <c r="G31" s="34" t="n">
        <f aca="false">Rencana_Dalops!L31*Asumsi!$C$25+Rencana_Dalops!M31*IF(E31&gt;0,D31/E31,0)</f>
        <v>1564.598</v>
      </c>
      <c r="H31" s="21" t="n">
        <f aca="false">H30+F31-G31</f>
        <v>36930.0189543315</v>
      </c>
      <c r="I31" s="34" t="n">
        <f aca="false">IF(B31-Asumsi!$C$21&gt;=1,INDEX(Rencana_Dalops!$N$3:$N$90,B31-Asumsi!$C$21),0)*Asumsi!$C$20</f>
        <v>0</v>
      </c>
      <c r="J31" s="34" t="n">
        <f aca="false">Rencana_Dalops!O31+Rencana_Dalops!P31*IF(E31&gt;0,D31/E31,0)</f>
        <v>1700.285</v>
      </c>
      <c r="K31" s="21" t="n">
        <f aca="false">K30+I31-J31</f>
        <v>103736.6136</v>
      </c>
      <c r="L31" s="34" t="n">
        <f aca="false">Rencana_Dalops!Q31*Asumsi!$C$22+Rencana_Dalops!R31*Asumsi!$C$23</f>
        <v>2950</v>
      </c>
      <c r="M31" s="34" t="n">
        <f aca="false">Rencana_Dalops!S31*Asumsi!$C$24+Rencana_Dalops!T31*IF(E31&gt;0,D31/E31,0)</f>
        <v>2538.8145333333</v>
      </c>
      <c r="N31" s="21" t="n">
        <f aca="false">N30+L31-M31</f>
        <v>10558.3709333325</v>
      </c>
      <c r="O31" s="21" t="n">
        <f aca="false">O30+Rencana_Dalops!M31*IF(Asumsi!$C$5&gt;0,IF(E31&gt;0,D31/E31,0)/Asumsi!$C$5,0)</f>
        <v>42007.821</v>
      </c>
      <c r="P31" s="21" t="n">
        <f aca="false">H31+O31*Asumsi!$C$5</f>
        <v>78937.8399543314</v>
      </c>
      <c r="Q31" s="21" t="n">
        <f aca="false">Q30+Rencana_Dalops!P31*IF(Asumsi!$C$5&gt;0,IF(E31&gt;0,D31/E31,0)/Asumsi!$C$5,0)</f>
        <v>48959.35</v>
      </c>
      <c r="R31" s="21" t="n">
        <f aca="false">K31+Q31*Asumsi!$C$5</f>
        <v>152695.9636</v>
      </c>
      <c r="S31" s="21" t="n">
        <f aca="false">S30+Rencana_Dalops!T31*IF(Asumsi!$C$5&gt;0,IF(E31&gt;0,D31/E31,0)/Asumsi!$C$5,0)</f>
        <v>21035.3124</v>
      </c>
      <c r="T31" s="21" t="n">
        <f aca="false">N31+S31*Asumsi!$C$5</f>
        <v>31593.6833333325</v>
      </c>
      <c r="U31" s="22" t="n">
        <f aca="false">IF(OR(C31=0,O31&lt;=0),"",P31/O31)</f>
        <v>1.8791224604183</v>
      </c>
      <c r="V31" s="22" t="n">
        <f aca="false">IF(OR(C31=0,Q31&lt;=0),"",R31/Q31)</f>
        <v>3.11883151226477</v>
      </c>
      <c r="W31" s="22" t="n">
        <f aca="false">IF(OR(C31=0,S31&lt;=0),"",T31/S31)</f>
        <v>1.50193554212832</v>
      </c>
      <c r="X31" s="23" t="str">
        <f aca="false">IF(AND(C31=1,H31&lt;0),A31,"")</f>
        <v/>
      </c>
      <c r="Y31" s="23" t="str">
        <f aca="false">IF(AND(C31=1,K31&lt;0),A31,"")</f>
        <v/>
      </c>
      <c r="Z31" s="23" t="str">
        <f aca="false">IF(AND(C31=1,N31&lt;0),A31,"")</f>
        <v/>
      </c>
      <c r="AA31" s="21" t="n">
        <f aca="false">IF(C31=0,"",MIN(H31+Asumsi!$C$31-Asumsi!$C$34,K31+Asumsi!$C$32-Asumsi!$C$35,N31+Asumsi!$C$33-Asumsi!$C$36))</f>
        <v>6558.3709333325</v>
      </c>
      <c r="AB31" s="21" t="n">
        <f aca="false">IF(C31=1,H31,"")</f>
        <v>36930.0189543315</v>
      </c>
      <c r="AC31" s="21" t="n">
        <f aca="false">IF(C31=1,K31,"")</f>
        <v>103736.6136</v>
      </c>
      <c r="AD31" s="21" t="n">
        <f aca="false">IF(C31=1,N31,"")</f>
        <v>10558.3709333325</v>
      </c>
    </row>
    <row r="32" customFormat="false" ht="15" hidden="false" customHeight="false" outlineLevel="0" collapsed="false">
      <c r="A32" s="32" t="n">
        <f aca="false">Rencana_Dalops!A32</f>
        <v>46329</v>
      </c>
      <c r="B32" s="33" t="n">
        <f aca="false">A32-Rencana_Dalops!$A$3+1</f>
        <v>30</v>
      </c>
      <c r="C32" s="33" t="n">
        <f aca="false">IF(A32&lt;=Asumsi!$C$6,1,0)</f>
        <v>1</v>
      </c>
      <c r="D32" s="34" t="n">
        <f aca="false">(Rencana_Dalops!B32*Asumsi!$C$10+Rencana_Dalops!C32*Asumsi!$C$11+Rencana_Dalops!D32*Asumsi!$C$12+Rencana_Dalops!E32*Asumsi!$C$13+Rencana_Dalops!F32*Asumsi!$C$14)*Asumsi!$C$5</f>
        <v>6800</v>
      </c>
      <c r="E32" s="35" t="n">
        <f aca="false">Rencana_Dalops!G32</f>
        <v>6800</v>
      </c>
      <c r="F32" s="34" t="n">
        <f aca="false">Rencana_Dalops!H32*Asumsi!$C$17*(1-Rencana_Dalops!I32)+Rencana_Dalops!J32*Asumsi!$C$18+Rencana_Dalops!K32*Asumsi!$C$19</f>
        <v>1753.7511947593</v>
      </c>
      <c r="G32" s="34" t="n">
        <f aca="false">Rencana_Dalops!L32*Asumsi!$C$25+Rencana_Dalops!M32*IF(E32&gt;0,D32/E32,0)</f>
        <v>1564.598</v>
      </c>
      <c r="H32" s="21" t="n">
        <f aca="false">H31+F32-G32</f>
        <v>37119.1721490908</v>
      </c>
      <c r="I32" s="34" t="n">
        <f aca="false">IF(B32-Asumsi!$C$21&gt;=1,INDEX(Rencana_Dalops!$N$3:$N$90,B32-Asumsi!$C$21),0)*Asumsi!$C$20</f>
        <v>0</v>
      </c>
      <c r="J32" s="34" t="n">
        <f aca="false">Rencana_Dalops!O32+Rencana_Dalops!P32*IF(E32&gt;0,D32/E32,0)</f>
        <v>1804.785</v>
      </c>
      <c r="K32" s="21" t="n">
        <f aca="false">K31+I32-J32</f>
        <v>101931.8286</v>
      </c>
      <c r="L32" s="34" t="n">
        <f aca="false">Rencana_Dalops!Q32*Asumsi!$C$22+Rencana_Dalops!R32*Asumsi!$C$23</f>
        <v>1950</v>
      </c>
      <c r="M32" s="34" t="n">
        <f aca="false">Rencana_Dalops!S32*Asumsi!$C$24+Rencana_Dalops!T32*IF(E32&gt;0,D32/E32,0)</f>
        <v>2538.8145333333</v>
      </c>
      <c r="N32" s="21" t="n">
        <f aca="false">N31+L32-M32</f>
        <v>9969.5563999992</v>
      </c>
      <c r="O32" s="21" t="n">
        <f aca="false">O31+Rencana_Dalops!M32*IF(Asumsi!$C$5&gt;0,IF(E32&gt;0,D32/E32,0)/Asumsi!$C$5,0)</f>
        <v>43522.419</v>
      </c>
      <c r="P32" s="21" t="n">
        <f aca="false">H32+O32*Asumsi!$C$5</f>
        <v>80641.5911490907</v>
      </c>
      <c r="Q32" s="21" t="n">
        <f aca="false">Q31+Rencana_Dalops!P32*IF(Asumsi!$C$5&gt;0,IF(E32&gt;0,D32/E32,0)/Asumsi!$C$5,0)</f>
        <v>50743.975</v>
      </c>
      <c r="R32" s="21" t="n">
        <f aca="false">K32+Q32*Asumsi!$C$5</f>
        <v>152675.8036</v>
      </c>
      <c r="S32" s="21" t="n">
        <f aca="false">S31+Rencana_Dalops!T32*IF(Asumsi!$C$5&gt;0,IF(E32&gt;0,D32/E32,0)/Asumsi!$C$5,0)</f>
        <v>21793.7436</v>
      </c>
      <c r="T32" s="21" t="n">
        <f aca="false">N32+S32*Asumsi!$C$5</f>
        <v>31763.2999999992</v>
      </c>
      <c r="U32" s="22" t="n">
        <f aca="false">IF(OR(C32=0,O32&lt;=0),"",P32/O32)</f>
        <v>1.85287474827837</v>
      </c>
      <c r="V32" s="22" t="n">
        <f aca="false">IF(OR(C32=0,Q32&lt;=0),"",R32/Q32)</f>
        <v>3.00874741484088</v>
      </c>
      <c r="W32" s="22" t="n">
        <f aca="false">IF(OR(C32=0,S32&lt;=0),"",T32/S32)</f>
        <v>1.45745038498109</v>
      </c>
      <c r="X32" s="23" t="str">
        <f aca="false">IF(AND(C32=1,H32&lt;0),A32,"")</f>
        <v/>
      </c>
      <c r="Y32" s="23" t="str">
        <f aca="false">IF(AND(C32=1,K32&lt;0),A32,"")</f>
        <v/>
      </c>
      <c r="Z32" s="23" t="str">
        <f aca="false">IF(AND(C32=1,N32&lt;0),A32,"")</f>
        <v/>
      </c>
      <c r="AA32" s="21" t="n">
        <f aca="false">IF(C32=0,"",MIN(H32+Asumsi!$C$31-Asumsi!$C$34,K32+Asumsi!$C$32-Asumsi!$C$35,N32+Asumsi!$C$33-Asumsi!$C$36))</f>
        <v>5969.5563999992</v>
      </c>
      <c r="AB32" s="21" t="n">
        <f aca="false">IF(C32=1,H32,"")</f>
        <v>37119.1721490908</v>
      </c>
      <c r="AC32" s="21" t="n">
        <f aca="false">IF(C32=1,K32,"")</f>
        <v>101931.8286</v>
      </c>
      <c r="AD32" s="21" t="n">
        <f aca="false">IF(C32=1,N32,"")</f>
        <v>9969.5563999992</v>
      </c>
    </row>
    <row r="33" customFormat="false" ht="15" hidden="false" customHeight="false" outlineLevel="0" collapsed="false">
      <c r="A33" s="32" t="n">
        <f aca="false">Rencana_Dalops!A33</f>
        <v>46330</v>
      </c>
      <c r="B33" s="33" t="n">
        <f aca="false">A33-Rencana_Dalops!$A$3+1</f>
        <v>31</v>
      </c>
      <c r="C33" s="33" t="n">
        <f aca="false">IF(A33&lt;=Asumsi!$C$6,1,0)</f>
        <v>1</v>
      </c>
      <c r="D33" s="34" t="n">
        <f aca="false">(Rencana_Dalops!B33*Asumsi!$C$10+Rencana_Dalops!C33*Asumsi!$C$11+Rencana_Dalops!D33*Asumsi!$C$12+Rencana_Dalops!E33*Asumsi!$C$13+Rencana_Dalops!F33*Asumsi!$C$14)*Asumsi!$C$5</f>
        <v>6400</v>
      </c>
      <c r="E33" s="35" t="n">
        <f aca="false">Rencana_Dalops!G33</f>
        <v>6400</v>
      </c>
      <c r="F33" s="34" t="n">
        <f aca="false">Rencana_Dalops!H33*Asumsi!$C$17*(1-Rencana_Dalops!I33)+Rencana_Dalops!J33*Asumsi!$C$18+Rencana_Dalops!K33*Asumsi!$C$19</f>
        <v>1753.7511947593</v>
      </c>
      <c r="G33" s="34" t="n">
        <f aca="false">Rencana_Dalops!L33*Asumsi!$C$25+Rencana_Dalops!M33*IF(E33&gt;0,D33/E33,0)</f>
        <v>1475.504</v>
      </c>
      <c r="H33" s="21" t="n">
        <f aca="false">H32+F33-G33</f>
        <v>37397.4193438501</v>
      </c>
      <c r="I33" s="34" t="n">
        <f aca="false">IF(B33-Asumsi!$C$21&gt;=1,INDEX(Rencana_Dalops!$N$3:$N$90,B33-Asumsi!$C$21),0)*Asumsi!$C$20</f>
        <v>0</v>
      </c>
      <c r="J33" s="34" t="n">
        <f aca="false">Rencana_Dalops!O33+Rencana_Dalops!P33*IF(E33&gt;0,D33/E33,0)</f>
        <v>1721.185</v>
      </c>
      <c r="K33" s="21" t="n">
        <f aca="false">K32+I33-J33</f>
        <v>100210.6436</v>
      </c>
      <c r="L33" s="34" t="n">
        <f aca="false">Rencana_Dalops!Q33*Asumsi!$C$22+Rencana_Dalops!R33*Asumsi!$C$23</f>
        <v>1950</v>
      </c>
      <c r="M33" s="34" t="n">
        <f aca="false">Rencana_Dalops!S33*Asumsi!$C$24+Rencana_Dalops!T33*IF(E33&gt;0,D33/E33,0)</f>
        <v>3176.2809333333</v>
      </c>
      <c r="N33" s="21" t="n">
        <f aca="false">N32+L33-M33</f>
        <v>8743.2754666659</v>
      </c>
      <c r="O33" s="21" t="n">
        <f aca="false">O32+Rencana_Dalops!M33*IF(Asumsi!$C$5&gt;0,IF(E33&gt;0,D33/E33,0)/Asumsi!$C$5,0)</f>
        <v>44947.923</v>
      </c>
      <c r="P33" s="21" t="n">
        <f aca="false">H33+O33*Asumsi!$C$5</f>
        <v>82345.34234385</v>
      </c>
      <c r="Q33" s="21" t="n">
        <f aca="false">Q32+Rencana_Dalops!P33*IF(Asumsi!$C$5&gt;0,IF(E33&gt;0,D33/E33,0)/Asumsi!$C$5,0)</f>
        <v>52445</v>
      </c>
      <c r="R33" s="21" t="n">
        <f aca="false">K33+Q33*Asumsi!$C$5</f>
        <v>152655.6436</v>
      </c>
      <c r="S33" s="21" t="n">
        <f aca="false">S32+Rencana_Dalops!T33*IF(Asumsi!$C$5&gt;0,IF(E33&gt;0,D33/E33,0)/Asumsi!$C$5,0)</f>
        <v>22507.5612</v>
      </c>
      <c r="T33" s="21" t="n">
        <f aca="false">N33+S33*Asumsi!$C$5</f>
        <v>31250.8366666659</v>
      </c>
      <c r="U33" s="22" t="n">
        <f aca="false">IF(OR(C33=0,O33&lt;=0),"",P33/O33)</f>
        <v>1.83201662830672</v>
      </c>
      <c r="V33" s="22" t="n">
        <f aca="false">IF(OR(C33=0,Q33&lt;=0),"",R33/Q33)</f>
        <v>2.91077592906855</v>
      </c>
      <c r="W33" s="22" t="n">
        <f aca="false">IF(OR(C33=0,S33&lt;=0),"",T33/S33)</f>
        <v>1.38845947763838</v>
      </c>
      <c r="X33" s="23" t="str">
        <f aca="false">IF(AND(C33=1,H33&lt;0),A33,"")</f>
        <v/>
      </c>
      <c r="Y33" s="23" t="str">
        <f aca="false">IF(AND(C33=1,K33&lt;0),A33,"")</f>
        <v/>
      </c>
      <c r="Z33" s="23" t="str">
        <f aca="false">IF(AND(C33=1,N33&lt;0),A33,"")</f>
        <v/>
      </c>
      <c r="AA33" s="21" t="n">
        <f aca="false">IF(C33=0,"",MIN(H33+Asumsi!$C$31-Asumsi!$C$34,K33+Asumsi!$C$32-Asumsi!$C$35,N33+Asumsi!$C$33-Asumsi!$C$36))</f>
        <v>4743.2754666659</v>
      </c>
      <c r="AB33" s="21" t="n">
        <f aca="false">IF(C33=1,H33,"")</f>
        <v>37397.4193438501</v>
      </c>
      <c r="AC33" s="21" t="n">
        <f aca="false">IF(C33=1,K33,"")</f>
        <v>100210.6436</v>
      </c>
      <c r="AD33" s="21" t="n">
        <f aca="false">IF(C33=1,N33,"")</f>
        <v>8743.2754666659</v>
      </c>
    </row>
    <row r="34" customFormat="false" ht="15" hidden="false" customHeight="false" outlineLevel="0" collapsed="false">
      <c r="A34" s="32" t="n">
        <f aca="false">Rencana_Dalops!A34</f>
        <v>46331</v>
      </c>
      <c r="B34" s="33" t="n">
        <f aca="false">A34-Rencana_Dalops!$A$3+1</f>
        <v>32</v>
      </c>
      <c r="C34" s="33" t="n">
        <f aca="false">IF(A34&lt;=Asumsi!$C$6,1,0)</f>
        <v>1</v>
      </c>
      <c r="D34" s="34" t="n">
        <f aca="false">(Rencana_Dalops!B34*Asumsi!$C$10+Rencana_Dalops!C34*Asumsi!$C$11+Rencana_Dalops!D34*Asumsi!$C$12+Rencana_Dalops!E34*Asumsi!$C$13+Rencana_Dalops!F34*Asumsi!$C$14)*Asumsi!$C$5</f>
        <v>6400</v>
      </c>
      <c r="E34" s="35" t="n">
        <f aca="false">Rencana_Dalops!G34</f>
        <v>6400</v>
      </c>
      <c r="F34" s="34" t="n">
        <f aca="false">Rencana_Dalops!H34*Asumsi!$C$17*(1-Rencana_Dalops!I34)+Rencana_Dalops!J34*Asumsi!$C$18+Rencana_Dalops!K34*Asumsi!$C$19</f>
        <v>1753.7511947593</v>
      </c>
      <c r="G34" s="34" t="n">
        <f aca="false">Rencana_Dalops!L34*Asumsi!$C$25+Rencana_Dalops!M34*IF(E34&gt;0,D34/E34,0)</f>
        <v>1475.504</v>
      </c>
      <c r="H34" s="21" t="n">
        <f aca="false">H33+F34-G34</f>
        <v>37675.6665386094</v>
      </c>
      <c r="I34" s="34" t="n">
        <f aca="false">IF(B34-Asumsi!$C$21&gt;=1,INDEX(Rencana_Dalops!$N$3:$N$90,B34-Asumsi!$C$21),0)*Asumsi!$C$20</f>
        <v>0</v>
      </c>
      <c r="J34" s="34" t="n">
        <f aca="false">Rencana_Dalops!O34+Rencana_Dalops!P34*IF(E34&gt;0,D34/E34,0)</f>
        <v>1721.185</v>
      </c>
      <c r="K34" s="21" t="n">
        <f aca="false">K33+I34-J34</f>
        <v>98489.4586</v>
      </c>
      <c r="L34" s="34" t="n">
        <f aca="false">Rencana_Dalops!Q34*Asumsi!$C$22+Rencana_Dalops!R34*Asumsi!$C$23</f>
        <v>1950</v>
      </c>
      <c r="M34" s="34" t="n">
        <f aca="false">Rencana_Dalops!S34*Asumsi!$C$24+Rencana_Dalops!T34*IF(E34&gt;0,D34/E34,0)</f>
        <v>3176.2809333333</v>
      </c>
      <c r="N34" s="21" t="n">
        <f aca="false">N33+L34-M34</f>
        <v>7516.9945333326</v>
      </c>
      <c r="O34" s="21" t="n">
        <f aca="false">O33+Rencana_Dalops!M34*IF(Asumsi!$C$5&gt;0,IF(E34&gt;0,D34/E34,0)/Asumsi!$C$5,0)</f>
        <v>46373.427</v>
      </c>
      <c r="P34" s="21" t="n">
        <f aca="false">H34+O34*Asumsi!$C$5</f>
        <v>84049.0935386093</v>
      </c>
      <c r="Q34" s="21" t="n">
        <f aca="false">Q33+Rencana_Dalops!P34*IF(Asumsi!$C$5&gt;0,IF(E34&gt;0,D34/E34,0)/Asumsi!$C$5,0)</f>
        <v>54146.025</v>
      </c>
      <c r="R34" s="21" t="n">
        <f aca="false">K34+Q34*Asumsi!$C$5</f>
        <v>152635.4836</v>
      </c>
      <c r="S34" s="21" t="n">
        <f aca="false">S33+Rencana_Dalops!T34*IF(Asumsi!$C$5&gt;0,IF(E34&gt;0,D34/E34,0)/Asumsi!$C$5,0)</f>
        <v>23221.3788</v>
      </c>
      <c r="T34" s="21" t="n">
        <f aca="false">N34+S34*Asumsi!$C$5</f>
        <v>30738.3733333326</v>
      </c>
      <c r="U34" s="22" t="n">
        <f aca="false">IF(OR(C34=0,O34&lt;=0),"",P34/O34)</f>
        <v>1.81244085192603</v>
      </c>
      <c r="V34" s="22" t="n">
        <f aca="false">IF(OR(C34=0,Q34&lt;=0),"",R34/Q34)</f>
        <v>2.81896009171495</v>
      </c>
      <c r="W34" s="22" t="n">
        <f aca="false">IF(OR(C34=0,S34&lt;=0),"",T34/S34)</f>
        <v>1.32371008621299</v>
      </c>
      <c r="X34" s="23" t="str">
        <f aca="false">IF(AND(C34=1,H34&lt;0),A34,"")</f>
        <v/>
      </c>
      <c r="Y34" s="23" t="str">
        <f aca="false">IF(AND(C34=1,K34&lt;0),A34,"")</f>
        <v/>
      </c>
      <c r="Z34" s="23" t="str">
        <f aca="false">IF(AND(C34=1,N34&lt;0),A34,"")</f>
        <v/>
      </c>
      <c r="AA34" s="21" t="n">
        <f aca="false">IF(C34=0,"",MIN(H34+Asumsi!$C$31-Asumsi!$C$34,K34+Asumsi!$C$32-Asumsi!$C$35,N34+Asumsi!$C$33-Asumsi!$C$36))</f>
        <v>3516.9945333326</v>
      </c>
      <c r="AB34" s="21" t="n">
        <f aca="false">IF(C34=1,H34,"")</f>
        <v>37675.6665386094</v>
      </c>
      <c r="AC34" s="21" t="n">
        <f aca="false">IF(C34=1,K34,"")</f>
        <v>98489.4586</v>
      </c>
      <c r="AD34" s="21" t="n">
        <f aca="false">IF(C34=1,N34,"")</f>
        <v>7516.9945333326</v>
      </c>
    </row>
    <row r="35" customFormat="false" ht="15" hidden="false" customHeight="false" outlineLevel="0" collapsed="false">
      <c r="A35" s="32" t="n">
        <f aca="false">Rencana_Dalops!A35</f>
        <v>46332</v>
      </c>
      <c r="B35" s="33" t="n">
        <f aca="false">A35-Rencana_Dalops!$A$3+1</f>
        <v>33</v>
      </c>
      <c r="C35" s="33" t="n">
        <f aca="false">IF(A35&lt;=Asumsi!$C$6,1,0)</f>
        <v>1</v>
      </c>
      <c r="D35" s="34" t="n">
        <f aca="false">(Rencana_Dalops!B35*Asumsi!$C$10+Rencana_Dalops!C35*Asumsi!$C$11+Rencana_Dalops!D35*Asumsi!$C$12+Rencana_Dalops!E35*Asumsi!$C$13+Rencana_Dalops!F35*Asumsi!$C$14)*Asumsi!$C$5</f>
        <v>6400</v>
      </c>
      <c r="E35" s="35" t="n">
        <f aca="false">Rencana_Dalops!G35</f>
        <v>6400</v>
      </c>
      <c r="F35" s="34" t="n">
        <f aca="false">Rencana_Dalops!H35*Asumsi!$C$17*(1-Rencana_Dalops!I35)+Rencana_Dalops!J35*Asumsi!$C$18+Rencana_Dalops!K35*Asumsi!$C$19</f>
        <v>1753.7511947593</v>
      </c>
      <c r="G35" s="34" t="n">
        <f aca="false">Rencana_Dalops!L35*Asumsi!$C$25+Rencana_Dalops!M35*IF(E35&gt;0,D35/E35,0)</f>
        <v>1857.004</v>
      </c>
      <c r="H35" s="21" t="n">
        <f aca="false">H34+F35-G35</f>
        <v>37572.4137333687</v>
      </c>
      <c r="I35" s="34" t="n">
        <f aca="false">IF(B35-Asumsi!$C$21&gt;=1,INDEX(Rencana_Dalops!$N$3:$N$90,B35-Asumsi!$C$21),0)*Asumsi!$C$20</f>
        <v>0</v>
      </c>
      <c r="J35" s="34" t="n">
        <f aca="false">Rencana_Dalops!O35+Rencana_Dalops!P35*IF(E35&gt;0,D35/E35,0)</f>
        <v>1721.185</v>
      </c>
      <c r="K35" s="21" t="n">
        <f aca="false">K34+I35-J35</f>
        <v>96768.2736</v>
      </c>
      <c r="L35" s="34" t="n">
        <f aca="false">Rencana_Dalops!Q35*Asumsi!$C$22+Rencana_Dalops!R35*Asumsi!$C$23</f>
        <v>1950</v>
      </c>
      <c r="M35" s="34" t="n">
        <f aca="false">Rencana_Dalops!S35*Asumsi!$C$24+Rencana_Dalops!T35*IF(E35&gt;0,D35/E35,0)</f>
        <v>3343.1809333333</v>
      </c>
      <c r="N35" s="21" t="n">
        <f aca="false">N34+L35-M35</f>
        <v>6123.8135999993</v>
      </c>
      <c r="O35" s="21" t="n">
        <f aca="false">O34+Rencana_Dalops!M35*IF(Asumsi!$C$5&gt;0,IF(E35&gt;0,D35/E35,0)/Asumsi!$C$5,0)</f>
        <v>48180.431</v>
      </c>
      <c r="P35" s="21" t="n">
        <f aca="false">H35+O35*Asumsi!$C$5</f>
        <v>85752.8447333686</v>
      </c>
      <c r="Q35" s="21" t="n">
        <f aca="false">Q34+Rencana_Dalops!P35*IF(Asumsi!$C$5&gt;0,IF(E35&gt;0,D35/E35,0)/Asumsi!$C$5,0)</f>
        <v>55847.05</v>
      </c>
      <c r="R35" s="21" t="n">
        <f aca="false">K35+Q35*Asumsi!$C$5</f>
        <v>152615.3236</v>
      </c>
      <c r="S35" s="21" t="n">
        <f aca="false">S34+Rencana_Dalops!T35*IF(Asumsi!$C$5&gt;0,IF(E35&gt;0,D35/E35,0)/Asumsi!$C$5,0)</f>
        <v>24102.0964</v>
      </c>
      <c r="T35" s="21" t="n">
        <f aca="false">N35+S35*Asumsi!$C$5</f>
        <v>30225.9099999993</v>
      </c>
      <c r="U35" s="22" t="n">
        <f aca="false">IF(OR(C35=0,O35&lt;=0),"",P35/O35)</f>
        <v>1.77982726500244</v>
      </c>
      <c r="V35" s="22" t="n">
        <f aca="false">IF(OR(C35=0,Q35&lt;=0),"",R35/Q35)</f>
        <v>2.73273742480579</v>
      </c>
      <c r="W35" s="22" t="n">
        <f aca="false">IF(OR(C35=0,S35&lt;=0),"",T35/S35)</f>
        <v>1.25407804775021</v>
      </c>
      <c r="X35" s="23" t="str">
        <f aca="false">IF(AND(C35=1,H35&lt;0),A35,"")</f>
        <v/>
      </c>
      <c r="Y35" s="23" t="str">
        <f aca="false">IF(AND(C35=1,K35&lt;0),A35,"")</f>
        <v/>
      </c>
      <c r="Z35" s="23" t="str">
        <f aca="false">IF(AND(C35=1,N35&lt;0),A35,"")</f>
        <v/>
      </c>
      <c r="AA35" s="21" t="n">
        <f aca="false">IF(C35=0,"",MIN(H35+Asumsi!$C$31-Asumsi!$C$34,K35+Asumsi!$C$32-Asumsi!$C$35,N35+Asumsi!$C$33-Asumsi!$C$36))</f>
        <v>2123.8135999993</v>
      </c>
      <c r="AB35" s="21" t="n">
        <f aca="false">IF(C35=1,H35,"")</f>
        <v>37572.4137333687</v>
      </c>
      <c r="AC35" s="21" t="n">
        <f aca="false">IF(C35=1,K35,"")</f>
        <v>96768.2736</v>
      </c>
      <c r="AD35" s="21" t="n">
        <f aca="false">IF(C35=1,N35,"")</f>
        <v>6123.8135999993</v>
      </c>
    </row>
    <row r="36" customFormat="false" ht="15" hidden="false" customHeight="false" outlineLevel="0" collapsed="false">
      <c r="A36" s="32" t="n">
        <f aca="false">Rencana_Dalops!A36</f>
        <v>46333</v>
      </c>
      <c r="B36" s="33" t="n">
        <f aca="false">A36-Rencana_Dalops!$A$3+1</f>
        <v>34</v>
      </c>
      <c r="C36" s="33" t="n">
        <f aca="false">IF(A36&lt;=Asumsi!$C$6,1,0)</f>
        <v>1</v>
      </c>
      <c r="D36" s="34" t="n">
        <f aca="false">(Rencana_Dalops!B36*Asumsi!$C$10+Rencana_Dalops!C36*Asumsi!$C$11+Rencana_Dalops!D36*Asumsi!$C$12+Rencana_Dalops!E36*Asumsi!$C$13+Rencana_Dalops!F36*Asumsi!$C$14)*Asumsi!$C$5</f>
        <v>6400</v>
      </c>
      <c r="E36" s="35" t="n">
        <f aca="false">Rencana_Dalops!G36</f>
        <v>6400</v>
      </c>
      <c r="F36" s="34" t="n">
        <f aca="false">Rencana_Dalops!H36*Asumsi!$C$17*(1-Rencana_Dalops!I36)+Rencana_Dalops!J36*Asumsi!$C$18+Rencana_Dalops!K36*Asumsi!$C$19</f>
        <v>1753.7511947593</v>
      </c>
      <c r="G36" s="34" t="n">
        <f aca="false">Rencana_Dalops!L36*Asumsi!$C$25+Rencana_Dalops!M36*IF(E36&gt;0,D36/E36,0)</f>
        <v>1971.454</v>
      </c>
      <c r="H36" s="21" t="n">
        <f aca="false">H35+F36-G36</f>
        <v>37354.710928128</v>
      </c>
      <c r="I36" s="34" t="n">
        <f aca="false">IF(B36-Asumsi!$C$21&gt;=1,INDEX(Rencana_Dalops!$N$3:$N$90,B36-Asumsi!$C$21),0)*Asumsi!$C$20</f>
        <v>0</v>
      </c>
      <c r="J36" s="34" t="n">
        <f aca="false">Rencana_Dalops!O36+Rencana_Dalops!P36*IF(E36&gt;0,D36/E36,0)</f>
        <v>1721.185</v>
      </c>
      <c r="K36" s="21" t="n">
        <f aca="false">K35+I36-J36</f>
        <v>95047.0886000001</v>
      </c>
      <c r="L36" s="34" t="n">
        <f aca="false">Rencana_Dalops!Q36*Asumsi!$C$22+Rencana_Dalops!R36*Asumsi!$C$23</f>
        <v>1950</v>
      </c>
      <c r="M36" s="34" t="n">
        <f aca="false">Rencana_Dalops!S36*Asumsi!$C$24+Rencana_Dalops!T36*IF(E36&gt;0,D36/E36,0)</f>
        <v>3393.2509333333</v>
      </c>
      <c r="N36" s="21" t="n">
        <f aca="false">N35+L36-M36</f>
        <v>4680.562666666</v>
      </c>
      <c r="O36" s="21" t="n">
        <f aca="false">O35+Rencana_Dalops!M36*IF(Asumsi!$C$5&gt;0,IF(E36&gt;0,D36/E36,0)/Asumsi!$C$5,0)</f>
        <v>50101.885</v>
      </c>
      <c r="P36" s="21" t="n">
        <f aca="false">H36+O36*Asumsi!$C$5</f>
        <v>87456.5959281279</v>
      </c>
      <c r="Q36" s="21" t="n">
        <f aca="false">Q35+Rencana_Dalops!P36*IF(Asumsi!$C$5&gt;0,IF(E36&gt;0,D36/E36,0)/Asumsi!$C$5,0)</f>
        <v>57548.075</v>
      </c>
      <c r="R36" s="21" t="n">
        <f aca="false">K36+Q36*Asumsi!$C$5</f>
        <v>152595.1636</v>
      </c>
      <c r="S36" s="21" t="n">
        <f aca="false">S35+Rencana_Dalops!T36*IF(Asumsi!$C$5&gt;0,IF(E36&gt;0,D36/E36,0)/Asumsi!$C$5,0)</f>
        <v>25032.884</v>
      </c>
      <c r="T36" s="21" t="n">
        <f aca="false">N36+S36*Asumsi!$C$5</f>
        <v>29713.446666666</v>
      </c>
      <c r="U36" s="22" t="n">
        <f aca="false">IF(OR(C36=0,O36&lt;=0),"",P36/O36)</f>
        <v>1.74557496046562</v>
      </c>
      <c r="V36" s="22" t="n">
        <f aca="false">IF(OR(C36=0,Q36&lt;=0),"",R36/Q36)</f>
        <v>2.65161195400541</v>
      </c>
      <c r="W36" s="22" t="n">
        <f aca="false">IF(OR(C36=0,S36&lt;=0),"",T36/S36)</f>
        <v>1.18697656517188</v>
      </c>
      <c r="X36" s="23" t="str">
        <f aca="false">IF(AND(C36=1,H36&lt;0),A36,"")</f>
        <v/>
      </c>
      <c r="Y36" s="23" t="str">
        <f aca="false">IF(AND(C36=1,K36&lt;0),A36,"")</f>
        <v/>
      </c>
      <c r="Z36" s="23" t="str">
        <f aca="false">IF(AND(C36=1,N36&lt;0),A36,"")</f>
        <v/>
      </c>
      <c r="AA36" s="21" t="n">
        <f aca="false">IF(C36=0,"",MIN(H36+Asumsi!$C$31-Asumsi!$C$34,K36+Asumsi!$C$32-Asumsi!$C$35,N36+Asumsi!$C$33-Asumsi!$C$36))</f>
        <v>680.562666665999</v>
      </c>
      <c r="AB36" s="21" t="n">
        <f aca="false">IF(C36=1,H36,"")</f>
        <v>37354.710928128</v>
      </c>
      <c r="AC36" s="21" t="n">
        <f aca="false">IF(C36=1,K36,"")</f>
        <v>95047.0886000001</v>
      </c>
      <c r="AD36" s="21" t="n">
        <f aca="false">IF(C36=1,N36,"")</f>
        <v>4680.562666666</v>
      </c>
    </row>
    <row r="37" customFormat="false" ht="15" hidden="false" customHeight="false" outlineLevel="0" collapsed="false">
      <c r="A37" s="32" t="n">
        <f aca="false">Rencana_Dalops!A37</f>
        <v>46334</v>
      </c>
      <c r="B37" s="33" t="n">
        <f aca="false">A37-Rencana_Dalops!$A$3+1</f>
        <v>35</v>
      </c>
      <c r="C37" s="33" t="n">
        <f aca="false">IF(A37&lt;=Asumsi!$C$6,1,0)</f>
        <v>1</v>
      </c>
      <c r="D37" s="34" t="n">
        <f aca="false">(Rencana_Dalops!B37*Asumsi!$C$10+Rencana_Dalops!C37*Asumsi!$C$11+Rencana_Dalops!D37*Asumsi!$C$12+Rencana_Dalops!E37*Asumsi!$C$13+Rencana_Dalops!F37*Asumsi!$C$14)*Asumsi!$C$5</f>
        <v>5000</v>
      </c>
      <c r="E37" s="35" t="n">
        <f aca="false">Rencana_Dalops!G37</f>
        <v>5000</v>
      </c>
      <c r="F37" s="34" t="n">
        <f aca="false">Rencana_Dalops!H37*Asumsi!$C$17*(1-Rencana_Dalops!I37)+Rencana_Dalops!J37*Asumsi!$C$18+Rencana_Dalops!K37*Asumsi!$C$19</f>
        <v>1753.7511947593</v>
      </c>
      <c r="G37" s="34" t="n">
        <f aca="false">Rencana_Dalops!L37*Asumsi!$C$25+Rencana_Dalops!M37*IF(E37&gt;0,D37/E37,0)</f>
        <v>1659.625</v>
      </c>
      <c r="H37" s="21" t="n">
        <f aca="false">H36+F37-G37</f>
        <v>37448.8371228873</v>
      </c>
      <c r="I37" s="34" t="n">
        <f aca="false">IF(B37-Asumsi!$C$21&gt;=1,INDEX(Rencana_Dalops!$N$3:$N$90,B37-Asumsi!$C$21),0)*Asumsi!$C$20</f>
        <v>0</v>
      </c>
      <c r="J37" s="34" t="n">
        <f aca="false">Rencana_Dalops!O37+Rencana_Dalops!P37*IF(E37&gt;0,D37/E37,0)</f>
        <v>1428.585</v>
      </c>
      <c r="K37" s="21" t="n">
        <f aca="false">K36+I37-J37</f>
        <v>93618.5036</v>
      </c>
      <c r="L37" s="34" t="n">
        <f aca="false">Rencana_Dalops!Q37*Asumsi!$C$22+Rencana_Dalops!R37*Asumsi!$C$23</f>
        <v>2962.5</v>
      </c>
      <c r="M37" s="34" t="n">
        <f aca="false">Rencana_Dalops!S37*Asumsi!$C$24+Rencana_Dalops!T37*IF(E37&gt;0,D37/E37,0)</f>
        <v>3104.7033333333</v>
      </c>
      <c r="N37" s="21" t="n">
        <f aca="false">N36+L37-M37</f>
        <v>4538.3593333327</v>
      </c>
      <c r="O37" s="21" t="n">
        <f aca="false">O36+Rencana_Dalops!M37*IF(Asumsi!$C$5&gt;0,IF(E37&gt;0,D37/E37,0)/Asumsi!$C$5,0)</f>
        <v>51711.51</v>
      </c>
      <c r="P37" s="21" t="n">
        <f aca="false">H37+O37*Asumsi!$C$5</f>
        <v>89160.3471228872</v>
      </c>
      <c r="Q37" s="21" t="n">
        <f aca="false">Q36+Rencana_Dalops!P37*IF(Asumsi!$C$5&gt;0,IF(E37&gt;0,D37/E37,0)/Asumsi!$C$5,0)</f>
        <v>58956.5</v>
      </c>
      <c r="R37" s="21" t="n">
        <f aca="false">K37+Q37*Asumsi!$C$5</f>
        <v>152575.0036</v>
      </c>
      <c r="S37" s="21" t="n">
        <f aca="false">S36+Rencana_Dalops!T37*IF(Asumsi!$C$5&gt;0,IF(E37&gt;0,D37/E37,0)/Asumsi!$C$5,0)</f>
        <v>25807.524</v>
      </c>
      <c r="T37" s="21" t="n">
        <f aca="false">N37+S37*Asumsi!$C$5</f>
        <v>30345.8833333327</v>
      </c>
      <c r="U37" s="22" t="n">
        <f aca="false">IF(OR(C37=0,O37&lt;=0),"",P37/O37)</f>
        <v>1.72418765421639</v>
      </c>
      <c r="V37" s="22" t="n">
        <f aca="false">IF(OR(C37=0,Q37&lt;=0),"",R37/Q37)</f>
        <v>2.58792505660953</v>
      </c>
      <c r="W37" s="22" t="n">
        <f aca="false">IF(OR(C37=0,S37&lt;=0),"",T37/S37)</f>
        <v>1.17585411654883</v>
      </c>
      <c r="X37" s="23" t="str">
        <f aca="false">IF(AND(C37=1,H37&lt;0),A37,"")</f>
        <v/>
      </c>
      <c r="Y37" s="23" t="str">
        <f aca="false">IF(AND(C37=1,K37&lt;0),A37,"")</f>
        <v/>
      </c>
      <c r="Z37" s="23" t="str">
        <f aca="false">IF(AND(C37=1,N37&lt;0),A37,"")</f>
        <v/>
      </c>
      <c r="AA37" s="21" t="n">
        <f aca="false">IF(C37=0,"",MIN(H37+Asumsi!$C$31-Asumsi!$C$34,K37+Asumsi!$C$32-Asumsi!$C$35,N37+Asumsi!$C$33-Asumsi!$C$36))</f>
        <v>538.359333332699</v>
      </c>
      <c r="AB37" s="21" t="n">
        <f aca="false">IF(C37=1,H37,"")</f>
        <v>37448.8371228873</v>
      </c>
      <c r="AC37" s="21" t="n">
        <f aca="false">IF(C37=1,K37,"")</f>
        <v>93618.5036</v>
      </c>
      <c r="AD37" s="21" t="n">
        <f aca="false">IF(C37=1,N37,"")</f>
        <v>4538.3593333327</v>
      </c>
    </row>
    <row r="38" customFormat="false" ht="15" hidden="false" customHeight="false" outlineLevel="0" collapsed="false">
      <c r="A38" s="32" t="n">
        <f aca="false">Rencana_Dalops!A38</f>
        <v>46335</v>
      </c>
      <c r="B38" s="33" t="n">
        <f aca="false">A38-Rencana_Dalops!$A$3+1</f>
        <v>36</v>
      </c>
      <c r="C38" s="33" t="n">
        <f aca="false">IF(A38&lt;=Asumsi!$C$6,1,0)</f>
        <v>1</v>
      </c>
      <c r="D38" s="34" t="n">
        <f aca="false">(Rencana_Dalops!B38*Asumsi!$C$10+Rencana_Dalops!C38*Asumsi!$C$11+Rencana_Dalops!D38*Asumsi!$C$12+Rencana_Dalops!E38*Asumsi!$C$13+Rencana_Dalops!F38*Asumsi!$C$14)*Asumsi!$C$5</f>
        <v>5000</v>
      </c>
      <c r="E38" s="35" t="n">
        <f aca="false">Rencana_Dalops!G38</f>
        <v>5000</v>
      </c>
      <c r="F38" s="34" t="n">
        <f aca="false">Rencana_Dalops!H38*Asumsi!$C$17*(1-Rencana_Dalops!I38)+Rencana_Dalops!J38*Asumsi!$C$18+Rencana_Dalops!K38*Asumsi!$C$19</f>
        <v>1753.7511947593</v>
      </c>
      <c r="G38" s="34" t="n">
        <f aca="false">Rencana_Dalops!L38*Asumsi!$C$25+Rencana_Dalops!M38*IF(E38&gt;0,D38/E38,0)</f>
        <v>1659.625</v>
      </c>
      <c r="H38" s="21" t="n">
        <f aca="false">H37+F38-G38</f>
        <v>37542.9633176466</v>
      </c>
      <c r="I38" s="34" t="n">
        <f aca="false">IF(B38-Asumsi!$C$21&gt;=1,INDEX(Rencana_Dalops!$N$3:$N$90,B38-Asumsi!$C$21),0)*Asumsi!$C$20</f>
        <v>0</v>
      </c>
      <c r="J38" s="34" t="n">
        <f aca="false">Rencana_Dalops!O38+Rencana_Dalops!P38*IF(E38&gt;0,D38/E38,0)</f>
        <v>1428.585</v>
      </c>
      <c r="K38" s="21" t="n">
        <f aca="false">K37+I38-J38</f>
        <v>92189.9186</v>
      </c>
      <c r="L38" s="34" t="n">
        <f aca="false">Rencana_Dalops!Q38*Asumsi!$C$22+Rencana_Dalops!R38*Asumsi!$C$23</f>
        <v>3111</v>
      </c>
      <c r="M38" s="34" t="n">
        <f aca="false">Rencana_Dalops!S38*Asumsi!$C$24+Rencana_Dalops!T38*IF(E38&gt;0,D38/E38,0)</f>
        <v>3104.7033333333</v>
      </c>
      <c r="N38" s="21" t="n">
        <f aca="false">N37+L38-M38</f>
        <v>4544.6559999994</v>
      </c>
      <c r="O38" s="21" t="n">
        <f aca="false">O37+Rencana_Dalops!M38*IF(Asumsi!$C$5&gt;0,IF(E38&gt;0,D38/E38,0)/Asumsi!$C$5,0)</f>
        <v>53321.135</v>
      </c>
      <c r="P38" s="21" t="n">
        <f aca="false">H38+O38*Asumsi!$C$5</f>
        <v>90864.0983176465</v>
      </c>
      <c r="Q38" s="21" t="n">
        <f aca="false">Q37+Rencana_Dalops!P38*IF(Asumsi!$C$5&gt;0,IF(E38&gt;0,D38/E38,0)/Asumsi!$C$5,0)</f>
        <v>60364.925</v>
      </c>
      <c r="R38" s="21" t="n">
        <f aca="false">K38+Q38*Asumsi!$C$5</f>
        <v>152554.8436</v>
      </c>
      <c r="S38" s="21" t="n">
        <f aca="false">S37+Rencana_Dalops!T38*IF(Asumsi!$C$5&gt;0,IF(E38&gt;0,D38/E38,0)/Asumsi!$C$5,0)</f>
        <v>26582.164</v>
      </c>
      <c r="T38" s="21" t="n">
        <f aca="false">N38+S38*Asumsi!$C$5</f>
        <v>31126.8199999994</v>
      </c>
      <c r="U38" s="22" t="n">
        <f aca="false">IF(OR(C38=0,O38&lt;=0),"",P38/O38)</f>
        <v>1.70409160115678</v>
      </c>
      <c r="V38" s="22" t="n">
        <f aca="false">IF(OR(C38=0,Q38&lt;=0),"",R38/Q38)</f>
        <v>2.52721002469563</v>
      </c>
      <c r="W38" s="22" t="n">
        <f aca="false">IF(OR(C38=0,S38&lt;=0),"",T38/S38)</f>
        <v>1.17096636677132</v>
      </c>
      <c r="X38" s="23" t="str">
        <f aca="false">IF(AND(C38=1,H38&lt;0),A38,"")</f>
        <v/>
      </c>
      <c r="Y38" s="23" t="str">
        <f aca="false">IF(AND(C38=1,K38&lt;0),A38,"")</f>
        <v/>
      </c>
      <c r="Z38" s="23" t="str">
        <f aca="false">IF(AND(C38=1,N38&lt;0),A38,"")</f>
        <v/>
      </c>
      <c r="AA38" s="21" t="n">
        <f aca="false">IF(C38=0,"",MIN(H38+Asumsi!$C$31-Asumsi!$C$34,K38+Asumsi!$C$32-Asumsi!$C$35,N38+Asumsi!$C$33-Asumsi!$C$36))</f>
        <v>544.655999999399</v>
      </c>
      <c r="AB38" s="21" t="n">
        <f aca="false">IF(C38=1,H38,"")</f>
        <v>37542.9633176466</v>
      </c>
      <c r="AC38" s="21" t="n">
        <f aca="false">IF(C38=1,K38,"")</f>
        <v>92189.9186</v>
      </c>
      <c r="AD38" s="21" t="n">
        <f aca="false">IF(C38=1,N38,"")</f>
        <v>4544.6559999994</v>
      </c>
    </row>
    <row r="39" customFormat="false" ht="15" hidden="false" customHeight="false" outlineLevel="0" collapsed="false">
      <c r="A39" s="32" t="n">
        <f aca="false">Rencana_Dalops!A39</f>
        <v>46336</v>
      </c>
      <c r="B39" s="33" t="n">
        <f aca="false">A39-Rencana_Dalops!$A$3+1</f>
        <v>37</v>
      </c>
      <c r="C39" s="33" t="n">
        <f aca="false">IF(A39&lt;=Asumsi!$C$6,1,0)</f>
        <v>1</v>
      </c>
      <c r="D39" s="34" t="n">
        <f aca="false">(Rencana_Dalops!B39*Asumsi!$C$10+Rencana_Dalops!C39*Asumsi!$C$11+Rencana_Dalops!D39*Asumsi!$C$12+Rencana_Dalops!E39*Asumsi!$C$13+Rencana_Dalops!F39*Asumsi!$C$14)*Asumsi!$C$5</f>
        <v>6400</v>
      </c>
      <c r="E39" s="35" t="n">
        <f aca="false">Rencana_Dalops!G39</f>
        <v>6400</v>
      </c>
      <c r="F39" s="34" t="n">
        <f aca="false">Rencana_Dalops!H39*Asumsi!$C$17*(1-Rencana_Dalops!I39)+Rencana_Dalops!J39*Asumsi!$C$18+Rencana_Dalops!K39*Asumsi!$C$19</f>
        <v>1230.4537037037</v>
      </c>
      <c r="G39" s="34" t="n">
        <f aca="false">Rencana_Dalops!L39*Asumsi!$C$25+Rencana_Dalops!M39*IF(E39&gt;0,D39/E39,0)</f>
        <v>1971.454</v>
      </c>
      <c r="H39" s="21" t="n">
        <f aca="false">H38+F39-G39</f>
        <v>36801.9630213503</v>
      </c>
      <c r="I39" s="34" t="n">
        <f aca="false">IF(B39-Asumsi!$C$21&gt;=1,INDEX(Rencana_Dalops!$N$3:$N$90,B39-Asumsi!$C$21),0)*Asumsi!$C$20</f>
        <v>0</v>
      </c>
      <c r="J39" s="34" t="n">
        <f aca="false">Rencana_Dalops!O39+Rencana_Dalops!P39*IF(E39&gt;0,D39/E39,0)</f>
        <v>1721.185</v>
      </c>
      <c r="K39" s="21" t="n">
        <f aca="false">K38+I39-J39</f>
        <v>90468.7336</v>
      </c>
      <c r="L39" s="34" t="n">
        <f aca="false">Rencana_Dalops!Q39*Asumsi!$C$22+Rencana_Dalops!R39*Asumsi!$C$23</f>
        <v>3111</v>
      </c>
      <c r="M39" s="34" t="n">
        <f aca="false">Rencana_Dalops!S39*Asumsi!$C$24+Rencana_Dalops!T39*IF(E39&gt;0,D39/E39,0)</f>
        <v>3636.8609333333</v>
      </c>
      <c r="N39" s="21" t="n">
        <f aca="false">N38+L39-M39</f>
        <v>4018.7950666661</v>
      </c>
      <c r="O39" s="21" t="n">
        <f aca="false">O38+Rencana_Dalops!M39*IF(Asumsi!$C$5&gt;0,IF(E39&gt;0,D39/E39,0)/Asumsi!$C$5,0)</f>
        <v>55242.589</v>
      </c>
      <c r="P39" s="21" t="n">
        <f aca="false">H39+O39*Asumsi!$C$5</f>
        <v>92044.5520213502</v>
      </c>
      <c r="Q39" s="21" t="n">
        <f aca="false">Q38+Rencana_Dalops!P39*IF(Asumsi!$C$5&gt;0,IF(E39&gt;0,D39/E39,0)/Asumsi!$C$5,0)</f>
        <v>62065.95</v>
      </c>
      <c r="R39" s="21" t="n">
        <f aca="false">K39+Q39*Asumsi!$C$5</f>
        <v>152534.6836</v>
      </c>
      <c r="S39" s="21" t="n">
        <f aca="false">S38+Rencana_Dalops!T39*IF(Asumsi!$C$5&gt;0,IF(E39&gt;0,D39/E39,0)/Asumsi!$C$5,0)</f>
        <v>27512.9516</v>
      </c>
      <c r="T39" s="21" t="n">
        <f aca="false">N39+S39*Asumsi!$C$5</f>
        <v>31531.7466666661</v>
      </c>
      <c r="U39" s="22" t="n">
        <f aca="false">IF(OR(C39=0,O39&lt;=0),"",P39/O39)</f>
        <v>1.66618823787115</v>
      </c>
      <c r="V39" s="22" t="n">
        <f aca="false">IF(OR(C39=0,Q39&lt;=0),"",R39/Q39)</f>
        <v>2.45762263527748</v>
      </c>
      <c r="W39" s="22" t="n">
        <f aca="false">IF(OR(C39=0,S39&lt;=0),"",T39/S39)</f>
        <v>1.14606920860741</v>
      </c>
      <c r="X39" s="23" t="str">
        <f aca="false">IF(AND(C39=1,H39&lt;0),A39,"")</f>
        <v/>
      </c>
      <c r="Y39" s="23" t="str">
        <f aca="false">IF(AND(C39=1,K39&lt;0),A39,"")</f>
        <v/>
      </c>
      <c r="Z39" s="23" t="str">
        <f aca="false">IF(AND(C39=1,N39&lt;0),A39,"")</f>
        <v/>
      </c>
      <c r="AA39" s="21" t="n">
        <f aca="false">IF(C39=0,"",MIN(H39+Asumsi!$C$31-Asumsi!$C$34,K39+Asumsi!$C$32-Asumsi!$C$35,N39+Asumsi!$C$33-Asumsi!$C$36))</f>
        <v>18.7950666660981</v>
      </c>
      <c r="AB39" s="21" t="n">
        <f aca="false">IF(C39=1,H39,"")</f>
        <v>36801.9630213503</v>
      </c>
      <c r="AC39" s="21" t="n">
        <f aca="false">IF(C39=1,K39,"")</f>
        <v>90468.7336</v>
      </c>
      <c r="AD39" s="21" t="n">
        <f aca="false">IF(C39=1,N39,"")</f>
        <v>4018.7950666661</v>
      </c>
    </row>
    <row r="40" customFormat="false" ht="15" hidden="false" customHeight="false" outlineLevel="0" collapsed="false">
      <c r="A40" s="32" t="n">
        <f aca="false">Rencana_Dalops!A40</f>
        <v>46337</v>
      </c>
      <c r="B40" s="33" t="n">
        <f aca="false">A40-Rencana_Dalops!$A$3+1</f>
        <v>38</v>
      </c>
      <c r="C40" s="33" t="n">
        <f aca="false">IF(A40&lt;=Asumsi!$C$6,1,0)</f>
        <v>1</v>
      </c>
      <c r="D40" s="34" t="n">
        <f aca="false">(Rencana_Dalops!B40*Asumsi!$C$10+Rencana_Dalops!C40*Asumsi!$C$11+Rencana_Dalops!D40*Asumsi!$C$12+Rencana_Dalops!E40*Asumsi!$C$13+Rencana_Dalops!F40*Asumsi!$C$14)*Asumsi!$C$5</f>
        <v>6400</v>
      </c>
      <c r="E40" s="35" t="n">
        <f aca="false">Rencana_Dalops!G40</f>
        <v>6400</v>
      </c>
      <c r="F40" s="34" t="n">
        <f aca="false">Rencana_Dalops!H40*Asumsi!$C$17*(1-Rencana_Dalops!I40)+Rencana_Dalops!J40*Asumsi!$C$18+Rencana_Dalops!K40*Asumsi!$C$19</f>
        <v>1230.4537037037</v>
      </c>
      <c r="G40" s="34" t="n">
        <f aca="false">Rencana_Dalops!L40*Asumsi!$C$25+Rencana_Dalops!M40*IF(E40&gt;0,D40/E40,0)</f>
        <v>1971.454</v>
      </c>
      <c r="H40" s="21" t="n">
        <f aca="false">H39+F40-G40</f>
        <v>36060.962725054</v>
      </c>
      <c r="I40" s="34" t="n">
        <f aca="false">IF(B40-Asumsi!$C$21&gt;=1,INDEX(Rencana_Dalops!$N$3:$N$90,B40-Asumsi!$C$21),0)*Asumsi!$C$20</f>
        <v>0</v>
      </c>
      <c r="J40" s="34" t="n">
        <f aca="false">Rencana_Dalops!O40+Rencana_Dalops!P40*IF(E40&gt;0,D40/E40,0)</f>
        <v>1721.185</v>
      </c>
      <c r="K40" s="21" t="n">
        <f aca="false">K39+I40-J40</f>
        <v>88747.5486</v>
      </c>
      <c r="L40" s="34" t="n">
        <f aca="false">Rencana_Dalops!Q40*Asumsi!$C$22+Rencana_Dalops!R40*Asumsi!$C$23</f>
        <v>3111</v>
      </c>
      <c r="M40" s="34" t="n">
        <f aca="false">Rencana_Dalops!S40*Asumsi!$C$24+Rencana_Dalops!T40*IF(E40&gt;0,D40/E40,0)</f>
        <v>3636.8609333333</v>
      </c>
      <c r="N40" s="21" t="n">
        <f aca="false">N39+L40-M40</f>
        <v>3492.9341333328</v>
      </c>
      <c r="O40" s="21" t="n">
        <f aca="false">O39+Rencana_Dalops!M40*IF(Asumsi!$C$5&gt;0,IF(E40&gt;0,D40/E40,0)/Asumsi!$C$5,0)</f>
        <v>57164.043</v>
      </c>
      <c r="P40" s="21" t="n">
        <f aca="false">H40+O40*Asumsi!$C$5</f>
        <v>93225.0057250539</v>
      </c>
      <c r="Q40" s="21" t="n">
        <f aca="false">Q39+Rencana_Dalops!P40*IF(Asumsi!$C$5&gt;0,IF(E40&gt;0,D40/E40,0)/Asumsi!$C$5,0)</f>
        <v>63766.975</v>
      </c>
      <c r="R40" s="21" t="n">
        <f aca="false">K40+Q40*Asumsi!$C$5</f>
        <v>152514.5236</v>
      </c>
      <c r="S40" s="21" t="n">
        <f aca="false">S39+Rencana_Dalops!T40*IF(Asumsi!$C$5&gt;0,IF(E40&gt;0,D40/E40,0)/Asumsi!$C$5,0)</f>
        <v>28443.7392</v>
      </c>
      <c r="T40" s="21" t="n">
        <f aca="false">N40+S40*Asumsi!$C$5</f>
        <v>31936.6733333328</v>
      </c>
      <c r="U40" s="22" t="n">
        <f aca="false">IF(OR(C40=0,O40&lt;=0),"",P40/O40)</f>
        <v>1.63083296478967</v>
      </c>
      <c r="V40" s="22" t="n">
        <f aca="false">IF(OR(C40=0,Q40&lt;=0),"",R40/Q40)</f>
        <v>2.39174782244257</v>
      </c>
      <c r="W40" s="22" t="n">
        <f aca="false">IF(OR(C40=0,S40&lt;=0),"",T40/S40)</f>
        <v>1.12280151033493</v>
      </c>
      <c r="X40" s="23" t="str">
        <f aca="false">IF(AND(C40=1,H40&lt;0),A40,"")</f>
        <v/>
      </c>
      <c r="Y40" s="23" t="str">
        <f aca="false">IF(AND(C40=1,K40&lt;0),A40,"")</f>
        <v/>
      </c>
      <c r="Z40" s="23" t="str">
        <f aca="false">IF(AND(C40=1,N40&lt;0),A40,"")</f>
        <v/>
      </c>
      <c r="AA40" s="21" t="n">
        <f aca="false">IF(C40=0,"",MIN(H40+Asumsi!$C$31-Asumsi!$C$34,K40+Asumsi!$C$32-Asumsi!$C$35,N40+Asumsi!$C$33-Asumsi!$C$36))</f>
        <v>-507.065866667203</v>
      </c>
      <c r="AB40" s="21" t="n">
        <f aca="false">IF(C40=1,H40,"")</f>
        <v>36060.962725054</v>
      </c>
      <c r="AC40" s="21" t="n">
        <f aca="false">IF(C40=1,K40,"")</f>
        <v>88747.5486</v>
      </c>
      <c r="AD40" s="21" t="n">
        <f aca="false">IF(C40=1,N40,"")</f>
        <v>3492.9341333328</v>
      </c>
    </row>
    <row r="41" customFormat="false" ht="15" hidden="false" customHeight="false" outlineLevel="0" collapsed="false">
      <c r="A41" s="32" t="n">
        <f aca="false">Rencana_Dalops!A41</f>
        <v>46338</v>
      </c>
      <c r="B41" s="33" t="n">
        <f aca="false">A41-Rencana_Dalops!$A$3+1</f>
        <v>39</v>
      </c>
      <c r="C41" s="33" t="n">
        <f aca="false">IF(A41&lt;=Asumsi!$C$6,1,0)</f>
        <v>1</v>
      </c>
      <c r="D41" s="34" t="n">
        <f aca="false">(Rencana_Dalops!B41*Asumsi!$C$10+Rencana_Dalops!C41*Asumsi!$C$11+Rencana_Dalops!D41*Asumsi!$C$12+Rencana_Dalops!E41*Asumsi!$C$13+Rencana_Dalops!F41*Asumsi!$C$14)*Asumsi!$C$5</f>
        <v>4600</v>
      </c>
      <c r="E41" s="35" t="n">
        <f aca="false">Rencana_Dalops!G41</f>
        <v>4600</v>
      </c>
      <c r="F41" s="34" t="n">
        <f aca="false">Rencana_Dalops!H41*Asumsi!$C$17*(1-Rencana_Dalops!I41)+Rencana_Dalops!J41*Asumsi!$C$18+Rencana_Dalops!K41*Asumsi!$C$19</f>
        <v>1230.4537037037</v>
      </c>
      <c r="G41" s="34" t="n">
        <f aca="false">Rencana_Dalops!L41*Asumsi!$C$25+Rencana_Dalops!M41*IF(E41&gt;0,D41/E41,0)</f>
        <v>1570.531</v>
      </c>
      <c r="H41" s="21" t="n">
        <f aca="false">H40+F41-G41</f>
        <v>35720.8854287577</v>
      </c>
      <c r="I41" s="34" t="n">
        <f aca="false">IF(B41-Asumsi!$C$21&gt;=1,INDEX(Rencana_Dalops!$N$3:$N$90,B41-Asumsi!$C$21),0)*Asumsi!$C$20</f>
        <v>0</v>
      </c>
      <c r="J41" s="34" t="n">
        <f aca="false">Rencana_Dalops!O41+Rencana_Dalops!P41*IF(E41&gt;0,D41/E41,0)</f>
        <v>1344.985</v>
      </c>
      <c r="K41" s="21" t="n">
        <f aca="false">K40+I41-J41</f>
        <v>87402.5636</v>
      </c>
      <c r="L41" s="34" t="n">
        <f aca="false">Rencana_Dalops!Q41*Asumsi!$C$22+Rencana_Dalops!R41*Asumsi!$C$23</f>
        <v>6111</v>
      </c>
      <c r="M41" s="34" t="n">
        <f aca="false">Rencana_Dalops!S41*Asumsi!$C$24+Rencana_Dalops!T41*IF(E41&gt;0,D41/E41,0)</f>
        <v>3436.0997333333</v>
      </c>
      <c r="N41" s="21" t="n">
        <f aca="false">N40+L41-M41</f>
        <v>6167.8343999995</v>
      </c>
      <c r="O41" s="21" t="n">
        <f aca="false">O40+Rencana_Dalops!M41*IF(Asumsi!$C$5&gt;0,IF(E41&gt;0,D41/E41,0)/Asumsi!$C$5,0)</f>
        <v>58684.574</v>
      </c>
      <c r="P41" s="21" t="n">
        <f aca="false">H41+O41*Asumsi!$C$5</f>
        <v>94405.4594287576</v>
      </c>
      <c r="Q41" s="21" t="n">
        <f aca="false">Q40+Rencana_Dalops!P41*IF(Asumsi!$C$5&gt;0,IF(E41&gt;0,D41/E41,0)/Asumsi!$C$5,0)</f>
        <v>65091.8</v>
      </c>
      <c r="R41" s="21" t="n">
        <f aca="false">K41+Q41*Asumsi!$C$5</f>
        <v>152494.3636</v>
      </c>
      <c r="S41" s="21" t="n">
        <f aca="false">S40+Rencana_Dalops!T41*IF(Asumsi!$C$5&gt;0,IF(E41&gt;0,D41/E41,0)/Asumsi!$C$5,0)</f>
        <v>29173.7656</v>
      </c>
      <c r="T41" s="21" t="n">
        <f aca="false">N41+S41*Asumsi!$C$5</f>
        <v>35341.5999999995</v>
      </c>
      <c r="U41" s="22" t="n">
        <f aca="false">IF(OR(C41=0,O41&lt;=0),"",P41/O41)</f>
        <v>1.60869293229866</v>
      </c>
      <c r="V41" s="22" t="n">
        <f aca="false">IF(OR(C41=0,Q41&lt;=0),"",R41/Q41)</f>
        <v>2.34275843654654</v>
      </c>
      <c r="W41" s="22" t="n">
        <f aca="false">IF(OR(C41=0,S41&lt;=0),"",T41/S41)</f>
        <v>1.21141715075683</v>
      </c>
      <c r="X41" s="23" t="str">
        <f aca="false">IF(AND(C41=1,H41&lt;0),A41,"")</f>
        <v/>
      </c>
      <c r="Y41" s="23" t="str">
        <f aca="false">IF(AND(C41=1,K41&lt;0),A41,"")</f>
        <v/>
      </c>
      <c r="Z41" s="23" t="str">
        <f aca="false">IF(AND(C41=1,N41&lt;0),A41,"")</f>
        <v/>
      </c>
      <c r="AA41" s="21" t="n">
        <f aca="false">IF(C41=0,"",MIN(H41+Asumsi!$C$31-Asumsi!$C$34,K41+Asumsi!$C$32-Asumsi!$C$35,N41+Asumsi!$C$33-Asumsi!$C$36))</f>
        <v>2167.8343999995</v>
      </c>
      <c r="AB41" s="21" t="n">
        <f aca="false">IF(C41=1,H41,"")</f>
        <v>35720.8854287577</v>
      </c>
      <c r="AC41" s="21" t="n">
        <f aca="false">IF(C41=1,K41,"")</f>
        <v>87402.5636</v>
      </c>
      <c r="AD41" s="21" t="n">
        <f aca="false">IF(C41=1,N41,"")</f>
        <v>6167.8343999995</v>
      </c>
    </row>
    <row r="42" customFormat="false" ht="15" hidden="false" customHeight="false" outlineLevel="0" collapsed="false">
      <c r="A42" s="32" t="n">
        <f aca="false">Rencana_Dalops!A42</f>
        <v>46339</v>
      </c>
      <c r="B42" s="33" t="n">
        <f aca="false">A42-Rencana_Dalops!$A$3+1</f>
        <v>40</v>
      </c>
      <c r="C42" s="33" t="n">
        <f aca="false">IF(A42&lt;=Asumsi!$C$6,1,0)</f>
        <v>1</v>
      </c>
      <c r="D42" s="34" t="n">
        <f aca="false">(Rencana_Dalops!B42*Asumsi!$C$10+Rencana_Dalops!C42*Asumsi!$C$11+Rencana_Dalops!D42*Asumsi!$C$12+Rencana_Dalops!E42*Asumsi!$C$13+Rencana_Dalops!F42*Asumsi!$C$14)*Asumsi!$C$5</f>
        <v>6400</v>
      </c>
      <c r="E42" s="35" t="n">
        <f aca="false">Rencana_Dalops!G42</f>
        <v>6400</v>
      </c>
      <c r="F42" s="34" t="n">
        <f aca="false">Rencana_Dalops!H42*Asumsi!$C$17*(1-Rencana_Dalops!I42)+Rencana_Dalops!J42*Asumsi!$C$18+Rencana_Dalops!K42*Asumsi!$C$19</f>
        <v>1230.4537037037</v>
      </c>
      <c r="G42" s="34" t="n">
        <f aca="false">Rencana_Dalops!L42*Asumsi!$C$25+Rencana_Dalops!M42*IF(E42&gt;0,D42/E42,0)</f>
        <v>1971.454</v>
      </c>
      <c r="H42" s="21" t="n">
        <f aca="false">H41+F42-G42</f>
        <v>34979.8851324614</v>
      </c>
      <c r="I42" s="34" t="n">
        <f aca="false">IF(B42-Asumsi!$C$21&gt;=1,INDEX(Rencana_Dalops!$N$3:$N$90,B42-Asumsi!$C$21),0)*Asumsi!$C$20</f>
        <v>0</v>
      </c>
      <c r="J42" s="34" t="n">
        <f aca="false">Rencana_Dalops!O42+Rencana_Dalops!P42*IF(E42&gt;0,D42/E42,0)</f>
        <v>1721.185</v>
      </c>
      <c r="K42" s="21" t="n">
        <f aca="false">K41+I42-J42</f>
        <v>85681.3786</v>
      </c>
      <c r="L42" s="34" t="n">
        <f aca="false">Rencana_Dalops!Q42*Asumsi!$C$22+Rencana_Dalops!R42*Asumsi!$C$23</f>
        <v>6111</v>
      </c>
      <c r="M42" s="34" t="n">
        <f aca="false">Rencana_Dalops!S42*Asumsi!$C$24+Rencana_Dalops!T42*IF(E42&gt;0,D42/E42,0)</f>
        <v>3636.8609333333</v>
      </c>
      <c r="N42" s="21" t="n">
        <f aca="false">N41+L42-M42</f>
        <v>8641.9734666662</v>
      </c>
      <c r="O42" s="21" t="n">
        <f aca="false">O41+Rencana_Dalops!M42*IF(Asumsi!$C$5&gt;0,IF(E42&gt;0,D42/E42,0)/Asumsi!$C$5,0)</f>
        <v>60606.028</v>
      </c>
      <c r="P42" s="21" t="n">
        <f aca="false">H42+O42*Asumsi!$C$5</f>
        <v>95585.9131324613</v>
      </c>
      <c r="Q42" s="21" t="n">
        <f aca="false">Q41+Rencana_Dalops!P42*IF(Asumsi!$C$5&gt;0,IF(E42&gt;0,D42/E42,0)/Asumsi!$C$5,0)</f>
        <v>66792.825</v>
      </c>
      <c r="R42" s="21" t="n">
        <f aca="false">K42+Q42*Asumsi!$C$5</f>
        <v>152474.2036</v>
      </c>
      <c r="S42" s="21" t="n">
        <f aca="false">S41+Rencana_Dalops!T42*IF(Asumsi!$C$5&gt;0,IF(E42&gt;0,D42/E42,0)/Asumsi!$C$5,0)</f>
        <v>30104.5532</v>
      </c>
      <c r="T42" s="21" t="n">
        <f aca="false">N42+S42*Asumsi!$C$5</f>
        <v>38746.5266666662</v>
      </c>
      <c r="U42" s="22" t="n">
        <f aca="false">IF(OR(C42=0,O42&lt;=0),"",P42/O42)</f>
        <v>1.57716841520222</v>
      </c>
      <c r="V42" s="22" t="n">
        <f aca="false">IF(OR(C42=0,Q42&lt;=0),"",R42/Q42)</f>
        <v>2.28279315330651</v>
      </c>
      <c r="W42" s="22" t="n">
        <f aca="false">IF(OR(C42=0,S42&lt;=0),"",T42/S42)</f>
        <v>1.28706532893058</v>
      </c>
      <c r="X42" s="23" t="str">
        <f aca="false">IF(AND(C42=1,H42&lt;0),A42,"")</f>
        <v/>
      </c>
      <c r="Y42" s="23" t="str">
        <f aca="false">IF(AND(C42=1,K42&lt;0),A42,"")</f>
        <v/>
      </c>
      <c r="Z42" s="23" t="str">
        <f aca="false">IF(AND(C42=1,N42&lt;0),A42,"")</f>
        <v/>
      </c>
      <c r="AA42" s="21" t="n">
        <f aca="false">IF(C42=0,"",MIN(H42+Asumsi!$C$31-Asumsi!$C$34,K42+Asumsi!$C$32-Asumsi!$C$35,N42+Asumsi!$C$33-Asumsi!$C$36))</f>
        <v>4641.9734666662</v>
      </c>
      <c r="AB42" s="21" t="n">
        <f aca="false">IF(C42=1,H42,"")</f>
        <v>34979.8851324614</v>
      </c>
      <c r="AC42" s="21" t="n">
        <f aca="false">IF(C42=1,K42,"")</f>
        <v>85681.3786</v>
      </c>
      <c r="AD42" s="21" t="n">
        <f aca="false">IF(C42=1,N42,"")</f>
        <v>8641.9734666662</v>
      </c>
    </row>
    <row r="43" customFormat="false" ht="15" hidden="false" customHeight="false" outlineLevel="0" collapsed="false">
      <c r="A43" s="32" t="n">
        <f aca="false">Rencana_Dalops!A43</f>
        <v>46340</v>
      </c>
      <c r="B43" s="33" t="n">
        <f aca="false">A43-Rencana_Dalops!$A$3+1</f>
        <v>41</v>
      </c>
      <c r="C43" s="33" t="n">
        <f aca="false">IF(A43&lt;=Asumsi!$C$6,1,0)</f>
        <v>1</v>
      </c>
      <c r="D43" s="34" t="n">
        <f aca="false">(Rencana_Dalops!B43*Asumsi!$C$10+Rencana_Dalops!C43*Asumsi!$C$11+Rencana_Dalops!D43*Asumsi!$C$12+Rencana_Dalops!E43*Asumsi!$C$13+Rencana_Dalops!F43*Asumsi!$C$14)*Asumsi!$C$5</f>
        <v>4600</v>
      </c>
      <c r="E43" s="35" t="n">
        <f aca="false">Rencana_Dalops!G43</f>
        <v>4600</v>
      </c>
      <c r="F43" s="34" t="n">
        <f aca="false">Rencana_Dalops!H43*Asumsi!$C$17*(1-Rencana_Dalops!I43)+Rencana_Dalops!J43*Asumsi!$C$18+Rencana_Dalops!K43*Asumsi!$C$19</f>
        <v>1230.4537037037</v>
      </c>
      <c r="G43" s="34" t="n">
        <f aca="false">Rencana_Dalops!L43*Asumsi!$C$25+Rencana_Dalops!M43*IF(E43&gt;0,D43/E43,0)</f>
        <v>1570.531</v>
      </c>
      <c r="H43" s="21" t="n">
        <f aca="false">H42+F43-G43</f>
        <v>34639.8078361651</v>
      </c>
      <c r="I43" s="34" t="n">
        <f aca="false">IF(B43-Asumsi!$C$21&gt;=1,INDEX(Rencana_Dalops!$N$3:$N$90,B43-Asumsi!$C$21),0)*Asumsi!$C$20</f>
        <v>0</v>
      </c>
      <c r="J43" s="34" t="n">
        <f aca="false">Rencana_Dalops!O43+Rencana_Dalops!P43*IF(E43&gt;0,D43/E43,0)</f>
        <v>1240.485</v>
      </c>
      <c r="K43" s="21" t="n">
        <f aca="false">K42+I43-J43</f>
        <v>84440.8936</v>
      </c>
      <c r="L43" s="34" t="n">
        <f aca="false">Rencana_Dalops!Q43*Asumsi!$C$22+Rencana_Dalops!R43*Asumsi!$C$23</f>
        <v>6111</v>
      </c>
      <c r="M43" s="34" t="n">
        <f aca="false">Rencana_Dalops!S43*Asumsi!$C$24+Rencana_Dalops!T43*IF(E43&gt;0,D43/E43,0)</f>
        <v>3436.0997333333</v>
      </c>
      <c r="N43" s="21" t="n">
        <f aca="false">N42+L43-M43</f>
        <v>11316.8737333329</v>
      </c>
      <c r="O43" s="21" t="n">
        <f aca="false">O42+Rencana_Dalops!M43*IF(Asumsi!$C$5&gt;0,IF(E43&gt;0,D43/E43,0)/Asumsi!$C$5,0)</f>
        <v>62126.559</v>
      </c>
      <c r="P43" s="21" t="n">
        <f aca="false">H43+O43*Asumsi!$C$5</f>
        <v>96766.366836165</v>
      </c>
      <c r="Q43" s="21" t="n">
        <f aca="false">Q42+Rencana_Dalops!P43*IF(Asumsi!$C$5&gt;0,IF(E43&gt;0,D43/E43,0)/Asumsi!$C$5,0)</f>
        <v>68013.15</v>
      </c>
      <c r="R43" s="21" t="n">
        <f aca="false">K43+Q43*Asumsi!$C$5</f>
        <v>152454.0436</v>
      </c>
      <c r="S43" s="21" t="n">
        <f aca="false">S42+Rencana_Dalops!T43*IF(Asumsi!$C$5&gt;0,IF(E43&gt;0,D43/E43,0)/Asumsi!$C$5,0)</f>
        <v>30834.5796</v>
      </c>
      <c r="T43" s="21" t="n">
        <f aca="false">N43+S43*Asumsi!$C$5</f>
        <v>42151.4533333329</v>
      </c>
      <c r="U43" s="22" t="n">
        <f aca="false">IF(OR(C43=0,O43&lt;=0),"",P43/O43)</f>
        <v>1.55756842795953</v>
      </c>
      <c r="V43" s="22" t="n">
        <f aca="false">IF(OR(C43=0,Q43&lt;=0),"",R43/Q43)</f>
        <v>2.24153775556639</v>
      </c>
      <c r="W43" s="22" t="n">
        <f aca="false">IF(OR(C43=0,S43&lt;=0),"",T43/S43)</f>
        <v>1.36701890799682</v>
      </c>
      <c r="X43" s="23" t="str">
        <f aca="false">IF(AND(C43=1,H43&lt;0),A43,"")</f>
        <v/>
      </c>
      <c r="Y43" s="23" t="str">
        <f aca="false">IF(AND(C43=1,K43&lt;0),A43,"")</f>
        <v/>
      </c>
      <c r="Z43" s="23" t="str">
        <f aca="false">IF(AND(C43=1,N43&lt;0),A43,"")</f>
        <v/>
      </c>
      <c r="AA43" s="21" t="n">
        <f aca="false">IF(C43=0,"",MIN(H43+Asumsi!$C$31-Asumsi!$C$34,K43+Asumsi!$C$32-Asumsi!$C$35,N43+Asumsi!$C$33-Asumsi!$C$36))</f>
        <v>7316.8737333329</v>
      </c>
      <c r="AB43" s="21" t="n">
        <f aca="false">IF(C43=1,H43,"")</f>
        <v>34639.8078361651</v>
      </c>
      <c r="AC43" s="21" t="n">
        <f aca="false">IF(C43=1,K43,"")</f>
        <v>84440.8936</v>
      </c>
      <c r="AD43" s="21" t="n">
        <f aca="false">IF(C43=1,N43,"")</f>
        <v>11316.8737333329</v>
      </c>
    </row>
    <row r="44" customFormat="false" ht="15" hidden="false" customHeight="false" outlineLevel="0" collapsed="false">
      <c r="A44" s="32" t="n">
        <f aca="false">Rencana_Dalops!A44</f>
        <v>46341</v>
      </c>
      <c r="B44" s="33" t="n">
        <f aca="false">A44-Rencana_Dalops!$A$3+1</f>
        <v>42</v>
      </c>
      <c r="C44" s="33" t="n">
        <f aca="false">IF(A44&lt;=Asumsi!$C$6,1,0)</f>
        <v>1</v>
      </c>
      <c r="D44" s="34" t="n">
        <f aca="false">(Rencana_Dalops!B44*Asumsi!$C$10+Rencana_Dalops!C44*Asumsi!$C$11+Rencana_Dalops!D44*Asumsi!$C$12+Rencana_Dalops!E44*Asumsi!$C$13+Rencana_Dalops!F44*Asumsi!$C$14)*Asumsi!$C$5</f>
        <v>4600</v>
      </c>
      <c r="E44" s="35" t="n">
        <f aca="false">Rencana_Dalops!G44</f>
        <v>4600</v>
      </c>
      <c r="F44" s="34" t="n">
        <f aca="false">Rencana_Dalops!H44*Asumsi!$C$17*(1-Rencana_Dalops!I44)+Rencana_Dalops!J44*Asumsi!$C$18+Rencana_Dalops!K44*Asumsi!$C$19</f>
        <v>1230.4537037037</v>
      </c>
      <c r="G44" s="34" t="n">
        <f aca="false">Rencana_Dalops!L44*Asumsi!$C$25+Rencana_Dalops!M44*IF(E44&gt;0,D44/E44,0)</f>
        <v>1570.531</v>
      </c>
      <c r="H44" s="21" t="n">
        <f aca="false">H43+F44-G44</f>
        <v>34299.7305398688</v>
      </c>
      <c r="I44" s="34" t="n">
        <f aca="false">IF(B44-Asumsi!$C$21&gt;=1,INDEX(Rencana_Dalops!$N$3:$N$90,B44-Asumsi!$C$21),0)*Asumsi!$C$20</f>
        <v>5000</v>
      </c>
      <c r="J44" s="34" t="n">
        <f aca="false">Rencana_Dalops!O44+Rencana_Dalops!P44*IF(E44&gt;0,D44/E44,0)</f>
        <v>1169.66</v>
      </c>
      <c r="K44" s="21" t="n">
        <f aca="false">K43+I44-J44</f>
        <v>88271.2336</v>
      </c>
      <c r="L44" s="34" t="n">
        <f aca="false">Rencana_Dalops!Q44*Asumsi!$C$22+Rencana_Dalops!R44*Asumsi!$C$23</f>
        <v>3161</v>
      </c>
      <c r="M44" s="34" t="n">
        <f aca="false">Rencana_Dalops!S44*Asumsi!$C$24+Rencana_Dalops!T44*IF(E44&gt;0,D44/E44,0)</f>
        <v>2325.1997333333</v>
      </c>
      <c r="N44" s="21" t="n">
        <f aca="false">N43+L44-M44</f>
        <v>12152.6739999996</v>
      </c>
      <c r="O44" s="21" t="n">
        <f aca="false">O43+Rencana_Dalops!M44*IF(Asumsi!$C$5&gt;0,IF(E44&gt;0,D44/E44,0)/Asumsi!$C$5,0)</f>
        <v>63647.09</v>
      </c>
      <c r="P44" s="21" t="n">
        <f aca="false">H44+O44*Asumsi!$C$5</f>
        <v>97946.8205398687</v>
      </c>
      <c r="Q44" s="21" t="n">
        <f aca="false">Q43+Rencana_Dalops!P44*IF(Asumsi!$C$5&gt;0,IF(E44&gt;0,D44/E44,0)/Asumsi!$C$5,0)</f>
        <v>69162.65</v>
      </c>
      <c r="R44" s="21" t="n">
        <f aca="false">K44+Q44*Asumsi!$C$5</f>
        <v>157433.8836</v>
      </c>
      <c r="S44" s="21" t="n">
        <f aca="false">S43+Rencana_Dalops!T44*IF(Asumsi!$C$5&gt;0,IF(E44&gt;0,D44/E44,0)/Asumsi!$C$5,0)</f>
        <v>31564.606</v>
      </c>
      <c r="T44" s="21" t="n">
        <f aca="false">N44+S44*Asumsi!$C$5</f>
        <v>43717.2799999996</v>
      </c>
      <c r="U44" s="22" t="n">
        <f aca="false">IF(OR(C44=0,O44&lt;=0),"",P44/O44)</f>
        <v>1.53890492935135</v>
      </c>
      <c r="V44" s="22" t="n">
        <f aca="false">IF(OR(C44=0,Q44&lt;=0),"",R44/Q44)</f>
        <v>2.27628472304054</v>
      </c>
      <c r="W44" s="22" t="n">
        <f aca="false">IF(OR(C44=0,S44&lt;=0),"",T44/S44)</f>
        <v>1.38500952617624</v>
      </c>
      <c r="X44" s="23" t="str">
        <f aca="false">IF(AND(C44=1,H44&lt;0),A44,"")</f>
        <v/>
      </c>
      <c r="Y44" s="23" t="str">
        <f aca="false">IF(AND(C44=1,K44&lt;0),A44,"")</f>
        <v/>
      </c>
      <c r="Z44" s="23" t="str">
        <f aca="false">IF(AND(C44=1,N44&lt;0),A44,"")</f>
        <v/>
      </c>
      <c r="AA44" s="21" t="n">
        <f aca="false">IF(C44=0,"",MIN(H44+Asumsi!$C$31-Asumsi!$C$34,K44+Asumsi!$C$32-Asumsi!$C$35,N44+Asumsi!$C$33-Asumsi!$C$36))</f>
        <v>8152.6739999996</v>
      </c>
      <c r="AB44" s="21" t="n">
        <f aca="false">IF(C44=1,H44,"")</f>
        <v>34299.7305398688</v>
      </c>
      <c r="AC44" s="21" t="n">
        <f aca="false">IF(C44=1,K44,"")</f>
        <v>88271.2336</v>
      </c>
      <c r="AD44" s="21" t="n">
        <f aca="false">IF(C44=1,N44,"")</f>
        <v>12152.6739999996</v>
      </c>
    </row>
    <row r="45" customFormat="false" ht="15" hidden="false" customHeight="false" outlineLevel="0" collapsed="false">
      <c r="A45" s="32" t="n">
        <f aca="false">Rencana_Dalops!A45</f>
        <v>46342</v>
      </c>
      <c r="B45" s="33" t="n">
        <f aca="false">A45-Rencana_Dalops!$A$3+1</f>
        <v>43</v>
      </c>
      <c r="C45" s="33" t="n">
        <f aca="false">IF(A45&lt;=Asumsi!$C$6,1,0)</f>
        <v>1</v>
      </c>
      <c r="D45" s="34" t="n">
        <f aca="false">(Rencana_Dalops!B45*Asumsi!$C$10+Rencana_Dalops!C45*Asumsi!$C$11+Rencana_Dalops!D45*Asumsi!$C$12+Rencana_Dalops!E45*Asumsi!$C$13+Rencana_Dalops!F45*Asumsi!$C$14)*Asumsi!$C$5</f>
        <v>6400</v>
      </c>
      <c r="E45" s="35" t="n">
        <f aca="false">Rencana_Dalops!G45</f>
        <v>6400</v>
      </c>
      <c r="F45" s="34" t="n">
        <f aca="false">Rencana_Dalops!H45*Asumsi!$C$17*(1-Rencana_Dalops!I45)+Rencana_Dalops!J45*Asumsi!$C$18+Rencana_Dalops!K45*Asumsi!$C$19</f>
        <v>1230.4537037037</v>
      </c>
      <c r="G45" s="34" t="n">
        <f aca="false">Rencana_Dalops!L45*Asumsi!$C$25+Rencana_Dalops!M45*IF(E45&gt;0,D45/E45,0)</f>
        <v>1971.454</v>
      </c>
      <c r="H45" s="21" t="n">
        <f aca="false">H44+F45-G45</f>
        <v>33558.7302435725</v>
      </c>
      <c r="I45" s="34" t="n">
        <f aca="false">IF(B45-Asumsi!$C$21&gt;=1,INDEX(Rencana_Dalops!$N$3:$N$90,B45-Asumsi!$C$21),0)*Asumsi!$C$20</f>
        <v>5000</v>
      </c>
      <c r="J45" s="34" t="n">
        <f aca="false">Rencana_Dalops!O45+Rencana_Dalops!P45*IF(E45&gt;0,D45/E45,0)</f>
        <v>1545.86</v>
      </c>
      <c r="K45" s="21" t="n">
        <f aca="false">K44+I45-J45</f>
        <v>91725.3736</v>
      </c>
      <c r="L45" s="34" t="n">
        <f aca="false">Rencana_Dalops!Q45*Asumsi!$C$22+Rencana_Dalops!R45*Asumsi!$C$23</f>
        <v>3111</v>
      </c>
      <c r="M45" s="34" t="n">
        <f aca="false">Rencana_Dalops!S45*Asumsi!$C$24+Rencana_Dalops!T45*IF(E45&gt;0,D45/E45,0)</f>
        <v>3636.8609333333</v>
      </c>
      <c r="N45" s="21" t="n">
        <f aca="false">N44+L45-M45</f>
        <v>11626.8130666663</v>
      </c>
      <c r="O45" s="21" t="n">
        <f aca="false">O44+Rencana_Dalops!M45*IF(Asumsi!$C$5&gt;0,IF(E45&gt;0,D45/E45,0)/Asumsi!$C$5,0)</f>
        <v>65568.544</v>
      </c>
      <c r="P45" s="21" t="n">
        <f aca="false">H45+O45*Asumsi!$C$5</f>
        <v>99127.2742435724</v>
      </c>
      <c r="Q45" s="21" t="n">
        <f aca="false">Q44+Rencana_Dalops!P45*IF(Asumsi!$C$5&gt;0,IF(E45&gt;0,D45/E45,0)/Asumsi!$C$5,0)</f>
        <v>70688.35</v>
      </c>
      <c r="R45" s="21" t="n">
        <f aca="false">K45+Q45*Asumsi!$C$5</f>
        <v>162413.7236</v>
      </c>
      <c r="S45" s="21" t="n">
        <f aca="false">S44+Rencana_Dalops!T45*IF(Asumsi!$C$5&gt;0,IF(E45&gt;0,D45/E45,0)/Asumsi!$C$5,0)</f>
        <v>32495.3936</v>
      </c>
      <c r="T45" s="21" t="n">
        <f aca="false">N45+S45*Asumsi!$C$5</f>
        <v>44122.2066666663</v>
      </c>
      <c r="U45" s="22" t="n">
        <f aca="false">IF(OR(C45=0,O45&lt;=0),"",P45/O45)</f>
        <v>1.51181142963267</v>
      </c>
      <c r="V45" s="22" t="n">
        <f aca="false">IF(OR(C45=0,Q45&lt;=0),"",R45/Q45)</f>
        <v>2.29760241397628</v>
      </c>
      <c r="W45" s="22" t="n">
        <f aca="false">IF(OR(C45=0,S45&lt;=0),"",T45/S45)</f>
        <v>1.3577988071105</v>
      </c>
      <c r="X45" s="23" t="str">
        <f aca="false">IF(AND(C45=1,H45&lt;0),A45,"")</f>
        <v/>
      </c>
      <c r="Y45" s="23" t="str">
        <f aca="false">IF(AND(C45=1,K45&lt;0),A45,"")</f>
        <v/>
      </c>
      <c r="Z45" s="23" t="str">
        <f aca="false">IF(AND(C45=1,N45&lt;0),A45,"")</f>
        <v/>
      </c>
      <c r="AA45" s="21" t="n">
        <f aca="false">IF(C45=0,"",MIN(H45+Asumsi!$C$31-Asumsi!$C$34,K45+Asumsi!$C$32-Asumsi!$C$35,N45+Asumsi!$C$33-Asumsi!$C$36))</f>
        <v>7626.8130666663</v>
      </c>
      <c r="AB45" s="21" t="n">
        <f aca="false">IF(C45=1,H45,"")</f>
        <v>33558.7302435725</v>
      </c>
      <c r="AC45" s="21" t="n">
        <f aca="false">IF(C45=1,K45,"")</f>
        <v>91725.3736</v>
      </c>
      <c r="AD45" s="21" t="n">
        <f aca="false">IF(C45=1,N45,"")</f>
        <v>11626.8130666663</v>
      </c>
    </row>
    <row r="46" customFormat="false" ht="15" hidden="false" customHeight="false" outlineLevel="0" collapsed="false">
      <c r="A46" s="32" t="n">
        <f aca="false">Rencana_Dalops!A46</f>
        <v>46343</v>
      </c>
      <c r="B46" s="33" t="n">
        <f aca="false">A46-Rencana_Dalops!$A$3+1</f>
        <v>44</v>
      </c>
      <c r="C46" s="33" t="n">
        <f aca="false">IF(A46&lt;=Asumsi!$C$6,1,0)</f>
        <v>1</v>
      </c>
      <c r="D46" s="34" t="n">
        <f aca="false">(Rencana_Dalops!B46*Asumsi!$C$10+Rencana_Dalops!C46*Asumsi!$C$11+Rencana_Dalops!D46*Asumsi!$C$12+Rencana_Dalops!E46*Asumsi!$C$13+Rencana_Dalops!F46*Asumsi!$C$14)*Asumsi!$C$5</f>
        <v>6400</v>
      </c>
      <c r="E46" s="35" t="n">
        <f aca="false">Rencana_Dalops!G46</f>
        <v>6400</v>
      </c>
      <c r="F46" s="34" t="n">
        <f aca="false">Rencana_Dalops!H46*Asumsi!$C$17*(1-Rencana_Dalops!I46)+Rencana_Dalops!J46*Asumsi!$C$18+Rencana_Dalops!K46*Asumsi!$C$19</f>
        <v>1230.4537037037</v>
      </c>
      <c r="G46" s="34" t="n">
        <f aca="false">Rencana_Dalops!L46*Asumsi!$C$25+Rencana_Dalops!M46*IF(E46&gt;0,D46/E46,0)</f>
        <v>1971.454</v>
      </c>
      <c r="H46" s="21" t="n">
        <f aca="false">H45+F46-G46</f>
        <v>32817.7299472762</v>
      </c>
      <c r="I46" s="34" t="n">
        <f aca="false">IF(B46-Asumsi!$C$21&gt;=1,INDEX(Rencana_Dalops!$N$3:$N$90,B46-Asumsi!$C$21),0)*Asumsi!$C$20</f>
        <v>5000</v>
      </c>
      <c r="J46" s="34" t="n">
        <f aca="false">Rencana_Dalops!O46+Rencana_Dalops!P46*IF(E46&gt;0,D46/E46,0)</f>
        <v>1650.36</v>
      </c>
      <c r="K46" s="21" t="n">
        <f aca="false">K45+I46-J46</f>
        <v>95075.0136</v>
      </c>
      <c r="L46" s="34" t="n">
        <f aca="false">Rencana_Dalops!Q46*Asumsi!$C$22+Rencana_Dalops!R46*Asumsi!$C$23</f>
        <v>3111</v>
      </c>
      <c r="M46" s="34" t="n">
        <f aca="false">Rencana_Dalops!S46*Asumsi!$C$24+Rencana_Dalops!T46*IF(E46&gt;0,D46/E46,0)</f>
        <v>3636.8609333333</v>
      </c>
      <c r="N46" s="21" t="n">
        <f aca="false">N45+L46-M46</f>
        <v>11100.952133333</v>
      </c>
      <c r="O46" s="21" t="n">
        <f aca="false">O45+Rencana_Dalops!M46*IF(Asumsi!$C$5&gt;0,IF(E46&gt;0,D46/E46,0)/Asumsi!$C$5,0)</f>
        <v>67489.998</v>
      </c>
      <c r="P46" s="21" t="n">
        <f aca="false">H46+O46*Asumsi!$C$5</f>
        <v>100307.727947276</v>
      </c>
      <c r="Q46" s="21" t="n">
        <f aca="false">Q45+Rencana_Dalops!P46*IF(Asumsi!$C$5&gt;0,IF(E46&gt;0,D46/E46,0)/Asumsi!$C$5,0)</f>
        <v>72318.55</v>
      </c>
      <c r="R46" s="21" t="n">
        <f aca="false">K46+Q46*Asumsi!$C$5</f>
        <v>167393.5636</v>
      </c>
      <c r="S46" s="21" t="n">
        <f aca="false">S45+Rencana_Dalops!T46*IF(Asumsi!$C$5&gt;0,IF(E46&gt;0,D46/E46,0)/Asumsi!$C$5,0)</f>
        <v>33426.1812</v>
      </c>
      <c r="T46" s="21" t="n">
        <f aca="false">N46+S46*Asumsi!$C$5</f>
        <v>44527.133333333</v>
      </c>
      <c r="U46" s="22" t="n">
        <f aca="false">IF(OR(C46=0,O46&lt;=0),"",P46/O46)</f>
        <v>1.48626064483327</v>
      </c>
      <c r="V46" s="22" t="n">
        <f aca="false">IF(OR(C46=0,Q46&lt;=0),"",R46/Q46)</f>
        <v>2.3146697991041</v>
      </c>
      <c r="W46" s="22" t="n">
        <f aca="false">IF(OR(C46=0,S46&lt;=0),"",T46/S46)</f>
        <v>1.33210351092493</v>
      </c>
      <c r="X46" s="23" t="str">
        <f aca="false">IF(AND(C46=1,H46&lt;0),A46,"")</f>
        <v/>
      </c>
      <c r="Y46" s="23" t="str">
        <f aca="false">IF(AND(C46=1,K46&lt;0),A46,"")</f>
        <v/>
      </c>
      <c r="Z46" s="23" t="str">
        <f aca="false">IF(AND(C46=1,N46&lt;0),A46,"")</f>
        <v/>
      </c>
      <c r="AA46" s="21" t="n">
        <f aca="false">IF(C46=0,"",MIN(H46+Asumsi!$C$31-Asumsi!$C$34,K46+Asumsi!$C$32-Asumsi!$C$35,N46+Asumsi!$C$33-Asumsi!$C$36))</f>
        <v>7100.952133333</v>
      </c>
      <c r="AB46" s="21" t="n">
        <f aca="false">IF(C46=1,H46,"")</f>
        <v>32817.7299472762</v>
      </c>
      <c r="AC46" s="21" t="n">
        <f aca="false">IF(C46=1,K46,"")</f>
        <v>95075.0136</v>
      </c>
      <c r="AD46" s="21" t="n">
        <f aca="false">IF(C46=1,N46,"")</f>
        <v>11100.952133333</v>
      </c>
    </row>
    <row r="47" customFormat="false" ht="15" hidden="false" customHeight="false" outlineLevel="0" collapsed="false">
      <c r="A47" s="32" t="n">
        <f aca="false">Rencana_Dalops!A47</f>
        <v>46344</v>
      </c>
      <c r="B47" s="33" t="n">
        <f aca="false">A47-Rencana_Dalops!$A$3+1</f>
        <v>45</v>
      </c>
      <c r="C47" s="33" t="n">
        <f aca="false">IF(A47&lt;=Asumsi!$C$6,1,0)</f>
        <v>1</v>
      </c>
      <c r="D47" s="34" t="n">
        <f aca="false">(Rencana_Dalops!B47*Asumsi!$C$10+Rencana_Dalops!C47*Asumsi!$C$11+Rencana_Dalops!D47*Asumsi!$C$12+Rencana_Dalops!E47*Asumsi!$C$13+Rencana_Dalops!F47*Asumsi!$C$14)*Asumsi!$C$5</f>
        <v>6600</v>
      </c>
      <c r="E47" s="35" t="n">
        <f aca="false">Rencana_Dalops!G47</f>
        <v>6600</v>
      </c>
      <c r="F47" s="34" t="n">
        <f aca="false">Rencana_Dalops!H47*Asumsi!$C$17*(1-Rencana_Dalops!I47)+Rencana_Dalops!J47*Asumsi!$C$18+Rencana_Dalops!K47*Asumsi!$C$19</f>
        <v>1753.7511947593</v>
      </c>
      <c r="G47" s="34" t="n">
        <f aca="false">Rencana_Dalops!L47*Asumsi!$C$25+Rencana_Dalops!M47*IF(E47&gt;0,D47/E47,0)</f>
        <v>2016.001</v>
      </c>
      <c r="H47" s="21" t="n">
        <f aca="false">H46+F47-G47</f>
        <v>32555.4801420355</v>
      </c>
      <c r="I47" s="34" t="n">
        <f aca="false">IF(B47-Asumsi!$C$21&gt;=1,INDEX(Rencana_Dalops!$N$3:$N$90,B47-Asumsi!$C$21),0)*Asumsi!$C$20</f>
        <v>5000</v>
      </c>
      <c r="J47" s="34" t="n">
        <f aca="false">Rencana_Dalops!O47+Rencana_Dalops!P47*IF(E47&gt;0,D47/E47,0)</f>
        <v>1796.66</v>
      </c>
      <c r="K47" s="21" t="n">
        <f aca="false">K46+I47-J47</f>
        <v>98278.3536</v>
      </c>
      <c r="L47" s="34" t="n">
        <f aca="false">Rencana_Dalops!Q47*Asumsi!$C$22+Rencana_Dalops!R47*Asumsi!$C$23</f>
        <v>3111</v>
      </c>
      <c r="M47" s="34" t="n">
        <f aca="false">Rencana_Dalops!S47*Asumsi!$C$24+Rencana_Dalops!T47*IF(E47&gt;0,D47/E47,0)</f>
        <v>3659.1677333333</v>
      </c>
      <c r="N47" s="21" t="n">
        <f aca="false">N46+L47-M47</f>
        <v>10552.7843999997</v>
      </c>
      <c r="O47" s="21" t="n">
        <f aca="false">O46+Rencana_Dalops!M47*IF(Asumsi!$C$5&gt;0,IF(E47&gt;0,D47/E47,0)/Asumsi!$C$5,0)</f>
        <v>69455.999</v>
      </c>
      <c r="P47" s="21" t="n">
        <f aca="false">H47+O47*Asumsi!$C$5</f>
        <v>102011.479142035</v>
      </c>
      <c r="Q47" s="21" t="n">
        <f aca="false">Q46+Rencana_Dalops!P47*IF(Asumsi!$C$5&gt;0,IF(E47&gt;0,D47/E47,0)/Asumsi!$C$5,0)</f>
        <v>74095.05</v>
      </c>
      <c r="R47" s="21" t="n">
        <f aca="false">K47+Q47*Asumsi!$C$5</f>
        <v>172373.4036</v>
      </c>
      <c r="S47" s="21" t="n">
        <f aca="false">S46+Rencana_Dalops!T47*IF(Asumsi!$C$5&gt;0,IF(E47&gt;0,D47/E47,0)/Asumsi!$C$5,0)</f>
        <v>34379.2756</v>
      </c>
      <c r="T47" s="21" t="n">
        <f aca="false">N47+S47*Asumsi!$C$5</f>
        <v>44932.0599999997</v>
      </c>
      <c r="U47" s="22" t="n">
        <f aca="false">IF(OR(C47=0,O47&lt;=0),"",P47/O47)</f>
        <v>1.46872092563287</v>
      </c>
      <c r="V47" s="22" t="n">
        <f aca="false">IF(OR(C47=0,Q47&lt;=0),"",R47/Q47)</f>
        <v>2.3263821753275</v>
      </c>
      <c r="W47" s="22" t="n">
        <f aca="false">IF(OR(C47=0,S47&lt;=0),"",T47/S47)</f>
        <v>1.30695191262261</v>
      </c>
      <c r="X47" s="23" t="str">
        <f aca="false">IF(AND(C47=1,H47&lt;0),A47,"")</f>
        <v/>
      </c>
      <c r="Y47" s="23" t="str">
        <f aca="false">IF(AND(C47=1,K47&lt;0),A47,"")</f>
        <v/>
      </c>
      <c r="Z47" s="23" t="str">
        <f aca="false">IF(AND(C47=1,N47&lt;0),A47,"")</f>
        <v/>
      </c>
      <c r="AA47" s="21" t="n">
        <f aca="false">IF(C47=0,"",MIN(H47+Asumsi!$C$31-Asumsi!$C$34,K47+Asumsi!$C$32-Asumsi!$C$35,N47+Asumsi!$C$33-Asumsi!$C$36))</f>
        <v>6552.7843999997</v>
      </c>
      <c r="AB47" s="21" t="n">
        <f aca="false">IF(C47=1,H47,"")</f>
        <v>32555.4801420355</v>
      </c>
      <c r="AC47" s="21" t="n">
        <f aca="false">IF(C47=1,K47,"")</f>
        <v>98278.3536</v>
      </c>
      <c r="AD47" s="21" t="n">
        <f aca="false">IF(C47=1,N47,"")</f>
        <v>10552.7843999997</v>
      </c>
    </row>
    <row r="48" customFormat="false" ht="15" hidden="false" customHeight="false" outlineLevel="0" collapsed="false">
      <c r="A48" s="32" t="n">
        <f aca="false">Rencana_Dalops!A48</f>
        <v>46345</v>
      </c>
      <c r="B48" s="33" t="n">
        <f aca="false">A48-Rencana_Dalops!$A$3+1</f>
        <v>46</v>
      </c>
      <c r="C48" s="33" t="n">
        <f aca="false">IF(A48&lt;=Asumsi!$C$6,1,0)</f>
        <v>1</v>
      </c>
      <c r="D48" s="34" t="n">
        <f aca="false">(Rencana_Dalops!B48*Asumsi!$C$10+Rencana_Dalops!C48*Asumsi!$C$11+Rencana_Dalops!D48*Asumsi!$C$12+Rencana_Dalops!E48*Asumsi!$C$13+Rencana_Dalops!F48*Asumsi!$C$14)*Asumsi!$C$5</f>
        <v>6600</v>
      </c>
      <c r="E48" s="35" t="n">
        <f aca="false">Rencana_Dalops!G48</f>
        <v>6600</v>
      </c>
      <c r="F48" s="34" t="n">
        <f aca="false">Rencana_Dalops!H48*Asumsi!$C$17*(1-Rencana_Dalops!I48)+Rencana_Dalops!J48*Asumsi!$C$18+Rencana_Dalops!K48*Asumsi!$C$19</f>
        <v>1753.7511947593</v>
      </c>
      <c r="G48" s="34" t="n">
        <f aca="false">Rencana_Dalops!L48*Asumsi!$C$25+Rencana_Dalops!M48*IF(E48&gt;0,D48/E48,0)</f>
        <v>2016.001</v>
      </c>
      <c r="H48" s="21" t="n">
        <f aca="false">H47+F48-G48</f>
        <v>32293.2303367948</v>
      </c>
      <c r="I48" s="34" t="n">
        <f aca="false">IF(B48-Asumsi!$C$21&gt;=1,INDEX(Rencana_Dalops!$N$3:$N$90,B48-Asumsi!$C$21),0)*Asumsi!$C$20</f>
        <v>5000</v>
      </c>
      <c r="J48" s="34" t="n">
        <f aca="false">Rencana_Dalops!O48+Rencana_Dalops!P48*IF(E48&gt;0,D48/E48,0)</f>
        <v>1796.66</v>
      </c>
      <c r="K48" s="21" t="n">
        <f aca="false">K47+I48-J48</f>
        <v>101481.6936</v>
      </c>
      <c r="L48" s="34" t="n">
        <f aca="false">Rencana_Dalops!Q48*Asumsi!$C$22+Rencana_Dalops!R48*Asumsi!$C$23</f>
        <v>3111</v>
      </c>
      <c r="M48" s="34" t="n">
        <f aca="false">Rencana_Dalops!S48*Asumsi!$C$24+Rencana_Dalops!T48*IF(E48&gt;0,D48/E48,0)</f>
        <v>3659.1677333333</v>
      </c>
      <c r="N48" s="21" t="n">
        <f aca="false">N47+L48-M48</f>
        <v>10004.6166666664</v>
      </c>
      <c r="O48" s="21" t="n">
        <f aca="false">O47+Rencana_Dalops!M48*IF(Asumsi!$C$5&gt;0,IF(E48&gt;0,D48/E48,0)/Asumsi!$C$5,0)</f>
        <v>71422</v>
      </c>
      <c r="P48" s="21" t="n">
        <f aca="false">H48+O48*Asumsi!$C$5</f>
        <v>103715.230336795</v>
      </c>
      <c r="Q48" s="21" t="n">
        <f aca="false">Q47+Rencana_Dalops!P48*IF(Asumsi!$C$5&gt;0,IF(E48&gt;0,D48/E48,0)/Asumsi!$C$5,0)</f>
        <v>75871.55</v>
      </c>
      <c r="R48" s="21" t="n">
        <f aca="false">K48+Q48*Asumsi!$C$5</f>
        <v>177353.2436</v>
      </c>
      <c r="S48" s="21" t="n">
        <f aca="false">S47+Rencana_Dalops!T48*IF(Asumsi!$C$5&gt;0,IF(E48&gt;0,D48/E48,0)/Asumsi!$C$5,0)</f>
        <v>35332.37</v>
      </c>
      <c r="T48" s="21" t="n">
        <f aca="false">N48+S48*Asumsi!$C$5</f>
        <v>45336.9866666664</v>
      </c>
      <c r="U48" s="22" t="n">
        <f aca="false">IF(OR(C48=0,O48&lt;=0),"",P48/O48)</f>
        <v>1.45214682222277</v>
      </c>
      <c r="V48" s="22" t="n">
        <f aca="false">IF(OR(C48=0,Q48&lt;=0),"",R48/Q48)</f>
        <v>2.33754607095809</v>
      </c>
      <c r="W48" s="22" t="n">
        <f aca="false">IF(OR(C48=0,S48&lt;=0),"",T48/S48)</f>
        <v>1.28315724834384</v>
      </c>
      <c r="X48" s="23" t="str">
        <f aca="false">IF(AND(C48=1,H48&lt;0),A48,"")</f>
        <v/>
      </c>
      <c r="Y48" s="23" t="str">
        <f aca="false">IF(AND(C48=1,K48&lt;0),A48,"")</f>
        <v/>
      </c>
      <c r="Z48" s="23" t="str">
        <f aca="false">IF(AND(C48=1,N48&lt;0),A48,"")</f>
        <v/>
      </c>
      <c r="AA48" s="21" t="n">
        <f aca="false">IF(C48=0,"",MIN(H48+Asumsi!$C$31-Asumsi!$C$34,K48+Asumsi!$C$32-Asumsi!$C$35,N48+Asumsi!$C$33-Asumsi!$C$36))</f>
        <v>6004.6166666664</v>
      </c>
      <c r="AB48" s="21" t="n">
        <f aca="false">IF(C48=1,H48,"")</f>
        <v>32293.2303367948</v>
      </c>
      <c r="AC48" s="21" t="n">
        <f aca="false">IF(C48=1,K48,"")</f>
        <v>101481.6936</v>
      </c>
      <c r="AD48" s="21" t="n">
        <f aca="false">IF(C48=1,N48,"")</f>
        <v>10004.6166666664</v>
      </c>
    </row>
    <row r="49" customFormat="false" ht="15" hidden="false" customHeight="false" outlineLevel="0" collapsed="false">
      <c r="A49" s="32" t="n">
        <f aca="false">Rencana_Dalops!A49</f>
        <v>46346</v>
      </c>
      <c r="B49" s="33" t="n">
        <f aca="false">A49-Rencana_Dalops!$A$3+1</f>
        <v>47</v>
      </c>
      <c r="C49" s="33" t="n">
        <f aca="false">IF(A49&lt;=Asumsi!$C$6,1,0)</f>
        <v>1</v>
      </c>
      <c r="D49" s="34" t="n">
        <f aca="false">(Rencana_Dalops!B49*Asumsi!$C$10+Rencana_Dalops!C49*Asumsi!$C$11+Rencana_Dalops!D49*Asumsi!$C$12+Rencana_Dalops!E49*Asumsi!$C$13+Rencana_Dalops!F49*Asumsi!$C$14)*Asumsi!$C$5</f>
        <v>6600</v>
      </c>
      <c r="E49" s="35" t="n">
        <f aca="false">Rencana_Dalops!G49</f>
        <v>6600</v>
      </c>
      <c r="F49" s="34" t="n">
        <f aca="false">Rencana_Dalops!H49*Asumsi!$C$17*(1-Rencana_Dalops!I49)+Rencana_Dalops!J49*Asumsi!$C$18+Rencana_Dalops!K49*Asumsi!$C$19</f>
        <v>6753.7511947593</v>
      </c>
      <c r="G49" s="34" t="n">
        <f aca="false">Rencana_Dalops!L49*Asumsi!$C$25+Rencana_Dalops!M49*IF(E49&gt;0,D49/E49,0)</f>
        <v>2016.001</v>
      </c>
      <c r="H49" s="21" t="n">
        <f aca="false">H48+F49-G49</f>
        <v>37030.9805315541</v>
      </c>
      <c r="I49" s="34" t="n">
        <f aca="false">IF(B49-Asumsi!$C$21&gt;=1,INDEX(Rencana_Dalops!$N$3:$N$90,B49-Asumsi!$C$21),0)*Asumsi!$C$20</f>
        <v>0</v>
      </c>
      <c r="J49" s="34" t="n">
        <f aca="false">Rencana_Dalops!O49+Rencana_Dalops!P49*IF(E49&gt;0,D49/E49,0)</f>
        <v>1796.66</v>
      </c>
      <c r="K49" s="21" t="n">
        <f aca="false">K48+I49-J49</f>
        <v>99685.0336</v>
      </c>
      <c r="L49" s="34" t="n">
        <f aca="false">Rencana_Dalops!Q49*Asumsi!$C$22+Rencana_Dalops!R49*Asumsi!$C$23</f>
        <v>3111</v>
      </c>
      <c r="M49" s="34" t="n">
        <f aca="false">Rencana_Dalops!S49*Asumsi!$C$24+Rencana_Dalops!T49*IF(E49&gt;0,D49/E49,0)</f>
        <v>3659.1677333333</v>
      </c>
      <c r="N49" s="21" t="n">
        <f aca="false">N48+L49-M49</f>
        <v>9456.4489333331</v>
      </c>
      <c r="O49" s="21" t="n">
        <f aca="false">O48+Rencana_Dalops!M49*IF(Asumsi!$C$5&gt;0,IF(E49&gt;0,D49/E49,0)/Asumsi!$C$5,0)</f>
        <v>73388.001</v>
      </c>
      <c r="P49" s="21" t="n">
        <f aca="false">H49+O49*Asumsi!$C$5</f>
        <v>110418.981531554</v>
      </c>
      <c r="Q49" s="21" t="n">
        <f aca="false">Q48+Rencana_Dalops!P49*IF(Asumsi!$C$5&gt;0,IF(E49&gt;0,D49/E49,0)/Asumsi!$C$5,0)</f>
        <v>77648.05</v>
      </c>
      <c r="R49" s="21" t="n">
        <f aca="false">K49+Q49*Asumsi!$C$5</f>
        <v>177333.0836</v>
      </c>
      <c r="S49" s="21" t="n">
        <f aca="false">S48+Rencana_Dalops!T49*IF(Asumsi!$C$5&gt;0,IF(E49&gt;0,D49/E49,0)/Asumsi!$C$5,0)</f>
        <v>36285.4644</v>
      </c>
      <c r="T49" s="21" t="n">
        <f aca="false">N49+S49*Asumsi!$C$5</f>
        <v>45741.9133333331</v>
      </c>
      <c r="U49" s="22" t="n">
        <f aca="false">IF(OR(C49=0,O49&lt;=0),"",P49/O49)</f>
        <v>1.50459175923805</v>
      </c>
      <c r="V49" s="22" t="n">
        <f aca="false">IF(OR(C49=0,Q49&lt;=0),"",R49/Q49)</f>
        <v>2.28380601444595</v>
      </c>
      <c r="W49" s="22" t="n">
        <f aca="false">IF(OR(C49=0,S49&lt;=0),"",T49/S49)</f>
        <v>1.26061259211369</v>
      </c>
      <c r="X49" s="23" t="str">
        <f aca="false">IF(AND(C49=1,H49&lt;0),A49,"")</f>
        <v/>
      </c>
      <c r="Y49" s="23" t="str">
        <f aca="false">IF(AND(C49=1,K49&lt;0),A49,"")</f>
        <v/>
      </c>
      <c r="Z49" s="23" t="str">
        <f aca="false">IF(AND(C49=1,N49&lt;0),A49,"")</f>
        <v/>
      </c>
      <c r="AA49" s="21" t="n">
        <f aca="false">IF(C49=0,"",MIN(H49+Asumsi!$C$31-Asumsi!$C$34,K49+Asumsi!$C$32-Asumsi!$C$35,N49+Asumsi!$C$33-Asumsi!$C$36))</f>
        <v>5456.4489333331</v>
      </c>
      <c r="AB49" s="21" t="n">
        <f aca="false">IF(C49=1,H49,"")</f>
        <v>37030.9805315541</v>
      </c>
      <c r="AC49" s="21" t="n">
        <f aca="false">IF(C49=1,K49,"")</f>
        <v>99685.0336</v>
      </c>
      <c r="AD49" s="21" t="n">
        <f aca="false">IF(C49=1,N49,"")</f>
        <v>9456.4489333331</v>
      </c>
    </row>
    <row r="50" customFormat="false" ht="15" hidden="false" customHeight="false" outlineLevel="0" collapsed="false">
      <c r="A50" s="32" t="n">
        <f aca="false">Rencana_Dalops!A50</f>
        <v>46347</v>
      </c>
      <c r="B50" s="33" t="n">
        <f aca="false">A50-Rencana_Dalops!$A$3+1</f>
        <v>48</v>
      </c>
      <c r="C50" s="33" t="n">
        <f aca="false">IF(A50&lt;=Asumsi!$C$6,1,0)</f>
        <v>1</v>
      </c>
      <c r="D50" s="34" t="n">
        <f aca="false">(Rencana_Dalops!B50*Asumsi!$C$10+Rencana_Dalops!C50*Asumsi!$C$11+Rencana_Dalops!D50*Asumsi!$C$12+Rencana_Dalops!E50*Asumsi!$C$13+Rencana_Dalops!F50*Asumsi!$C$14)*Asumsi!$C$5</f>
        <v>6600</v>
      </c>
      <c r="E50" s="35" t="n">
        <f aca="false">Rencana_Dalops!G50</f>
        <v>6600</v>
      </c>
      <c r="F50" s="34" t="n">
        <f aca="false">Rencana_Dalops!H50*Asumsi!$C$17*(1-Rencana_Dalops!I50)+Rencana_Dalops!J50*Asumsi!$C$18+Rencana_Dalops!K50*Asumsi!$C$19</f>
        <v>6753.7511947593</v>
      </c>
      <c r="G50" s="34" t="n">
        <f aca="false">Rencana_Dalops!L50*Asumsi!$C$25+Rencana_Dalops!M50*IF(E50&gt;0,D50/E50,0)</f>
        <v>2016.001</v>
      </c>
      <c r="H50" s="21" t="n">
        <f aca="false">H49+F50-G50</f>
        <v>41768.7307263134</v>
      </c>
      <c r="I50" s="34" t="n">
        <f aca="false">IF(B50-Asumsi!$C$21&gt;=1,INDEX(Rencana_Dalops!$N$3:$N$90,B50-Asumsi!$C$21),0)*Asumsi!$C$20</f>
        <v>0</v>
      </c>
      <c r="J50" s="34" t="n">
        <f aca="false">Rencana_Dalops!O50+Rencana_Dalops!P50*IF(E50&gt;0,D50/E50,0)</f>
        <v>1796.66</v>
      </c>
      <c r="K50" s="21" t="n">
        <f aca="false">K49+I50-J50</f>
        <v>97888.3736</v>
      </c>
      <c r="L50" s="34" t="n">
        <f aca="false">Rencana_Dalops!Q50*Asumsi!$C$22+Rencana_Dalops!R50*Asumsi!$C$23</f>
        <v>3111</v>
      </c>
      <c r="M50" s="34" t="n">
        <f aca="false">Rencana_Dalops!S50*Asumsi!$C$24+Rencana_Dalops!T50*IF(E50&gt;0,D50/E50,0)</f>
        <v>3659.1677333333</v>
      </c>
      <c r="N50" s="21" t="n">
        <f aca="false">N49+L50-M50</f>
        <v>8908.2811999998</v>
      </c>
      <c r="O50" s="21" t="n">
        <f aca="false">O49+Rencana_Dalops!M50*IF(Asumsi!$C$5&gt;0,IF(E50&gt;0,D50/E50,0)/Asumsi!$C$5,0)</f>
        <v>75354.002</v>
      </c>
      <c r="P50" s="21" t="n">
        <f aca="false">H50+O50*Asumsi!$C$5</f>
        <v>117122.732726313</v>
      </c>
      <c r="Q50" s="21" t="n">
        <f aca="false">Q49+Rencana_Dalops!P50*IF(Asumsi!$C$5&gt;0,IF(E50&gt;0,D50/E50,0)/Asumsi!$C$5,0)</f>
        <v>79424.55</v>
      </c>
      <c r="R50" s="21" t="n">
        <f aca="false">K50+Q50*Asumsi!$C$5</f>
        <v>177312.9236</v>
      </c>
      <c r="S50" s="21" t="n">
        <f aca="false">S49+Rencana_Dalops!T50*IF(Asumsi!$C$5&gt;0,IF(E50&gt;0,D50/E50,0)/Asumsi!$C$5,0)</f>
        <v>37238.5588</v>
      </c>
      <c r="T50" s="21" t="n">
        <f aca="false">N50+S50*Asumsi!$C$5</f>
        <v>46146.8399999998</v>
      </c>
      <c r="U50" s="22" t="n">
        <f aca="false">IF(OR(C50=0,O50&lt;=0),"",P50/O50)</f>
        <v>1.55430009843821</v>
      </c>
      <c r="V50" s="22" t="n">
        <f aca="false">IF(OR(C50=0,Q50&lt;=0),"",R50/Q50)</f>
        <v>2.23246998062942</v>
      </c>
      <c r="W50" s="22" t="n">
        <f aca="false">IF(OR(C50=0,S50&lt;=0),"",T50/S50)</f>
        <v>1.23922196473403</v>
      </c>
      <c r="X50" s="23" t="str">
        <f aca="false">IF(AND(C50=1,H50&lt;0),A50,"")</f>
        <v/>
      </c>
      <c r="Y50" s="23" t="str">
        <f aca="false">IF(AND(C50=1,K50&lt;0),A50,"")</f>
        <v/>
      </c>
      <c r="Z50" s="23" t="str">
        <f aca="false">IF(AND(C50=1,N50&lt;0),A50,"")</f>
        <v/>
      </c>
      <c r="AA50" s="21" t="n">
        <f aca="false">IF(C50=0,"",MIN(H50+Asumsi!$C$31-Asumsi!$C$34,K50+Asumsi!$C$32-Asumsi!$C$35,N50+Asumsi!$C$33-Asumsi!$C$36))</f>
        <v>4908.2811999998</v>
      </c>
      <c r="AB50" s="21" t="n">
        <f aca="false">IF(C50=1,H50,"")</f>
        <v>41768.7307263134</v>
      </c>
      <c r="AC50" s="21" t="n">
        <f aca="false">IF(C50=1,K50,"")</f>
        <v>97888.3736</v>
      </c>
      <c r="AD50" s="21" t="n">
        <f aca="false">IF(C50=1,N50,"")</f>
        <v>8908.2811999998</v>
      </c>
    </row>
    <row r="51" customFormat="false" ht="15" hidden="false" customHeight="false" outlineLevel="0" collapsed="false">
      <c r="A51" s="32" t="n">
        <f aca="false">Rencana_Dalops!A51</f>
        <v>46348</v>
      </c>
      <c r="B51" s="33" t="n">
        <f aca="false">A51-Rencana_Dalops!$A$3+1</f>
        <v>49</v>
      </c>
      <c r="C51" s="33" t="n">
        <f aca="false">IF(A51&lt;=Asumsi!$C$6,1,0)</f>
        <v>1</v>
      </c>
      <c r="D51" s="34" t="n">
        <f aca="false">(Rencana_Dalops!B51*Asumsi!$C$10+Rencana_Dalops!C51*Asumsi!$C$11+Rencana_Dalops!D51*Asumsi!$C$12+Rencana_Dalops!E51*Asumsi!$C$13+Rencana_Dalops!F51*Asumsi!$C$14)*Asumsi!$C$5</f>
        <v>6600</v>
      </c>
      <c r="E51" s="35" t="n">
        <f aca="false">Rencana_Dalops!G51</f>
        <v>6600</v>
      </c>
      <c r="F51" s="34" t="n">
        <f aca="false">Rencana_Dalops!H51*Asumsi!$C$17*(1-Rencana_Dalops!I51)+Rencana_Dalops!J51*Asumsi!$C$18+Rencana_Dalops!K51*Asumsi!$C$19</f>
        <v>1753.7511947593</v>
      </c>
      <c r="G51" s="34" t="n">
        <f aca="false">Rencana_Dalops!L51*Asumsi!$C$25+Rencana_Dalops!M51*IF(E51&gt;0,D51/E51,0)</f>
        <v>2016.001</v>
      </c>
      <c r="H51" s="21" t="n">
        <f aca="false">H50+F51-G51</f>
        <v>41506.4809210727</v>
      </c>
      <c r="I51" s="34" t="n">
        <f aca="false">IF(B51-Asumsi!$C$21&gt;=1,INDEX(Rencana_Dalops!$N$3:$N$90,B51-Asumsi!$C$21),0)*Asumsi!$C$20</f>
        <v>0</v>
      </c>
      <c r="J51" s="34" t="n">
        <f aca="false">Rencana_Dalops!O51+Rencana_Dalops!P51*IF(E51&gt;0,D51/E51,0)</f>
        <v>1796.66</v>
      </c>
      <c r="K51" s="21" t="n">
        <f aca="false">K50+I51-J51</f>
        <v>96091.7136</v>
      </c>
      <c r="L51" s="34" t="n">
        <f aca="false">Rencana_Dalops!Q51*Asumsi!$C$22+Rencana_Dalops!R51*Asumsi!$C$23</f>
        <v>3111</v>
      </c>
      <c r="M51" s="34" t="n">
        <f aca="false">Rencana_Dalops!S51*Asumsi!$C$24+Rencana_Dalops!T51*IF(E51&gt;0,D51/E51,0)</f>
        <v>3659.1677333333</v>
      </c>
      <c r="N51" s="21" t="n">
        <f aca="false">N50+L51-M51</f>
        <v>8360.1134666665</v>
      </c>
      <c r="O51" s="21" t="n">
        <f aca="false">O50+Rencana_Dalops!M51*IF(Asumsi!$C$5&gt;0,IF(E51&gt;0,D51/E51,0)/Asumsi!$C$5,0)</f>
        <v>77320.003</v>
      </c>
      <c r="P51" s="21" t="n">
        <f aca="false">H51+O51*Asumsi!$C$5</f>
        <v>118826.483921073</v>
      </c>
      <c r="Q51" s="21" t="n">
        <f aca="false">Q50+Rencana_Dalops!P51*IF(Asumsi!$C$5&gt;0,IF(E51&gt;0,D51/E51,0)/Asumsi!$C$5,0)</f>
        <v>81201.05</v>
      </c>
      <c r="R51" s="21" t="n">
        <f aca="false">K51+Q51*Asumsi!$C$5</f>
        <v>177292.7636</v>
      </c>
      <c r="S51" s="21" t="n">
        <f aca="false">S50+Rencana_Dalops!T51*IF(Asumsi!$C$5&gt;0,IF(E51&gt;0,D51/E51,0)/Asumsi!$C$5,0)</f>
        <v>38191.6532</v>
      </c>
      <c r="T51" s="21" t="n">
        <f aca="false">N51+S51*Asumsi!$C$5</f>
        <v>46551.7666666665</v>
      </c>
      <c r="U51" s="22" t="n">
        <f aca="false">IF(OR(C51=0,O51&lt;=0),"",P51/O51)</f>
        <v>1.53681426940804</v>
      </c>
      <c r="V51" s="22" t="n">
        <f aca="false">IF(OR(C51=0,Q51&lt;=0),"",R51/Q51)</f>
        <v>2.18338018535475</v>
      </c>
      <c r="W51" s="22" t="n">
        <f aca="false">IF(OR(C51=0,S51&lt;=0),"",T51/S51)</f>
        <v>1.21889896786836</v>
      </c>
      <c r="X51" s="23" t="str">
        <f aca="false">IF(AND(C51=1,H51&lt;0),A51,"")</f>
        <v/>
      </c>
      <c r="Y51" s="23" t="str">
        <f aca="false">IF(AND(C51=1,K51&lt;0),A51,"")</f>
        <v/>
      </c>
      <c r="Z51" s="23" t="str">
        <f aca="false">IF(AND(C51=1,N51&lt;0),A51,"")</f>
        <v/>
      </c>
      <c r="AA51" s="21" t="n">
        <f aca="false">IF(C51=0,"",MIN(H51+Asumsi!$C$31-Asumsi!$C$34,K51+Asumsi!$C$32-Asumsi!$C$35,N51+Asumsi!$C$33-Asumsi!$C$36))</f>
        <v>4360.1134666665</v>
      </c>
      <c r="AB51" s="21" t="n">
        <f aca="false">IF(C51=1,H51,"")</f>
        <v>41506.4809210727</v>
      </c>
      <c r="AC51" s="21" t="n">
        <f aca="false">IF(C51=1,K51,"")</f>
        <v>96091.7136</v>
      </c>
      <c r="AD51" s="21" t="n">
        <f aca="false">IF(C51=1,N51,"")</f>
        <v>8360.1134666665</v>
      </c>
    </row>
    <row r="52" customFormat="false" ht="15" hidden="false" customHeight="false" outlineLevel="0" collapsed="false">
      <c r="A52" s="32" t="n">
        <f aca="false">Rencana_Dalops!A52</f>
        <v>46349</v>
      </c>
      <c r="B52" s="33" t="n">
        <f aca="false">A52-Rencana_Dalops!$A$3+1</f>
        <v>50</v>
      </c>
      <c r="C52" s="33" t="n">
        <f aca="false">IF(A52&lt;=Asumsi!$C$6,1,0)</f>
        <v>1</v>
      </c>
      <c r="D52" s="34" t="n">
        <f aca="false">(Rencana_Dalops!B52*Asumsi!$C$10+Rencana_Dalops!C52*Asumsi!$C$11+Rencana_Dalops!D52*Asumsi!$C$12+Rencana_Dalops!E52*Asumsi!$C$13+Rencana_Dalops!F52*Asumsi!$C$14)*Asumsi!$C$5</f>
        <v>6600</v>
      </c>
      <c r="E52" s="35" t="n">
        <f aca="false">Rencana_Dalops!G52</f>
        <v>6600</v>
      </c>
      <c r="F52" s="34" t="n">
        <f aca="false">Rencana_Dalops!H52*Asumsi!$C$17*(1-Rencana_Dalops!I52)+Rencana_Dalops!J52*Asumsi!$C$18+Rencana_Dalops!K52*Asumsi!$C$19</f>
        <v>1753.7511947593</v>
      </c>
      <c r="G52" s="34" t="n">
        <f aca="false">Rencana_Dalops!L52*Asumsi!$C$25+Rencana_Dalops!M52*IF(E52&gt;0,D52/E52,0)</f>
        <v>2016.001</v>
      </c>
      <c r="H52" s="21" t="n">
        <f aca="false">H51+F52-G52</f>
        <v>41244.231115832</v>
      </c>
      <c r="I52" s="34" t="n">
        <f aca="false">IF(B52-Asumsi!$C$21&gt;=1,INDEX(Rencana_Dalops!$N$3:$N$90,B52-Asumsi!$C$21),0)*Asumsi!$C$20</f>
        <v>0</v>
      </c>
      <c r="J52" s="34" t="n">
        <f aca="false">Rencana_Dalops!O52+Rencana_Dalops!P52*IF(E52&gt;0,D52/E52,0)</f>
        <v>1796.66</v>
      </c>
      <c r="K52" s="21" t="n">
        <f aca="false">K51+I52-J52</f>
        <v>94295.0536</v>
      </c>
      <c r="L52" s="34" t="n">
        <f aca="false">Rencana_Dalops!Q52*Asumsi!$C$22+Rencana_Dalops!R52*Asumsi!$C$23</f>
        <v>3111</v>
      </c>
      <c r="M52" s="34" t="n">
        <f aca="false">Rencana_Dalops!S52*Asumsi!$C$24+Rencana_Dalops!T52*IF(E52&gt;0,D52/E52,0)</f>
        <v>3659.1677333333</v>
      </c>
      <c r="N52" s="21" t="n">
        <f aca="false">N51+L52-M52</f>
        <v>7811.9457333332</v>
      </c>
      <c r="O52" s="21" t="n">
        <f aca="false">O51+Rencana_Dalops!M52*IF(Asumsi!$C$5&gt;0,IF(E52&gt;0,D52/E52,0)/Asumsi!$C$5,0)</f>
        <v>79286.004</v>
      </c>
      <c r="P52" s="21" t="n">
        <f aca="false">H52+O52*Asumsi!$C$5</f>
        <v>120530.235115832</v>
      </c>
      <c r="Q52" s="21" t="n">
        <f aca="false">Q51+Rencana_Dalops!P52*IF(Asumsi!$C$5&gt;0,IF(E52&gt;0,D52/E52,0)/Asumsi!$C$5,0)</f>
        <v>82977.55</v>
      </c>
      <c r="R52" s="21" t="n">
        <f aca="false">K52+Q52*Asumsi!$C$5</f>
        <v>177272.6036</v>
      </c>
      <c r="S52" s="21" t="n">
        <f aca="false">S51+Rencana_Dalops!T52*IF(Asumsi!$C$5&gt;0,IF(E52&gt;0,D52/E52,0)/Asumsi!$C$5,0)</f>
        <v>39144.7476</v>
      </c>
      <c r="T52" s="21" t="n">
        <f aca="false">N52+S52*Asumsi!$C$5</f>
        <v>46956.6933333332</v>
      </c>
      <c r="U52" s="22" t="n">
        <f aca="false">IF(OR(C52=0,O52&lt;=0),"",P52/O52)</f>
        <v>1.52019560874618</v>
      </c>
      <c r="V52" s="22" t="n">
        <f aca="false">IF(OR(C52=0,Q52&lt;=0),"",R52/Q52)</f>
        <v>2.13639235672781</v>
      </c>
      <c r="W52" s="22" t="n">
        <f aca="false">IF(OR(C52=0,S52&lt;=0),"",T52/S52)</f>
        <v>1.19956561767008</v>
      </c>
      <c r="X52" s="23" t="str">
        <f aca="false">IF(AND(C52=1,H52&lt;0),A52,"")</f>
        <v/>
      </c>
      <c r="Y52" s="23" t="str">
        <f aca="false">IF(AND(C52=1,K52&lt;0),A52,"")</f>
        <v/>
      </c>
      <c r="Z52" s="23" t="str">
        <f aca="false">IF(AND(C52=1,N52&lt;0),A52,"")</f>
        <v/>
      </c>
      <c r="AA52" s="21" t="n">
        <f aca="false">IF(C52=0,"",MIN(H52+Asumsi!$C$31-Asumsi!$C$34,K52+Asumsi!$C$32-Asumsi!$C$35,N52+Asumsi!$C$33-Asumsi!$C$36))</f>
        <v>3811.9457333332</v>
      </c>
      <c r="AB52" s="21" t="n">
        <f aca="false">IF(C52=1,H52,"")</f>
        <v>41244.231115832</v>
      </c>
      <c r="AC52" s="21" t="n">
        <f aca="false">IF(C52=1,K52,"")</f>
        <v>94295.0536</v>
      </c>
      <c r="AD52" s="21" t="n">
        <f aca="false">IF(C52=1,N52,"")</f>
        <v>7811.9457333332</v>
      </c>
    </row>
    <row r="53" customFormat="false" ht="15" hidden="false" customHeight="false" outlineLevel="0" collapsed="false">
      <c r="A53" s="32" t="n">
        <f aca="false">Rencana_Dalops!A53</f>
        <v>46350</v>
      </c>
      <c r="B53" s="33" t="n">
        <f aca="false">A53-Rencana_Dalops!$A$3+1</f>
        <v>51</v>
      </c>
      <c r="C53" s="33" t="n">
        <f aca="false">IF(A53&lt;=Asumsi!$C$6,1,0)</f>
        <v>1</v>
      </c>
      <c r="D53" s="34" t="n">
        <f aca="false">(Rencana_Dalops!B53*Asumsi!$C$10+Rencana_Dalops!C53*Asumsi!$C$11+Rencana_Dalops!D53*Asumsi!$C$12+Rencana_Dalops!E53*Asumsi!$C$13+Rencana_Dalops!F53*Asumsi!$C$14)*Asumsi!$C$5</f>
        <v>6600</v>
      </c>
      <c r="E53" s="35" t="n">
        <f aca="false">Rencana_Dalops!G53</f>
        <v>6600</v>
      </c>
      <c r="F53" s="34" t="n">
        <f aca="false">Rencana_Dalops!H53*Asumsi!$C$17*(1-Rencana_Dalops!I53)+Rencana_Dalops!J53*Asumsi!$C$18+Rencana_Dalops!K53*Asumsi!$C$19</f>
        <v>1753.7511947593</v>
      </c>
      <c r="G53" s="34" t="n">
        <f aca="false">Rencana_Dalops!L53*Asumsi!$C$25+Rencana_Dalops!M53*IF(E53&gt;0,D53/E53,0)</f>
        <v>2016.001</v>
      </c>
      <c r="H53" s="21" t="n">
        <f aca="false">H52+F53-G53</f>
        <v>40981.9813105913</v>
      </c>
      <c r="I53" s="34" t="n">
        <f aca="false">IF(B53-Asumsi!$C$21&gt;=1,INDEX(Rencana_Dalops!$N$3:$N$90,B53-Asumsi!$C$21),0)*Asumsi!$C$20</f>
        <v>0</v>
      </c>
      <c r="J53" s="34" t="n">
        <f aca="false">Rencana_Dalops!O53+Rencana_Dalops!P53*IF(E53&gt;0,D53/E53,0)</f>
        <v>1796.66</v>
      </c>
      <c r="K53" s="21" t="n">
        <f aca="false">K52+I53-J53</f>
        <v>92498.3936</v>
      </c>
      <c r="L53" s="34" t="n">
        <f aca="false">Rencana_Dalops!Q53*Asumsi!$C$22+Rencana_Dalops!R53*Asumsi!$C$23</f>
        <v>3111</v>
      </c>
      <c r="M53" s="34" t="n">
        <f aca="false">Rencana_Dalops!S53*Asumsi!$C$24+Rencana_Dalops!T53*IF(E53&gt;0,D53/E53,0)</f>
        <v>3659.1677333333</v>
      </c>
      <c r="N53" s="21" t="n">
        <f aca="false">N52+L53-M53</f>
        <v>7263.7779999999</v>
      </c>
      <c r="O53" s="21" t="n">
        <f aca="false">O52+Rencana_Dalops!M53*IF(Asumsi!$C$5&gt;0,IF(E53&gt;0,D53/E53,0)/Asumsi!$C$5,0)</f>
        <v>81252.005</v>
      </c>
      <c r="P53" s="21" t="n">
        <f aca="false">H53+O53*Asumsi!$C$5</f>
        <v>122233.986310591</v>
      </c>
      <c r="Q53" s="21" t="n">
        <f aca="false">Q52+Rencana_Dalops!P53*IF(Asumsi!$C$5&gt;0,IF(E53&gt;0,D53/E53,0)/Asumsi!$C$5,0)</f>
        <v>84754.05</v>
      </c>
      <c r="R53" s="21" t="n">
        <f aca="false">K53+Q53*Asumsi!$C$5</f>
        <v>177252.4436</v>
      </c>
      <c r="S53" s="21" t="n">
        <f aca="false">S52+Rencana_Dalops!T53*IF(Asumsi!$C$5&gt;0,IF(E53&gt;0,D53/E53,0)/Asumsi!$C$5,0)</f>
        <v>40097.842</v>
      </c>
      <c r="T53" s="21" t="n">
        <f aca="false">N53+S53*Asumsi!$C$5</f>
        <v>47361.6199999999</v>
      </c>
      <c r="U53" s="22" t="n">
        <f aca="false">IF(OR(C53=0,O53&lt;=0),"",P53/O53)</f>
        <v>1.50438116955503</v>
      </c>
      <c r="V53" s="22" t="n">
        <f aca="false">IF(OR(C53=0,Q53&lt;=0),"",R53/Q53)</f>
        <v>2.09137431898535</v>
      </c>
      <c r="W53" s="22" t="n">
        <f aca="false">IF(OR(C53=0,S53&lt;=0),"",T53/S53)</f>
        <v>1.18115134475316</v>
      </c>
      <c r="X53" s="23" t="str">
        <f aca="false">IF(AND(C53=1,H53&lt;0),A53,"")</f>
        <v/>
      </c>
      <c r="Y53" s="23" t="str">
        <f aca="false">IF(AND(C53=1,K53&lt;0),A53,"")</f>
        <v/>
      </c>
      <c r="Z53" s="23" t="str">
        <f aca="false">IF(AND(C53=1,N53&lt;0),A53,"")</f>
        <v/>
      </c>
      <c r="AA53" s="21" t="n">
        <f aca="false">IF(C53=0,"",MIN(H53+Asumsi!$C$31-Asumsi!$C$34,K53+Asumsi!$C$32-Asumsi!$C$35,N53+Asumsi!$C$33-Asumsi!$C$36))</f>
        <v>3263.7779999999</v>
      </c>
      <c r="AB53" s="21" t="n">
        <f aca="false">IF(C53=1,H53,"")</f>
        <v>40981.9813105913</v>
      </c>
      <c r="AC53" s="21" t="n">
        <f aca="false">IF(C53=1,K53,"")</f>
        <v>92498.3936</v>
      </c>
      <c r="AD53" s="21" t="n">
        <f aca="false">IF(C53=1,N53,"")</f>
        <v>7263.7779999999</v>
      </c>
    </row>
    <row r="54" customFormat="false" ht="15" hidden="false" customHeight="false" outlineLevel="0" collapsed="false">
      <c r="A54" s="32" t="n">
        <f aca="false">Rencana_Dalops!A54</f>
        <v>46351</v>
      </c>
      <c r="B54" s="33" t="n">
        <f aca="false">A54-Rencana_Dalops!$A$3+1</f>
        <v>52</v>
      </c>
      <c r="C54" s="33" t="n">
        <f aca="false">IF(A54&lt;=Asumsi!$C$6,1,0)</f>
        <v>1</v>
      </c>
      <c r="D54" s="34" t="n">
        <f aca="false">(Rencana_Dalops!B54*Asumsi!$C$10+Rencana_Dalops!C54*Asumsi!$C$11+Rencana_Dalops!D54*Asumsi!$C$12+Rencana_Dalops!E54*Asumsi!$C$13+Rencana_Dalops!F54*Asumsi!$C$14)*Asumsi!$C$5</f>
        <v>6600</v>
      </c>
      <c r="E54" s="35" t="n">
        <f aca="false">Rencana_Dalops!G54</f>
        <v>6600</v>
      </c>
      <c r="F54" s="34" t="n">
        <f aca="false">Rencana_Dalops!H54*Asumsi!$C$17*(1-Rencana_Dalops!I54)+Rencana_Dalops!J54*Asumsi!$C$18+Rencana_Dalops!K54*Asumsi!$C$19</f>
        <v>1753.7511947593</v>
      </c>
      <c r="G54" s="34" t="n">
        <f aca="false">Rencana_Dalops!L54*Asumsi!$C$25+Rencana_Dalops!M54*IF(E54&gt;0,D54/E54,0)</f>
        <v>2016.001</v>
      </c>
      <c r="H54" s="21" t="n">
        <f aca="false">H53+F54-G54</f>
        <v>40719.7315053506</v>
      </c>
      <c r="I54" s="34" t="n">
        <f aca="false">IF(B54-Asumsi!$C$21&gt;=1,INDEX(Rencana_Dalops!$N$3:$N$90,B54-Asumsi!$C$21),0)*Asumsi!$C$20</f>
        <v>0</v>
      </c>
      <c r="J54" s="34" t="n">
        <f aca="false">Rencana_Dalops!O54+Rencana_Dalops!P54*IF(E54&gt;0,D54/E54,0)</f>
        <v>1796.66</v>
      </c>
      <c r="K54" s="21" t="n">
        <f aca="false">K53+I54-J54</f>
        <v>90701.7336</v>
      </c>
      <c r="L54" s="34" t="n">
        <f aca="false">Rencana_Dalops!Q54*Asumsi!$C$22+Rencana_Dalops!R54*Asumsi!$C$23</f>
        <v>3111</v>
      </c>
      <c r="M54" s="34" t="n">
        <f aca="false">Rencana_Dalops!S54*Asumsi!$C$24+Rencana_Dalops!T54*IF(E54&gt;0,D54/E54,0)</f>
        <v>3659.1677333333</v>
      </c>
      <c r="N54" s="21" t="n">
        <f aca="false">N53+L54-M54</f>
        <v>6715.6102666666</v>
      </c>
      <c r="O54" s="21" t="n">
        <f aca="false">O53+Rencana_Dalops!M54*IF(Asumsi!$C$5&gt;0,IF(E54&gt;0,D54/E54,0)/Asumsi!$C$5,0)</f>
        <v>83218.006</v>
      </c>
      <c r="P54" s="21" t="n">
        <f aca="false">H54+O54*Asumsi!$C$5</f>
        <v>123937.737505351</v>
      </c>
      <c r="Q54" s="21" t="n">
        <f aca="false">Q53+Rencana_Dalops!P54*IF(Asumsi!$C$5&gt;0,IF(E54&gt;0,D54/E54,0)/Asumsi!$C$5,0)</f>
        <v>86530.55</v>
      </c>
      <c r="R54" s="21" t="n">
        <f aca="false">K54+Q54*Asumsi!$C$5</f>
        <v>177232.2836</v>
      </c>
      <c r="S54" s="21" t="n">
        <f aca="false">S53+Rencana_Dalops!T54*IF(Asumsi!$C$5&gt;0,IF(E54&gt;0,D54/E54,0)/Asumsi!$C$5,0)</f>
        <v>41050.9364</v>
      </c>
      <c r="T54" s="21" t="n">
        <f aca="false">N54+S54*Asumsi!$C$5</f>
        <v>47766.5466666666</v>
      </c>
      <c r="U54" s="22" t="n">
        <f aca="false">IF(OR(C54=0,O54&lt;=0),"",P54/O54)</f>
        <v>1.48931395334503</v>
      </c>
      <c r="V54" s="22" t="n">
        <f aca="false">IF(OR(C54=0,Q54&lt;=0),"",R54/Q54)</f>
        <v>2.04820475080766</v>
      </c>
      <c r="W54" s="22" t="n">
        <f aca="false">IF(OR(C54=0,S54&lt;=0),"",T54/S54)</f>
        <v>1.1635921334712</v>
      </c>
      <c r="X54" s="23" t="str">
        <f aca="false">IF(AND(C54=1,H54&lt;0),A54,"")</f>
        <v/>
      </c>
      <c r="Y54" s="23" t="str">
        <f aca="false">IF(AND(C54=1,K54&lt;0),A54,"")</f>
        <v/>
      </c>
      <c r="Z54" s="23" t="str">
        <f aca="false">IF(AND(C54=1,N54&lt;0),A54,"")</f>
        <v/>
      </c>
      <c r="AA54" s="21" t="n">
        <f aca="false">IF(C54=0,"",MIN(H54+Asumsi!$C$31-Asumsi!$C$34,K54+Asumsi!$C$32-Asumsi!$C$35,N54+Asumsi!$C$33-Asumsi!$C$36))</f>
        <v>2715.6102666666</v>
      </c>
      <c r="AB54" s="21" t="n">
        <f aca="false">IF(C54=1,H54,"")</f>
        <v>40719.7315053506</v>
      </c>
      <c r="AC54" s="21" t="n">
        <f aca="false">IF(C54=1,K54,"")</f>
        <v>90701.7336</v>
      </c>
      <c r="AD54" s="21" t="n">
        <f aca="false">IF(C54=1,N54,"")</f>
        <v>6715.6102666666</v>
      </c>
    </row>
    <row r="55" customFormat="false" ht="15" hidden="false" customHeight="false" outlineLevel="0" collapsed="false">
      <c r="A55" s="32" t="n">
        <f aca="false">Rencana_Dalops!A55</f>
        <v>46352</v>
      </c>
      <c r="B55" s="33" t="n">
        <f aca="false">A55-Rencana_Dalops!$A$3+1</f>
        <v>53</v>
      </c>
      <c r="C55" s="33" t="n">
        <f aca="false">IF(A55&lt;=Asumsi!$C$6,1,0)</f>
        <v>1</v>
      </c>
      <c r="D55" s="34" t="n">
        <f aca="false">(Rencana_Dalops!B55*Asumsi!$C$10+Rencana_Dalops!C55*Asumsi!$C$11+Rencana_Dalops!D55*Asumsi!$C$12+Rencana_Dalops!E55*Asumsi!$C$13+Rencana_Dalops!F55*Asumsi!$C$14)*Asumsi!$C$5</f>
        <v>6600</v>
      </c>
      <c r="E55" s="35" t="n">
        <f aca="false">Rencana_Dalops!G55</f>
        <v>6600</v>
      </c>
      <c r="F55" s="34" t="n">
        <f aca="false">Rencana_Dalops!H55*Asumsi!$C$17*(1-Rencana_Dalops!I55)+Rencana_Dalops!J55*Asumsi!$C$18+Rencana_Dalops!K55*Asumsi!$C$19</f>
        <v>1753.7511947593</v>
      </c>
      <c r="G55" s="34" t="n">
        <f aca="false">Rencana_Dalops!L55*Asumsi!$C$25+Rencana_Dalops!M55*IF(E55&gt;0,D55/E55,0)</f>
        <v>2016.001</v>
      </c>
      <c r="H55" s="21" t="n">
        <f aca="false">H54+F55-G55</f>
        <v>40457.4817001099</v>
      </c>
      <c r="I55" s="34" t="n">
        <f aca="false">IF(B55-Asumsi!$C$21&gt;=1,INDEX(Rencana_Dalops!$N$3:$N$90,B55-Asumsi!$C$21),0)*Asumsi!$C$20</f>
        <v>0</v>
      </c>
      <c r="J55" s="34" t="n">
        <f aca="false">Rencana_Dalops!O55+Rencana_Dalops!P55*IF(E55&gt;0,D55/E55,0)</f>
        <v>1796.66</v>
      </c>
      <c r="K55" s="21" t="n">
        <f aca="false">K54+I55-J55</f>
        <v>88905.0736</v>
      </c>
      <c r="L55" s="34" t="n">
        <f aca="false">Rencana_Dalops!Q55*Asumsi!$C$22+Rencana_Dalops!R55*Asumsi!$C$23</f>
        <v>3111</v>
      </c>
      <c r="M55" s="34" t="n">
        <f aca="false">Rencana_Dalops!S55*Asumsi!$C$24+Rencana_Dalops!T55*IF(E55&gt;0,D55/E55,0)</f>
        <v>3659.1677333333</v>
      </c>
      <c r="N55" s="21" t="n">
        <f aca="false">N54+L55-M55</f>
        <v>6167.4425333333</v>
      </c>
      <c r="O55" s="21" t="n">
        <f aca="false">O54+Rencana_Dalops!M55*IF(Asumsi!$C$5&gt;0,IF(E55&gt;0,D55/E55,0)/Asumsi!$C$5,0)</f>
        <v>85184.007</v>
      </c>
      <c r="P55" s="21" t="n">
        <f aca="false">H55+O55*Asumsi!$C$5</f>
        <v>125641.48870011</v>
      </c>
      <c r="Q55" s="21" t="n">
        <f aca="false">Q54+Rencana_Dalops!P55*IF(Asumsi!$C$5&gt;0,IF(E55&gt;0,D55/E55,0)/Asumsi!$C$5,0)</f>
        <v>88307.05</v>
      </c>
      <c r="R55" s="21" t="n">
        <f aca="false">K55+Q55*Asumsi!$C$5</f>
        <v>177212.1236</v>
      </c>
      <c r="S55" s="21" t="n">
        <f aca="false">S54+Rencana_Dalops!T55*IF(Asumsi!$C$5&gt;0,IF(E55&gt;0,D55/E55,0)/Asumsi!$C$5,0)</f>
        <v>42004.0308</v>
      </c>
      <c r="T55" s="21" t="n">
        <f aca="false">N55+S55*Asumsi!$C$5</f>
        <v>48171.4733333333</v>
      </c>
      <c r="U55" s="22" t="n">
        <f aca="false">IF(OR(C55=0,O55&lt;=0),"",P55/O55)</f>
        <v>1.47494222360437</v>
      </c>
      <c r="V55" s="22" t="n">
        <f aca="false">IF(OR(C55=0,Q55&lt;=0),"",R55/Q55)</f>
        <v>2.00677209350782</v>
      </c>
      <c r="W55" s="22" t="n">
        <f aca="false">IF(OR(C55=0,S55&lt;=0),"",T55/S55)</f>
        <v>1.14682977837768</v>
      </c>
      <c r="X55" s="23" t="str">
        <f aca="false">IF(AND(C55=1,H55&lt;0),A55,"")</f>
        <v/>
      </c>
      <c r="Y55" s="23" t="str">
        <f aca="false">IF(AND(C55=1,K55&lt;0),A55,"")</f>
        <v/>
      </c>
      <c r="Z55" s="23" t="str">
        <f aca="false">IF(AND(C55=1,N55&lt;0),A55,"")</f>
        <v/>
      </c>
      <c r="AA55" s="21" t="n">
        <f aca="false">IF(C55=0,"",MIN(H55+Asumsi!$C$31-Asumsi!$C$34,K55+Asumsi!$C$32-Asumsi!$C$35,N55+Asumsi!$C$33-Asumsi!$C$36))</f>
        <v>2167.4425333333</v>
      </c>
      <c r="AB55" s="21" t="n">
        <f aca="false">IF(C55=1,H55,"")</f>
        <v>40457.4817001099</v>
      </c>
      <c r="AC55" s="21" t="n">
        <f aca="false">IF(C55=1,K55,"")</f>
        <v>88905.0736</v>
      </c>
      <c r="AD55" s="21" t="n">
        <f aca="false">IF(C55=1,N55,"")</f>
        <v>6167.4425333333</v>
      </c>
    </row>
    <row r="56" customFormat="false" ht="15" hidden="false" customHeight="false" outlineLevel="0" collapsed="false">
      <c r="A56" s="32" t="n">
        <f aca="false">Rencana_Dalops!A56</f>
        <v>46353</v>
      </c>
      <c r="B56" s="33" t="n">
        <f aca="false">A56-Rencana_Dalops!$A$3+1</f>
        <v>54</v>
      </c>
      <c r="C56" s="33" t="n">
        <f aca="false">IF(A56&lt;=Asumsi!$C$6,1,0)</f>
        <v>1</v>
      </c>
      <c r="D56" s="34" t="n">
        <f aca="false">(Rencana_Dalops!B56*Asumsi!$C$10+Rencana_Dalops!C56*Asumsi!$C$11+Rencana_Dalops!D56*Asumsi!$C$12+Rencana_Dalops!E56*Asumsi!$C$13+Rencana_Dalops!F56*Asumsi!$C$14)*Asumsi!$C$5</f>
        <v>6600</v>
      </c>
      <c r="E56" s="35" t="n">
        <f aca="false">Rencana_Dalops!G56</f>
        <v>6600</v>
      </c>
      <c r="F56" s="34" t="n">
        <f aca="false">Rencana_Dalops!H56*Asumsi!$C$17*(1-Rencana_Dalops!I56)+Rencana_Dalops!J56*Asumsi!$C$18+Rencana_Dalops!K56*Asumsi!$C$19</f>
        <v>1753.7511947593</v>
      </c>
      <c r="G56" s="34" t="n">
        <f aca="false">Rencana_Dalops!L56*Asumsi!$C$25+Rencana_Dalops!M56*IF(E56&gt;0,D56/E56,0)</f>
        <v>2016.001</v>
      </c>
      <c r="H56" s="21" t="n">
        <f aca="false">H55+F56-G56</f>
        <v>40195.2318948691</v>
      </c>
      <c r="I56" s="34" t="n">
        <f aca="false">IF(B56-Asumsi!$C$21&gt;=1,INDEX(Rencana_Dalops!$N$3:$N$90,B56-Asumsi!$C$21),0)*Asumsi!$C$20</f>
        <v>0</v>
      </c>
      <c r="J56" s="34" t="n">
        <f aca="false">Rencana_Dalops!O56+Rencana_Dalops!P56*IF(E56&gt;0,D56/E56,0)</f>
        <v>1713.06</v>
      </c>
      <c r="K56" s="21" t="n">
        <f aca="false">K55+I56-J56</f>
        <v>87192.0136</v>
      </c>
      <c r="L56" s="34" t="n">
        <f aca="false">Rencana_Dalops!Q56*Asumsi!$C$22+Rencana_Dalops!R56*Asumsi!$C$23</f>
        <v>3111</v>
      </c>
      <c r="M56" s="34" t="n">
        <f aca="false">Rencana_Dalops!S56*Asumsi!$C$24+Rencana_Dalops!T56*IF(E56&gt;0,D56/E56,0)</f>
        <v>3659.1677333333</v>
      </c>
      <c r="N56" s="21" t="n">
        <f aca="false">N55+L56-M56</f>
        <v>5619.2748</v>
      </c>
      <c r="O56" s="21" t="n">
        <f aca="false">O55+Rencana_Dalops!M56*IF(Asumsi!$C$5&gt;0,IF(E56&gt;0,D56/E56,0)/Asumsi!$C$5,0)</f>
        <v>87150.008</v>
      </c>
      <c r="P56" s="21" t="n">
        <f aca="false">H56+O56*Asumsi!$C$5</f>
        <v>127345.239894869</v>
      </c>
      <c r="Q56" s="21" t="n">
        <f aca="false">Q55+Rencana_Dalops!P56*IF(Asumsi!$C$5&gt;0,IF(E56&gt;0,D56/E56,0)/Asumsi!$C$5,0)</f>
        <v>89999.95</v>
      </c>
      <c r="R56" s="21" t="n">
        <f aca="false">K56+Q56*Asumsi!$C$5</f>
        <v>177191.9636</v>
      </c>
      <c r="S56" s="21" t="n">
        <f aca="false">S55+Rencana_Dalops!T56*IF(Asumsi!$C$5&gt;0,IF(E56&gt;0,D56/E56,0)/Asumsi!$C$5,0)</f>
        <v>42957.1252</v>
      </c>
      <c r="T56" s="21" t="n">
        <f aca="false">N56+S56*Asumsi!$C$5</f>
        <v>48576.4</v>
      </c>
      <c r="U56" s="22" t="n">
        <f aca="false">IF(OR(C56=0,O56&lt;=0),"",P56/O56)</f>
        <v>1.46121891227903</v>
      </c>
      <c r="V56" s="22" t="n">
        <f aca="false">IF(OR(C56=0,Q56&lt;=0),"",R56/Q56)</f>
        <v>1.96880068933372</v>
      </c>
      <c r="W56" s="22" t="n">
        <f aca="false">IF(OR(C56=0,S56&lt;=0),"",T56/S56)</f>
        <v>1.13081123966834</v>
      </c>
      <c r="X56" s="23" t="str">
        <f aca="false">IF(AND(C56=1,H56&lt;0),A56,"")</f>
        <v/>
      </c>
      <c r="Y56" s="23" t="str">
        <f aca="false">IF(AND(C56=1,K56&lt;0),A56,"")</f>
        <v/>
      </c>
      <c r="Z56" s="23" t="str">
        <f aca="false">IF(AND(C56=1,N56&lt;0),A56,"")</f>
        <v/>
      </c>
      <c r="AA56" s="21" t="n">
        <f aca="false">IF(C56=0,"",MIN(H56+Asumsi!$C$31-Asumsi!$C$34,K56+Asumsi!$C$32-Asumsi!$C$35,N56+Asumsi!$C$33-Asumsi!$C$36))</f>
        <v>1619.2748</v>
      </c>
      <c r="AB56" s="21" t="n">
        <f aca="false">IF(C56=1,H56,"")</f>
        <v>40195.2318948691</v>
      </c>
      <c r="AC56" s="21" t="n">
        <f aca="false">IF(C56=1,K56,"")</f>
        <v>87192.0136</v>
      </c>
      <c r="AD56" s="21" t="n">
        <f aca="false">IF(C56=1,N56,"")</f>
        <v>5619.2748</v>
      </c>
    </row>
    <row r="57" customFormat="false" ht="15" hidden="false" customHeight="false" outlineLevel="0" collapsed="false">
      <c r="A57" s="32" t="n">
        <f aca="false">Rencana_Dalops!A57</f>
        <v>46354</v>
      </c>
      <c r="B57" s="33" t="n">
        <f aca="false">A57-Rencana_Dalops!$A$3+1</f>
        <v>55</v>
      </c>
      <c r="C57" s="33" t="n">
        <f aca="false">IF(A57&lt;=Asumsi!$C$6,1,0)</f>
        <v>1</v>
      </c>
      <c r="D57" s="34" t="n">
        <f aca="false">(Rencana_Dalops!B57*Asumsi!$C$10+Rencana_Dalops!C57*Asumsi!$C$11+Rencana_Dalops!D57*Asumsi!$C$12+Rencana_Dalops!E57*Asumsi!$C$13+Rencana_Dalops!F57*Asumsi!$C$14)*Asumsi!$C$5</f>
        <v>6600</v>
      </c>
      <c r="E57" s="35" t="n">
        <f aca="false">Rencana_Dalops!G57</f>
        <v>6600</v>
      </c>
      <c r="F57" s="34" t="n">
        <f aca="false">Rencana_Dalops!H57*Asumsi!$C$17*(1-Rencana_Dalops!I57)+Rencana_Dalops!J57*Asumsi!$C$18+Rencana_Dalops!K57*Asumsi!$C$19</f>
        <v>1753.7511947593</v>
      </c>
      <c r="G57" s="34" t="n">
        <f aca="false">Rencana_Dalops!L57*Asumsi!$C$25+Rencana_Dalops!M57*IF(E57&gt;0,D57/E57,0)</f>
        <v>2016.001</v>
      </c>
      <c r="H57" s="21" t="n">
        <f aca="false">H56+F57-G57</f>
        <v>39932.9820896284</v>
      </c>
      <c r="I57" s="34" t="n">
        <f aca="false">IF(B57-Asumsi!$C$21&gt;=1,INDEX(Rencana_Dalops!$N$3:$N$90,B57-Asumsi!$C$21),0)*Asumsi!$C$20</f>
        <v>0</v>
      </c>
      <c r="J57" s="34" t="n">
        <f aca="false">Rencana_Dalops!O57+Rencana_Dalops!P57*IF(E57&gt;0,D57/E57,0)</f>
        <v>1796.66</v>
      </c>
      <c r="K57" s="21" t="n">
        <f aca="false">K56+I57-J57</f>
        <v>85395.3536</v>
      </c>
      <c r="L57" s="34" t="n">
        <f aca="false">Rencana_Dalops!Q57*Asumsi!$C$22+Rencana_Dalops!R57*Asumsi!$C$23</f>
        <v>6111</v>
      </c>
      <c r="M57" s="34" t="n">
        <f aca="false">Rencana_Dalops!S57*Asumsi!$C$24+Rencana_Dalops!T57*IF(E57&gt;0,D57/E57,0)</f>
        <v>3659.1677333333</v>
      </c>
      <c r="N57" s="21" t="n">
        <f aca="false">N56+L57-M57</f>
        <v>8071.1070666667</v>
      </c>
      <c r="O57" s="21" t="n">
        <f aca="false">O56+Rencana_Dalops!M57*IF(Asumsi!$C$5&gt;0,IF(E57&gt;0,D57/E57,0)/Asumsi!$C$5,0)</f>
        <v>89116.009</v>
      </c>
      <c r="P57" s="21" t="n">
        <f aca="false">H57+O57*Asumsi!$C$5</f>
        <v>129048.991089628</v>
      </c>
      <c r="Q57" s="21" t="n">
        <f aca="false">Q56+Rencana_Dalops!P57*IF(Asumsi!$C$5&gt;0,IF(E57&gt;0,D57/E57,0)/Asumsi!$C$5,0)</f>
        <v>91776.45</v>
      </c>
      <c r="R57" s="21" t="n">
        <f aca="false">K57+Q57*Asumsi!$C$5</f>
        <v>177171.8036</v>
      </c>
      <c r="S57" s="21" t="n">
        <f aca="false">S56+Rencana_Dalops!T57*IF(Asumsi!$C$5&gt;0,IF(E57&gt;0,D57/E57,0)/Asumsi!$C$5,0)</f>
        <v>43910.2196</v>
      </c>
      <c r="T57" s="21" t="n">
        <f aca="false">N57+S57*Asumsi!$C$5</f>
        <v>51981.3266666667</v>
      </c>
      <c r="U57" s="22" t="n">
        <f aca="false">IF(OR(C57=0,O57&lt;=0),"",P57/O57)</f>
        <v>1.44810110481528</v>
      </c>
      <c r="V57" s="22" t="n">
        <f aca="false">IF(OR(C57=0,Q57&lt;=0),"",R57/Q57)</f>
        <v>1.93047130936095</v>
      </c>
      <c r="W57" s="22" t="n">
        <f aca="false">IF(OR(C57=0,S57&lt;=0),"",T57/S57)</f>
        <v>1.18380930772359</v>
      </c>
      <c r="X57" s="23" t="str">
        <f aca="false">IF(AND(C57=1,H57&lt;0),A57,"")</f>
        <v/>
      </c>
      <c r="Y57" s="23" t="str">
        <f aca="false">IF(AND(C57=1,K57&lt;0),A57,"")</f>
        <v/>
      </c>
      <c r="Z57" s="23" t="str">
        <f aca="false">IF(AND(C57=1,N57&lt;0),A57,"")</f>
        <v/>
      </c>
      <c r="AA57" s="21" t="n">
        <f aca="false">IF(C57=0,"",MIN(H57+Asumsi!$C$31-Asumsi!$C$34,K57+Asumsi!$C$32-Asumsi!$C$35,N57+Asumsi!$C$33-Asumsi!$C$36))</f>
        <v>4071.1070666667</v>
      </c>
      <c r="AB57" s="21" t="n">
        <f aca="false">IF(C57=1,H57,"")</f>
        <v>39932.9820896284</v>
      </c>
      <c r="AC57" s="21" t="n">
        <f aca="false">IF(C57=1,K57,"")</f>
        <v>85395.3536</v>
      </c>
      <c r="AD57" s="21" t="n">
        <f aca="false">IF(C57=1,N57,"")</f>
        <v>8071.1070666667</v>
      </c>
    </row>
    <row r="58" customFormat="false" ht="15" hidden="false" customHeight="false" outlineLevel="0" collapsed="false">
      <c r="A58" s="32" t="n">
        <f aca="false">Rencana_Dalops!A58</f>
        <v>46355</v>
      </c>
      <c r="B58" s="33" t="n">
        <f aca="false">A58-Rencana_Dalops!$A$3+1</f>
        <v>56</v>
      </c>
      <c r="C58" s="33" t="n">
        <f aca="false">IF(A58&lt;=Asumsi!$C$6,1,0)</f>
        <v>1</v>
      </c>
      <c r="D58" s="34" t="n">
        <f aca="false">(Rencana_Dalops!B58*Asumsi!$C$10+Rencana_Dalops!C58*Asumsi!$C$11+Rencana_Dalops!D58*Asumsi!$C$12+Rencana_Dalops!E58*Asumsi!$C$13+Rencana_Dalops!F58*Asumsi!$C$14)*Asumsi!$C$5</f>
        <v>6600</v>
      </c>
      <c r="E58" s="35" t="n">
        <f aca="false">Rencana_Dalops!G58</f>
        <v>6600</v>
      </c>
      <c r="F58" s="34" t="n">
        <f aca="false">Rencana_Dalops!H58*Asumsi!$C$17*(1-Rencana_Dalops!I58)+Rencana_Dalops!J58*Asumsi!$C$18+Rencana_Dalops!K58*Asumsi!$C$19</f>
        <v>1753.7511947593</v>
      </c>
      <c r="G58" s="34" t="n">
        <f aca="false">Rencana_Dalops!L58*Asumsi!$C$25+Rencana_Dalops!M58*IF(E58&gt;0,D58/E58,0)</f>
        <v>2016.001</v>
      </c>
      <c r="H58" s="21" t="n">
        <f aca="false">H57+F58-G58</f>
        <v>39670.7322843877</v>
      </c>
      <c r="I58" s="34" t="n">
        <f aca="false">IF(B58-Asumsi!$C$21&gt;=1,INDEX(Rencana_Dalops!$N$3:$N$90,B58-Asumsi!$C$21),0)*Asumsi!$C$20</f>
        <v>0</v>
      </c>
      <c r="J58" s="34" t="n">
        <f aca="false">Rencana_Dalops!O58+Rencana_Dalops!P58*IF(E58&gt;0,D58/E58,0)</f>
        <v>1796.66</v>
      </c>
      <c r="K58" s="21" t="n">
        <f aca="false">K57+I58-J58</f>
        <v>83598.6936</v>
      </c>
      <c r="L58" s="34" t="n">
        <f aca="false">Rencana_Dalops!Q58*Asumsi!$C$22+Rencana_Dalops!R58*Asumsi!$C$23</f>
        <v>4311</v>
      </c>
      <c r="M58" s="34" t="n">
        <f aca="false">Rencana_Dalops!S58*Asumsi!$C$24+Rencana_Dalops!T58*IF(E58&gt;0,D58/E58,0)</f>
        <v>3659.1677333333</v>
      </c>
      <c r="N58" s="21" t="n">
        <f aca="false">N57+L58-M58</f>
        <v>8722.93933333341</v>
      </c>
      <c r="O58" s="21" t="n">
        <f aca="false">O57+Rencana_Dalops!M58*IF(Asumsi!$C$5&gt;0,IF(E58&gt;0,D58/E58,0)/Asumsi!$C$5,0)</f>
        <v>91082.01</v>
      </c>
      <c r="P58" s="21" t="n">
        <f aca="false">H58+O58*Asumsi!$C$5</f>
        <v>130752.742284388</v>
      </c>
      <c r="Q58" s="21" t="n">
        <f aca="false">Q57+Rencana_Dalops!P58*IF(Asumsi!$C$5&gt;0,IF(E58&gt;0,D58/E58,0)/Asumsi!$C$5,0)</f>
        <v>93552.95</v>
      </c>
      <c r="R58" s="21" t="n">
        <f aca="false">K58+Q58*Asumsi!$C$5</f>
        <v>177151.6436</v>
      </c>
      <c r="S58" s="21" t="n">
        <f aca="false">S57+Rencana_Dalops!T58*IF(Asumsi!$C$5&gt;0,IF(E58&gt;0,D58/E58,0)/Asumsi!$C$5,0)</f>
        <v>44863.314</v>
      </c>
      <c r="T58" s="21" t="n">
        <f aca="false">N58+S58*Asumsi!$C$5</f>
        <v>53586.2533333334</v>
      </c>
      <c r="U58" s="22" t="n">
        <f aca="false">IF(OR(C58=0,O58&lt;=0),"",P58/O58)</f>
        <v>1.43554959189403</v>
      </c>
      <c r="V58" s="22" t="n">
        <f aca="false">IF(OR(C58=0,Q58&lt;=0),"",R58/Q58)</f>
        <v>1.89359762145395</v>
      </c>
      <c r="W58" s="22" t="n">
        <f aca="false">IF(OR(C58=0,S58&lt;=0),"",T58/S58)</f>
        <v>1.19443368212463</v>
      </c>
      <c r="X58" s="23" t="str">
        <f aca="false">IF(AND(C58=1,H58&lt;0),A58,"")</f>
        <v/>
      </c>
      <c r="Y58" s="23" t="str">
        <f aca="false">IF(AND(C58=1,K58&lt;0),A58,"")</f>
        <v/>
      </c>
      <c r="Z58" s="23" t="str">
        <f aca="false">IF(AND(C58=1,N58&lt;0),A58,"")</f>
        <v/>
      </c>
      <c r="AA58" s="21" t="n">
        <f aca="false">IF(C58=0,"",MIN(H58+Asumsi!$C$31-Asumsi!$C$34,K58+Asumsi!$C$32-Asumsi!$C$35,N58+Asumsi!$C$33-Asumsi!$C$36))</f>
        <v>4722.93933333341</v>
      </c>
      <c r="AB58" s="21" t="n">
        <f aca="false">IF(C58=1,H58,"")</f>
        <v>39670.7322843877</v>
      </c>
      <c r="AC58" s="21" t="n">
        <f aca="false">IF(C58=1,K58,"")</f>
        <v>83598.6936</v>
      </c>
      <c r="AD58" s="21" t="n">
        <f aca="false">IF(C58=1,N58,"")</f>
        <v>8722.93933333341</v>
      </c>
    </row>
    <row r="59" customFormat="false" ht="15" hidden="false" customHeight="false" outlineLevel="0" collapsed="false">
      <c r="A59" s="32" t="n">
        <f aca="false">Rencana_Dalops!A59</f>
        <v>46356</v>
      </c>
      <c r="B59" s="33" t="n">
        <f aca="false">A59-Rencana_Dalops!$A$3+1</f>
        <v>57</v>
      </c>
      <c r="C59" s="33" t="n">
        <f aca="false">IF(A59&lt;=Asumsi!$C$6,1,0)</f>
        <v>1</v>
      </c>
      <c r="D59" s="34" t="n">
        <f aca="false">(Rencana_Dalops!B59*Asumsi!$C$10+Rencana_Dalops!C59*Asumsi!$C$11+Rencana_Dalops!D59*Asumsi!$C$12+Rencana_Dalops!E59*Asumsi!$C$13+Rencana_Dalops!F59*Asumsi!$C$14)*Asumsi!$C$5</f>
        <v>6600</v>
      </c>
      <c r="E59" s="35" t="n">
        <f aca="false">Rencana_Dalops!G59</f>
        <v>6600</v>
      </c>
      <c r="F59" s="34" t="n">
        <f aca="false">Rencana_Dalops!H59*Asumsi!$C$17*(1-Rencana_Dalops!I59)+Rencana_Dalops!J59*Asumsi!$C$18+Rencana_Dalops!K59*Asumsi!$C$19</f>
        <v>1753.7511947593</v>
      </c>
      <c r="G59" s="34" t="n">
        <f aca="false">Rencana_Dalops!L59*Asumsi!$C$25+Rencana_Dalops!M59*IF(E59&gt;0,D59/E59,0)</f>
        <v>2016.001</v>
      </c>
      <c r="H59" s="21" t="n">
        <f aca="false">H58+F59-G59</f>
        <v>39408.482479147</v>
      </c>
      <c r="I59" s="34" t="n">
        <f aca="false">IF(B59-Asumsi!$C$21&gt;=1,INDEX(Rencana_Dalops!$N$3:$N$90,B59-Asumsi!$C$21),0)*Asumsi!$C$20</f>
        <v>0</v>
      </c>
      <c r="J59" s="34" t="n">
        <f aca="false">Rencana_Dalops!O59+Rencana_Dalops!P59*IF(E59&gt;0,D59/E59,0)</f>
        <v>1796.66</v>
      </c>
      <c r="K59" s="21" t="n">
        <f aca="false">K58+I59-J59</f>
        <v>81802.0336</v>
      </c>
      <c r="L59" s="34" t="n">
        <f aca="false">Rencana_Dalops!Q59*Asumsi!$C$22+Rencana_Dalops!R59*Asumsi!$C$23</f>
        <v>3111</v>
      </c>
      <c r="M59" s="34" t="n">
        <f aca="false">Rencana_Dalops!S59*Asumsi!$C$24+Rencana_Dalops!T59*IF(E59&gt;0,D59/E59,0)</f>
        <v>3659.1677333333</v>
      </c>
      <c r="N59" s="21" t="n">
        <f aca="false">N58+L59-M59</f>
        <v>8174.77160000011</v>
      </c>
      <c r="O59" s="21" t="n">
        <f aca="false">O58+Rencana_Dalops!M59*IF(Asumsi!$C$5&gt;0,IF(E59&gt;0,D59/E59,0)/Asumsi!$C$5,0)</f>
        <v>93048.011</v>
      </c>
      <c r="P59" s="21" t="n">
        <f aca="false">H59+O59*Asumsi!$C$5</f>
        <v>132456.493479147</v>
      </c>
      <c r="Q59" s="21" t="n">
        <f aca="false">Q58+Rencana_Dalops!P59*IF(Asumsi!$C$5&gt;0,IF(E59&gt;0,D59/E59,0)/Asumsi!$C$5,0)</f>
        <v>95329.45</v>
      </c>
      <c r="R59" s="21" t="n">
        <f aca="false">K59+Q59*Asumsi!$C$5</f>
        <v>177131.4836</v>
      </c>
      <c r="S59" s="21" t="n">
        <f aca="false">S58+Rencana_Dalops!T59*IF(Asumsi!$C$5&gt;0,IF(E59&gt;0,D59/E59,0)/Asumsi!$C$5,0)</f>
        <v>45816.4084</v>
      </c>
      <c r="T59" s="21" t="n">
        <f aca="false">N59+S59*Asumsi!$C$5</f>
        <v>53991.1800000001</v>
      </c>
      <c r="U59" s="22" t="n">
        <f aca="false">IF(OR(C59=0,O59&lt;=0),"",P59/O59)</f>
        <v>1.42352847799344</v>
      </c>
      <c r="V59" s="22" t="n">
        <f aca="false">IF(OR(C59=0,Q59&lt;=0),"",R59/Q59)</f>
        <v>1.85809824351237</v>
      </c>
      <c r="W59" s="22" t="n">
        <f aca="false">IF(OR(C59=0,S59&lt;=0),"",T59/S59)</f>
        <v>1.17842454014794</v>
      </c>
      <c r="X59" s="23" t="str">
        <f aca="false">IF(AND(C59=1,H59&lt;0),A59,"")</f>
        <v/>
      </c>
      <c r="Y59" s="23" t="str">
        <f aca="false">IF(AND(C59=1,K59&lt;0),A59,"")</f>
        <v/>
      </c>
      <c r="Z59" s="23" t="str">
        <f aca="false">IF(AND(C59=1,N59&lt;0),A59,"")</f>
        <v/>
      </c>
      <c r="AA59" s="21" t="n">
        <f aca="false">IF(C59=0,"",MIN(H59+Asumsi!$C$31-Asumsi!$C$34,K59+Asumsi!$C$32-Asumsi!$C$35,N59+Asumsi!$C$33-Asumsi!$C$36))</f>
        <v>4174.77160000011</v>
      </c>
      <c r="AB59" s="21" t="n">
        <f aca="false">IF(C59=1,H59,"")</f>
        <v>39408.482479147</v>
      </c>
      <c r="AC59" s="21" t="n">
        <f aca="false">IF(C59=1,K59,"")</f>
        <v>81802.0336</v>
      </c>
      <c r="AD59" s="21" t="n">
        <f aca="false">IF(C59=1,N59,"")</f>
        <v>8174.77160000011</v>
      </c>
    </row>
    <row r="60" customFormat="false" ht="15" hidden="false" customHeight="false" outlineLevel="0" collapsed="false">
      <c r="A60" s="32" t="n">
        <f aca="false">Rencana_Dalops!A60</f>
        <v>46357</v>
      </c>
      <c r="B60" s="33" t="n">
        <f aca="false">A60-Rencana_Dalops!$A$3+1</f>
        <v>58</v>
      </c>
      <c r="C60" s="33" t="n">
        <f aca="false">IF(A60&lt;=Asumsi!$C$6,1,0)</f>
        <v>1</v>
      </c>
      <c r="D60" s="34" t="n">
        <f aca="false">(Rencana_Dalops!B60*Asumsi!$C$10+Rencana_Dalops!C60*Asumsi!$C$11+Rencana_Dalops!D60*Asumsi!$C$12+Rencana_Dalops!E60*Asumsi!$C$13+Rencana_Dalops!F60*Asumsi!$C$14)*Asumsi!$C$5</f>
        <v>6600</v>
      </c>
      <c r="E60" s="35" t="n">
        <f aca="false">Rencana_Dalops!G60</f>
        <v>6600</v>
      </c>
      <c r="F60" s="34" t="n">
        <f aca="false">Rencana_Dalops!H60*Asumsi!$C$17*(1-Rencana_Dalops!I60)+Rencana_Dalops!J60*Asumsi!$C$18+Rencana_Dalops!K60*Asumsi!$C$19</f>
        <v>1228.5949820789</v>
      </c>
      <c r="G60" s="34" t="n">
        <f aca="false">Rencana_Dalops!L60*Asumsi!$C$25+Rencana_Dalops!M60*IF(E60&gt;0,D60/E60,0)</f>
        <v>1518.4380967742</v>
      </c>
      <c r="H60" s="21" t="n">
        <f aca="false">H59+F60-G60</f>
        <v>39118.6393644517</v>
      </c>
      <c r="I60" s="34" t="n">
        <f aca="false">IF(B60-Asumsi!$C$21&gt;=1,INDEX(Rencana_Dalops!$N$3:$N$90,B60-Asumsi!$C$21),0)*Asumsi!$C$20</f>
        <v>0</v>
      </c>
      <c r="J60" s="34" t="n">
        <f aca="false">Rencana_Dalops!O60+Rencana_Dalops!P60*IF(E60&gt;0,D60/E60,0)</f>
        <v>1786.58</v>
      </c>
      <c r="K60" s="21" t="n">
        <f aca="false">K59+I60-J60</f>
        <v>80015.4536</v>
      </c>
      <c r="L60" s="34" t="n">
        <f aca="false">Rencana_Dalops!Q60*Asumsi!$C$22+Rencana_Dalops!R60*Asumsi!$C$23</f>
        <v>3111</v>
      </c>
      <c r="M60" s="34" t="n">
        <f aca="false">Rencana_Dalops!S60*Asumsi!$C$24+Rencana_Dalops!T60*IF(E60&gt;0,D60/E60,0)</f>
        <v>3436.2837548387</v>
      </c>
      <c r="N60" s="21" t="n">
        <f aca="false">N59+L60-M60</f>
        <v>7849.48784516141</v>
      </c>
      <c r="O60" s="21" t="n">
        <f aca="false">O59+Rencana_Dalops!M60*IF(Asumsi!$C$5&gt;0,IF(E60&gt;0,D60/E60,0)/Asumsi!$C$5,0)</f>
        <v>94518.062</v>
      </c>
      <c r="P60" s="21" t="n">
        <f aca="false">H60+O60*Asumsi!$C$5</f>
        <v>133636.701364452</v>
      </c>
      <c r="Q60" s="21" t="n">
        <f aca="false">Q59+Rencana_Dalops!P60*IF(Asumsi!$C$5&gt;0,IF(E60&gt;0,D60/E60,0)/Asumsi!$C$5,0)</f>
        <v>97105.95</v>
      </c>
      <c r="R60" s="21" t="n">
        <f aca="false">K60+Q60*Asumsi!$C$5</f>
        <v>177121.4036</v>
      </c>
      <c r="S60" s="21" t="n">
        <f aca="false">S59+Rencana_Dalops!T60*IF(Asumsi!$C$5&gt;0,IF(E60&gt;0,D60/E60,0)/Asumsi!$C$5,0)</f>
        <v>46552.5328</v>
      </c>
      <c r="T60" s="21" t="n">
        <f aca="false">N60+S60*Asumsi!$C$5</f>
        <v>54402.0206451614</v>
      </c>
      <c r="U60" s="22" t="n">
        <f aca="false">IF(OR(C60=0,O60&lt;=0),"",P60/O60)</f>
        <v>1.41387475088573</v>
      </c>
      <c r="V60" s="22" t="n">
        <f aca="false">IF(OR(C60=0,Q60&lt;=0),"",R60/Q60)</f>
        <v>1.82400155294295</v>
      </c>
      <c r="W60" s="22" t="n">
        <f aca="false">IF(OR(C60=0,S60&lt;=0),"",T60/S60)</f>
        <v>1.16861569871793</v>
      </c>
      <c r="X60" s="23" t="str">
        <f aca="false">IF(AND(C60=1,H60&lt;0),A60,"")</f>
        <v/>
      </c>
      <c r="Y60" s="23" t="str">
        <f aca="false">IF(AND(C60=1,K60&lt;0),A60,"")</f>
        <v/>
      </c>
      <c r="Z60" s="23" t="str">
        <f aca="false">IF(AND(C60=1,N60&lt;0),A60,"")</f>
        <v/>
      </c>
      <c r="AA60" s="21" t="n">
        <f aca="false">IF(C60=0,"",MIN(H60+Asumsi!$C$31-Asumsi!$C$34,K60+Asumsi!$C$32-Asumsi!$C$35,N60+Asumsi!$C$33-Asumsi!$C$36))</f>
        <v>3849.48784516141</v>
      </c>
      <c r="AB60" s="21" t="n">
        <f aca="false">IF(C60=1,H60,"")</f>
        <v>39118.6393644517</v>
      </c>
      <c r="AC60" s="21" t="n">
        <f aca="false">IF(C60=1,K60,"")</f>
        <v>80015.4536</v>
      </c>
      <c r="AD60" s="21" t="n">
        <f aca="false">IF(C60=1,N60,"")</f>
        <v>7849.48784516141</v>
      </c>
    </row>
    <row r="61" customFormat="false" ht="15" hidden="false" customHeight="false" outlineLevel="0" collapsed="false">
      <c r="A61" s="32" t="n">
        <f aca="false">Rencana_Dalops!A61</f>
        <v>46358</v>
      </c>
      <c r="B61" s="33" t="n">
        <f aca="false">A61-Rencana_Dalops!$A$3+1</f>
        <v>59</v>
      </c>
      <c r="C61" s="33" t="n">
        <f aca="false">IF(A61&lt;=Asumsi!$C$6,1,0)</f>
        <v>1</v>
      </c>
      <c r="D61" s="34" t="n">
        <f aca="false">(Rencana_Dalops!B61*Asumsi!$C$10+Rencana_Dalops!C61*Asumsi!$C$11+Rencana_Dalops!D61*Asumsi!$C$12+Rencana_Dalops!E61*Asumsi!$C$13+Rencana_Dalops!F61*Asumsi!$C$14)*Asumsi!$C$5</f>
        <v>5000</v>
      </c>
      <c r="E61" s="35" t="n">
        <f aca="false">Rencana_Dalops!G61</f>
        <v>5000</v>
      </c>
      <c r="F61" s="34" t="n">
        <f aca="false">Rencana_Dalops!H61*Asumsi!$C$17*(1-Rencana_Dalops!I61)+Rencana_Dalops!J61*Asumsi!$C$18+Rencana_Dalops!K61*Asumsi!$C$19</f>
        <v>1228.5949820789</v>
      </c>
      <c r="G61" s="34" t="n">
        <f aca="false">Rencana_Dalops!L61*Asumsi!$C$25+Rencana_Dalops!M61*IF(E61&gt;0,D61/E61,0)</f>
        <v>1162.0620967742</v>
      </c>
      <c r="H61" s="21" t="n">
        <f aca="false">H60+F61-G61</f>
        <v>39185.1722497564</v>
      </c>
      <c r="I61" s="34" t="n">
        <f aca="false">IF(B61-Asumsi!$C$21&gt;=1,INDEX(Rencana_Dalops!$N$3:$N$90,B61-Asumsi!$C$21),0)*Asumsi!$C$20</f>
        <v>0</v>
      </c>
      <c r="J61" s="34" t="n">
        <f aca="false">Rencana_Dalops!O61+Rencana_Dalops!P61*IF(E61&gt;0,D61/E61,0)</f>
        <v>1452.18</v>
      </c>
      <c r="K61" s="21" t="n">
        <f aca="false">K60+I61-J61</f>
        <v>78563.2736</v>
      </c>
      <c r="L61" s="34" t="n">
        <f aca="false">Rencana_Dalops!Q61*Asumsi!$C$22+Rencana_Dalops!R61*Asumsi!$C$23</f>
        <v>3111</v>
      </c>
      <c r="M61" s="34" t="n">
        <f aca="false">Rencana_Dalops!S61*Asumsi!$C$24+Rencana_Dalops!T61*IF(E61&gt;0,D61/E61,0)</f>
        <v>3257.8293548387</v>
      </c>
      <c r="N61" s="21" t="n">
        <f aca="false">N60+L61-M61</f>
        <v>7702.65849032271</v>
      </c>
      <c r="O61" s="21" t="n">
        <f aca="false">O60+Rencana_Dalops!M61*IF(Asumsi!$C$5&gt;0,IF(E61&gt;0,D61/E61,0)/Asumsi!$C$5,0)</f>
        <v>95631.737</v>
      </c>
      <c r="P61" s="21" t="n">
        <f aca="false">H61+O61*Asumsi!$C$5</f>
        <v>134816.909249756</v>
      </c>
      <c r="Q61" s="21" t="n">
        <f aca="false">Q60+Rencana_Dalops!P61*IF(Asumsi!$C$5&gt;0,IF(E61&gt;0,D61/E61,0)/Asumsi!$C$5,0)</f>
        <v>98548.05</v>
      </c>
      <c r="R61" s="21" t="n">
        <f aca="false">K61+Q61*Asumsi!$C$5</f>
        <v>177111.3236</v>
      </c>
      <c r="S61" s="21" t="n">
        <f aca="false">S60+Rencana_Dalops!T61*IF(Asumsi!$C$5&gt;0,IF(E61&gt;0,D61/E61,0)/Asumsi!$C$5,0)</f>
        <v>47110.2028</v>
      </c>
      <c r="T61" s="21" t="n">
        <f aca="false">N61+S61*Asumsi!$C$5</f>
        <v>54812.8612903227</v>
      </c>
      <c r="U61" s="22" t="n">
        <f aca="false">IF(OR(C61=0,O61&lt;=0),"",P61/O61)</f>
        <v>1.40975071120748</v>
      </c>
      <c r="V61" s="22" t="n">
        <f aca="false">IF(OR(C61=0,Q61&lt;=0),"",R61/Q61)</f>
        <v>1.79720779457331</v>
      </c>
      <c r="W61" s="22" t="n">
        <f aca="false">IF(OR(C61=0,S61&lt;=0),"",T61/S61)</f>
        <v>1.16350297881381</v>
      </c>
      <c r="X61" s="23" t="str">
        <f aca="false">IF(AND(C61=1,H61&lt;0),A61,"")</f>
        <v/>
      </c>
      <c r="Y61" s="23" t="str">
        <f aca="false">IF(AND(C61=1,K61&lt;0),A61,"")</f>
        <v/>
      </c>
      <c r="Z61" s="23" t="str">
        <f aca="false">IF(AND(C61=1,N61&lt;0),A61,"")</f>
        <v/>
      </c>
      <c r="AA61" s="21" t="n">
        <f aca="false">IF(C61=0,"",MIN(H61+Asumsi!$C$31-Asumsi!$C$34,K61+Asumsi!$C$32-Asumsi!$C$35,N61+Asumsi!$C$33-Asumsi!$C$36))</f>
        <v>3702.65849032271</v>
      </c>
      <c r="AB61" s="21" t="n">
        <f aca="false">IF(C61=1,H61,"")</f>
        <v>39185.1722497564</v>
      </c>
      <c r="AC61" s="21" t="n">
        <f aca="false">IF(C61=1,K61,"")</f>
        <v>78563.2736</v>
      </c>
      <c r="AD61" s="21" t="n">
        <f aca="false">IF(C61=1,N61,"")</f>
        <v>7702.65849032271</v>
      </c>
    </row>
    <row r="62" customFormat="false" ht="15" hidden="false" customHeight="false" outlineLevel="0" collapsed="false">
      <c r="A62" s="32" t="n">
        <f aca="false">Rencana_Dalops!A62</f>
        <v>46359</v>
      </c>
      <c r="B62" s="33" t="n">
        <f aca="false">A62-Rencana_Dalops!$A$3+1</f>
        <v>60</v>
      </c>
      <c r="C62" s="33" t="n">
        <f aca="false">IF(A62&lt;=Asumsi!$C$6,1,0)</f>
        <v>1</v>
      </c>
      <c r="D62" s="34" t="n">
        <f aca="false">(Rencana_Dalops!B62*Asumsi!$C$10+Rencana_Dalops!C62*Asumsi!$C$11+Rencana_Dalops!D62*Asumsi!$C$12+Rencana_Dalops!E62*Asumsi!$C$13+Rencana_Dalops!F62*Asumsi!$C$14)*Asumsi!$C$5</f>
        <v>5000</v>
      </c>
      <c r="E62" s="35" t="n">
        <f aca="false">Rencana_Dalops!G62</f>
        <v>5000</v>
      </c>
      <c r="F62" s="34" t="n">
        <f aca="false">Rencana_Dalops!H62*Asumsi!$C$17*(1-Rencana_Dalops!I62)+Rencana_Dalops!J62*Asumsi!$C$18+Rencana_Dalops!K62*Asumsi!$C$19</f>
        <v>1228.5949820789</v>
      </c>
      <c r="G62" s="34" t="n">
        <f aca="false">Rencana_Dalops!L62*Asumsi!$C$25+Rencana_Dalops!M62*IF(E62&gt;0,D62/E62,0)</f>
        <v>1162.0620967742</v>
      </c>
      <c r="H62" s="21" t="n">
        <f aca="false">H61+F62-G62</f>
        <v>39251.7051350611</v>
      </c>
      <c r="I62" s="34" t="n">
        <f aca="false">IF(B62-Asumsi!$C$21&gt;=1,INDEX(Rencana_Dalops!$N$3:$N$90,B62-Asumsi!$C$21),0)*Asumsi!$C$20</f>
        <v>0</v>
      </c>
      <c r="J62" s="34" t="n">
        <f aca="false">Rencana_Dalops!O62+Rencana_Dalops!P62*IF(E62&gt;0,D62/E62,0)</f>
        <v>1347.68</v>
      </c>
      <c r="K62" s="21" t="n">
        <f aca="false">K61+I62-J62</f>
        <v>77215.5936</v>
      </c>
      <c r="L62" s="34" t="n">
        <f aca="false">Rencana_Dalops!Q62*Asumsi!$C$22+Rencana_Dalops!R62*Asumsi!$C$23</f>
        <v>3111</v>
      </c>
      <c r="M62" s="34" t="n">
        <f aca="false">Rencana_Dalops!S62*Asumsi!$C$24+Rencana_Dalops!T62*IF(E62&gt;0,D62/E62,0)</f>
        <v>3257.8293548387</v>
      </c>
      <c r="N62" s="21" t="n">
        <f aca="false">N61+L62-M62</f>
        <v>7555.82913548401</v>
      </c>
      <c r="O62" s="21" t="n">
        <f aca="false">O61+Rencana_Dalops!M62*IF(Asumsi!$C$5&gt;0,IF(E62&gt;0,D62/E62,0)/Asumsi!$C$5,0)</f>
        <v>96745.412</v>
      </c>
      <c r="P62" s="21" t="n">
        <f aca="false">H62+O62*Asumsi!$C$5</f>
        <v>135997.117135061</v>
      </c>
      <c r="Q62" s="21" t="n">
        <f aca="false">Q61+Rencana_Dalops!P62*IF(Asumsi!$C$5&gt;0,IF(E62&gt;0,D62/E62,0)/Asumsi!$C$5,0)</f>
        <v>99885.65</v>
      </c>
      <c r="R62" s="21" t="n">
        <f aca="false">K62+Q62*Asumsi!$C$5</f>
        <v>177101.2436</v>
      </c>
      <c r="S62" s="21" t="n">
        <f aca="false">S61+Rencana_Dalops!T62*IF(Asumsi!$C$5&gt;0,IF(E62&gt;0,D62/E62,0)/Asumsi!$C$5,0)</f>
        <v>47667.8728</v>
      </c>
      <c r="T62" s="21" t="n">
        <f aca="false">N62+S62*Asumsi!$C$5</f>
        <v>55223.701935484</v>
      </c>
      <c r="U62" s="22" t="n">
        <f aca="false">IF(OR(C62=0,O62&lt;=0),"",P62/O62)</f>
        <v>1.40572161845836</v>
      </c>
      <c r="V62" s="22" t="n">
        <f aca="false">IF(OR(C62=0,Q62&lt;=0),"",R62/Q62)</f>
        <v>1.77303990713381</v>
      </c>
      <c r="W62" s="22" t="n">
        <f aca="false">IF(OR(C62=0,S62&lt;=0),"",T62/S62)</f>
        <v>1.15850988709284</v>
      </c>
      <c r="X62" s="23" t="str">
        <f aca="false">IF(AND(C62=1,H62&lt;0),A62,"")</f>
        <v/>
      </c>
      <c r="Y62" s="23" t="str">
        <f aca="false">IF(AND(C62=1,K62&lt;0),A62,"")</f>
        <v/>
      </c>
      <c r="Z62" s="23" t="str">
        <f aca="false">IF(AND(C62=1,N62&lt;0),A62,"")</f>
        <v/>
      </c>
      <c r="AA62" s="21" t="n">
        <f aca="false">IF(C62=0,"",MIN(H62+Asumsi!$C$31-Asumsi!$C$34,K62+Asumsi!$C$32-Asumsi!$C$35,N62+Asumsi!$C$33-Asumsi!$C$36))</f>
        <v>3555.829135484</v>
      </c>
      <c r="AB62" s="21" t="n">
        <f aca="false">IF(C62=1,H62,"")</f>
        <v>39251.7051350611</v>
      </c>
      <c r="AC62" s="21" t="n">
        <f aca="false">IF(C62=1,K62,"")</f>
        <v>77215.5936</v>
      </c>
      <c r="AD62" s="21" t="n">
        <f aca="false">IF(C62=1,N62,"")</f>
        <v>7555.82913548401</v>
      </c>
    </row>
    <row r="63" customFormat="false" ht="15" hidden="false" customHeight="false" outlineLevel="0" collapsed="false">
      <c r="A63" s="32" t="n">
        <f aca="false">Rencana_Dalops!A63</f>
        <v>46360</v>
      </c>
      <c r="B63" s="33" t="n">
        <f aca="false">A63-Rencana_Dalops!$A$3+1</f>
        <v>61</v>
      </c>
      <c r="C63" s="33" t="n">
        <f aca="false">IF(A63&lt;=Asumsi!$C$6,1,0)</f>
        <v>1</v>
      </c>
      <c r="D63" s="34" t="n">
        <f aca="false">(Rencana_Dalops!B63*Asumsi!$C$10+Rencana_Dalops!C63*Asumsi!$C$11+Rencana_Dalops!D63*Asumsi!$C$12+Rencana_Dalops!E63*Asumsi!$C$13+Rencana_Dalops!F63*Asumsi!$C$14)*Asumsi!$C$5</f>
        <v>5000</v>
      </c>
      <c r="E63" s="35" t="n">
        <f aca="false">Rencana_Dalops!G63</f>
        <v>5000</v>
      </c>
      <c r="F63" s="34" t="n">
        <f aca="false">Rencana_Dalops!H63*Asumsi!$C$17*(1-Rencana_Dalops!I63)+Rencana_Dalops!J63*Asumsi!$C$18+Rencana_Dalops!K63*Asumsi!$C$19</f>
        <v>1228.5949820789</v>
      </c>
      <c r="G63" s="34" t="n">
        <f aca="false">Rencana_Dalops!L63*Asumsi!$C$25+Rencana_Dalops!M63*IF(E63&gt;0,D63/E63,0)</f>
        <v>1562.0620967742</v>
      </c>
      <c r="H63" s="21" t="n">
        <f aca="false">H62+F63-G63</f>
        <v>38918.2380203659</v>
      </c>
      <c r="I63" s="34" t="n">
        <f aca="false">IF(B63-Asumsi!$C$21&gt;=1,INDEX(Rencana_Dalops!$N$3:$N$90,B63-Asumsi!$C$21),0)*Asumsi!$C$20</f>
        <v>0</v>
      </c>
      <c r="J63" s="34" t="n">
        <f aca="false">Rencana_Dalops!O63+Rencana_Dalops!P63*IF(E63&gt;0,D63/E63,0)</f>
        <v>1347.68</v>
      </c>
      <c r="K63" s="21" t="n">
        <f aca="false">K62+I63-J63</f>
        <v>75867.9136</v>
      </c>
      <c r="L63" s="34" t="n">
        <f aca="false">Rencana_Dalops!Q63*Asumsi!$C$22+Rencana_Dalops!R63*Asumsi!$C$23</f>
        <v>3111</v>
      </c>
      <c r="M63" s="34" t="n">
        <f aca="false">Rencana_Dalops!S63*Asumsi!$C$24+Rencana_Dalops!T63*IF(E63&gt;0,D63/E63,0)</f>
        <v>3257.8293548387</v>
      </c>
      <c r="N63" s="21" t="n">
        <f aca="false">N62+L63-M63</f>
        <v>7408.9997806453</v>
      </c>
      <c r="O63" s="21" t="n">
        <f aca="false">O62+Rencana_Dalops!M63*IF(Asumsi!$C$5&gt;0,IF(E63&gt;0,D63/E63,0)/Asumsi!$C$5,0)</f>
        <v>97859.087</v>
      </c>
      <c r="P63" s="21" t="n">
        <f aca="false">H63+O63*Asumsi!$C$5</f>
        <v>136777.325020366</v>
      </c>
      <c r="Q63" s="21" t="n">
        <f aca="false">Q62+Rencana_Dalops!P63*IF(Asumsi!$C$5&gt;0,IF(E63&gt;0,D63/E63,0)/Asumsi!$C$5,0)</f>
        <v>101223.25</v>
      </c>
      <c r="R63" s="21" t="n">
        <f aca="false">K63+Q63*Asumsi!$C$5</f>
        <v>177091.1636</v>
      </c>
      <c r="S63" s="21" t="n">
        <f aca="false">S62+Rencana_Dalops!T63*IF(Asumsi!$C$5&gt;0,IF(E63&gt;0,D63/E63,0)/Asumsi!$C$5,0)</f>
        <v>48225.5428</v>
      </c>
      <c r="T63" s="21" t="n">
        <f aca="false">N63+S63*Asumsi!$C$5</f>
        <v>55634.5425806453</v>
      </c>
      <c r="U63" s="22" t="n">
        <f aca="false">IF(OR(C63=0,O63&lt;=0),"",P63/O63)</f>
        <v>1.39769672100421</v>
      </c>
      <c r="V63" s="22" t="n">
        <f aca="false">IF(OR(C63=0,Q63&lt;=0),"",R63/Q63)</f>
        <v>1.74951074580198</v>
      </c>
      <c r="W63" s="22" t="n">
        <f aca="false">IF(OR(C63=0,S63&lt;=0),"",T63/S63)</f>
        <v>1.15363227348983</v>
      </c>
      <c r="X63" s="23" t="str">
        <f aca="false">IF(AND(C63=1,H63&lt;0),A63,"")</f>
        <v/>
      </c>
      <c r="Y63" s="23" t="str">
        <f aca="false">IF(AND(C63=1,K63&lt;0),A63,"")</f>
        <v/>
      </c>
      <c r="Z63" s="23" t="str">
        <f aca="false">IF(AND(C63=1,N63&lt;0),A63,"")</f>
        <v/>
      </c>
      <c r="AA63" s="21" t="n">
        <f aca="false">IF(C63=0,"",MIN(H63+Asumsi!$C$31-Asumsi!$C$34,K63+Asumsi!$C$32-Asumsi!$C$35,N63+Asumsi!$C$33-Asumsi!$C$36))</f>
        <v>3408.9997806453</v>
      </c>
      <c r="AB63" s="21" t="n">
        <f aca="false">IF(C63=1,H63,"")</f>
        <v>38918.2380203659</v>
      </c>
      <c r="AC63" s="21" t="n">
        <f aca="false">IF(C63=1,K63,"")</f>
        <v>75867.9136</v>
      </c>
      <c r="AD63" s="21" t="n">
        <f aca="false">IF(C63=1,N63,"")</f>
        <v>7408.9997806453</v>
      </c>
    </row>
    <row r="64" customFormat="false" ht="15" hidden="false" customHeight="false" outlineLevel="0" collapsed="false">
      <c r="A64" s="32" t="n">
        <f aca="false">Rencana_Dalops!A64</f>
        <v>46361</v>
      </c>
      <c r="B64" s="33" t="n">
        <f aca="false">A64-Rencana_Dalops!$A$3+1</f>
        <v>62</v>
      </c>
      <c r="C64" s="33" t="n">
        <f aca="false">IF(A64&lt;=Asumsi!$C$6,1,0)</f>
        <v>1</v>
      </c>
      <c r="D64" s="34" t="n">
        <f aca="false">(Rencana_Dalops!B64*Asumsi!$C$10+Rencana_Dalops!C64*Asumsi!$C$11+Rencana_Dalops!D64*Asumsi!$C$12+Rencana_Dalops!E64*Asumsi!$C$13+Rencana_Dalops!F64*Asumsi!$C$14)*Asumsi!$C$5</f>
        <v>5000</v>
      </c>
      <c r="E64" s="35" t="n">
        <f aca="false">Rencana_Dalops!G64</f>
        <v>5000</v>
      </c>
      <c r="F64" s="34" t="n">
        <f aca="false">Rencana_Dalops!H64*Asumsi!$C$17*(1-Rencana_Dalops!I64)+Rencana_Dalops!J64*Asumsi!$C$18+Rencana_Dalops!K64*Asumsi!$C$19</f>
        <v>1228.5949820789</v>
      </c>
      <c r="G64" s="34" t="n">
        <f aca="false">Rencana_Dalops!L64*Asumsi!$C$25+Rencana_Dalops!M64*IF(E64&gt;0,D64/E64,0)</f>
        <v>11562.0620967742</v>
      </c>
      <c r="H64" s="21" t="n">
        <f aca="false">H63+F64-G64</f>
        <v>28584.7709056706</v>
      </c>
      <c r="I64" s="34" t="n">
        <f aca="false">IF(B64-Asumsi!$C$21&gt;=1,INDEX(Rencana_Dalops!$N$3:$N$90,B64-Asumsi!$C$21),0)*Asumsi!$C$20</f>
        <v>0</v>
      </c>
      <c r="J64" s="34" t="n">
        <f aca="false">Rencana_Dalops!O64+Rencana_Dalops!P64*IF(E64&gt;0,D64/E64,0)</f>
        <v>1347.68</v>
      </c>
      <c r="K64" s="21" t="n">
        <f aca="false">K63+I64-J64</f>
        <v>74520.2336</v>
      </c>
      <c r="L64" s="34" t="n">
        <f aca="false">Rencana_Dalops!Q64*Asumsi!$C$22+Rencana_Dalops!R64*Asumsi!$C$23</f>
        <v>3111</v>
      </c>
      <c r="M64" s="34" t="n">
        <f aca="false">Rencana_Dalops!S64*Asumsi!$C$24+Rencana_Dalops!T64*IF(E64&gt;0,D64/E64,0)</f>
        <v>3257.8293548387</v>
      </c>
      <c r="N64" s="21" t="n">
        <f aca="false">N63+L64-M64</f>
        <v>7262.1704258066</v>
      </c>
      <c r="O64" s="21" t="n">
        <f aca="false">O63+Rencana_Dalops!M64*IF(Asumsi!$C$5&gt;0,IF(E64&gt;0,D64/E64,0)/Asumsi!$C$5,0)</f>
        <v>98972.7620000001</v>
      </c>
      <c r="P64" s="21" t="n">
        <f aca="false">H64+O64*Asumsi!$C$5</f>
        <v>127557.532905671</v>
      </c>
      <c r="Q64" s="21" t="n">
        <f aca="false">Q63+Rencana_Dalops!P64*IF(Asumsi!$C$5&gt;0,IF(E64&gt;0,D64/E64,0)/Asumsi!$C$5,0)</f>
        <v>102560.85</v>
      </c>
      <c r="R64" s="21" t="n">
        <f aca="false">K64+Q64*Asumsi!$C$5</f>
        <v>177081.0836</v>
      </c>
      <c r="S64" s="21" t="n">
        <f aca="false">S63+Rencana_Dalops!T64*IF(Asumsi!$C$5&gt;0,IF(E64&gt;0,D64/E64,0)/Asumsi!$C$5,0)</f>
        <v>48783.2128</v>
      </c>
      <c r="T64" s="21" t="n">
        <f aca="false">N64+S64*Asumsi!$C$5</f>
        <v>56045.3832258066</v>
      </c>
      <c r="U64" s="22" t="n">
        <f aca="false">IF(OR(C64=0,O64&lt;=0),"",P64/O64)</f>
        <v>1.28881452157181</v>
      </c>
      <c r="V64" s="22" t="n">
        <f aca="false">IF(OR(C64=0,Q64&lt;=0),"",R64/Q64)</f>
        <v>1.72659531975408</v>
      </c>
      <c r="W64" s="22" t="n">
        <f aca="false">IF(OR(C64=0,S64&lt;=0),"",T64/S64)</f>
        <v>1.14886617770707</v>
      </c>
      <c r="X64" s="23" t="str">
        <f aca="false">IF(AND(C64=1,H64&lt;0),A64,"")</f>
        <v/>
      </c>
      <c r="Y64" s="23" t="str">
        <f aca="false">IF(AND(C64=1,K64&lt;0),A64,"")</f>
        <v/>
      </c>
      <c r="Z64" s="23" t="str">
        <f aca="false">IF(AND(C64=1,N64&lt;0),A64,"")</f>
        <v/>
      </c>
      <c r="AA64" s="21" t="n">
        <f aca="false">IF(C64=0,"",MIN(H64+Asumsi!$C$31-Asumsi!$C$34,K64+Asumsi!$C$32-Asumsi!$C$35,N64+Asumsi!$C$33-Asumsi!$C$36))</f>
        <v>3262.1704258066</v>
      </c>
      <c r="AB64" s="21" t="n">
        <f aca="false">IF(C64=1,H64,"")</f>
        <v>28584.7709056706</v>
      </c>
      <c r="AC64" s="21" t="n">
        <f aca="false">IF(C64=1,K64,"")</f>
        <v>74520.2336</v>
      </c>
      <c r="AD64" s="21" t="n">
        <f aca="false">IF(C64=1,N64,"")</f>
        <v>7262.1704258066</v>
      </c>
    </row>
    <row r="65" customFormat="false" ht="15" hidden="false" customHeight="false" outlineLevel="0" collapsed="false">
      <c r="A65" s="32" t="n">
        <f aca="false">Rencana_Dalops!A65</f>
        <v>46362</v>
      </c>
      <c r="B65" s="33" t="n">
        <f aca="false">A65-Rencana_Dalops!$A$3+1</f>
        <v>63</v>
      </c>
      <c r="C65" s="33" t="n">
        <f aca="false">IF(A65&lt;=Asumsi!$C$6,1,0)</f>
        <v>1</v>
      </c>
      <c r="D65" s="34" t="n">
        <f aca="false">(Rencana_Dalops!B65*Asumsi!$C$10+Rencana_Dalops!C65*Asumsi!$C$11+Rencana_Dalops!D65*Asumsi!$C$12+Rencana_Dalops!E65*Asumsi!$C$13+Rencana_Dalops!F65*Asumsi!$C$14)*Asumsi!$C$5</f>
        <v>5000</v>
      </c>
      <c r="E65" s="35" t="n">
        <f aca="false">Rencana_Dalops!G65</f>
        <v>5000</v>
      </c>
      <c r="F65" s="34" t="n">
        <f aca="false">Rencana_Dalops!H65*Asumsi!$C$17*(1-Rencana_Dalops!I65)+Rencana_Dalops!J65*Asumsi!$C$18+Rencana_Dalops!K65*Asumsi!$C$19</f>
        <v>1228.5949820789</v>
      </c>
      <c r="G65" s="34" t="n">
        <f aca="false">Rencana_Dalops!L65*Asumsi!$C$25+Rencana_Dalops!M65*IF(E65&gt;0,D65/E65,0)</f>
        <v>1562.0620967742</v>
      </c>
      <c r="H65" s="21" t="n">
        <f aca="false">H64+F65-G65</f>
        <v>28251.3037909753</v>
      </c>
      <c r="I65" s="34" t="n">
        <f aca="false">IF(B65-Asumsi!$C$21&gt;=1,INDEX(Rencana_Dalops!$N$3:$N$90,B65-Asumsi!$C$21),0)*Asumsi!$C$20</f>
        <v>0</v>
      </c>
      <c r="J65" s="34" t="n">
        <f aca="false">Rencana_Dalops!O65+Rencana_Dalops!P65*IF(E65&gt;0,D65/E65,0)</f>
        <v>1452.18</v>
      </c>
      <c r="K65" s="21" t="n">
        <f aca="false">K64+I65-J65</f>
        <v>73068.0536</v>
      </c>
      <c r="L65" s="34" t="n">
        <f aca="false">Rencana_Dalops!Q65*Asumsi!$C$22+Rencana_Dalops!R65*Asumsi!$C$23</f>
        <v>3111</v>
      </c>
      <c r="M65" s="34" t="n">
        <f aca="false">Rencana_Dalops!S65*Asumsi!$C$24+Rencana_Dalops!T65*IF(E65&gt;0,D65/E65,0)</f>
        <v>3257.8293548387</v>
      </c>
      <c r="N65" s="21" t="n">
        <f aca="false">N64+L65-M65</f>
        <v>7115.3410709679</v>
      </c>
      <c r="O65" s="21" t="n">
        <f aca="false">O64+Rencana_Dalops!M65*IF(Asumsi!$C$5&gt;0,IF(E65&gt;0,D65/E65,0)/Asumsi!$C$5,0)</f>
        <v>100086.437</v>
      </c>
      <c r="P65" s="21" t="n">
        <f aca="false">H65+O65*Asumsi!$C$5</f>
        <v>128337.740790975</v>
      </c>
      <c r="Q65" s="21" t="n">
        <f aca="false">Q64+Rencana_Dalops!P65*IF(Asumsi!$C$5&gt;0,IF(E65&gt;0,D65/E65,0)/Asumsi!$C$5,0)</f>
        <v>104002.95</v>
      </c>
      <c r="R65" s="21" t="n">
        <f aca="false">K65+Q65*Asumsi!$C$5</f>
        <v>177071.0036</v>
      </c>
      <c r="S65" s="21" t="n">
        <f aca="false">S64+Rencana_Dalops!T65*IF(Asumsi!$C$5&gt;0,IF(E65&gt;0,D65/E65,0)/Asumsi!$C$5,0)</f>
        <v>49340.8828</v>
      </c>
      <c r="T65" s="21" t="n">
        <f aca="false">N65+S65*Asumsi!$C$5</f>
        <v>56456.2238709679</v>
      </c>
      <c r="U65" s="22" t="n">
        <f aca="false">IF(OR(C65=0,O65&lt;=0),"",P65/O65)</f>
        <v>1.2822690530084</v>
      </c>
      <c r="V65" s="22" t="n">
        <f aca="false">IF(OR(C65=0,Q65&lt;=0),"",R65/Q65)</f>
        <v>1.70255751014755</v>
      </c>
      <c r="W65" s="22" t="n">
        <f aca="false">IF(OR(C65=0,S65&lt;=0),"",T65/S65)</f>
        <v>1.14420781849019</v>
      </c>
      <c r="X65" s="23" t="str">
        <f aca="false">IF(AND(C65=1,H65&lt;0),A65,"")</f>
        <v/>
      </c>
      <c r="Y65" s="23" t="str">
        <f aca="false">IF(AND(C65=1,K65&lt;0),A65,"")</f>
        <v/>
      </c>
      <c r="Z65" s="23" t="str">
        <f aca="false">IF(AND(C65=1,N65&lt;0),A65,"")</f>
        <v/>
      </c>
      <c r="AA65" s="21" t="n">
        <f aca="false">IF(C65=0,"",MIN(H65+Asumsi!$C$31-Asumsi!$C$34,K65+Asumsi!$C$32-Asumsi!$C$35,N65+Asumsi!$C$33-Asumsi!$C$36))</f>
        <v>3115.3410709679</v>
      </c>
      <c r="AB65" s="21" t="n">
        <f aca="false">IF(C65=1,H65,"")</f>
        <v>28251.3037909753</v>
      </c>
      <c r="AC65" s="21" t="n">
        <f aca="false">IF(C65=1,K65,"")</f>
        <v>73068.0536</v>
      </c>
      <c r="AD65" s="21" t="n">
        <f aca="false">IF(C65=1,N65,"")</f>
        <v>7115.3410709679</v>
      </c>
    </row>
    <row r="66" customFormat="false" ht="15" hidden="false" customHeight="false" outlineLevel="0" collapsed="false">
      <c r="A66" s="32" t="n">
        <f aca="false">Rencana_Dalops!A66</f>
        <v>46363</v>
      </c>
      <c r="B66" s="33" t="n">
        <f aca="false">A66-Rencana_Dalops!$A$3+1</f>
        <v>64</v>
      </c>
      <c r="C66" s="33" t="n">
        <f aca="false">IF(A66&lt;=Asumsi!$C$6,1,0)</f>
        <v>1</v>
      </c>
      <c r="D66" s="34" t="n">
        <f aca="false">(Rencana_Dalops!B66*Asumsi!$C$10+Rencana_Dalops!C66*Asumsi!$C$11+Rencana_Dalops!D66*Asumsi!$C$12+Rencana_Dalops!E66*Asumsi!$C$13+Rencana_Dalops!F66*Asumsi!$C$14)*Asumsi!$C$5</f>
        <v>5000</v>
      </c>
      <c r="E66" s="35" t="n">
        <f aca="false">Rencana_Dalops!G66</f>
        <v>5000</v>
      </c>
      <c r="F66" s="34" t="n">
        <f aca="false">Rencana_Dalops!H66*Asumsi!$C$17*(1-Rencana_Dalops!I66)+Rencana_Dalops!J66*Asumsi!$C$18+Rencana_Dalops!K66*Asumsi!$C$19</f>
        <v>1228.5949820789</v>
      </c>
      <c r="G66" s="34" t="n">
        <f aca="false">Rencana_Dalops!L66*Asumsi!$C$25+Rencana_Dalops!M66*IF(E66&gt;0,D66/E66,0)</f>
        <v>1562.0620967742</v>
      </c>
      <c r="H66" s="21" t="n">
        <f aca="false">H65+F66-G66</f>
        <v>27917.83667628</v>
      </c>
      <c r="I66" s="34" t="n">
        <f aca="false">IF(B66-Asumsi!$C$21&gt;=1,INDEX(Rencana_Dalops!$N$3:$N$90,B66-Asumsi!$C$21),0)*Asumsi!$C$20</f>
        <v>0</v>
      </c>
      <c r="J66" s="34" t="n">
        <f aca="false">Rencana_Dalops!O66+Rencana_Dalops!P66*IF(E66&gt;0,D66/E66,0)</f>
        <v>1452.18</v>
      </c>
      <c r="K66" s="21" t="n">
        <f aca="false">K65+I66-J66</f>
        <v>71615.8736</v>
      </c>
      <c r="L66" s="34" t="n">
        <f aca="false">Rencana_Dalops!Q66*Asumsi!$C$22+Rencana_Dalops!R66*Asumsi!$C$23</f>
        <v>3111</v>
      </c>
      <c r="M66" s="34" t="n">
        <f aca="false">Rencana_Dalops!S66*Asumsi!$C$24+Rencana_Dalops!T66*IF(E66&gt;0,D66/E66,0)</f>
        <v>3257.8293548387</v>
      </c>
      <c r="N66" s="21" t="n">
        <f aca="false">N65+L66-M66</f>
        <v>6968.5117161292</v>
      </c>
      <c r="O66" s="21" t="n">
        <f aca="false">O65+Rencana_Dalops!M66*IF(Asumsi!$C$5&gt;0,IF(E66&gt;0,D66/E66,0)/Asumsi!$C$5,0)</f>
        <v>101200.112</v>
      </c>
      <c r="P66" s="21" t="n">
        <f aca="false">H66+O66*Asumsi!$C$5</f>
        <v>129117.94867628</v>
      </c>
      <c r="Q66" s="21" t="n">
        <f aca="false">Q65+Rencana_Dalops!P66*IF(Asumsi!$C$5&gt;0,IF(E66&gt;0,D66/E66,0)/Asumsi!$C$5,0)</f>
        <v>105445.05</v>
      </c>
      <c r="R66" s="21" t="n">
        <f aca="false">K66+Q66*Asumsi!$C$5</f>
        <v>177060.9236</v>
      </c>
      <c r="S66" s="21" t="n">
        <f aca="false">S65+Rencana_Dalops!T66*IF(Asumsi!$C$5&gt;0,IF(E66&gt;0,D66/E66,0)/Asumsi!$C$5,0)</f>
        <v>49898.5528</v>
      </c>
      <c r="T66" s="21" t="n">
        <f aca="false">N66+S66*Asumsi!$C$5</f>
        <v>56867.0645161292</v>
      </c>
      <c r="U66" s="22" t="n">
        <f aca="false">IF(OR(C66=0,O66&lt;=0),"",P66/O66)</f>
        <v>1.27586764603857</v>
      </c>
      <c r="V66" s="22" t="n">
        <f aca="false">IF(OR(C66=0,Q66&lt;=0),"",R66/Q66)</f>
        <v>1.67917719798132</v>
      </c>
      <c r="W66" s="22" t="n">
        <f aca="false">IF(OR(C66=0,S66&lt;=0),"",T66/S66)</f>
        <v>1.13965358362315</v>
      </c>
      <c r="X66" s="23" t="str">
        <f aca="false">IF(AND(C66=1,H66&lt;0),A66,"")</f>
        <v/>
      </c>
      <c r="Y66" s="23" t="str">
        <f aca="false">IF(AND(C66=1,K66&lt;0),A66,"")</f>
        <v/>
      </c>
      <c r="Z66" s="23" t="str">
        <f aca="false">IF(AND(C66=1,N66&lt;0),A66,"")</f>
        <v/>
      </c>
      <c r="AA66" s="21" t="n">
        <f aca="false">IF(C66=0,"",MIN(H66+Asumsi!$C$31-Asumsi!$C$34,K66+Asumsi!$C$32-Asumsi!$C$35,N66+Asumsi!$C$33-Asumsi!$C$36))</f>
        <v>2968.5117161292</v>
      </c>
      <c r="AB66" s="21" t="n">
        <f aca="false">IF(C66=1,H66,"")</f>
        <v>27917.83667628</v>
      </c>
      <c r="AC66" s="21" t="n">
        <f aca="false">IF(C66=1,K66,"")</f>
        <v>71615.8736</v>
      </c>
      <c r="AD66" s="21" t="n">
        <f aca="false">IF(C66=1,N66,"")</f>
        <v>6968.5117161292</v>
      </c>
    </row>
    <row r="67" customFormat="false" ht="15" hidden="false" customHeight="false" outlineLevel="0" collapsed="false">
      <c r="A67" s="32" t="n">
        <f aca="false">Rencana_Dalops!A67</f>
        <v>46364</v>
      </c>
      <c r="B67" s="33" t="n">
        <f aca="false">A67-Rencana_Dalops!$A$3+1</f>
        <v>65</v>
      </c>
      <c r="C67" s="33" t="n">
        <f aca="false">IF(A67&lt;=Asumsi!$C$6,1,0)</f>
        <v>1</v>
      </c>
      <c r="D67" s="34" t="n">
        <f aca="false">(Rencana_Dalops!B67*Asumsi!$C$10+Rencana_Dalops!C67*Asumsi!$C$11+Rencana_Dalops!D67*Asumsi!$C$12+Rencana_Dalops!E67*Asumsi!$C$13+Rencana_Dalops!F67*Asumsi!$C$14)*Asumsi!$C$5</f>
        <v>5000</v>
      </c>
      <c r="E67" s="35" t="n">
        <f aca="false">Rencana_Dalops!G67</f>
        <v>5000</v>
      </c>
      <c r="F67" s="34" t="n">
        <f aca="false">Rencana_Dalops!H67*Asumsi!$C$17*(1-Rencana_Dalops!I67)+Rencana_Dalops!J67*Asumsi!$C$18+Rencana_Dalops!K67*Asumsi!$C$19</f>
        <v>1228.5949820789</v>
      </c>
      <c r="G67" s="34" t="n">
        <f aca="false">Rencana_Dalops!L67*Asumsi!$C$25+Rencana_Dalops!M67*IF(E67&gt;0,D67/E67,0)</f>
        <v>1562.0620967742</v>
      </c>
      <c r="H67" s="21" t="n">
        <f aca="false">H66+F67-G67</f>
        <v>27584.3695615847</v>
      </c>
      <c r="I67" s="34" t="n">
        <f aca="false">IF(B67-Asumsi!$C$21&gt;=1,INDEX(Rencana_Dalops!$N$3:$N$90,B67-Asumsi!$C$21),0)*Asumsi!$C$20</f>
        <v>0</v>
      </c>
      <c r="J67" s="34" t="n">
        <f aca="false">Rencana_Dalops!O67+Rencana_Dalops!P67*IF(E67&gt;0,D67/E67,0)</f>
        <v>1347.68</v>
      </c>
      <c r="K67" s="21" t="n">
        <f aca="false">K66+I67-J67</f>
        <v>70268.1936</v>
      </c>
      <c r="L67" s="34" t="n">
        <f aca="false">Rencana_Dalops!Q67*Asumsi!$C$22+Rencana_Dalops!R67*Asumsi!$C$23</f>
        <v>3111</v>
      </c>
      <c r="M67" s="34" t="n">
        <f aca="false">Rencana_Dalops!S67*Asumsi!$C$24+Rencana_Dalops!T67*IF(E67&gt;0,D67/E67,0)</f>
        <v>3257.8293548387</v>
      </c>
      <c r="N67" s="21" t="n">
        <f aca="false">N66+L67-M67</f>
        <v>6821.6823612905</v>
      </c>
      <c r="O67" s="21" t="n">
        <f aca="false">O66+Rencana_Dalops!M67*IF(Asumsi!$C$5&gt;0,IF(E67&gt;0,D67/E67,0)/Asumsi!$C$5,0)</f>
        <v>102313.787</v>
      </c>
      <c r="P67" s="21" t="n">
        <f aca="false">H67+O67*Asumsi!$C$5</f>
        <v>129898.156561585</v>
      </c>
      <c r="Q67" s="21" t="n">
        <f aca="false">Q66+Rencana_Dalops!P67*IF(Asumsi!$C$5&gt;0,IF(E67&gt;0,D67/E67,0)/Asumsi!$C$5,0)</f>
        <v>106782.65</v>
      </c>
      <c r="R67" s="21" t="n">
        <f aca="false">K67+Q67*Asumsi!$C$5</f>
        <v>177050.8436</v>
      </c>
      <c r="S67" s="21" t="n">
        <f aca="false">S66+Rencana_Dalops!T67*IF(Asumsi!$C$5&gt;0,IF(E67&gt;0,D67/E67,0)/Asumsi!$C$5,0)</f>
        <v>50456.2228</v>
      </c>
      <c r="T67" s="21" t="n">
        <f aca="false">N67+S67*Asumsi!$C$5</f>
        <v>57277.9051612905</v>
      </c>
      <c r="U67" s="22" t="n">
        <f aca="false">IF(OR(C67=0,O67&lt;=0),"",P67/O67)</f>
        <v>1.26960559637563</v>
      </c>
      <c r="V67" s="22" t="n">
        <f aca="false">IF(OR(C67=0,Q67&lt;=0),"",R67/Q67)</f>
        <v>1.65804878976126</v>
      </c>
      <c r="W67" s="22" t="n">
        <f aca="false">IF(OR(C67=0,S67&lt;=0),"",T67/S67)</f>
        <v>1.13520002058677</v>
      </c>
      <c r="X67" s="23" t="str">
        <f aca="false">IF(AND(C67=1,H67&lt;0),A67,"")</f>
        <v/>
      </c>
      <c r="Y67" s="23" t="str">
        <f aca="false">IF(AND(C67=1,K67&lt;0),A67,"")</f>
        <v/>
      </c>
      <c r="Z67" s="23" t="str">
        <f aca="false">IF(AND(C67=1,N67&lt;0),A67,"")</f>
        <v/>
      </c>
      <c r="AA67" s="21" t="n">
        <f aca="false">IF(C67=0,"",MIN(H67+Asumsi!$C$31-Asumsi!$C$34,K67+Asumsi!$C$32-Asumsi!$C$35,N67+Asumsi!$C$33-Asumsi!$C$36))</f>
        <v>2821.6823612905</v>
      </c>
      <c r="AB67" s="21" t="n">
        <f aca="false">IF(C67=1,H67,"")</f>
        <v>27584.3695615847</v>
      </c>
      <c r="AC67" s="21" t="n">
        <f aca="false">IF(C67=1,K67,"")</f>
        <v>70268.1936</v>
      </c>
      <c r="AD67" s="21" t="n">
        <f aca="false">IF(C67=1,N67,"")</f>
        <v>6821.6823612905</v>
      </c>
    </row>
    <row r="68" customFormat="false" ht="15" hidden="false" customHeight="false" outlineLevel="0" collapsed="false">
      <c r="A68" s="32" t="n">
        <f aca="false">Rencana_Dalops!A68</f>
        <v>46365</v>
      </c>
      <c r="B68" s="33" t="n">
        <f aca="false">A68-Rencana_Dalops!$A$3+1</f>
        <v>66</v>
      </c>
      <c r="C68" s="33" t="n">
        <f aca="false">IF(A68&lt;=Asumsi!$C$6,1,0)</f>
        <v>1</v>
      </c>
      <c r="D68" s="34" t="n">
        <f aca="false">(Rencana_Dalops!B68*Asumsi!$C$10+Rencana_Dalops!C68*Asumsi!$C$11+Rencana_Dalops!D68*Asumsi!$C$12+Rencana_Dalops!E68*Asumsi!$C$13+Rencana_Dalops!F68*Asumsi!$C$14)*Asumsi!$C$5</f>
        <v>5000</v>
      </c>
      <c r="E68" s="35" t="n">
        <f aca="false">Rencana_Dalops!G68</f>
        <v>5000</v>
      </c>
      <c r="F68" s="34" t="n">
        <f aca="false">Rencana_Dalops!H68*Asumsi!$C$17*(1-Rencana_Dalops!I68)+Rencana_Dalops!J68*Asumsi!$C$18+Rencana_Dalops!K68*Asumsi!$C$19</f>
        <v>1228.5949820789</v>
      </c>
      <c r="G68" s="34" t="n">
        <f aca="false">Rencana_Dalops!L68*Asumsi!$C$25+Rencana_Dalops!M68*IF(E68&gt;0,D68/E68,0)</f>
        <v>1562.0620967742</v>
      </c>
      <c r="H68" s="21" t="n">
        <f aca="false">H67+F68-G68</f>
        <v>27250.9024468893</v>
      </c>
      <c r="I68" s="34" t="n">
        <f aca="false">IF(B68-Asumsi!$C$21&gt;=1,INDEX(Rencana_Dalops!$N$3:$N$90,B68-Asumsi!$C$21),0)*Asumsi!$C$20</f>
        <v>0</v>
      </c>
      <c r="J68" s="34" t="n">
        <f aca="false">Rencana_Dalops!O68+Rencana_Dalops!P68*IF(E68&gt;0,D68/E68,0)</f>
        <v>1452.18</v>
      </c>
      <c r="K68" s="21" t="n">
        <f aca="false">K67+I68-J68</f>
        <v>68816.0136000001</v>
      </c>
      <c r="L68" s="34" t="n">
        <f aca="false">Rencana_Dalops!Q68*Asumsi!$C$22+Rencana_Dalops!R68*Asumsi!$C$23</f>
        <v>3111</v>
      </c>
      <c r="M68" s="34" t="n">
        <f aca="false">Rencana_Dalops!S68*Asumsi!$C$24+Rencana_Dalops!T68*IF(E68&gt;0,D68/E68,0)</f>
        <v>3257.8293548387</v>
      </c>
      <c r="N68" s="21" t="n">
        <f aca="false">N67+L68-M68</f>
        <v>6674.8530064518</v>
      </c>
      <c r="O68" s="21" t="n">
        <f aca="false">O67+Rencana_Dalops!M68*IF(Asumsi!$C$5&gt;0,IF(E68&gt;0,D68/E68,0)/Asumsi!$C$5,0)</f>
        <v>103427.462</v>
      </c>
      <c r="P68" s="21" t="n">
        <f aca="false">H68+O68*Asumsi!$C$5</f>
        <v>130678.364446889</v>
      </c>
      <c r="Q68" s="21" t="n">
        <f aca="false">Q67+Rencana_Dalops!P68*IF(Asumsi!$C$5&gt;0,IF(E68&gt;0,D68/E68,0)/Asumsi!$C$5,0)</f>
        <v>108224.75</v>
      </c>
      <c r="R68" s="21" t="n">
        <f aca="false">K68+Q68*Asumsi!$C$5</f>
        <v>177040.7636</v>
      </c>
      <c r="S68" s="21" t="n">
        <f aca="false">S67+Rencana_Dalops!T68*IF(Asumsi!$C$5&gt;0,IF(E68&gt;0,D68/E68,0)/Asumsi!$C$5,0)</f>
        <v>51013.8928</v>
      </c>
      <c r="T68" s="21" t="n">
        <f aca="false">N68+S68*Asumsi!$C$5</f>
        <v>57688.7458064518</v>
      </c>
      <c r="U68" s="22" t="n">
        <f aca="false">IF(OR(C68=0,O68&lt;=0),"",P68/O68)</f>
        <v>1.26347840235014</v>
      </c>
      <c r="V68" s="22" t="n">
        <f aca="false">IF(OR(C68=0,Q68&lt;=0),"",R68/Q68)</f>
        <v>1.63586207036745</v>
      </c>
      <c r="W68" s="22" t="n">
        <f aca="false">IF(OR(C68=0,S68&lt;=0),"",T68/S68)</f>
        <v>1.13084382782981</v>
      </c>
      <c r="X68" s="23" t="str">
        <f aca="false">IF(AND(C68=1,H68&lt;0),A68,"")</f>
        <v/>
      </c>
      <c r="Y68" s="23" t="str">
        <f aca="false">IF(AND(C68=1,K68&lt;0),A68,"")</f>
        <v/>
      </c>
      <c r="Z68" s="23" t="str">
        <f aca="false">IF(AND(C68=1,N68&lt;0),A68,"")</f>
        <v/>
      </c>
      <c r="AA68" s="21" t="n">
        <f aca="false">IF(C68=0,"",MIN(H68+Asumsi!$C$31-Asumsi!$C$34,K68+Asumsi!$C$32-Asumsi!$C$35,N68+Asumsi!$C$33-Asumsi!$C$36))</f>
        <v>2674.8530064518</v>
      </c>
      <c r="AB68" s="21" t="n">
        <f aca="false">IF(C68=1,H68,"")</f>
        <v>27250.9024468893</v>
      </c>
      <c r="AC68" s="21" t="n">
        <f aca="false">IF(C68=1,K68,"")</f>
        <v>68816.0136000001</v>
      </c>
      <c r="AD68" s="21" t="n">
        <f aca="false">IF(C68=1,N68,"")</f>
        <v>6674.8530064518</v>
      </c>
    </row>
    <row r="69" customFormat="false" ht="15" hidden="false" customHeight="false" outlineLevel="0" collapsed="false">
      <c r="A69" s="32" t="n">
        <f aca="false">Rencana_Dalops!A69</f>
        <v>46366</v>
      </c>
      <c r="B69" s="33" t="n">
        <f aca="false">A69-Rencana_Dalops!$A$3+1</f>
        <v>67</v>
      </c>
      <c r="C69" s="33" t="n">
        <f aca="false">IF(A69&lt;=Asumsi!$C$6,1,0)</f>
        <v>1</v>
      </c>
      <c r="D69" s="34" t="n">
        <f aca="false">(Rencana_Dalops!B69*Asumsi!$C$10+Rencana_Dalops!C69*Asumsi!$C$11+Rencana_Dalops!D69*Asumsi!$C$12+Rencana_Dalops!E69*Asumsi!$C$13+Rencana_Dalops!F69*Asumsi!$C$14)*Asumsi!$C$5</f>
        <v>5000</v>
      </c>
      <c r="E69" s="35" t="n">
        <f aca="false">Rencana_Dalops!G69</f>
        <v>5000</v>
      </c>
      <c r="F69" s="34" t="n">
        <f aca="false">Rencana_Dalops!H69*Asumsi!$C$17*(1-Rencana_Dalops!I69)+Rencana_Dalops!J69*Asumsi!$C$18+Rencana_Dalops!K69*Asumsi!$C$19</f>
        <v>1228.5949820789</v>
      </c>
      <c r="G69" s="34" t="n">
        <f aca="false">Rencana_Dalops!L69*Asumsi!$C$25+Rencana_Dalops!M69*IF(E69&gt;0,D69/E69,0)</f>
        <v>1562.0620967742</v>
      </c>
      <c r="H69" s="21" t="n">
        <f aca="false">H68+F69-G69</f>
        <v>26917.435332194</v>
      </c>
      <c r="I69" s="34" t="n">
        <f aca="false">IF(B69-Asumsi!$C$21&gt;=1,INDEX(Rencana_Dalops!$N$3:$N$90,B69-Asumsi!$C$21),0)*Asumsi!$C$20</f>
        <v>5000</v>
      </c>
      <c r="J69" s="34" t="n">
        <f aca="false">Rencana_Dalops!O69+Rencana_Dalops!P69*IF(E69&gt;0,D69/E69,0)</f>
        <v>1452.18</v>
      </c>
      <c r="K69" s="21" t="n">
        <f aca="false">K68+I69-J69</f>
        <v>72363.8336000001</v>
      </c>
      <c r="L69" s="34" t="n">
        <f aca="false">Rencana_Dalops!Q69*Asumsi!$C$22+Rencana_Dalops!R69*Asumsi!$C$23</f>
        <v>3111</v>
      </c>
      <c r="M69" s="34" t="n">
        <f aca="false">Rencana_Dalops!S69*Asumsi!$C$24+Rencana_Dalops!T69*IF(E69&gt;0,D69/E69,0)</f>
        <v>3257.8293548387</v>
      </c>
      <c r="N69" s="21" t="n">
        <f aca="false">N68+L69-M69</f>
        <v>6528.0236516131</v>
      </c>
      <c r="O69" s="21" t="n">
        <f aca="false">O68+Rencana_Dalops!M69*IF(Asumsi!$C$5&gt;0,IF(E69&gt;0,D69/E69,0)/Asumsi!$C$5,0)</f>
        <v>104541.137</v>
      </c>
      <c r="P69" s="21" t="n">
        <f aca="false">H69+O69*Asumsi!$C$5</f>
        <v>131458.572332194</v>
      </c>
      <c r="Q69" s="21" t="n">
        <f aca="false">Q68+Rencana_Dalops!P69*IF(Asumsi!$C$5&gt;0,IF(E69&gt;0,D69/E69,0)/Asumsi!$C$5,0)</f>
        <v>109666.85</v>
      </c>
      <c r="R69" s="21" t="n">
        <f aca="false">K69+Q69*Asumsi!$C$5</f>
        <v>182030.6836</v>
      </c>
      <c r="S69" s="21" t="n">
        <f aca="false">S68+Rencana_Dalops!T69*IF(Asumsi!$C$5&gt;0,IF(E69&gt;0,D69/E69,0)/Asumsi!$C$5,0)</f>
        <v>51571.5628</v>
      </c>
      <c r="T69" s="21" t="n">
        <f aca="false">N69+S69*Asumsi!$C$5</f>
        <v>58099.5864516131</v>
      </c>
      <c r="U69" s="22" t="n">
        <f aca="false">IF(OR(C69=0,O69&lt;=0),"",P69/O69)</f>
        <v>1.25748175411746</v>
      </c>
      <c r="V69" s="22" t="n">
        <f aca="false">IF(OR(C69=0,Q69&lt;=0),"",R69/Q69)</f>
        <v>1.65985148292305</v>
      </c>
      <c r="W69" s="22" t="n">
        <f aca="false">IF(OR(C69=0,S69&lt;=0),"",T69/S69)</f>
        <v>1.12658184660662</v>
      </c>
      <c r="X69" s="23" t="str">
        <f aca="false">IF(AND(C69=1,H69&lt;0),A69,"")</f>
        <v/>
      </c>
      <c r="Y69" s="23" t="str">
        <f aca="false">IF(AND(C69=1,K69&lt;0),A69,"")</f>
        <v/>
      </c>
      <c r="Z69" s="23" t="str">
        <f aca="false">IF(AND(C69=1,N69&lt;0),A69,"")</f>
        <v/>
      </c>
      <c r="AA69" s="21" t="n">
        <f aca="false">IF(C69=0,"",MIN(H69+Asumsi!$C$31-Asumsi!$C$34,K69+Asumsi!$C$32-Asumsi!$C$35,N69+Asumsi!$C$33-Asumsi!$C$36))</f>
        <v>2528.0236516131</v>
      </c>
      <c r="AB69" s="21" t="n">
        <f aca="false">IF(C69=1,H69,"")</f>
        <v>26917.435332194</v>
      </c>
      <c r="AC69" s="21" t="n">
        <f aca="false">IF(C69=1,K69,"")</f>
        <v>72363.8336000001</v>
      </c>
      <c r="AD69" s="21" t="n">
        <f aca="false">IF(C69=1,N69,"")</f>
        <v>6528.0236516131</v>
      </c>
    </row>
    <row r="70" customFormat="false" ht="15" hidden="false" customHeight="false" outlineLevel="0" collapsed="false">
      <c r="A70" s="32" t="n">
        <f aca="false">Rencana_Dalops!A70</f>
        <v>46367</v>
      </c>
      <c r="B70" s="33" t="n">
        <f aca="false">A70-Rencana_Dalops!$A$3+1</f>
        <v>68</v>
      </c>
      <c r="C70" s="33" t="n">
        <f aca="false">IF(A70&lt;=Asumsi!$C$6,1,0)</f>
        <v>1</v>
      </c>
      <c r="D70" s="34" t="n">
        <f aca="false">(Rencana_Dalops!B70*Asumsi!$C$10+Rencana_Dalops!C70*Asumsi!$C$11+Rencana_Dalops!D70*Asumsi!$C$12+Rencana_Dalops!E70*Asumsi!$C$13+Rencana_Dalops!F70*Asumsi!$C$14)*Asumsi!$C$5</f>
        <v>5000</v>
      </c>
      <c r="E70" s="35" t="n">
        <f aca="false">Rencana_Dalops!G70</f>
        <v>5000</v>
      </c>
      <c r="F70" s="34" t="n">
        <f aca="false">Rencana_Dalops!H70*Asumsi!$C$17*(1-Rencana_Dalops!I70)+Rencana_Dalops!J70*Asumsi!$C$18+Rencana_Dalops!K70*Asumsi!$C$19</f>
        <v>1228.5949820789</v>
      </c>
      <c r="G70" s="34" t="n">
        <f aca="false">Rencana_Dalops!L70*Asumsi!$C$25+Rencana_Dalops!M70*IF(E70&gt;0,D70/E70,0)</f>
        <v>1562.0620967742</v>
      </c>
      <c r="H70" s="21" t="n">
        <f aca="false">H69+F70-G70</f>
        <v>26583.9682174987</v>
      </c>
      <c r="I70" s="34" t="n">
        <f aca="false">IF(B70-Asumsi!$C$21&gt;=1,INDEX(Rencana_Dalops!$N$3:$N$90,B70-Asumsi!$C$21),0)*Asumsi!$C$20</f>
        <v>5000</v>
      </c>
      <c r="J70" s="34" t="n">
        <f aca="false">Rencana_Dalops!O70+Rencana_Dalops!P70*IF(E70&gt;0,D70/E70,0)</f>
        <v>1452.18</v>
      </c>
      <c r="K70" s="21" t="n">
        <f aca="false">K69+I70-J70</f>
        <v>75911.6536000001</v>
      </c>
      <c r="L70" s="34" t="n">
        <f aca="false">Rencana_Dalops!Q70*Asumsi!$C$22+Rencana_Dalops!R70*Asumsi!$C$23</f>
        <v>3111</v>
      </c>
      <c r="M70" s="34" t="n">
        <f aca="false">Rencana_Dalops!S70*Asumsi!$C$24+Rencana_Dalops!T70*IF(E70&gt;0,D70/E70,0)</f>
        <v>3257.8293548387</v>
      </c>
      <c r="N70" s="21" t="n">
        <f aca="false">N69+L70-M70</f>
        <v>6381.1942967744</v>
      </c>
      <c r="O70" s="21" t="n">
        <f aca="false">O69+Rencana_Dalops!M70*IF(Asumsi!$C$5&gt;0,IF(E70&gt;0,D70/E70,0)/Asumsi!$C$5,0)</f>
        <v>105654.812</v>
      </c>
      <c r="P70" s="21" t="n">
        <f aca="false">H70+O70*Asumsi!$C$5</f>
        <v>132238.780217499</v>
      </c>
      <c r="Q70" s="21" t="n">
        <f aca="false">Q69+Rencana_Dalops!P70*IF(Asumsi!$C$5&gt;0,IF(E70&gt;0,D70/E70,0)/Asumsi!$C$5,0)</f>
        <v>111108.95</v>
      </c>
      <c r="R70" s="21" t="n">
        <f aca="false">K70+Q70*Asumsi!$C$5</f>
        <v>187020.6036</v>
      </c>
      <c r="S70" s="21" t="n">
        <f aca="false">S69+Rencana_Dalops!T70*IF(Asumsi!$C$5&gt;0,IF(E70&gt;0,D70/E70,0)/Asumsi!$C$5,0)</f>
        <v>52129.2328</v>
      </c>
      <c r="T70" s="21" t="n">
        <f aca="false">N70+S70*Asumsi!$C$5</f>
        <v>58510.4270967744</v>
      </c>
      <c r="U70" s="22" t="n">
        <f aca="false">IF(OR(C70=0,O70&lt;=0),"",P70/O70)</f>
        <v>1.25161152354801</v>
      </c>
      <c r="V70" s="22" t="n">
        <f aca="false">IF(OR(C70=0,Q70&lt;=0),"",R70/Q70)</f>
        <v>1.68321817099343</v>
      </c>
      <c r="W70" s="22" t="n">
        <f aca="false">IF(OR(C70=0,S70&lt;=0),"",T70/S70)</f>
        <v>1.12241105333847</v>
      </c>
      <c r="X70" s="23" t="str">
        <f aca="false">IF(AND(C70=1,H70&lt;0),A70,"")</f>
        <v/>
      </c>
      <c r="Y70" s="23" t="str">
        <f aca="false">IF(AND(C70=1,K70&lt;0),A70,"")</f>
        <v/>
      </c>
      <c r="Z70" s="23" t="str">
        <f aca="false">IF(AND(C70=1,N70&lt;0),A70,"")</f>
        <v/>
      </c>
      <c r="AA70" s="21" t="n">
        <f aca="false">IF(C70=0,"",MIN(H70+Asumsi!$C$31-Asumsi!$C$34,K70+Asumsi!$C$32-Asumsi!$C$35,N70+Asumsi!$C$33-Asumsi!$C$36))</f>
        <v>2381.1942967744</v>
      </c>
      <c r="AB70" s="21" t="n">
        <f aca="false">IF(C70=1,H70,"")</f>
        <v>26583.9682174987</v>
      </c>
      <c r="AC70" s="21" t="n">
        <f aca="false">IF(C70=1,K70,"")</f>
        <v>75911.6536000001</v>
      </c>
      <c r="AD70" s="21" t="n">
        <f aca="false">IF(C70=1,N70,"")</f>
        <v>6381.1942967744</v>
      </c>
    </row>
    <row r="71" customFormat="false" ht="15" hidden="false" customHeight="false" outlineLevel="0" collapsed="false">
      <c r="A71" s="32" t="n">
        <f aca="false">Rencana_Dalops!A71</f>
        <v>46368</v>
      </c>
      <c r="B71" s="33" t="n">
        <f aca="false">A71-Rencana_Dalops!$A$3+1</f>
        <v>69</v>
      </c>
      <c r="C71" s="33" t="n">
        <f aca="false">IF(A71&lt;=Asumsi!$C$6,1,0)</f>
        <v>1</v>
      </c>
      <c r="D71" s="34" t="n">
        <f aca="false">(Rencana_Dalops!B71*Asumsi!$C$10+Rencana_Dalops!C71*Asumsi!$C$11+Rencana_Dalops!D71*Asumsi!$C$12+Rencana_Dalops!E71*Asumsi!$C$13+Rencana_Dalops!F71*Asumsi!$C$14)*Asumsi!$C$5</f>
        <v>5000</v>
      </c>
      <c r="E71" s="35" t="n">
        <f aca="false">Rencana_Dalops!G71</f>
        <v>5000</v>
      </c>
      <c r="F71" s="34" t="n">
        <f aca="false">Rencana_Dalops!H71*Asumsi!$C$17*(1-Rencana_Dalops!I71)+Rencana_Dalops!J71*Asumsi!$C$18+Rencana_Dalops!K71*Asumsi!$C$19</f>
        <v>1228.5949820789</v>
      </c>
      <c r="G71" s="34" t="n">
        <f aca="false">Rencana_Dalops!L71*Asumsi!$C$25+Rencana_Dalops!M71*IF(E71&gt;0,D71/E71,0)</f>
        <v>1562.0620967742</v>
      </c>
      <c r="H71" s="21" t="n">
        <f aca="false">H70+F71-G71</f>
        <v>26250.5011028034</v>
      </c>
      <c r="I71" s="34" t="n">
        <f aca="false">IF(B71-Asumsi!$C$21&gt;=1,INDEX(Rencana_Dalops!$N$3:$N$90,B71-Asumsi!$C$21),0)*Asumsi!$C$20</f>
        <v>5000</v>
      </c>
      <c r="J71" s="34" t="n">
        <f aca="false">Rencana_Dalops!O71+Rencana_Dalops!P71*IF(E71&gt;0,D71/E71,0)</f>
        <v>1452.18</v>
      </c>
      <c r="K71" s="21" t="n">
        <f aca="false">K70+I71-J71</f>
        <v>79459.4736000001</v>
      </c>
      <c r="L71" s="34" t="n">
        <f aca="false">Rencana_Dalops!Q71*Asumsi!$C$22+Rencana_Dalops!R71*Asumsi!$C$23</f>
        <v>3111</v>
      </c>
      <c r="M71" s="34" t="n">
        <f aca="false">Rencana_Dalops!S71*Asumsi!$C$24+Rencana_Dalops!T71*IF(E71&gt;0,D71/E71,0)</f>
        <v>3257.8293548387</v>
      </c>
      <c r="N71" s="21" t="n">
        <f aca="false">N70+L71-M71</f>
        <v>6234.3649419357</v>
      </c>
      <c r="O71" s="21" t="n">
        <f aca="false">O70+Rencana_Dalops!M71*IF(Asumsi!$C$5&gt;0,IF(E71&gt;0,D71/E71,0)/Asumsi!$C$5,0)</f>
        <v>106768.487</v>
      </c>
      <c r="P71" s="21" t="n">
        <f aca="false">H71+O71*Asumsi!$C$5</f>
        <v>133018.988102804</v>
      </c>
      <c r="Q71" s="21" t="n">
        <f aca="false">Q70+Rencana_Dalops!P71*IF(Asumsi!$C$5&gt;0,IF(E71&gt;0,D71/E71,0)/Asumsi!$C$5,0)</f>
        <v>112551.05</v>
      </c>
      <c r="R71" s="21" t="n">
        <f aca="false">K71+Q71*Asumsi!$C$5</f>
        <v>192010.5236</v>
      </c>
      <c r="S71" s="21" t="n">
        <f aca="false">S70+Rencana_Dalops!T71*IF(Asumsi!$C$5&gt;0,IF(E71&gt;0,D71/E71,0)/Asumsi!$C$5,0)</f>
        <v>52686.9028</v>
      </c>
      <c r="T71" s="21" t="n">
        <f aca="false">N71+S71*Asumsi!$C$5</f>
        <v>58921.2677419357</v>
      </c>
      <c r="U71" s="22" t="n">
        <f aca="false">IF(OR(C71=0,O71&lt;=0),"",P71/O71)</f>
        <v>1.24586375475006</v>
      </c>
      <c r="V71" s="22" t="n">
        <f aca="false">IF(OR(C71=0,Q71&lt;=0),"",R71/Q71)</f>
        <v>1.70598607120946</v>
      </c>
      <c r="W71" s="22" t="n">
        <f aca="false">IF(OR(C71=0,S71&lt;=0),"",T71/S71)</f>
        <v>1.11832855246021</v>
      </c>
      <c r="X71" s="23" t="str">
        <f aca="false">IF(AND(C71=1,H71&lt;0),A71,"")</f>
        <v/>
      </c>
      <c r="Y71" s="23" t="str">
        <f aca="false">IF(AND(C71=1,K71&lt;0),A71,"")</f>
        <v/>
      </c>
      <c r="Z71" s="23" t="str">
        <f aca="false">IF(AND(C71=1,N71&lt;0),A71,"")</f>
        <v/>
      </c>
      <c r="AA71" s="21" t="n">
        <f aca="false">IF(C71=0,"",MIN(H71+Asumsi!$C$31-Asumsi!$C$34,K71+Asumsi!$C$32-Asumsi!$C$35,N71+Asumsi!$C$33-Asumsi!$C$36))</f>
        <v>2234.3649419357</v>
      </c>
      <c r="AB71" s="21" t="n">
        <f aca="false">IF(C71=1,H71,"")</f>
        <v>26250.5011028034</v>
      </c>
      <c r="AC71" s="21" t="n">
        <f aca="false">IF(C71=1,K71,"")</f>
        <v>79459.4736000001</v>
      </c>
      <c r="AD71" s="21" t="n">
        <f aca="false">IF(C71=1,N71,"")</f>
        <v>6234.3649419357</v>
      </c>
    </row>
    <row r="72" customFormat="false" ht="15" hidden="false" customHeight="false" outlineLevel="0" collapsed="false">
      <c r="A72" s="32" t="n">
        <f aca="false">Rencana_Dalops!A72</f>
        <v>46369</v>
      </c>
      <c r="B72" s="33" t="n">
        <f aca="false">A72-Rencana_Dalops!$A$3+1</f>
        <v>70</v>
      </c>
      <c r="C72" s="33" t="n">
        <f aca="false">IF(A72&lt;=Asumsi!$C$6,1,0)</f>
        <v>1</v>
      </c>
      <c r="D72" s="34" t="n">
        <f aca="false">(Rencana_Dalops!B72*Asumsi!$C$10+Rencana_Dalops!C72*Asumsi!$C$11+Rencana_Dalops!D72*Asumsi!$C$12+Rencana_Dalops!E72*Asumsi!$C$13+Rencana_Dalops!F72*Asumsi!$C$14)*Asumsi!$C$5</f>
        <v>5000</v>
      </c>
      <c r="E72" s="35" t="n">
        <f aca="false">Rencana_Dalops!G72</f>
        <v>5000</v>
      </c>
      <c r="F72" s="34" t="n">
        <f aca="false">Rencana_Dalops!H72*Asumsi!$C$17*(1-Rencana_Dalops!I72)+Rencana_Dalops!J72*Asumsi!$C$18+Rencana_Dalops!K72*Asumsi!$C$19</f>
        <v>1228.5949820789</v>
      </c>
      <c r="G72" s="34" t="n">
        <f aca="false">Rencana_Dalops!L72*Asumsi!$C$25+Rencana_Dalops!M72*IF(E72&gt;0,D72/E72,0)</f>
        <v>1562.0620967742</v>
      </c>
      <c r="H72" s="21" t="n">
        <f aca="false">H71+F72-G72</f>
        <v>25917.0339881081</v>
      </c>
      <c r="I72" s="34" t="n">
        <f aca="false">IF(B72-Asumsi!$C$21&gt;=1,INDEX(Rencana_Dalops!$N$3:$N$90,B72-Asumsi!$C$21),0)*Asumsi!$C$20</f>
        <v>5000</v>
      </c>
      <c r="J72" s="34" t="n">
        <f aca="false">Rencana_Dalops!O72+Rencana_Dalops!P72*IF(E72&gt;0,D72/E72,0)</f>
        <v>1452.18</v>
      </c>
      <c r="K72" s="21" t="n">
        <f aca="false">K71+I72-J72</f>
        <v>83007.2936000001</v>
      </c>
      <c r="L72" s="34" t="n">
        <f aca="false">Rencana_Dalops!Q72*Asumsi!$C$22+Rencana_Dalops!R72*Asumsi!$C$23</f>
        <v>3111</v>
      </c>
      <c r="M72" s="34" t="n">
        <f aca="false">Rencana_Dalops!S72*Asumsi!$C$24+Rencana_Dalops!T72*IF(E72&gt;0,D72/E72,0)</f>
        <v>3257.8293548387</v>
      </c>
      <c r="N72" s="21" t="n">
        <f aca="false">N71+L72-M72</f>
        <v>6087.535587097</v>
      </c>
      <c r="O72" s="21" t="n">
        <f aca="false">O71+Rencana_Dalops!M72*IF(Asumsi!$C$5&gt;0,IF(E72&gt;0,D72/E72,0)/Asumsi!$C$5,0)</f>
        <v>107882.162</v>
      </c>
      <c r="P72" s="21" t="n">
        <f aca="false">H72+O72*Asumsi!$C$5</f>
        <v>133799.195988108</v>
      </c>
      <c r="Q72" s="21" t="n">
        <f aca="false">Q71+Rencana_Dalops!P72*IF(Asumsi!$C$5&gt;0,IF(E72&gt;0,D72/E72,0)/Asumsi!$C$5,0)</f>
        <v>113993.15</v>
      </c>
      <c r="R72" s="21" t="n">
        <f aca="false">K72+Q72*Asumsi!$C$5</f>
        <v>197000.4436</v>
      </c>
      <c r="S72" s="21" t="n">
        <f aca="false">S71+Rencana_Dalops!T72*IF(Asumsi!$C$5&gt;0,IF(E72&gt;0,D72/E72,0)/Asumsi!$C$5,0)</f>
        <v>53244.5728</v>
      </c>
      <c r="T72" s="21" t="n">
        <f aca="false">N72+S72*Asumsi!$C$5</f>
        <v>59332.108387097</v>
      </c>
      <c r="U72" s="22" t="n">
        <f aca="false">IF(OR(C72=0,O72&lt;=0),"",P72/O72)</f>
        <v>1.24023465517968</v>
      </c>
      <c r="V72" s="22" t="n">
        <f aca="false">IF(OR(C72=0,Q72&lt;=0),"",R72/Q72)</f>
        <v>1.72817790893576</v>
      </c>
      <c r="W72" s="22" t="n">
        <f aca="false">IF(OR(C72=0,S72&lt;=0),"",T72/S72)</f>
        <v>1.11433156971628</v>
      </c>
      <c r="X72" s="23" t="str">
        <f aca="false">IF(AND(C72=1,H72&lt;0),A72,"")</f>
        <v/>
      </c>
      <c r="Y72" s="23" t="str">
        <f aca="false">IF(AND(C72=1,K72&lt;0),A72,"")</f>
        <v/>
      </c>
      <c r="Z72" s="23" t="str">
        <f aca="false">IF(AND(C72=1,N72&lt;0),A72,"")</f>
        <v/>
      </c>
      <c r="AA72" s="21" t="n">
        <f aca="false">IF(C72=0,"",MIN(H72+Asumsi!$C$31-Asumsi!$C$34,K72+Asumsi!$C$32-Asumsi!$C$35,N72+Asumsi!$C$33-Asumsi!$C$36))</f>
        <v>2087.53558709699</v>
      </c>
      <c r="AB72" s="21" t="n">
        <f aca="false">IF(C72=1,H72,"")</f>
        <v>25917.0339881081</v>
      </c>
      <c r="AC72" s="21" t="n">
        <f aca="false">IF(C72=1,K72,"")</f>
        <v>83007.2936000001</v>
      </c>
      <c r="AD72" s="21" t="n">
        <f aca="false">IF(C72=1,N72,"")</f>
        <v>6087.535587097</v>
      </c>
    </row>
    <row r="73" customFormat="false" ht="15" hidden="false" customHeight="false" outlineLevel="0" collapsed="false">
      <c r="A73" s="32" t="n">
        <f aca="false">Rencana_Dalops!A73</f>
        <v>46370</v>
      </c>
      <c r="B73" s="33" t="n">
        <f aca="false">A73-Rencana_Dalops!$A$3+1</f>
        <v>71</v>
      </c>
      <c r="C73" s="33" t="n">
        <f aca="false">IF(A73&lt;=Asumsi!$C$6,1,0)</f>
        <v>1</v>
      </c>
      <c r="D73" s="34" t="n">
        <f aca="false">(Rencana_Dalops!B73*Asumsi!$C$10+Rencana_Dalops!C73*Asumsi!$C$11+Rencana_Dalops!D73*Asumsi!$C$12+Rencana_Dalops!E73*Asumsi!$C$13+Rencana_Dalops!F73*Asumsi!$C$14)*Asumsi!$C$5</f>
        <v>5000</v>
      </c>
      <c r="E73" s="35" t="n">
        <f aca="false">Rencana_Dalops!G73</f>
        <v>5000</v>
      </c>
      <c r="F73" s="34" t="n">
        <f aca="false">Rencana_Dalops!H73*Asumsi!$C$17*(1-Rencana_Dalops!I73)+Rencana_Dalops!J73*Asumsi!$C$18+Rencana_Dalops!K73*Asumsi!$C$19</f>
        <v>1751.8924731345</v>
      </c>
      <c r="G73" s="34" t="n">
        <f aca="false">Rencana_Dalops!L73*Asumsi!$C$25+Rencana_Dalops!M73*IF(E73&gt;0,D73/E73,0)</f>
        <v>1562.0620967742</v>
      </c>
      <c r="H73" s="21" t="n">
        <f aca="false">H72+F73-G73</f>
        <v>26106.8643644684</v>
      </c>
      <c r="I73" s="34" t="n">
        <f aca="false">IF(B73-Asumsi!$C$21&gt;=1,INDEX(Rencana_Dalops!$N$3:$N$90,B73-Asumsi!$C$21),0)*Asumsi!$C$20</f>
        <v>5000</v>
      </c>
      <c r="J73" s="34" t="n">
        <f aca="false">Rencana_Dalops!O73+Rencana_Dalops!P73*IF(E73&gt;0,D73/E73,0)</f>
        <v>1452.18</v>
      </c>
      <c r="K73" s="21" t="n">
        <f aca="false">K72+I73-J73</f>
        <v>86555.1136000001</v>
      </c>
      <c r="L73" s="34" t="n">
        <f aca="false">Rencana_Dalops!Q73*Asumsi!$C$22+Rencana_Dalops!R73*Asumsi!$C$23</f>
        <v>3111</v>
      </c>
      <c r="M73" s="34" t="n">
        <f aca="false">Rencana_Dalops!S73*Asumsi!$C$24+Rencana_Dalops!T73*IF(E73&gt;0,D73/E73,0)</f>
        <v>3257.8293548387</v>
      </c>
      <c r="N73" s="21" t="n">
        <f aca="false">N72+L73-M73</f>
        <v>5940.70623225829</v>
      </c>
      <c r="O73" s="21" t="n">
        <f aca="false">O72+Rencana_Dalops!M73*IF(Asumsi!$C$5&gt;0,IF(E73&gt;0,D73/E73,0)/Asumsi!$C$5,0)</f>
        <v>108995.837</v>
      </c>
      <c r="P73" s="21" t="n">
        <f aca="false">H73+O73*Asumsi!$C$5</f>
        <v>135102.701364469</v>
      </c>
      <c r="Q73" s="21" t="n">
        <f aca="false">Q72+Rencana_Dalops!P73*IF(Asumsi!$C$5&gt;0,IF(E73&gt;0,D73/E73,0)/Asumsi!$C$5,0)</f>
        <v>115435.25</v>
      </c>
      <c r="R73" s="21" t="n">
        <f aca="false">K73+Q73*Asumsi!$C$5</f>
        <v>201990.3636</v>
      </c>
      <c r="S73" s="21" t="n">
        <f aca="false">S72+Rencana_Dalops!T73*IF(Asumsi!$C$5&gt;0,IF(E73&gt;0,D73/E73,0)/Asumsi!$C$5,0)</f>
        <v>53802.2428</v>
      </c>
      <c r="T73" s="21" t="n">
        <f aca="false">N73+S73*Asumsi!$C$5</f>
        <v>59742.9490322583</v>
      </c>
      <c r="U73" s="22" t="n">
        <f aca="false">IF(OR(C73=0,O73&lt;=0),"",P73/O73)</f>
        <v>1.23952166507486</v>
      </c>
      <c r="V73" s="22" t="n">
        <f aca="false">IF(OR(C73=0,Q73&lt;=0),"",R73/Q73)</f>
        <v>1.74981527393062</v>
      </c>
      <c r="W73" s="22" t="n">
        <f aca="false">IF(OR(C73=0,S73&lt;=0),"",T73/S73)</f>
        <v>1.1104174458738</v>
      </c>
      <c r="X73" s="23" t="str">
        <f aca="false">IF(AND(C73=1,H73&lt;0),A73,"")</f>
        <v/>
      </c>
      <c r="Y73" s="23" t="str">
        <f aca="false">IF(AND(C73=1,K73&lt;0),A73,"")</f>
        <v/>
      </c>
      <c r="Z73" s="23" t="str">
        <f aca="false">IF(AND(C73=1,N73&lt;0),A73,"")</f>
        <v/>
      </c>
      <c r="AA73" s="21" t="n">
        <f aca="false">IF(C73=0,"",MIN(H73+Asumsi!$C$31-Asumsi!$C$34,K73+Asumsi!$C$32-Asumsi!$C$35,N73+Asumsi!$C$33-Asumsi!$C$36))</f>
        <v>1940.70623225829</v>
      </c>
      <c r="AB73" s="21" t="n">
        <f aca="false">IF(C73=1,H73,"")</f>
        <v>26106.8643644684</v>
      </c>
      <c r="AC73" s="21" t="n">
        <f aca="false">IF(C73=1,K73,"")</f>
        <v>86555.1136000001</v>
      </c>
      <c r="AD73" s="21" t="n">
        <f aca="false">IF(C73=1,N73,"")</f>
        <v>5940.70623225829</v>
      </c>
    </row>
    <row r="74" customFormat="false" ht="15" hidden="false" customHeight="false" outlineLevel="0" collapsed="false">
      <c r="A74" s="32" t="n">
        <f aca="false">Rencana_Dalops!A74</f>
        <v>46371</v>
      </c>
      <c r="B74" s="33" t="n">
        <f aca="false">A74-Rencana_Dalops!$A$3+1</f>
        <v>72</v>
      </c>
      <c r="C74" s="33" t="n">
        <f aca="false">IF(A74&lt;=Asumsi!$C$6,1,0)</f>
        <v>1</v>
      </c>
      <c r="D74" s="34" t="n">
        <f aca="false">(Rencana_Dalops!B74*Asumsi!$C$10+Rencana_Dalops!C74*Asumsi!$C$11+Rencana_Dalops!D74*Asumsi!$C$12+Rencana_Dalops!E74*Asumsi!$C$13+Rencana_Dalops!F74*Asumsi!$C$14)*Asumsi!$C$5</f>
        <v>5000</v>
      </c>
      <c r="E74" s="35" t="n">
        <f aca="false">Rencana_Dalops!G74</f>
        <v>5000</v>
      </c>
      <c r="F74" s="34" t="n">
        <f aca="false">Rencana_Dalops!H74*Asumsi!$C$17*(1-Rencana_Dalops!I74)+Rencana_Dalops!J74*Asumsi!$C$18+Rencana_Dalops!K74*Asumsi!$C$19</f>
        <v>1751.8924731345</v>
      </c>
      <c r="G74" s="34" t="n">
        <f aca="false">Rencana_Dalops!L74*Asumsi!$C$25+Rencana_Dalops!M74*IF(E74&gt;0,D74/E74,0)</f>
        <v>1562.0620967742</v>
      </c>
      <c r="H74" s="21" t="n">
        <f aca="false">H73+F74-G74</f>
        <v>26296.6947408287</v>
      </c>
      <c r="I74" s="34" t="n">
        <f aca="false">IF(B74-Asumsi!$C$21&gt;=1,INDEX(Rencana_Dalops!$N$3:$N$90,B74-Asumsi!$C$21),0)*Asumsi!$C$20</f>
        <v>0</v>
      </c>
      <c r="J74" s="34" t="n">
        <f aca="false">Rencana_Dalops!O74+Rencana_Dalops!P74*IF(E74&gt;0,D74/E74,0)</f>
        <v>1452.18</v>
      </c>
      <c r="K74" s="21" t="n">
        <f aca="false">K73+I74-J74</f>
        <v>85102.9336000001</v>
      </c>
      <c r="L74" s="34" t="n">
        <f aca="false">Rencana_Dalops!Q74*Asumsi!$C$22+Rencana_Dalops!R74*Asumsi!$C$23</f>
        <v>3111</v>
      </c>
      <c r="M74" s="34" t="n">
        <f aca="false">Rencana_Dalops!S74*Asumsi!$C$24+Rencana_Dalops!T74*IF(E74&gt;0,D74/E74,0)</f>
        <v>3257.8293548387</v>
      </c>
      <c r="N74" s="21" t="n">
        <f aca="false">N73+L74-M74</f>
        <v>5793.87687741959</v>
      </c>
      <c r="O74" s="21" t="n">
        <f aca="false">O73+Rencana_Dalops!M74*IF(Asumsi!$C$5&gt;0,IF(E74&gt;0,D74/E74,0)/Asumsi!$C$5,0)</f>
        <v>110109.512</v>
      </c>
      <c r="P74" s="21" t="n">
        <f aca="false">H74+O74*Asumsi!$C$5</f>
        <v>136406.206740829</v>
      </c>
      <c r="Q74" s="21" t="n">
        <f aca="false">Q73+Rencana_Dalops!P74*IF(Asumsi!$C$5&gt;0,IF(E74&gt;0,D74/E74,0)/Asumsi!$C$5,0)</f>
        <v>116877.35</v>
      </c>
      <c r="R74" s="21" t="n">
        <f aca="false">K74+Q74*Asumsi!$C$5</f>
        <v>201980.2836</v>
      </c>
      <c r="S74" s="21" t="n">
        <f aca="false">S73+Rencana_Dalops!T74*IF(Asumsi!$C$5&gt;0,IF(E74&gt;0,D74/E74,0)/Asumsi!$C$5,0)</f>
        <v>54359.9128</v>
      </c>
      <c r="T74" s="21" t="n">
        <f aca="false">N74+S74*Asumsi!$C$5</f>
        <v>60153.7896774196</v>
      </c>
      <c r="U74" s="22" t="n">
        <f aca="false">IF(OR(C74=0,O74&lt;=0),"",P74/O74)</f>
        <v>1.23882309768868</v>
      </c>
      <c r="V74" s="22" t="n">
        <f aca="false">IF(OR(C74=0,Q74&lt;=0),"",R74/Q74)</f>
        <v>1.728138801915</v>
      </c>
      <c r="W74" s="22" t="n">
        <f aca="false">IF(OR(C74=0,S74&lt;=0),"",T74/S74)</f>
        <v>1.10658363082252</v>
      </c>
      <c r="X74" s="23" t="str">
        <f aca="false">IF(AND(C74=1,H74&lt;0),A74,"")</f>
        <v/>
      </c>
      <c r="Y74" s="23" t="str">
        <f aca="false">IF(AND(C74=1,K74&lt;0),A74,"")</f>
        <v/>
      </c>
      <c r="Z74" s="23" t="str">
        <f aca="false">IF(AND(C74=1,N74&lt;0),A74,"")</f>
        <v/>
      </c>
      <c r="AA74" s="21" t="n">
        <f aca="false">IF(C74=0,"",MIN(H74+Asumsi!$C$31-Asumsi!$C$34,K74+Asumsi!$C$32-Asumsi!$C$35,N74+Asumsi!$C$33-Asumsi!$C$36))</f>
        <v>1793.87687741959</v>
      </c>
      <c r="AB74" s="21" t="n">
        <f aca="false">IF(C74=1,H74,"")</f>
        <v>26296.6947408287</v>
      </c>
      <c r="AC74" s="21" t="n">
        <f aca="false">IF(C74=1,K74,"")</f>
        <v>85102.9336000001</v>
      </c>
      <c r="AD74" s="21" t="n">
        <f aca="false">IF(C74=1,N74,"")</f>
        <v>5793.87687741959</v>
      </c>
    </row>
    <row r="75" customFormat="false" ht="15" hidden="false" customHeight="false" outlineLevel="0" collapsed="false">
      <c r="A75" s="32" t="n">
        <f aca="false">Rencana_Dalops!A75</f>
        <v>46372</v>
      </c>
      <c r="B75" s="33" t="n">
        <f aca="false">A75-Rencana_Dalops!$A$3+1</f>
        <v>73</v>
      </c>
      <c r="C75" s="33" t="n">
        <f aca="false">IF(A75&lt;=Asumsi!$C$6,1,0)</f>
        <v>1</v>
      </c>
      <c r="D75" s="34" t="n">
        <f aca="false">(Rencana_Dalops!B75*Asumsi!$C$10+Rencana_Dalops!C75*Asumsi!$C$11+Rencana_Dalops!D75*Asumsi!$C$12+Rencana_Dalops!E75*Asumsi!$C$13+Rencana_Dalops!F75*Asumsi!$C$14)*Asumsi!$C$5</f>
        <v>3200</v>
      </c>
      <c r="E75" s="35" t="n">
        <f aca="false">Rencana_Dalops!G75</f>
        <v>3200</v>
      </c>
      <c r="F75" s="34" t="n">
        <f aca="false">Rencana_Dalops!H75*Asumsi!$C$17*(1-Rencana_Dalops!I75)+Rencana_Dalops!J75*Asumsi!$C$18+Rencana_Dalops!K75*Asumsi!$C$19</f>
        <v>1751.8924731345</v>
      </c>
      <c r="G75" s="34" t="n">
        <f aca="false">Rencana_Dalops!L75*Asumsi!$C$25+Rencana_Dalops!M75*IF(E75&gt;0,D75/E75,0)</f>
        <v>1161.1390967742</v>
      </c>
      <c r="H75" s="21" t="n">
        <f aca="false">H74+F75-G75</f>
        <v>26887.448117189</v>
      </c>
      <c r="I75" s="34" t="n">
        <f aca="false">IF(B75-Asumsi!$C$21&gt;=1,INDEX(Rencana_Dalops!$N$3:$N$90,B75-Asumsi!$C$21),0)*Asumsi!$C$20</f>
        <v>0</v>
      </c>
      <c r="J75" s="34" t="n">
        <f aca="false">Rencana_Dalops!O75+Rencana_Dalops!P75*IF(E75&gt;0,D75/E75,0)</f>
        <v>1075.98</v>
      </c>
      <c r="K75" s="21" t="n">
        <f aca="false">K74+I75-J75</f>
        <v>84026.9536000001</v>
      </c>
      <c r="L75" s="34" t="n">
        <f aca="false">Rencana_Dalops!Q75*Asumsi!$C$22+Rencana_Dalops!R75*Asumsi!$C$23</f>
        <v>3111</v>
      </c>
      <c r="M75" s="34" t="n">
        <f aca="false">Rencana_Dalops!S75*Asumsi!$C$24+Rencana_Dalops!T75*IF(E75&gt;0,D75/E75,0)</f>
        <v>3057.0681548387</v>
      </c>
      <c r="N75" s="21" t="n">
        <f aca="false">N74+L75-M75</f>
        <v>5847.80872258089</v>
      </c>
      <c r="O75" s="21" t="n">
        <f aca="false">O74+Rencana_Dalops!M75*IF(Asumsi!$C$5&gt;0,IF(E75&gt;0,D75/E75,0)/Asumsi!$C$5,0)</f>
        <v>110822.264</v>
      </c>
      <c r="P75" s="21" t="n">
        <f aca="false">H75+O75*Asumsi!$C$5</f>
        <v>137709.712117189</v>
      </c>
      <c r="Q75" s="21" t="n">
        <f aca="false">Q74+Rencana_Dalops!P75*IF(Asumsi!$C$5&gt;0,IF(E75&gt;0,D75/E75,0)/Asumsi!$C$5,0)</f>
        <v>117943.25</v>
      </c>
      <c r="R75" s="21" t="n">
        <f aca="false">K75+Q75*Asumsi!$C$5</f>
        <v>201970.2036</v>
      </c>
      <c r="S75" s="21" t="n">
        <f aca="false">S74+Rencana_Dalops!T75*IF(Asumsi!$C$5&gt;0,IF(E75&gt;0,D75/E75,0)/Asumsi!$C$5,0)</f>
        <v>54716.8216</v>
      </c>
      <c r="T75" s="21" t="n">
        <f aca="false">N75+S75*Asumsi!$C$5</f>
        <v>60564.6303225809</v>
      </c>
      <c r="U75" s="22" t="n">
        <f aca="false">IF(OR(C75=0,O75&lt;=0),"",P75/O75)</f>
        <v>1.24261774797516</v>
      </c>
      <c r="V75" s="22" t="n">
        <f aca="false">IF(OR(C75=0,Q75&lt;=0),"",R75/Q75)</f>
        <v>1.71243546027433</v>
      </c>
      <c r="W75" s="22" t="n">
        <f aca="false">IF(OR(C75=0,S75&lt;=0),"",T75/S75)</f>
        <v>1.10687405722011</v>
      </c>
      <c r="X75" s="23" t="str">
        <f aca="false">IF(AND(C75=1,H75&lt;0),A75,"")</f>
        <v/>
      </c>
      <c r="Y75" s="23" t="str">
        <f aca="false">IF(AND(C75=1,K75&lt;0),A75,"")</f>
        <v/>
      </c>
      <c r="Z75" s="23" t="str">
        <f aca="false">IF(AND(C75=1,N75&lt;0),A75,"")</f>
        <v/>
      </c>
      <c r="AA75" s="21" t="n">
        <f aca="false">IF(C75=0,"",MIN(H75+Asumsi!$C$31-Asumsi!$C$34,K75+Asumsi!$C$32-Asumsi!$C$35,N75+Asumsi!$C$33-Asumsi!$C$36))</f>
        <v>1847.80872258089</v>
      </c>
      <c r="AB75" s="21" t="n">
        <f aca="false">IF(C75=1,H75,"")</f>
        <v>26887.448117189</v>
      </c>
      <c r="AC75" s="21" t="n">
        <f aca="false">IF(C75=1,K75,"")</f>
        <v>84026.9536000001</v>
      </c>
      <c r="AD75" s="21" t="n">
        <f aca="false">IF(C75=1,N75,"")</f>
        <v>5847.80872258089</v>
      </c>
    </row>
    <row r="76" customFormat="false" ht="15" hidden="false" customHeight="false" outlineLevel="0" collapsed="false">
      <c r="A76" s="32" t="n">
        <f aca="false">Rencana_Dalops!A76</f>
        <v>46373</v>
      </c>
      <c r="B76" s="33" t="n">
        <f aca="false">A76-Rencana_Dalops!$A$3+1</f>
        <v>74</v>
      </c>
      <c r="C76" s="33" t="n">
        <f aca="false">IF(A76&lt;=Asumsi!$C$6,1,0)</f>
        <v>1</v>
      </c>
      <c r="D76" s="34" t="n">
        <f aca="false">(Rencana_Dalops!B76*Asumsi!$C$10+Rencana_Dalops!C76*Asumsi!$C$11+Rencana_Dalops!D76*Asumsi!$C$12+Rencana_Dalops!E76*Asumsi!$C$13+Rencana_Dalops!F76*Asumsi!$C$14)*Asumsi!$C$5</f>
        <v>3600</v>
      </c>
      <c r="E76" s="35" t="n">
        <f aca="false">Rencana_Dalops!G76</f>
        <v>3600</v>
      </c>
      <c r="F76" s="34" t="n">
        <f aca="false">Rencana_Dalops!H76*Asumsi!$C$17*(1-Rencana_Dalops!I76)+Rencana_Dalops!J76*Asumsi!$C$18+Rencana_Dalops!K76*Asumsi!$C$19</f>
        <v>1751.8924731345</v>
      </c>
      <c r="G76" s="34" t="n">
        <f aca="false">Rencana_Dalops!L76*Asumsi!$C$25+Rencana_Dalops!M76*IF(E76&gt;0,D76/E76,0)</f>
        <v>1250.2330967742</v>
      </c>
      <c r="H76" s="21" t="n">
        <f aca="false">H75+F76-G76</f>
        <v>27389.1074935493</v>
      </c>
      <c r="I76" s="34" t="n">
        <f aca="false">IF(B76-Asumsi!$C$21&gt;=1,INDEX(Rencana_Dalops!$N$3:$N$90,B76-Asumsi!$C$21),0)*Asumsi!$C$20</f>
        <v>0</v>
      </c>
      <c r="J76" s="34" t="n">
        <f aca="false">Rencana_Dalops!O76+Rencana_Dalops!P76*IF(E76&gt;0,D76/E76,0)</f>
        <v>1159.58</v>
      </c>
      <c r="K76" s="21" t="n">
        <f aca="false">K75+I76-J76</f>
        <v>82867.3736000001</v>
      </c>
      <c r="L76" s="34" t="n">
        <f aca="false">Rencana_Dalops!Q76*Asumsi!$C$22+Rencana_Dalops!R76*Asumsi!$C$23</f>
        <v>3111</v>
      </c>
      <c r="M76" s="34" t="n">
        <f aca="false">Rencana_Dalops!S76*Asumsi!$C$24+Rencana_Dalops!T76*IF(E76&gt;0,D76/E76,0)</f>
        <v>3101.6817548387</v>
      </c>
      <c r="N76" s="21" t="n">
        <f aca="false">N75+L76-M76</f>
        <v>5857.12696774219</v>
      </c>
      <c r="O76" s="21" t="n">
        <f aca="false">O75+Rencana_Dalops!M76*IF(Asumsi!$C$5&gt;0,IF(E76&gt;0,D76/E76,0)/Asumsi!$C$5,0)</f>
        <v>111624.11</v>
      </c>
      <c r="P76" s="21" t="n">
        <f aca="false">H76+O76*Asumsi!$C$5</f>
        <v>139013.217493549</v>
      </c>
      <c r="Q76" s="21" t="n">
        <f aca="false">Q75+Rencana_Dalops!P76*IF(Asumsi!$C$5&gt;0,IF(E76&gt;0,D76/E76,0)/Asumsi!$C$5,0)</f>
        <v>119092.75</v>
      </c>
      <c r="R76" s="21" t="n">
        <f aca="false">K76+Q76*Asumsi!$C$5</f>
        <v>201960.1236</v>
      </c>
      <c r="S76" s="21" t="n">
        <f aca="false">S75+Rencana_Dalops!T76*IF(Asumsi!$C$5&gt;0,IF(E76&gt;0,D76/E76,0)/Asumsi!$C$5,0)</f>
        <v>55118.344</v>
      </c>
      <c r="T76" s="21" t="n">
        <f aca="false">N76+S76*Asumsi!$C$5</f>
        <v>60975.4709677422</v>
      </c>
      <c r="U76" s="22" t="n">
        <f aca="false">IF(OR(C76=0,O76&lt;=0),"",P76/O76)</f>
        <v>1.24536910075744</v>
      </c>
      <c r="V76" s="22" t="n">
        <f aca="false">IF(OR(C76=0,Q76&lt;=0),"",R76/Q76)</f>
        <v>1.69582215206215</v>
      </c>
      <c r="W76" s="22" t="n">
        <f aca="false">IF(OR(C76=0,S76&lt;=0),"",T76/S76)</f>
        <v>1.10626456716011</v>
      </c>
      <c r="X76" s="23" t="str">
        <f aca="false">IF(AND(C76=1,H76&lt;0),A76,"")</f>
        <v/>
      </c>
      <c r="Y76" s="23" t="str">
        <f aca="false">IF(AND(C76=1,K76&lt;0),A76,"")</f>
        <v/>
      </c>
      <c r="Z76" s="23" t="str">
        <f aca="false">IF(AND(C76=1,N76&lt;0),A76,"")</f>
        <v/>
      </c>
      <c r="AA76" s="21" t="n">
        <f aca="false">IF(C76=0,"",MIN(H76+Asumsi!$C$31-Asumsi!$C$34,K76+Asumsi!$C$32-Asumsi!$C$35,N76+Asumsi!$C$33-Asumsi!$C$36))</f>
        <v>1857.12696774219</v>
      </c>
      <c r="AB76" s="21" t="n">
        <f aca="false">IF(C76=1,H76,"")</f>
        <v>27389.1074935493</v>
      </c>
      <c r="AC76" s="21" t="n">
        <f aca="false">IF(C76=1,K76,"")</f>
        <v>82867.3736000001</v>
      </c>
      <c r="AD76" s="21" t="n">
        <f aca="false">IF(C76=1,N76,"")</f>
        <v>5857.12696774219</v>
      </c>
    </row>
    <row r="77" customFormat="false" ht="15" hidden="false" customHeight="false" outlineLevel="0" collapsed="false">
      <c r="A77" s="32" t="n">
        <f aca="false">Rencana_Dalops!A77</f>
        <v>46374</v>
      </c>
      <c r="B77" s="33" t="n">
        <f aca="false">A77-Rencana_Dalops!$A$3+1</f>
        <v>75</v>
      </c>
      <c r="C77" s="33" t="n">
        <f aca="false">IF(A77&lt;=Asumsi!$C$6,1,0)</f>
        <v>1</v>
      </c>
      <c r="D77" s="34" t="n">
        <f aca="false">(Rencana_Dalops!B77*Asumsi!$C$10+Rencana_Dalops!C77*Asumsi!$C$11+Rencana_Dalops!D77*Asumsi!$C$12+Rencana_Dalops!E77*Asumsi!$C$13+Rencana_Dalops!F77*Asumsi!$C$14)*Asumsi!$C$5</f>
        <v>5000</v>
      </c>
      <c r="E77" s="35" t="n">
        <f aca="false">Rencana_Dalops!G77</f>
        <v>5000</v>
      </c>
      <c r="F77" s="34" t="n">
        <f aca="false">Rencana_Dalops!H77*Asumsi!$C$17*(1-Rencana_Dalops!I77)+Rencana_Dalops!J77*Asumsi!$C$18+Rencana_Dalops!K77*Asumsi!$C$19</f>
        <v>1751.8924731345</v>
      </c>
      <c r="G77" s="34" t="n">
        <f aca="false">Rencana_Dalops!L77*Asumsi!$C$25+Rencana_Dalops!M77*IF(E77&gt;0,D77/E77,0)</f>
        <v>1562.0620967742</v>
      </c>
      <c r="H77" s="21" t="n">
        <f aca="false">H76+F77-G77</f>
        <v>27578.9378699096</v>
      </c>
      <c r="I77" s="34" t="n">
        <f aca="false">IF(B77-Asumsi!$C$21&gt;=1,INDEX(Rencana_Dalops!$N$3:$N$90,B77-Asumsi!$C$21),0)*Asumsi!$C$20</f>
        <v>0</v>
      </c>
      <c r="J77" s="34" t="n">
        <f aca="false">Rencana_Dalops!O77+Rencana_Dalops!P77*IF(E77&gt;0,D77/E77,0)</f>
        <v>1452.18</v>
      </c>
      <c r="K77" s="21" t="n">
        <f aca="false">K76+I77-J77</f>
        <v>81415.1936000001</v>
      </c>
      <c r="L77" s="34" t="n">
        <f aca="false">Rencana_Dalops!Q77*Asumsi!$C$22+Rencana_Dalops!R77*Asumsi!$C$23</f>
        <v>3111</v>
      </c>
      <c r="M77" s="34" t="n">
        <f aca="false">Rencana_Dalops!S77*Asumsi!$C$24+Rencana_Dalops!T77*IF(E77&gt;0,D77/E77,0)</f>
        <v>3026.1293548387</v>
      </c>
      <c r="N77" s="21" t="n">
        <f aca="false">N76+L77-M77</f>
        <v>5941.99761290349</v>
      </c>
      <c r="O77" s="21" t="n">
        <f aca="false">O76+Rencana_Dalops!M77*IF(Asumsi!$C$5&gt;0,IF(E77&gt;0,D77/E77,0)/Asumsi!$C$5,0)</f>
        <v>112737.785</v>
      </c>
      <c r="P77" s="21" t="n">
        <f aca="false">H77+O77*Asumsi!$C$5</f>
        <v>140316.72286991</v>
      </c>
      <c r="Q77" s="21" t="n">
        <f aca="false">Q76+Rencana_Dalops!P77*IF(Asumsi!$C$5&gt;0,IF(E77&gt;0,D77/E77,0)/Asumsi!$C$5,0)</f>
        <v>120534.85</v>
      </c>
      <c r="R77" s="21" t="n">
        <f aca="false">K77+Q77*Asumsi!$C$5</f>
        <v>201950.0436</v>
      </c>
      <c r="S77" s="21" t="n">
        <f aca="false">S76+Rencana_Dalops!T77*IF(Asumsi!$C$5&gt;0,IF(E77&gt;0,D77/E77,0)/Asumsi!$C$5,0)</f>
        <v>55676.014</v>
      </c>
      <c r="T77" s="21" t="n">
        <f aca="false">N77+S77*Asumsi!$C$5</f>
        <v>61618.0116129035</v>
      </c>
      <c r="U77" s="22" t="n">
        <f aca="false">IF(OR(C77=0,O77&lt;=0),"",P77/O77)</f>
        <v>1.24462905555497</v>
      </c>
      <c r="V77" s="22" t="n">
        <f aca="false">IF(OR(C77=0,Q77&lt;=0),"",R77/Q77)</f>
        <v>1.67544941234838</v>
      </c>
      <c r="W77" s="22" t="n">
        <f aca="false">IF(OR(C77=0,S77&lt;=0),"",T77/S77)</f>
        <v>1.10672455131044</v>
      </c>
      <c r="X77" s="23" t="str">
        <f aca="false">IF(AND(C77=1,H77&lt;0),A77,"")</f>
        <v/>
      </c>
      <c r="Y77" s="23" t="str">
        <f aca="false">IF(AND(C77=1,K77&lt;0),A77,"")</f>
        <v/>
      </c>
      <c r="Z77" s="23" t="str">
        <f aca="false">IF(AND(C77=1,N77&lt;0),A77,"")</f>
        <v/>
      </c>
      <c r="AA77" s="21" t="n">
        <f aca="false">IF(C77=0,"",MIN(H77+Asumsi!$C$31-Asumsi!$C$34,K77+Asumsi!$C$32-Asumsi!$C$35,N77+Asumsi!$C$33-Asumsi!$C$36))</f>
        <v>1941.99761290349</v>
      </c>
      <c r="AB77" s="21" t="n">
        <f aca="false">IF(C77=1,H77,"")</f>
        <v>27578.9378699096</v>
      </c>
      <c r="AC77" s="21" t="n">
        <f aca="false">IF(C77=1,K77,"")</f>
        <v>81415.1936000001</v>
      </c>
      <c r="AD77" s="21" t="n">
        <f aca="false">IF(C77=1,N77,"")</f>
        <v>5941.99761290349</v>
      </c>
    </row>
    <row r="78" customFormat="false" ht="15" hidden="false" customHeight="false" outlineLevel="0" collapsed="false">
      <c r="A78" s="32" t="n">
        <f aca="false">Rencana_Dalops!A78</f>
        <v>46375</v>
      </c>
      <c r="B78" s="33" t="n">
        <f aca="false">A78-Rencana_Dalops!$A$3+1</f>
        <v>76</v>
      </c>
      <c r="C78" s="33" t="n">
        <f aca="false">IF(A78&lt;=Asumsi!$C$6,1,0)</f>
        <v>1</v>
      </c>
      <c r="D78" s="34" t="n">
        <f aca="false">(Rencana_Dalops!B78*Asumsi!$C$10+Rencana_Dalops!C78*Asumsi!$C$11+Rencana_Dalops!D78*Asumsi!$C$12+Rencana_Dalops!E78*Asumsi!$C$13+Rencana_Dalops!F78*Asumsi!$C$14)*Asumsi!$C$5</f>
        <v>5000</v>
      </c>
      <c r="E78" s="35" t="n">
        <f aca="false">Rencana_Dalops!G78</f>
        <v>5000</v>
      </c>
      <c r="F78" s="34" t="n">
        <f aca="false">Rencana_Dalops!H78*Asumsi!$C$17*(1-Rencana_Dalops!I78)+Rencana_Dalops!J78*Asumsi!$C$18+Rencana_Dalops!K78*Asumsi!$C$19</f>
        <v>1751.8924731345</v>
      </c>
      <c r="G78" s="34" t="n">
        <f aca="false">Rencana_Dalops!L78*Asumsi!$C$25+Rencana_Dalops!M78*IF(E78&gt;0,D78/E78,0)</f>
        <v>1562.0620967742</v>
      </c>
      <c r="H78" s="21" t="n">
        <f aca="false">H77+F78-G78</f>
        <v>27768.7682462699</v>
      </c>
      <c r="I78" s="34" t="n">
        <f aca="false">IF(B78-Asumsi!$C$21&gt;=1,INDEX(Rencana_Dalops!$N$3:$N$90,B78-Asumsi!$C$21),0)*Asumsi!$C$20</f>
        <v>0</v>
      </c>
      <c r="J78" s="34" t="n">
        <f aca="false">Rencana_Dalops!O78+Rencana_Dalops!P78*IF(E78&gt;0,D78/E78,0)</f>
        <v>1368.58</v>
      </c>
      <c r="K78" s="21" t="n">
        <f aca="false">K77+I78-J78</f>
        <v>80046.6136000001</v>
      </c>
      <c r="L78" s="34" t="n">
        <f aca="false">Rencana_Dalops!Q78*Asumsi!$C$22+Rencana_Dalops!R78*Asumsi!$C$23</f>
        <v>3111</v>
      </c>
      <c r="M78" s="34" t="n">
        <f aca="false">Rencana_Dalops!S78*Asumsi!$C$24+Rencana_Dalops!T78*IF(E78&gt;0,D78/E78,0)</f>
        <v>3026.1293548387</v>
      </c>
      <c r="N78" s="21" t="n">
        <f aca="false">N77+L78-M78</f>
        <v>6026.86825806479</v>
      </c>
      <c r="O78" s="21" t="n">
        <f aca="false">O77+Rencana_Dalops!M78*IF(Asumsi!$C$5&gt;0,IF(E78&gt;0,D78/E78,0)/Asumsi!$C$5,0)</f>
        <v>113851.46</v>
      </c>
      <c r="P78" s="21" t="n">
        <f aca="false">H78+O78*Asumsi!$C$5</f>
        <v>141620.22824627</v>
      </c>
      <c r="Q78" s="21" t="n">
        <f aca="false">Q77+Rencana_Dalops!P78*IF(Asumsi!$C$5&gt;0,IF(E78&gt;0,D78/E78,0)/Asumsi!$C$5,0)</f>
        <v>121893.35</v>
      </c>
      <c r="R78" s="21" t="n">
        <f aca="false">K78+Q78*Asumsi!$C$5</f>
        <v>201939.9636</v>
      </c>
      <c r="S78" s="21" t="n">
        <f aca="false">S77+Rencana_Dalops!T78*IF(Asumsi!$C$5&gt;0,IF(E78&gt;0,D78/E78,0)/Asumsi!$C$5,0)</f>
        <v>56233.684</v>
      </c>
      <c r="T78" s="21" t="n">
        <f aca="false">N78+S78*Asumsi!$C$5</f>
        <v>62260.5522580648</v>
      </c>
      <c r="U78" s="22" t="n">
        <f aca="false">IF(OR(C78=0,O78&lt;=0),"",P78/O78)</f>
        <v>1.24390348833708</v>
      </c>
      <c r="V78" s="22" t="n">
        <f aca="false">IF(OR(C78=0,Q78&lt;=0),"",R78/Q78)</f>
        <v>1.65669385245381</v>
      </c>
      <c r="W78" s="22" t="n">
        <f aca="false">IF(OR(C78=0,S78&lt;=0),"",T78/S78)</f>
        <v>1.10717541212603</v>
      </c>
      <c r="X78" s="23" t="str">
        <f aca="false">IF(AND(C78=1,H78&lt;0),A78,"")</f>
        <v/>
      </c>
      <c r="Y78" s="23" t="str">
        <f aca="false">IF(AND(C78=1,K78&lt;0),A78,"")</f>
        <v/>
      </c>
      <c r="Z78" s="23" t="str">
        <f aca="false">IF(AND(C78=1,N78&lt;0),A78,"")</f>
        <v/>
      </c>
      <c r="AA78" s="21" t="n">
        <f aca="false">IF(C78=0,"",MIN(H78+Asumsi!$C$31-Asumsi!$C$34,K78+Asumsi!$C$32-Asumsi!$C$35,N78+Asumsi!$C$33-Asumsi!$C$36))</f>
        <v>2026.86825806479</v>
      </c>
      <c r="AB78" s="21" t="n">
        <f aca="false">IF(C78=1,H78,"")</f>
        <v>27768.7682462699</v>
      </c>
      <c r="AC78" s="21" t="n">
        <f aca="false">IF(C78=1,K78,"")</f>
        <v>80046.6136000001</v>
      </c>
      <c r="AD78" s="21" t="n">
        <f aca="false">IF(C78=1,N78,"")</f>
        <v>6026.86825806479</v>
      </c>
    </row>
    <row r="79" customFormat="false" ht="15" hidden="false" customHeight="false" outlineLevel="0" collapsed="false">
      <c r="A79" s="32" t="n">
        <f aca="false">Rencana_Dalops!A79</f>
        <v>46376</v>
      </c>
      <c r="B79" s="33" t="n">
        <f aca="false">A79-Rencana_Dalops!$A$3+1</f>
        <v>77</v>
      </c>
      <c r="C79" s="33" t="n">
        <f aca="false">IF(A79&lt;=Asumsi!$C$6,1,0)</f>
        <v>1</v>
      </c>
      <c r="D79" s="34" t="n">
        <f aca="false">(Rencana_Dalops!B79*Asumsi!$C$10+Rencana_Dalops!C79*Asumsi!$C$11+Rencana_Dalops!D79*Asumsi!$C$12+Rencana_Dalops!E79*Asumsi!$C$13+Rencana_Dalops!F79*Asumsi!$C$14)*Asumsi!$C$5</f>
        <v>5000</v>
      </c>
      <c r="E79" s="35" t="n">
        <f aca="false">Rencana_Dalops!G79</f>
        <v>5000</v>
      </c>
      <c r="F79" s="34" t="n">
        <f aca="false">Rencana_Dalops!H79*Asumsi!$C$17*(1-Rencana_Dalops!I79)+Rencana_Dalops!J79*Asumsi!$C$18+Rencana_Dalops!K79*Asumsi!$C$19</f>
        <v>1751.8924731345</v>
      </c>
      <c r="G79" s="34" t="n">
        <f aca="false">Rencana_Dalops!L79*Asumsi!$C$25+Rencana_Dalops!M79*IF(E79&gt;0,D79/E79,0)</f>
        <v>1562.0620967742</v>
      </c>
      <c r="H79" s="21" t="n">
        <f aca="false">H78+F79-G79</f>
        <v>27958.5986226302</v>
      </c>
      <c r="I79" s="34" t="n">
        <f aca="false">IF(B79-Asumsi!$C$21&gt;=1,INDEX(Rencana_Dalops!$N$3:$N$90,B79-Asumsi!$C$21),0)*Asumsi!$C$20</f>
        <v>0</v>
      </c>
      <c r="J79" s="34" t="n">
        <f aca="false">Rencana_Dalops!O79+Rencana_Dalops!P79*IF(E79&gt;0,D79/E79,0)</f>
        <v>1264.08</v>
      </c>
      <c r="K79" s="21" t="n">
        <f aca="false">K78+I79-J79</f>
        <v>78782.5336000001</v>
      </c>
      <c r="L79" s="34" t="n">
        <f aca="false">Rencana_Dalops!Q79*Asumsi!$C$22+Rencana_Dalops!R79*Asumsi!$C$23</f>
        <v>3111</v>
      </c>
      <c r="M79" s="34" t="n">
        <f aca="false">Rencana_Dalops!S79*Asumsi!$C$24+Rencana_Dalops!T79*IF(E79&gt;0,D79/E79,0)</f>
        <v>3257.8293548387</v>
      </c>
      <c r="N79" s="21" t="n">
        <f aca="false">N78+L79-M79</f>
        <v>5880.03890322609</v>
      </c>
      <c r="O79" s="21" t="n">
        <f aca="false">O78+Rencana_Dalops!M79*IF(Asumsi!$C$5&gt;0,IF(E79&gt;0,D79/E79,0)/Asumsi!$C$5,0)</f>
        <v>114965.135</v>
      </c>
      <c r="P79" s="21" t="n">
        <f aca="false">H79+O79*Asumsi!$C$5</f>
        <v>142923.73362263</v>
      </c>
      <c r="Q79" s="21" t="n">
        <f aca="false">Q78+Rencana_Dalops!P79*IF(Asumsi!$C$5&gt;0,IF(E79&gt;0,D79/E79,0)/Asumsi!$C$5,0)</f>
        <v>123147.35</v>
      </c>
      <c r="R79" s="21" t="n">
        <f aca="false">K79+Q79*Asumsi!$C$5</f>
        <v>201929.8836</v>
      </c>
      <c r="S79" s="21" t="n">
        <f aca="false">S78+Rencana_Dalops!T79*IF(Asumsi!$C$5&gt;0,IF(E79&gt;0,D79/E79,0)/Asumsi!$C$5,0)</f>
        <v>56791.354</v>
      </c>
      <c r="T79" s="21" t="n">
        <f aca="false">N79+S79*Asumsi!$C$5</f>
        <v>62671.3929032261</v>
      </c>
      <c r="U79" s="22" t="n">
        <f aca="false">IF(OR(C79=0,O79&lt;=0),"",P79/O79)</f>
        <v>1.24319197835614</v>
      </c>
      <c r="V79" s="22" t="n">
        <f aca="false">IF(OR(C79=0,Q79&lt;=0),"",R79/Q79)</f>
        <v>1.63974201312493</v>
      </c>
      <c r="W79" s="22" t="n">
        <f aca="false">IF(OR(C79=0,S79&lt;=0),"",T79/S79)</f>
        <v>1.10353757199073</v>
      </c>
      <c r="X79" s="23" t="str">
        <f aca="false">IF(AND(C79=1,H79&lt;0),A79,"")</f>
        <v/>
      </c>
      <c r="Y79" s="23" t="str">
        <f aca="false">IF(AND(C79=1,K79&lt;0),A79,"")</f>
        <v/>
      </c>
      <c r="Z79" s="23" t="str">
        <f aca="false">IF(AND(C79=1,N79&lt;0),A79,"")</f>
        <v/>
      </c>
      <c r="AA79" s="21" t="n">
        <f aca="false">IF(C79=0,"",MIN(H79+Asumsi!$C$31-Asumsi!$C$34,K79+Asumsi!$C$32-Asumsi!$C$35,N79+Asumsi!$C$33-Asumsi!$C$36))</f>
        <v>1880.03890322609</v>
      </c>
      <c r="AB79" s="21" t="n">
        <f aca="false">IF(C79=1,H79,"")</f>
        <v>27958.5986226302</v>
      </c>
      <c r="AC79" s="21" t="n">
        <f aca="false">IF(C79=1,K79,"")</f>
        <v>78782.5336000001</v>
      </c>
      <c r="AD79" s="21" t="n">
        <f aca="false">IF(C79=1,N79,"")</f>
        <v>5880.03890322609</v>
      </c>
    </row>
    <row r="80" customFormat="false" ht="15" hidden="false" customHeight="false" outlineLevel="0" collapsed="false">
      <c r="A80" s="32" t="n">
        <f aca="false">Rencana_Dalops!A80</f>
        <v>46377</v>
      </c>
      <c r="B80" s="33" t="n">
        <f aca="false">A80-Rencana_Dalops!$A$3+1</f>
        <v>78</v>
      </c>
      <c r="C80" s="33" t="n">
        <f aca="false">IF(A80&lt;=Asumsi!$C$6,1,0)</f>
        <v>1</v>
      </c>
      <c r="D80" s="34" t="n">
        <f aca="false">(Rencana_Dalops!B80*Asumsi!$C$10+Rencana_Dalops!C80*Asumsi!$C$11+Rencana_Dalops!D80*Asumsi!$C$12+Rencana_Dalops!E80*Asumsi!$C$13+Rencana_Dalops!F80*Asumsi!$C$14)*Asumsi!$C$5</f>
        <v>5000</v>
      </c>
      <c r="E80" s="35" t="n">
        <f aca="false">Rencana_Dalops!G80</f>
        <v>5000</v>
      </c>
      <c r="F80" s="34" t="n">
        <f aca="false">Rencana_Dalops!H80*Asumsi!$C$17*(1-Rencana_Dalops!I80)+Rencana_Dalops!J80*Asumsi!$C$18+Rencana_Dalops!K80*Asumsi!$C$19</f>
        <v>1751.8924731345</v>
      </c>
      <c r="G80" s="34" t="n">
        <f aca="false">Rencana_Dalops!L80*Asumsi!$C$25+Rencana_Dalops!M80*IF(E80&gt;0,D80/E80,0)</f>
        <v>1562.0620967742</v>
      </c>
      <c r="H80" s="21" t="n">
        <f aca="false">H79+F80-G80</f>
        <v>28148.4289989905</v>
      </c>
      <c r="I80" s="34" t="n">
        <f aca="false">IF(B80-Asumsi!$C$21&gt;=1,INDEX(Rencana_Dalops!$N$3:$N$90,B80-Asumsi!$C$21),0)*Asumsi!$C$20</f>
        <v>0</v>
      </c>
      <c r="J80" s="34" t="n">
        <f aca="false">Rencana_Dalops!O80+Rencana_Dalops!P80*IF(E80&gt;0,D80/E80,0)</f>
        <v>1368.58</v>
      </c>
      <c r="K80" s="21" t="n">
        <f aca="false">K79+I80-J80</f>
        <v>77413.9536000001</v>
      </c>
      <c r="L80" s="34" t="n">
        <f aca="false">Rencana_Dalops!Q80*Asumsi!$C$22+Rencana_Dalops!R80*Asumsi!$C$23</f>
        <v>3111</v>
      </c>
      <c r="M80" s="34" t="n">
        <f aca="false">Rencana_Dalops!S80*Asumsi!$C$24+Rencana_Dalops!T80*IF(E80&gt;0,D80/E80,0)</f>
        <v>3257.8293548387</v>
      </c>
      <c r="N80" s="21" t="n">
        <f aca="false">N79+L80-M80</f>
        <v>5733.20954838739</v>
      </c>
      <c r="O80" s="21" t="n">
        <f aca="false">O79+Rencana_Dalops!M80*IF(Asumsi!$C$5&gt;0,IF(E80&gt;0,D80/E80,0)/Asumsi!$C$5,0)</f>
        <v>116078.81</v>
      </c>
      <c r="P80" s="21" t="n">
        <f aca="false">H80+O80*Asumsi!$C$5</f>
        <v>144227.238998991</v>
      </c>
      <c r="Q80" s="21" t="n">
        <f aca="false">Q79+Rencana_Dalops!P80*IF(Asumsi!$C$5&gt;0,IF(E80&gt;0,D80/E80,0)/Asumsi!$C$5,0)</f>
        <v>124505.85</v>
      </c>
      <c r="R80" s="21" t="n">
        <f aca="false">K80+Q80*Asumsi!$C$5</f>
        <v>201919.8036</v>
      </c>
      <c r="S80" s="21" t="n">
        <f aca="false">S79+Rencana_Dalops!T80*IF(Asumsi!$C$5&gt;0,IF(E80&gt;0,D80/E80,0)/Asumsi!$C$5,0)</f>
        <v>57349.024</v>
      </c>
      <c r="T80" s="21" t="n">
        <f aca="false">N80+S80*Asumsi!$C$5</f>
        <v>63082.2335483874</v>
      </c>
      <c r="U80" s="22" t="n">
        <f aca="false">IF(OR(C80=0,O80&lt;=0),"",P80/O80)</f>
        <v>1.24249412101132</v>
      </c>
      <c r="V80" s="22" t="n">
        <f aca="false">IF(OR(C80=0,Q80&lt;=0),"",R80/Q80)</f>
        <v>1.62176960841599</v>
      </c>
      <c r="W80" s="22" t="n">
        <f aca="false">IF(OR(C80=0,S80&lt;=0),"",T80/S80)</f>
        <v>1.09997048159682</v>
      </c>
      <c r="X80" s="23" t="str">
        <f aca="false">IF(AND(C80=1,H80&lt;0),A80,"")</f>
        <v/>
      </c>
      <c r="Y80" s="23" t="str">
        <f aca="false">IF(AND(C80=1,K80&lt;0),A80,"")</f>
        <v/>
      </c>
      <c r="Z80" s="23" t="str">
        <f aca="false">IF(AND(C80=1,N80&lt;0),A80,"")</f>
        <v/>
      </c>
      <c r="AA80" s="21" t="n">
        <f aca="false">IF(C80=0,"",MIN(H80+Asumsi!$C$31-Asumsi!$C$34,K80+Asumsi!$C$32-Asumsi!$C$35,N80+Asumsi!$C$33-Asumsi!$C$36))</f>
        <v>1733.20954838739</v>
      </c>
      <c r="AB80" s="21" t="n">
        <f aca="false">IF(C80=1,H80,"")</f>
        <v>28148.4289989905</v>
      </c>
      <c r="AC80" s="21" t="n">
        <f aca="false">IF(C80=1,K80,"")</f>
        <v>77413.9536000001</v>
      </c>
      <c r="AD80" s="21" t="n">
        <f aca="false">IF(C80=1,N80,"")</f>
        <v>5733.20954838739</v>
      </c>
    </row>
    <row r="81" customFormat="false" ht="15" hidden="false" customHeight="false" outlineLevel="0" collapsed="false">
      <c r="A81" s="32" t="n">
        <f aca="false">Rencana_Dalops!A81</f>
        <v>46378</v>
      </c>
      <c r="B81" s="33" t="n">
        <f aca="false">A81-Rencana_Dalops!$A$3+1</f>
        <v>79</v>
      </c>
      <c r="C81" s="33" t="n">
        <f aca="false">IF(A81&lt;=Asumsi!$C$6,1,0)</f>
        <v>1</v>
      </c>
      <c r="D81" s="34" t="n">
        <f aca="false">(Rencana_Dalops!B81*Asumsi!$C$10+Rencana_Dalops!C81*Asumsi!$C$11+Rencana_Dalops!D81*Asumsi!$C$12+Rencana_Dalops!E81*Asumsi!$C$13+Rencana_Dalops!F81*Asumsi!$C$14)*Asumsi!$C$5</f>
        <v>5000</v>
      </c>
      <c r="E81" s="35" t="n">
        <f aca="false">Rencana_Dalops!G81</f>
        <v>5000</v>
      </c>
      <c r="F81" s="34" t="n">
        <f aca="false">Rencana_Dalops!H81*Asumsi!$C$17*(1-Rencana_Dalops!I81)+Rencana_Dalops!J81*Asumsi!$C$18+Rencana_Dalops!K81*Asumsi!$C$19</f>
        <v>1751.8924731345</v>
      </c>
      <c r="G81" s="34" t="n">
        <f aca="false">Rencana_Dalops!L81*Asumsi!$C$25+Rencana_Dalops!M81*IF(E81&gt;0,D81/E81,0)</f>
        <v>1562.0620967742</v>
      </c>
      <c r="H81" s="21" t="n">
        <f aca="false">H80+F81-G81</f>
        <v>28338.2593753508</v>
      </c>
      <c r="I81" s="34" t="n">
        <f aca="false">IF(B81-Asumsi!$C$21&gt;=1,INDEX(Rencana_Dalops!$N$3:$N$90,B81-Asumsi!$C$21),0)*Asumsi!$C$20</f>
        <v>0</v>
      </c>
      <c r="J81" s="34" t="n">
        <f aca="false">Rencana_Dalops!O81+Rencana_Dalops!P81*IF(E81&gt;0,D81/E81,0)</f>
        <v>1452.18</v>
      </c>
      <c r="K81" s="21" t="n">
        <f aca="false">K80+I81-J81</f>
        <v>75961.7736000001</v>
      </c>
      <c r="L81" s="34" t="n">
        <f aca="false">Rencana_Dalops!Q81*Asumsi!$C$22+Rencana_Dalops!R81*Asumsi!$C$23</f>
        <v>0</v>
      </c>
      <c r="M81" s="34" t="n">
        <f aca="false">Rencana_Dalops!S81*Asumsi!$C$24+Rencana_Dalops!T81*IF(E81&gt;0,D81/E81,0)</f>
        <v>1399.8893548387</v>
      </c>
      <c r="N81" s="21" t="n">
        <f aca="false">N80+L81-M81</f>
        <v>4333.32019354869</v>
      </c>
      <c r="O81" s="21" t="n">
        <f aca="false">O80+Rencana_Dalops!M81*IF(Asumsi!$C$5&gt;0,IF(E81&gt;0,D81/E81,0)/Asumsi!$C$5,0)</f>
        <v>117192.485</v>
      </c>
      <c r="P81" s="21" t="n">
        <f aca="false">H81+O81*Asumsi!$C$5</f>
        <v>145530.744375351</v>
      </c>
      <c r="Q81" s="21" t="n">
        <f aca="false">Q80+Rencana_Dalops!P81*IF(Asumsi!$C$5&gt;0,IF(E81&gt;0,D81/E81,0)/Asumsi!$C$5,0)</f>
        <v>125947.95</v>
      </c>
      <c r="R81" s="21" t="n">
        <f aca="false">K81+Q81*Asumsi!$C$5</f>
        <v>201909.7236</v>
      </c>
      <c r="S81" s="21" t="n">
        <f aca="false">S80+Rencana_Dalops!T81*IF(Asumsi!$C$5&gt;0,IF(E81&gt;0,D81/E81,0)/Asumsi!$C$5,0)</f>
        <v>57906.694</v>
      </c>
      <c r="T81" s="21" t="n">
        <f aca="false">N81+S81*Asumsi!$C$5</f>
        <v>62240.0141935487</v>
      </c>
      <c r="U81" s="22" t="n">
        <f aca="false">IF(OR(C81=0,O81&lt;=0),"",P81/O81)</f>
        <v>1.24180952708146</v>
      </c>
      <c r="V81" s="22" t="n">
        <f aca="false">IF(OR(C81=0,Q81&lt;=0),"",R81/Q81)</f>
        <v>1.60312036519848</v>
      </c>
      <c r="W81" s="22" t="n">
        <f aca="false">IF(OR(C81=0,S81&lt;=0),"",T81/S81)</f>
        <v>1.07483280246579</v>
      </c>
      <c r="X81" s="23" t="str">
        <f aca="false">IF(AND(C81=1,H81&lt;0),A81,"")</f>
        <v/>
      </c>
      <c r="Y81" s="23" t="str">
        <f aca="false">IF(AND(C81=1,K81&lt;0),A81,"")</f>
        <v/>
      </c>
      <c r="Z81" s="23" t="str">
        <f aca="false">IF(AND(C81=1,N81&lt;0),A81,"")</f>
        <v/>
      </c>
      <c r="AA81" s="21" t="n">
        <f aca="false">IF(C81=0,"",MIN(H81+Asumsi!$C$31-Asumsi!$C$34,K81+Asumsi!$C$32-Asumsi!$C$35,N81+Asumsi!$C$33-Asumsi!$C$36))</f>
        <v>333.32019354869</v>
      </c>
      <c r="AB81" s="21" t="n">
        <f aca="false">IF(C81=1,H81,"")</f>
        <v>28338.2593753508</v>
      </c>
      <c r="AC81" s="21" t="n">
        <f aca="false">IF(C81=1,K81,"")</f>
        <v>75961.7736000001</v>
      </c>
      <c r="AD81" s="21" t="n">
        <f aca="false">IF(C81=1,N81,"")</f>
        <v>4333.32019354869</v>
      </c>
    </row>
    <row r="82" customFormat="false" ht="15" hidden="false" customHeight="false" outlineLevel="0" collapsed="false">
      <c r="A82" s="32" t="n">
        <f aca="false">Rencana_Dalops!A82</f>
        <v>46379</v>
      </c>
      <c r="B82" s="33" t="n">
        <f aca="false">A82-Rencana_Dalops!$A$3+1</f>
        <v>80</v>
      </c>
      <c r="C82" s="33" t="n">
        <f aca="false">IF(A82&lt;=Asumsi!$C$6,1,0)</f>
        <v>1</v>
      </c>
      <c r="D82" s="34" t="n">
        <f aca="false">(Rencana_Dalops!B82*Asumsi!$C$10+Rencana_Dalops!C82*Asumsi!$C$11+Rencana_Dalops!D82*Asumsi!$C$12+Rencana_Dalops!E82*Asumsi!$C$13+Rencana_Dalops!F82*Asumsi!$C$14)*Asumsi!$C$5</f>
        <v>5000</v>
      </c>
      <c r="E82" s="35" t="n">
        <f aca="false">Rencana_Dalops!G82</f>
        <v>5000</v>
      </c>
      <c r="F82" s="34" t="n">
        <f aca="false">Rencana_Dalops!H82*Asumsi!$C$17*(1-Rencana_Dalops!I82)+Rencana_Dalops!J82*Asumsi!$C$18+Rencana_Dalops!K82*Asumsi!$C$19</f>
        <v>1751.8924731345</v>
      </c>
      <c r="G82" s="34" t="n">
        <f aca="false">Rencana_Dalops!L82*Asumsi!$C$25+Rencana_Dalops!M82*IF(E82&gt;0,D82/E82,0)</f>
        <v>1562.0620967742</v>
      </c>
      <c r="H82" s="21" t="n">
        <f aca="false">H81+F82-G82</f>
        <v>28528.0897517111</v>
      </c>
      <c r="I82" s="34" t="n">
        <f aca="false">IF(B82-Asumsi!$C$21&gt;=1,INDEX(Rencana_Dalops!$N$3:$N$90,B82-Asumsi!$C$21),0)*Asumsi!$C$20</f>
        <v>0</v>
      </c>
      <c r="J82" s="34" t="n">
        <f aca="false">Rencana_Dalops!O82+Rencana_Dalops!P82*IF(E82&gt;0,D82/E82,0)</f>
        <v>1452.18</v>
      </c>
      <c r="K82" s="21" t="n">
        <f aca="false">K81+I82-J82</f>
        <v>74509.5936000001</v>
      </c>
      <c r="L82" s="34" t="n">
        <f aca="false">Rencana_Dalops!Q82*Asumsi!$C$22+Rencana_Dalops!R82*Asumsi!$C$23</f>
        <v>3111</v>
      </c>
      <c r="M82" s="34" t="n">
        <f aca="false">Rencana_Dalops!S82*Asumsi!$C$24+Rencana_Dalops!T82*IF(E82&gt;0,D82/E82,0)</f>
        <v>3257.8293548387</v>
      </c>
      <c r="N82" s="21" t="n">
        <f aca="false">N81+L82-M82</f>
        <v>4186.49083870999</v>
      </c>
      <c r="O82" s="21" t="n">
        <f aca="false">O81+Rencana_Dalops!M82*IF(Asumsi!$C$5&gt;0,IF(E82&gt;0,D82/E82,0)/Asumsi!$C$5,0)</f>
        <v>118306.16</v>
      </c>
      <c r="P82" s="21" t="n">
        <f aca="false">H82+O82*Asumsi!$C$5</f>
        <v>146834.249751711</v>
      </c>
      <c r="Q82" s="21" t="n">
        <f aca="false">Q81+Rencana_Dalops!P82*IF(Asumsi!$C$5&gt;0,IF(E82&gt;0,D82/E82,0)/Asumsi!$C$5,0)</f>
        <v>127390.05</v>
      </c>
      <c r="R82" s="21" t="n">
        <f aca="false">K82+Q82*Asumsi!$C$5</f>
        <v>201899.6436</v>
      </c>
      <c r="S82" s="21" t="n">
        <f aca="false">S81+Rencana_Dalops!T82*IF(Asumsi!$C$5&gt;0,IF(E82&gt;0,D82/E82,0)/Asumsi!$C$5,0)</f>
        <v>58464.364</v>
      </c>
      <c r="T82" s="21" t="n">
        <f aca="false">N82+S82*Asumsi!$C$5</f>
        <v>62650.85483871</v>
      </c>
      <c r="U82" s="22" t="n">
        <f aca="false">IF(OR(C82=0,O82&lt;=0),"",P82/O82)</f>
        <v>1.24113782200108</v>
      </c>
      <c r="V82" s="22" t="n">
        <f aca="false">IF(OR(C82=0,Q82&lt;=0),"",R82/Q82)</f>
        <v>1.58489335391579</v>
      </c>
      <c r="W82" s="22" t="n">
        <f aca="false">IF(OR(C82=0,S82&lt;=0),"",T82/S82)</f>
        <v>1.07160756659749</v>
      </c>
      <c r="X82" s="23" t="str">
        <f aca="false">IF(AND(C82=1,H82&lt;0),A82,"")</f>
        <v/>
      </c>
      <c r="Y82" s="23" t="str">
        <f aca="false">IF(AND(C82=1,K82&lt;0),A82,"")</f>
        <v/>
      </c>
      <c r="Z82" s="23" t="str">
        <f aca="false">IF(AND(C82=1,N82&lt;0),A82,"")</f>
        <v/>
      </c>
      <c r="AA82" s="21" t="n">
        <f aca="false">IF(C82=0,"",MIN(H82+Asumsi!$C$31-Asumsi!$C$34,K82+Asumsi!$C$32-Asumsi!$C$35,N82+Asumsi!$C$33-Asumsi!$C$36))</f>
        <v>186.490838709989</v>
      </c>
      <c r="AB82" s="21" t="n">
        <f aca="false">IF(C82=1,H82,"")</f>
        <v>28528.0897517111</v>
      </c>
      <c r="AC82" s="21" t="n">
        <f aca="false">IF(C82=1,K82,"")</f>
        <v>74509.5936000001</v>
      </c>
      <c r="AD82" s="21" t="n">
        <f aca="false">IF(C82=1,N82,"")</f>
        <v>4186.49083870999</v>
      </c>
    </row>
    <row r="83" customFormat="false" ht="15" hidden="false" customHeight="false" outlineLevel="0" collapsed="false">
      <c r="A83" s="32" t="n">
        <f aca="false">Rencana_Dalops!A83</f>
        <v>46380</v>
      </c>
      <c r="B83" s="33" t="n">
        <f aca="false">A83-Rencana_Dalops!$A$3+1</f>
        <v>81</v>
      </c>
      <c r="C83" s="33" t="n">
        <f aca="false">IF(A83&lt;=Asumsi!$C$6,1,0)</f>
        <v>1</v>
      </c>
      <c r="D83" s="34" t="n">
        <f aca="false">(Rencana_Dalops!B83*Asumsi!$C$10+Rencana_Dalops!C83*Asumsi!$C$11+Rencana_Dalops!D83*Asumsi!$C$12+Rencana_Dalops!E83*Asumsi!$C$13+Rencana_Dalops!F83*Asumsi!$C$14)*Asumsi!$C$5</f>
        <v>5000</v>
      </c>
      <c r="E83" s="35" t="n">
        <f aca="false">Rencana_Dalops!G83</f>
        <v>5000</v>
      </c>
      <c r="F83" s="34" t="n">
        <f aca="false">Rencana_Dalops!H83*Asumsi!$C$17*(1-Rencana_Dalops!I83)+Rencana_Dalops!J83*Asumsi!$C$18+Rencana_Dalops!K83*Asumsi!$C$19</f>
        <v>1751.8924731345</v>
      </c>
      <c r="G83" s="34" t="n">
        <f aca="false">Rencana_Dalops!L83*Asumsi!$C$25+Rencana_Dalops!M83*IF(E83&gt;0,D83/E83,0)</f>
        <v>1562.0620967742</v>
      </c>
      <c r="H83" s="21" t="n">
        <f aca="false">H82+F83-G83</f>
        <v>28717.9201280714</v>
      </c>
      <c r="I83" s="34" t="n">
        <f aca="false">IF(B83-Asumsi!$C$21&gt;=1,INDEX(Rencana_Dalops!$N$3:$N$90,B83-Asumsi!$C$21),0)*Asumsi!$C$20</f>
        <v>0</v>
      </c>
      <c r="J83" s="34" t="n">
        <f aca="false">Rencana_Dalops!O83+Rencana_Dalops!P83*IF(E83&gt;0,D83/E83,0)</f>
        <v>1452.18</v>
      </c>
      <c r="K83" s="21" t="n">
        <f aca="false">K82+I83-J83</f>
        <v>73057.4136000001</v>
      </c>
      <c r="L83" s="34" t="n">
        <f aca="false">Rencana_Dalops!Q83*Asumsi!$C$22+Rencana_Dalops!R83*Asumsi!$C$23</f>
        <v>3111</v>
      </c>
      <c r="M83" s="34" t="n">
        <f aca="false">Rencana_Dalops!S83*Asumsi!$C$24+Rencana_Dalops!T83*IF(E83&gt;0,D83/E83,0)</f>
        <v>3257.8293548387</v>
      </c>
      <c r="N83" s="21" t="n">
        <f aca="false">N82+L83-M83</f>
        <v>4039.66148387129</v>
      </c>
      <c r="O83" s="21" t="n">
        <f aca="false">O82+Rencana_Dalops!M83*IF(Asumsi!$C$5&gt;0,IF(E83&gt;0,D83/E83,0)/Asumsi!$C$5,0)</f>
        <v>119419.835</v>
      </c>
      <c r="P83" s="21" t="n">
        <f aca="false">H83+O83*Asumsi!$C$5</f>
        <v>148137.755128072</v>
      </c>
      <c r="Q83" s="21" t="n">
        <f aca="false">Q82+Rencana_Dalops!P83*IF(Asumsi!$C$5&gt;0,IF(E83&gt;0,D83/E83,0)/Asumsi!$C$5,0)</f>
        <v>128832.15</v>
      </c>
      <c r="R83" s="21" t="n">
        <f aca="false">K83+Q83*Asumsi!$C$5</f>
        <v>201889.5636</v>
      </c>
      <c r="S83" s="21" t="n">
        <f aca="false">S82+Rencana_Dalops!T83*IF(Asumsi!$C$5&gt;0,IF(E83&gt;0,D83/E83,0)/Asumsi!$C$5,0)</f>
        <v>59022.034</v>
      </c>
      <c r="T83" s="21" t="n">
        <f aca="false">N83+S83*Asumsi!$C$5</f>
        <v>63061.6954838713</v>
      </c>
      <c r="U83" s="22" t="n">
        <f aca="false">IF(OR(C83=0,O83&lt;=0),"",P83/O83)</f>
        <v>1.24047864517709</v>
      </c>
      <c r="V83" s="22" t="n">
        <f aca="false">IF(OR(C83=0,Q83&lt;=0),"",R83/Q83)</f>
        <v>1.56707439563805</v>
      </c>
      <c r="W83" s="22" t="n">
        <f aca="false">IF(OR(C83=0,S83&lt;=0),"",T83/S83)</f>
        <v>1.06844327804547</v>
      </c>
      <c r="X83" s="23" t="str">
        <f aca="false">IF(AND(C83=1,H83&lt;0),A83,"")</f>
        <v/>
      </c>
      <c r="Y83" s="23" t="str">
        <f aca="false">IF(AND(C83=1,K83&lt;0),A83,"")</f>
        <v/>
      </c>
      <c r="Z83" s="23" t="str">
        <f aca="false">IF(AND(C83=1,N83&lt;0),A83,"")</f>
        <v/>
      </c>
      <c r="AA83" s="21" t="n">
        <f aca="false">IF(C83=0,"",MIN(H83+Asumsi!$C$31-Asumsi!$C$34,K83+Asumsi!$C$32-Asumsi!$C$35,N83+Asumsi!$C$33-Asumsi!$C$36))</f>
        <v>39.6614838712903</v>
      </c>
      <c r="AB83" s="21" t="n">
        <f aca="false">IF(C83=1,H83,"")</f>
        <v>28717.9201280714</v>
      </c>
      <c r="AC83" s="21" t="n">
        <f aca="false">IF(C83=1,K83,"")</f>
        <v>73057.4136000001</v>
      </c>
      <c r="AD83" s="21" t="n">
        <f aca="false">IF(C83=1,N83,"")</f>
        <v>4039.66148387129</v>
      </c>
    </row>
    <row r="84" customFormat="false" ht="15" hidden="false" customHeight="false" outlineLevel="0" collapsed="false">
      <c r="A84" s="32" t="n">
        <f aca="false">Rencana_Dalops!A84</f>
        <v>46381</v>
      </c>
      <c r="B84" s="33" t="n">
        <f aca="false">A84-Rencana_Dalops!$A$3+1</f>
        <v>82</v>
      </c>
      <c r="C84" s="33" t="n">
        <f aca="false">IF(A84&lt;=Asumsi!$C$6,1,0)</f>
        <v>1</v>
      </c>
      <c r="D84" s="34" t="n">
        <f aca="false">(Rencana_Dalops!B84*Asumsi!$C$10+Rencana_Dalops!C84*Asumsi!$C$11+Rencana_Dalops!D84*Asumsi!$C$12+Rencana_Dalops!E84*Asumsi!$C$13+Rencana_Dalops!F84*Asumsi!$C$14)*Asumsi!$C$5</f>
        <v>5000</v>
      </c>
      <c r="E84" s="35" t="n">
        <f aca="false">Rencana_Dalops!G84</f>
        <v>5000</v>
      </c>
      <c r="F84" s="34" t="n">
        <f aca="false">Rencana_Dalops!H84*Asumsi!$C$17*(1-Rencana_Dalops!I84)+Rencana_Dalops!J84*Asumsi!$C$18+Rencana_Dalops!K84*Asumsi!$C$19</f>
        <v>1751.8924731345</v>
      </c>
      <c r="G84" s="34" t="n">
        <f aca="false">Rencana_Dalops!L84*Asumsi!$C$25+Rencana_Dalops!M84*IF(E84&gt;0,D84/E84,0)</f>
        <v>1562.0620967742</v>
      </c>
      <c r="H84" s="21" t="n">
        <f aca="false">H83+F84-G84</f>
        <v>28907.7505044317</v>
      </c>
      <c r="I84" s="34" t="n">
        <f aca="false">IF(B84-Asumsi!$C$21&gt;=1,INDEX(Rencana_Dalops!$N$3:$N$90,B84-Asumsi!$C$21),0)*Asumsi!$C$20</f>
        <v>0</v>
      </c>
      <c r="J84" s="34" t="n">
        <f aca="false">Rencana_Dalops!O84+Rencana_Dalops!P84*IF(E84&gt;0,D84/E84,0)</f>
        <v>1452.18</v>
      </c>
      <c r="K84" s="21" t="n">
        <f aca="false">K83+I84-J84</f>
        <v>71605.2336000001</v>
      </c>
      <c r="L84" s="34" t="n">
        <f aca="false">Rencana_Dalops!Q84*Asumsi!$C$22+Rencana_Dalops!R84*Asumsi!$C$23</f>
        <v>6111</v>
      </c>
      <c r="M84" s="34" t="n">
        <f aca="false">Rencana_Dalops!S84*Asumsi!$C$24+Rencana_Dalops!T84*IF(E84&gt;0,D84/E84,0)</f>
        <v>3257.8293548387</v>
      </c>
      <c r="N84" s="21" t="n">
        <f aca="false">N83+L84-M84</f>
        <v>6892.83212903259</v>
      </c>
      <c r="O84" s="21" t="n">
        <f aca="false">O83+Rencana_Dalops!M84*IF(Asumsi!$C$5&gt;0,IF(E84&gt;0,D84/E84,0)/Asumsi!$C$5,0)</f>
        <v>120533.51</v>
      </c>
      <c r="P84" s="21" t="n">
        <f aca="false">H84+O84*Asumsi!$C$5</f>
        <v>149441.260504432</v>
      </c>
      <c r="Q84" s="21" t="n">
        <f aca="false">Q83+Rencana_Dalops!P84*IF(Asumsi!$C$5&gt;0,IF(E84&gt;0,D84/E84,0)/Asumsi!$C$5,0)</f>
        <v>130274.25</v>
      </c>
      <c r="R84" s="21" t="n">
        <f aca="false">K84+Q84*Asumsi!$C$5</f>
        <v>201879.4836</v>
      </c>
      <c r="S84" s="21" t="n">
        <f aca="false">S83+Rencana_Dalops!T84*IF(Asumsi!$C$5&gt;0,IF(E84&gt;0,D84/E84,0)/Asumsi!$C$5,0)</f>
        <v>59579.704</v>
      </c>
      <c r="T84" s="21" t="n">
        <f aca="false">N84+S84*Asumsi!$C$5</f>
        <v>66472.5361290326</v>
      </c>
      <c r="U84" s="22" t="n">
        <f aca="false">IF(OR(C84=0,O84&lt;=0),"",P84/O84)</f>
        <v>1.23983164934325</v>
      </c>
      <c r="V84" s="22" t="n">
        <f aca="false">IF(OR(C84=0,Q84&lt;=0),"",R84/Q84)</f>
        <v>1.54964993926275</v>
      </c>
      <c r="W84" s="22" t="n">
        <f aca="false">IF(OR(C84=0,S84&lt;=0),"",T84/S84)</f>
        <v>1.11569094282564</v>
      </c>
      <c r="X84" s="23" t="str">
        <f aca="false">IF(AND(C84=1,H84&lt;0),A84,"")</f>
        <v/>
      </c>
      <c r="Y84" s="23" t="str">
        <f aca="false">IF(AND(C84=1,K84&lt;0),A84,"")</f>
        <v/>
      </c>
      <c r="Z84" s="23" t="str">
        <f aca="false">IF(AND(C84=1,N84&lt;0),A84,"")</f>
        <v/>
      </c>
      <c r="AA84" s="21" t="n">
        <f aca="false">IF(C84=0,"",MIN(H84+Asumsi!$C$31-Asumsi!$C$34,K84+Asumsi!$C$32-Asumsi!$C$35,N84+Asumsi!$C$33-Asumsi!$C$36))</f>
        <v>2892.83212903259</v>
      </c>
      <c r="AB84" s="21" t="n">
        <f aca="false">IF(C84=1,H84,"")</f>
        <v>28907.7505044317</v>
      </c>
      <c r="AC84" s="21" t="n">
        <f aca="false">IF(C84=1,K84,"")</f>
        <v>71605.2336000001</v>
      </c>
      <c r="AD84" s="21" t="n">
        <f aca="false">IF(C84=1,N84,"")</f>
        <v>6892.83212903259</v>
      </c>
    </row>
    <row r="85" customFormat="false" ht="15" hidden="false" customHeight="false" outlineLevel="0" collapsed="false">
      <c r="A85" s="32" t="n">
        <f aca="false">Rencana_Dalops!A85</f>
        <v>46382</v>
      </c>
      <c r="B85" s="33" t="n">
        <f aca="false">A85-Rencana_Dalops!$A$3+1</f>
        <v>83</v>
      </c>
      <c r="C85" s="33" t="n">
        <f aca="false">IF(A85&lt;=Asumsi!$C$6,1,0)</f>
        <v>1</v>
      </c>
      <c r="D85" s="34" t="n">
        <f aca="false">(Rencana_Dalops!B85*Asumsi!$C$10+Rencana_Dalops!C85*Asumsi!$C$11+Rencana_Dalops!D85*Asumsi!$C$12+Rencana_Dalops!E85*Asumsi!$C$13+Rencana_Dalops!F85*Asumsi!$C$14)*Asumsi!$C$5</f>
        <v>5000</v>
      </c>
      <c r="E85" s="35" t="n">
        <f aca="false">Rencana_Dalops!G85</f>
        <v>5000</v>
      </c>
      <c r="F85" s="34" t="n">
        <f aca="false">Rencana_Dalops!H85*Asumsi!$C$17*(1-Rencana_Dalops!I85)+Rencana_Dalops!J85*Asumsi!$C$18+Rencana_Dalops!K85*Asumsi!$C$19</f>
        <v>1751.8924731345</v>
      </c>
      <c r="G85" s="34" t="n">
        <f aca="false">Rencana_Dalops!L85*Asumsi!$C$25+Rencana_Dalops!M85*IF(E85&gt;0,D85/E85,0)</f>
        <v>1162.0620967742</v>
      </c>
      <c r="H85" s="21" t="n">
        <f aca="false">H84+F85-G85</f>
        <v>29497.580880792</v>
      </c>
      <c r="I85" s="34" t="n">
        <f aca="false">IF(B85-Asumsi!$C$21&gt;=1,INDEX(Rencana_Dalops!$N$3:$N$90,B85-Asumsi!$C$21),0)*Asumsi!$C$20</f>
        <v>0</v>
      </c>
      <c r="J85" s="34" t="n">
        <f aca="false">Rencana_Dalops!O85+Rencana_Dalops!P85*IF(E85&gt;0,D85/E85,0)</f>
        <v>1452.18</v>
      </c>
      <c r="K85" s="21" t="n">
        <f aca="false">K84+I85-J85</f>
        <v>70153.0536000001</v>
      </c>
      <c r="L85" s="34" t="n">
        <f aca="false">Rencana_Dalops!Q85*Asumsi!$C$22+Rencana_Dalops!R85*Asumsi!$C$23</f>
        <v>6111</v>
      </c>
      <c r="M85" s="34" t="n">
        <f aca="false">Rencana_Dalops!S85*Asumsi!$C$24+Rencana_Dalops!T85*IF(E85&gt;0,D85/E85,0)</f>
        <v>3257.8293548387</v>
      </c>
      <c r="N85" s="21" t="n">
        <f aca="false">N84+L85-M85</f>
        <v>9746.00277419389</v>
      </c>
      <c r="O85" s="21" t="n">
        <f aca="false">O84+Rencana_Dalops!M85*IF(Asumsi!$C$5&gt;0,IF(E85&gt;0,D85/E85,0)/Asumsi!$C$5,0)</f>
        <v>121647.185</v>
      </c>
      <c r="P85" s="21" t="n">
        <f aca="false">H85+O85*Asumsi!$C$5</f>
        <v>151144.765880792</v>
      </c>
      <c r="Q85" s="21" t="n">
        <f aca="false">Q84+Rencana_Dalops!P85*IF(Asumsi!$C$5&gt;0,IF(E85&gt;0,D85/E85,0)/Asumsi!$C$5,0)</f>
        <v>131716.35</v>
      </c>
      <c r="R85" s="21" t="n">
        <f aca="false">K85+Q85*Asumsi!$C$5</f>
        <v>201869.4036</v>
      </c>
      <c r="S85" s="21" t="n">
        <f aca="false">S84+Rencana_Dalops!T85*IF(Asumsi!$C$5&gt;0,IF(E85&gt;0,D85/E85,0)/Asumsi!$C$5,0)</f>
        <v>60137.374</v>
      </c>
      <c r="T85" s="21" t="n">
        <f aca="false">N85+S85*Asumsi!$C$5</f>
        <v>69883.3767741939</v>
      </c>
      <c r="U85" s="22" t="n">
        <f aca="false">IF(OR(C85=0,O85&lt;=0),"",P85/O85)</f>
        <v>1.24248469770009</v>
      </c>
      <c r="V85" s="22" t="n">
        <f aca="false">IF(OR(C85=0,Q85&lt;=0),"",R85/Q85)</f>
        <v>1.53260702714583</v>
      </c>
      <c r="W85" s="22" t="n">
        <f aca="false">IF(OR(C85=0,S85&lt;=0),"",T85/S85)</f>
        <v>1.16206232706792</v>
      </c>
      <c r="X85" s="23" t="str">
        <f aca="false">IF(AND(C85=1,H85&lt;0),A85,"")</f>
        <v/>
      </c>
      <c r="Y85" s="23" t="str">
        <f aca="false">IF(AND(C85=1,K85&lt;0),A85,"")</f>
        <v/>
      </c>
      <c r="Z85" s="23" t="str">
        <f aca="false">IF(AND(C85=1,N85&lt;0),A85,"")</f>
        <v/>
      </c>
      <c r="AA85" s="21" t="n">
        <f aca="false">IF(C85=0,"",MIN(H85+Asumsi!$C$31-Asumsi!$C$34,K85+Asumsi!$C$32-Asumsi!$C$35,N85+Asumsi!$C$33-Asumsi!$C$36))</f>
        <v>5746.00277419389</v>
      </c>
      <c r="AB85" s="21" t="n">
        <f aca="false">IF(C85=1,H85,"")</f>
        <v>29497.580880792</v>
      </c>
      <c r="AC85" s="21" t="n">
        <f aca="false">IF(C85=1,K85,"")</f>
        <v>70153.0536000001</v>
      </c>
      <c r="AD85" s="21" t="n">
        <f aca="false">IF(C85=1,N85,"")</f>
        <v>9746.00277419389</v>
      </c>
    </row>
    <row r="86" customFormat="false" ht="15" hidden="false" customHeight="false" outlineLevel="0" collapsed="false">
      <c r="A86" s="32" t="n">
        <f aca="false">Rencana_Dalops!A86</f>
        <v>46383</v>
      </c>
      <c r="B86" s="33" t="n">
        <f aca="false">A86-Rencana_Dalops!$A$3+1</f>
        <v>84</v>
      </c>
      <c r="C86" s="33" t="n">
        <f aca="false">IF(A86&lt;=Asumsi!$C$6,1,0)</f>
        <v>1</v>
      </c>
      <c r="D86" s="34" t="n">
        <f aca="false">(Rencana_Dalops!B86*Asumsi!$C$10+Rencana_Dalops!C86*Asumsi!$C$11+Rencana_Dalops!D86*Asumsi!$C$12+Rencana_Dalops!E86*Asumsi!$C$13+Rencana_Dalops!F86*Asumsi!$C$14)*Asumsi!$C$5</f>
        <v>3200</v>
      </c>
      <c r="E86" s="35" t="n">
        <f aca="false">Rencana_Dalops!G86</f>
        <v>3200</v>
      </c>
      <c r="F86" s="34" t="n">
        <f aca="false">Rencana_Dalops!H86*Asumsi!$C$17*(1-Rencana_Dalops!I86)+Rencana_Dalops!J86*Asumsi!$C$18+Rencana_Dalops!K86*Asumsi!$C$19</f>
        <v>1751.8924731345</v>
      </c>
      <c r="G86" s="34" t="n">
        <f aca="false">Rencana_Dalops!L86*Asumsi!$C$25+Rencana_Dalops!M86*IF(E86&gt;0,D86/E86,0)</f>
        <v>761.1390967742</v>
      </c>
      <c r="H86" s="21" t="n">
        <f aca="false">H85+F86-G86</f>
        <v>30488.3342571523</v>
      </c>
      <c r="I86" s="34" t="n">
        <f aca="false">IF(B86-Asumsi!$C$21&gt;=1,INDEX(Rencana_Dalops!$N$3:$N$90,B86-Asumsi!$C$21),0)*Asumsi!$C$20</f>
        <v>0</v>
      </c>
      <c r="J86" s="34" t="n">
        <f aca="false">Rencana_Dalops!O86+Rencana_Dalops!P86*IF(E86&gt;0,D86/E86,0)</f>
        <v>1075.98</v>
      </c>
      <c r="K86" s="21" t="n">
        <f aca="false">K85+I86-J86</f>
        <v>69077.0736000001</v>
      </c>
      <c r="L86" s="34" t="n">
        <f aca="false">Rencana_Dalops!Q86*Asumsi!$C$22+Rencana_Dalops!R86*Asumsi!$C$23</f>
        <v>6111</v>
      </c>
      <c r="M86" s="34" t="n">
        <f aca="false">Rencana_Dalops!S86*Asumsi!$C$24+Rencana_Dalops!T86*IF(E86&gt;0,D86/E86,0)</f>
        <v>3057.0681548387</v>
      </c>
      <c r="N86" s="21" t="n">
        <f aca="false">N85+L86-M86</f>
        <v>12799.9346193552</v>
      </c>
      <c r="O86" s="21" t="n">
        <f aca="false">O85+Rencana_Dalops!M86*IF(Asumsi!$C$5&gt;0,IF(E86&gt;0,D86/E86,0)/Asumsi!$C$5,0)</f>
        <v>122359.937</v>
      </c>
      <c r="P86" s="21" t="n">
        <f aca="false">H86+O86*Asumsi!$C$5</f>
        <v>152848.271257152</v>
      </c>
      <c r="Q86" s="21" t="n">
        <f aca="false">Q85+Rencana_Dalops!P86*IF(Asumsi!$C$5&gt;0,IF(E86&gt;0,D86/E86,0)/Asumsi!$C$5,0)</f>
        <v>132782.25</v>
      </c>
      <c r="R86" s="21" t="n">
        <f aca="false">K86+Q86*Asumsi!$C$5</f>
        <v>201859.3236</v>
      </c>
      <c r="S86" s="21" t="n">
        <f aca="false">S85+Rencana_Dalops!T86*IF(Asumsi!$C$5&gt;0,IF(E86&gt;0,D86/E86,0)/Asumsi!$C$5,0)</f>
        <v>60494.2828</v>
      </c>
      <c r="T86" s="21" t="n">
        <f aca="false">N86+S86*Asumsi!$C$5</f>
        <v>73294.2174193552</v>
      </c>
      <c r="U86" s="22" t="n">
        <f aca="false">IF(OR(C86=0,O86&lt;=0),"",P86/O86)</f>
        <v>1.24916925428911</v>
      </c>
      <c r="V86" s="22" t="n">
        <f aca="false">IF(OR(C86=0,Q86&lt;=0),"",R86/Q86)</f>
        <v>1.52022822026287</v>
      </c>
      <c r="W86" s="22" t="n">
        <f aca="false">IF(OR(C86=0,S86&lt;=0),"",T86/S86)</f>
        <v>1.21158916226304</v>
      </c>
      <c r="X86" s="23" t="str">
        <f aca="false">IF(AND(C86=1,H86&lt;0),A86,"")</f>
        <v/>
      </c>
      <c r="Y86" s="23" t="str">
        <f aca="false">IF(AND(C86=1,K86&lt;0),A86,"")</f>
        <v/>
      </c>
      <c r="Z86" s="23" t="str">
        <f aca="false">IF(AND(C86=1,N86&lt;0),A86,"")</f>
        <v/>
      </c>
      <c r="AA86" s="21" t="n">
        <f aca="false">IF(C86=0,"",MIN(H86+Asumsi!$C$31-Asumsi!$C$34,K86+Asumsi!$C$32-Asumsi!$C$35,N86+Asumsi!$C$33-Asumsi!$C$36))</f>
        <v>8799.93461935519</v>
      </c>
      <c r="AB86" s="21" t="n">
        <f aca="false">IF(C86=1,H86,"")</f>
        <v>30488.3342571523</v>
      </c>
      <c r="AC86" s="21" t="n">
        <f aca="false">IF(C86=1,K86,"")</f>
        <v>69077.0736000001</v>
      </c>
      <c r="AD86" s="21" t="n">
        <f aca="false">IF(C86=1,N86,"")</f>
        <v>12799.9346193552</v>
      </c>
    </row>
    <row r="87" customFormat="false" ht="15" hidden="false" customHeight="false" outlineLevel="0" collapsed="false">
      <c r="A87" s="32" t="n">
        <f aca="false">Rencana_Dalops!A87</f>
        <v>46384</v>
      </c>
      <c r="B87" s="33" t="n">
        <f aca="false">A87-Rencana_Dalops!$A$3+1</f>
        <v>85</v>
      </c>
      <c r="C87" s="33" t="n">
        <f aca="false">IF(A87&lt;=Asumsi!$C$6,1,0)</f>
        <v>1</v>
      </c>
      <c r="D87" s="34" t="n">
        <f aca="false">(Rencana_Dalops!B87*Asumsi!$C$10+Rencana_Dalops!C87*Asumsi!$C$11+Rencana_Dalops!D87*Asumsi!$C$12+Rencana_Dalops!E87*Asumsi!$C$13+Rencana_Dalops!F87*Asumsi!$C$14)*Asumsi!$C$5</f>
        <v>5000</v>
      </c>
      <c r="E87" s="35" t="n">
        <f aca="false">Rencana_Dalops!G87</f>
        <v>5000</v>
      </c>
      <c r="F87" s="34" t="n">
        <f aca="false">Rencana_Dalops!H87*Asumsi!$C$17*(1-Rencana_Dalops!I87)+Rencana_Dalops!J87*Asumsi!$C$18+Rencana_Dalops!K87*Asumsi!$C$19</f>
        <v>1751.8924731345</v>
      </c>
      <c r="G87" s="34" t="n">
        <f aca="false">Rencana_Dalops!L87*Asumsi!$C$25+Rencana_Dalops!M87*IF(E87&gt;0,D87/E87,0)</f>
        <v>1162.0620967742</v>
      </c>
      <c r="H87" s="21" t="n">
        <f aca="false">H86+F87-G87</f>
        <v>31078.1646335126</v>
      </c>
      <c r="I87" s="34" t="n">
        <f aca="false">IF(B87-Asumsi!$C$21&gt;=1,INDEX(Rencana_Dalops!$N$3:$N$90,B87-Asumsi!$C$21),0)*Asumsi!$C$20</f>
        <v>5000</v>
      </c>
      <c r="J87" s="34" t="n">
        <f aca="false">Rencana_Dalops!O87+Rencana_Dalops!P87*IF(E87&gt;0,D87/E87,0)</f>
        <v>1452.18</v>
      </c>
      <c r="K87" s="21" t="n">
        <f aca="false">K86+I87-J87</f>
        <v>72624.8936000001</v>
      </c>
      <c r="L87" s="34" t="n">
        <f aca="false">Rencana_Dalops!Q87*Asumsi!$C$22+Rencana_Dalops!R87*Asumsi!$C$23</f>
        <v>4111</v>
      </c>
      <c r="M87" s="34" t="n">
        <f aca="false">Rencana_Dalops!S87*Asumsi!$C$24+Rencana_Dalops!T87*IF(E87&gt;0,D87/E87,0)</f>
        <v>3257.8293548387</v>
      </c>
      <c r="N87" s="21" t="n">
        <f aca="false">N86+L87-M87</f>
        <v>13653.1052645165</v>
      </c>
      <c r="O87" s="21" t="n">
        <f aca="false">O86+Rencana_Dalops!M87*IF(Asumsi!$C$5&gt;0,IF(E87&gt;0,D87/E87,0)/Asumsi!$C$5,0)</f>
        <v>123473.612</v>
      </c>
      <c r="P87" s="21" t="n">
        <f aca="false">H87+O87*Asumsi!$C$5</f>
        <v>154551.776633513</v>
      </c>
      <c r="Q87" s="21" t="n">
        <f aca="false">Q86+Rencana_Dalops!P87*IF(Asumsi!$C$5&gt;0,IF(E87&gt;0,D87/E87,0)/Asumsi!$C$5,0)</f>
        <v>134224.35</v>
      </c>
      <c r="R87" s="21" t="n">
        <f aca="false">K87+Q87*Asumsi!$C$5</f>
        <v>206849.2436</v>
      </c>
      <c r="S87" s="21" t="n">
        <f aca="false">S86+Rencana_Dalops!T87*IF(Asumsi!$C$5&gt;0,IF(E87&gt;0,D87/E87,0)/Asumsi!$C$5,0)</f>
        <v>61051.9528</v>
      </c>
      <c r="T87" s="21" t="n">
        <f aca="false">N87+S87*Asumsi!$C$5</f>
        <v>74705.0580645164</v>
      </c>
      <c r="U87" s="22" t="n">
        <f aca="false">IF(OR(C87=0,O87&lt;=0),"",P87/O87)</f>
        <v>1.25169883775258</v>
      </c>
      <c r="V87" s="22" t="n">
        <f aca="false">IF(OR(C87=0,Q87&lt;=0),"",R87/Q87)</f>
        <v>1.54107092789051</v>
      </c>
      <c r="W87" s="22" t="n">
        <f aca="false">IF(OR(C87=0,S87&lt;=0),"",T87/S87)</f>
        <v>1.22363093461142</v>
      </c>
      <c r="X87" s="23" t="str">
        <f aca="false">IF(AND(C87=1,H87&lt;0),A87,"")</f>
        <v/>
      </c>
      <c r="Y87" s="23" t="str">
        <f aca="false">IF(AND(C87=1,K87&lt;0),A87,"")</f>
        <v/>
      </c>
      <c r="Z87" s="23" t="str">
        <f aca="false">IF(AND(C87=1,N87&lt;0),A87,"")</f>
        <v/>
      </c>
      <c r="AA87" s="21" t="n">
        <f aca="false">IF(C87=0,"",MIN(H87+Asumsi!$C$31-Asumsi!$C$34,K87+Asumsi!$C$32-Asumsi!$C$35,N87+Asumsi!$C$33-Asumsi!$C$36))</f>
        <v>9653.10526451649</v>
      </c>
      <c r="AB87" s="21" t="n">
        <f aca="false">IF(C87=1,H87,"")</f>
        <v>31078.1646335126</v>
      </c>
      <c r="AC87" s="21" t="n">
        <f aca="false">IF(C87=1,K87,"")</f>
        <v>72624.8936000001</v>
      </c>
      <c r="AD87" s="21" t="n">
        <f aca="false">IF(C87=1,N87,"")</f>
        <v>13653.1052645165</v>
      </c>
    </row>
    <row r="88" customFormat="false" ht="15" hidden="false" customHeight="false" outlineLevel="0" collapsed="false">
      <c r="A88" s="32" t="n">
        <f aca="false">Rencana_Dalops!A88</f>
        <v>46385</v>
      </c>
      <c r="B88" s="33" t="n">
        <f aca="false">A88-Rencana_Dalops!$A$3+1</f>
        <v>86</v>
      </c>
      <c r="C88" s="33" t="n">
        <f aca="false">IF(A88&lt;=Asumsi!$C$6,1,0)</f>
        <v>1</v>
      </c>
      <c r="D88" s="34" t="n">
        <f aca="false">(Rencana_Dalops!B88*Asumsi!$C$10+Rencana_Dalops!C88*Asumsi!$C$11+Rencana_Dalops!D88*Asumsi!$C$12+Rencana_Dalops!E88*Asumsi!$C$13+Rencana_Dalops!F88*Asumsi!$C$14)*Asumsi!$C$5</f>
        <v>6800</v>
      </c>
      <c r="E88" s="35" t="n">
        <f aca="false">Rencana_Dalops!G88</f>
        <v>6800</v>
      </c>
      <c r="F88" s="34" t="n">
        <f aca="false">Rencana_Dalops!H88*Asumsi!$C$17*(1-Rencana_Dalops!I88)+Rencana_Dalops!J88*Asumsi!$C$18+Rencana_Dalops!K88*Asumsi!$C$19</f>
        <v>1751.8924731345</v>
      </c>
      <c r="G88" s="34" t="n">
        <f aca="false">Rencana_Dalops!L88*Asumsi!$C$25+Rencana_Dalops!M88*IF(E88&gt;0,D88/E88,0)</f>
        <v>1562.9850967742</v>
      </c>
      <c r="H88" s="21" t="n">
        <f aca="false">H87+F88-G88</f>
        <v>31267.0720098729</v>
      </c>
      <c r="I88" s="34" t="n">
        <f aca="false">IF(B88-Asumsi!$C$21&gt;=1,INDEX(Rencana_Dalops!$N$3:$N$90,B88-Asumsi!$C$21),0)*Asumsi!$C$20</f>
        <v>5000</v>
      </c>
      <c r="J88" s="34" t="n">
        <f aca="false">Rencana_Dalops!O88+Rencana_Dalops!P88*IF(E88&gt;0,D88/E88,0)</f>
        <v>1828.38</v>
      </c>
      <c r="K88" s="21" t="n">
        <f aca="false">K87+I88-J88</f>
        <v>75796.5136000001</v>
      </c>
      <c r="L88" s="34" t="n">
        <f aca="false">Rencana_Dalops!Q88*Asumsi!$C$22+Rencana_Dalops!R88*Asumsi!$C$23</f>
        <v>3111</v>
      </c>
      <c r="M88" s="34" t="n">
        <f aca="false">Rencana_Dalops!S88*Asumsi!$C$24+Rencana_Dalops!T88*IF(E88&gt;0,D88/E88,0)</f>
        <v>3458.5905548387</v>
      </c>
      <c r="N88" s="21" t="n">
        <f aca="false">N87+L88-M88</f>
        <v>13305.5147096778</v>
      </c>
      <c r="O88" s="21" t="n">
        <f aca="false">O87+Rencana_Dalops!M88*IF(Asumsi!$C$5&gt;0,IF(E88&gt;0,D88/E88,0)/Asumsi!$C$5,0)</f>
        <v>124988.21</v>
      </c>
      <c r="P88" s="21" t="n">
        <f aca="false">H88+O88*Asumsi!$C$5</f>
        <v>156255.282009873</v>
      </c>
      <c r="Q88" s="21" t="n">
        <f aca="false">Q87+Rencana_Dalops!P88*IF(Asumsi!$C$5&gt;0,IF(E88&gt;0,D88/E88,0)/Asumsi!$C$5,0)</f>
        <v>136042.65</v>
      </c>
      <c r="R88" s="21" t="n">
        <f aca="false">K88+Q88*Asumsi!$C$5</f>
        <v>211839.1636</v>
      </c>
      <c r="S88" s="21" t="n">
        <f aca="false">S87+Rencana_Dalops!T88*IF(Asumsi!$C$5&gt;0,IF(E88&gt;0,D88/E88,0)/Asumsi!$C$5,0)</f>
        <v>61810.384</v>
      </c>
      <c r="T88" s="21" t="n">
        <f aca="false">N88+S88*Asumsi!$C$5</f>
        <v>75115.8987096777</v>
      </c>
      <c r="U88" s="22" t="n">
        <f aca="false">IF(OR(C88=0,O88&lt;=0),"",P88/O88)</f>
        <v>1.25016017118633</v>
      </c>
      <c r="V88" s="22" t="n">
        <f aca="false">IF(OR(C88=0,Q88&lt;=0),"",R88/Q88)</f>
        <v>1.55715258119421</v>
      </c>
      <c r="W88" s="22" t="n">
        <f aca="false">IF(OR(C88=0,S88&lt;=0),"",T88/S88)</f>
        <v>1.2152634209436</v>
      </c>
      <c r="X88" s="23" t="str">
        <f aca="false">IF(AND(C88=1,H88&lt;0),A88,"")</f>
        <v/>
      </c>
      <c r="Y88" s="23" t="str">
        <f aca="false">IF(AND(C88=1,K88&lt;0),A88,"")</f>
        <v/>
      </c>
      <c r="Z88" s="23" t="str">
        <f aca="false">IF(AND(C88=1,N88&lt;0),A88,"")</f>
        <v/>
      </c>
      <c r="AA88" s="21" t="n">
        <f aca="false">IF(C88=0,"",MIN(H88+Asumsi!$C$31-Asumsi!$C$34,K88+Asumsi!$C$32-Asumsi!$C$35,N88+Asumsi!$C$33-Asumsi!$C$36))</f>
        <v>9305.51470967779</v>
      </c>
      <c r="AB88" s="21" t="n">
        <f aca="false">IF(C88=1,H88,"")</f>
        <v>31267.0720098729</v>
      </c>
      <c r="AC88" s="21" t="n">
        <f aca="false">IF(C88=1,K88,"")</f>
        <v>75796.5136000001</v>
      </c>
      <c r="AD88" s="21" t="n">
        <f aca="false">IF(C88=1,N88,"")</f>
        <v>13305.5147096778</v>
      </c>
    </row>
    <row r="89" customFormat="false" ht="15" hidden="false" customHeight="false" outlineLevel="0" collapsed="false">
      <c r="A89" s="32" t="n">
        <f aca="false">Rencana_Dalops!A89</f>
        <v>46386</v>
      </c>
      <c r="B89" s="33" t="n">
        <f aca="false">A89-Rencana_Dalops!$A$3+1</f>
        <v>87</v>
      </c>
      <c r="C89" s="33" t="n">
        <f aca="false">IF(A89&lt;=Asumsi!$C$6,1,0)</f>
        <v>1</v>
      </c>
      <c r="D89" s="34" t="n">
        <f aca="false">(Rencana_Dalops!B89*Asumsi!$C$10+Rencana_Dalops!C89*Asumsi!$C$11+Rencana_Dalops!D89*Asumsi!$C$12+Rencana_Dalops!E89*Asumsi!$C$13+Rencana_Dalops!F89*Asumsi!$C$14)*Asumsi!$C$5</f>
        <v>6800</v>
      </c>
      <c r="E89" s="35" t="n">
        <f aca="false">Rencana_Dalops!G89</f>
        <v>6800</v>
      </c>
      <c r="F89" s="34" t="n">
        <f aca="false">Rencana_Dalops!H89*Asumsi!$C$17*(1-Rencana_Dalops!I89)+Rencana_Dalops!J89*Asumsi!$C$18+Rencana_Dalops!K89*Asumsi!$C$19</f>
        <v>1751.8924731345</v>
      </c>
      <c r="G89" s="34" t="n">
        <f aca="false">Rencana_Dalops!L89*Asumsi!$C$25+Rencana_Dalops!M89*IF(E89&gt;0,D89/E89,0)</f>
        <v>1562.9850967742</v>
      </c>
      <c r="H89" s="21" t="n">
        <f aca="false">H88+F89-G89</f>
        <v>31455.9793862332</v>
      </c>
      <c r="I89" s="34" t="n">
        <f aca="false">IF(B89-Asumsi!$C$21&gt;=1,INDEX(Rencana_Dalops!$N$3:$N$90,B89-Asumsi!$C$21),0)*Asumsi!$C$20</f>
        <v>5000</v>
      </c>
      <c r="J89" s="34" t="n">
        <f aca="false">Rencana_Dalops!O89+Rencana_Dalops!P89*IF(E89&gt;0,D89/E89,0)</f>
        <v>1828.38</v>
      </c>
      <c r="K89" s="21" t="n">
        <f aca="false">K88+I89-J89</f>
        <v>78968.1336000001</v>
      </c>
      <c r="L89" s="34" t="n">
        <f aca="false">Rencana_Dalops!Q89*Asumsi!$C$22+Rencana_Dalops!R89*Asumsi!$C$23</f>
        <v>3111</v>
      </c>
      <c r="M89" s="34" t="n">
        <f aca="false">Rencana_Dalops!S89*Asumsi!$C$24+Rencana_Dalops!T89*IF(E89&gt;0,D89/E89,0)</f>
        <v>3458.5905548387</v>
      </c>
      <c r="N89" s="21" t="n">
        <f aca="false">N88+L89-M89</f>
        <v>12957.9241548391</v>
      </c>
      <c r="O89" s="21" t="n">
        <f aca="false">O88+Rencana_Dalops!M89*IF(Asumsi!$C$5&gt;0,IF(E89&gt;0,D89/E89,0)/Asumsi!$C$5,0)</f>
        <v>126502.808</v>
      </c>
      <c r="P89" s="21" t="n">
        <f aca="false">H89+O89*Asumsi!$C$5</f>
        <v>157958.787386233</v>
      </c>
      <c r="Q89" s="21" t="n">
        <f aca="false">Q88+Rencana_Dalops!P89*IF(Asumsi!$C$5&gt;0,IF(E89&gt;0,D89/E89,0)/Asumsi!$C$5,0)</f>
        <v>137860.95</v>
      </c>
      <c r="R89" s="21" t="n">
        <f aca="false">K89+Q89*Asumsi!$C$5</f>
        <v>216829.0836</v>
      </c>
      <c r="S89" s="21" t="n">
        <f aca="false">S88+Rencana_Dalops!T89*IF(Asumsi!$C$5&gt;0,IF(E89&gt;0,D89/E89,0)/Asumsi!$C$5,0)</f>
        <v>62568.8152</v>
      </c>
      <c r="T89" s="21" t="n">
        <f aca="false">N89+S89*Asumsi!$C$5</f>
        <v>75526.739354839</v>
      </c>
      <c r="U89" s="22" t="n">
        <f aca="false">IF(OR(C89=0,O89&lt;=0),"",P89/O89)</f>
        <v>1.24865834904023</v>
      </c>
      <c r="V89" s="22" t="n">
        <f aca="false">IF(OR(C89=0,Q89&lt;=0),"",R89/Q89)</f>
        <v>1.57281002053156</v>
      </c>
      <c r="W89" s="22" t="n">
        <f aca="false">IF(OR(C89=0,S89&lt;=0),"",T89/S89)</f>
        <v>1.20709876179402</v>
      </c>
      <c r="X89" s="23" t="str">
        <f aca="false">IF(AND(C89=1,H89&lt;0),A89,"")</f>
        <v/>
      </c>
      <c r="Y89" s="23" t="str">
        <f aca="false">IF(AND(C89=1,K89&lt;0),A89,"")</f>
        <v/>
      </c>
      <c r="Z89" s="23" t="str">
        <f aca="false">IF(AND(C89=1,N89&lt;0),A89,"")</f>
        <v/>
      </c>
      <c r="AA89" s="21" t="n">
        <f aca="false">IF(C89=0,"",MIN(H89+Asumsi!$C$31-Asumsi!$C$34,K89+Asumsi!$C$32-Asumsi!$C$35,N89+Asumsi!$C$33-Asumsi!$C$36))</f>
        <v>8957.92415483909</v>
      </c>
      <c r="AB89" s="21" t="n">
        <f aca="false">IF(C89=1,H89,"")</f>
        <v>31455.9793862332</v>
      </c>
      <c r="AC89" s="21" t="n">
        <f aca="false">IF(C89=1,K89,"")</f>
        <v>78968.1336000001</v>
      </c>
      <c r="AD89" s="21" t="n">
        <f aca="false">IF(C89=1,N89,"")</f>
        <v>12957.9241548391</v>
      </c>
    </row>
    <row r="90" customFormat="false" ht="15" hidden="false" customHeight="false" outlineLevel="0" collapsed="false">
      <c r="A90" s="32" t="n">
        <f aca="false">Rencana_Dalops!A90</f>
        <v>46387</v>
      </c>
      <c r="B90" s="33" t="n">
        <f aca="false">A90-Rencana_Dalops!$A$3+1</f>
        <v>88</v>
      </c>
      <c r="C90" s="33" t="n">
        <f aca="false">IF(A90&lt;=Asumsi!$C$6,1,0)</f>
        <v>1</v>
      </c>
      <c r="D90" s="34" t="n">
        <f aca="false">(Rencana_Dalops!B90*Asumsi!$C$10+Rencana_Dalops!C90*Asumsi!$C$11+Rencana_Dalops!D90*Asumsi!$C$12+Rencana_Dalops!E90*Asumsi!$C$13+Rencana_Dalops!F90*Asumsi!$C$14)*Asumsi!$C$5</f>
        <v>6800</v>
      </c>
      <c r="E90" s="35" t="n">
        <f aca="false">Rencana_Dalops!G90</f>
        <v>6800</v>
      </c>
      <c r="F90" s="34" t="n">
        <f aca="false">Rencana_Dalops!H90*Asumsi!$C$17*(1-Rencana_Dalops!I90)+Rencana_Dalops!J90*Asumsi!$C$18+Rencana_Dalops!K90*Asumsi!$C$19</f>
        <v>1751.8924731345</v>
      </c>
      <c r="G90" s="34" t="n">
        <f aca="false">Rencana_Dalops!L90*Asumsi!$C$25+Rencana_Dalops!M90*IF(E90&gt;0,D90/E90,0)</f>
        <v>1562.9850967742</v>
      </c>
      <c r="H90" s="21" t="n">
        <f aca="false">H89+F90-G90</f>
        <v>31644.8867625935</v>
      </c>
      <c r="I90" s="34" t="n">
        <f aca="false">IF(B90-Asumsi!$C$21&gt;=1,INDEX(Rencana_Dalops!$N$3:$N$90,B90-Asumsi!$C$21),0)*Asumsi!$C$20</f>
        <v>5000</v>
      </c>
      <c r="J90" s="34" t="n">
        <f aca="false">Rencana_Dalops!O90+Rencana_Dalops!P90*IF(E90&gt;0,D90/E90,0)</f>
        <v>1828.38</v>
      </c>
      <c r="K90" s="21" t="n">
        <f aca="false">K89+I90-J90</f>
        <v>82139.7536000001</v>
      </c>
      <c r="L90" s="34" t="n">
        <f aca="false">Rencana_Dalops!Q90*Asumsi!$C$22+Rencana_Dalops!R90*Asumsi!$C$23</f>
        <v>3111</v>
      </c>
      <c r="M90" s="34" t="n">
        <f aca="false">Rencana_Dalops!S90*Asumsi!$C$24+Rencana_Dalops!T90*IF(E90&gt;0,D90/E90,0)</f>
        <v>3458.5905548387</v>
      </c>
      <c r="N90" s="21" t="n">
        <f aca="false">N89+L90-M90</f>
        <v>12610.3336000004</v>
      </c>
      <c r="O90" s="21" t="n">
        <f aca="false">O89+Rencana_Dalops!M90*IF(Asumsi!$C$5&gt;0,IF(E90&gt;0,D90/E90,0)/Asumsi!$C$5,0)</f>
        <v>128017.406</v>
      </c>
      <c r="P90" s="21" t="n">
        <f aca="false">H90+O90*Asumsi!$C$5</f>
        <v>159662.292762594</v>
      </c>
      <c r="Q90" s="21" t="n">
        <f aca="false">Q89+Rencana_Dalops!P90*IF(Asumsi!$C$5&gt;0,IF(E90&gt;0,D90/E90,0)/Asumsi!$C$5,0)</f>
        <v>139679.25</v>
      </c>
      <c r="R90" s="21" t="n">
        <f aca="false">K90+Q90*Asumsi!$C$5</f>
        <v>221819.0036</v>
      </c>
      <c r="S90" s="21" t="n">
        <f aca="false">S89+Rencana_Dalops!T90*IF(Asumsi!$C$5&gt;0,IF(E90&gt;0,D90/E90,0)/Asumsi!$C$5,0)</f>
        <v>63327.2464</v>
      </c>
      <c r="T90" s="21" t="n">
        <f aca="false">N90+S90*Asumsi!$C$5</f>
        <v>75937.5800000003</v>
      </c>
      <c r="U90" s="22" t="n">
        <f aca="false">IF(OR(C90=0,O90&lt;=0),"",P90/O90)</f>
        <v>1.24719206357449</v>
      </c>
      <c r="V90" s="22" t="n">
        <f aca="false">IF(OR(C90=0,Q90&lt;=0),"",R90/Q90)</f>
        <v>1.58805981274957</v>
      </c>
      <c r="W90" s="22" t="n">
        <f aca="false">IF(OR(C90=0,S90&lt;=0),"",T90/S90)</f>
        <v>1.19912966877398</v>
      </c>
      <c r="X90" s="23" t="str">
        <f aca="false">IF(AND(C90=1,H90&lt;0),A90,"")</f>
        <v/>
      </c>
      <c r="Y90" s="23" t="str">
        <f aca="false">IF(AND(C90=1,K90&lt;0),A90,"")</f>
        <v/>
      </c>
      <c r="Z90" s="23" t="str">
        <f aca="false">IF(AND(C90=1,N90&lt;0),A90,"")</f>
        <v/>
      </c>
      <c r="AA90" s="21" t="n">
        <f aca="false">IF(C90=0,"",MIN(H90+Asumsi!$C$31-Asumsi!$C$34,K90+Asumsi!$C$32-Asumsi!$C$35,N90+Asumsi!$C$33-Asumsi!$C$36))</f>
        <v>8610.33360000039</v>
      </c>
      <c r="AB90" s="21" t="n">
        <f aca="false">IF(C90=1,H90,"")</f>
        <v>31644.8867625935</v>
      </c>
      <c r="AC90" s="21" t="n">
        <f aca="false">IF(C90=1,K90,"")</f>
        <v>82139.7536000001</v>
      </c>
      <c r="AD90" s="21" t="n">
        <f aca="false">IF(C90=1,N90,"")</f>
        <v>12610.3336000004</v>
      </c>
    </row>
  </sheetData>
  <mergeCells count="5">
    <mergeCell ref="F1:H1"/>
    <mergeCell ref="I1:K1"/>
    <mergeCell ref="L1:N1"/>
    <mergeCell ref="O1:W1"/>
    <mergeCell ref="X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3"/>
  </cols>
  <sheetData>
    <row r="1" customFormat="false" ht="15" hidden="false" customHeight="true" outlineLevel="0" collapsed="false">
      <c r="B1" s="14" t="s">
        <v>159</v>
      </c>
      <c r="C1" s="14"/>
      <c r="D1" s="14"/>
      <c r="E1" s="14"/>
      <c r="F1" s="14"/>
      <c r="G1" s="14"/>
      <c r="H1" s="14" t="s">
        <v>160</v>
      </c>
      <c r="I1" s="14"/>
      <c r="J1" s="14"/>
      <c r="K1" s="14"/>
      <c r="L1" s="14"/>
      <c r="M1" s="14"/>
      <c r="N1" s="14" t="s">
        <v>161</v>
      </c>
      <c r="O1" s="14"/>
      <c r="P1" s="14"/>
      <c r="Q1" s="14" t="s">
        <v>162</v>
      </c>
      <c r="R1" s="14"/>
      <c r="S1" s="14"/>
      <c r="T1" s="14"/>
    </row>
    <row r="2" customFormat="false" ht="31.5" hidden="false" customHeight="true" outlineLevel="0" collapsed="false">
      <c r="A2" s="15" t="s">
        <v>129</v>
      </c>
      <c r="B2" s="15" t="s">
        <v>76</v>
      </c>
      <c r="C2" s="15" t="s">
        <v>78</v>
      </c>
      <c r="D2" s="15" t="s">
        <v>80</v>
      </c>
      <c r="E2" s="15" t="s">
        <v>82</v>
      </c>
      <c r="F2" s="15" t="s">
        <v>84</v>
      </c>
      <c r="G2" s="15" t="s">
        <v>133</v>
      </c>
      <c r="H2" s="15" t="s">
        <v>163</v>
      </c>
      <c r="I2" s="15" t="s">
        <v>164</v>
      </c>
      <c r="J2" s="15" t="s">
        <v>165</v>
      </c>
      <c r="K2" s="15" t="s">
        <v>166</v>
      </c>
      <c r="L2" s="15" t="s">
        <v>167</v>
      </c>
      <c r="M2" s="15" t="s">
        <v>168</v>
      </c>
      <c r="N2" s="15" t="s">
        <v>169</v>
      </c>
      <c r="O2" s="15" t="s">
        <v>170</v>
      </c>
      <c r="P2" s="15" t="s">
        <v>171</v>
      </c>
      <c r="Q2" s="15" t="s">
        <v>172</v>
      </c>
      <c r="R2" s="15" t="s">
        <v>173</v>
      </c>
      <c r="S2" s="15" t="s">
        <v>174</v>
      </c>
      <c r="T2" s="15" t="s">
        <v>175</v>
      </c>
    </row>
    <row r="3" customFormat="false" ht="15" hidden="false" customHeight="false" outlineLevel="0" collapsed="false">
      <c r="A3" s="23" t="n">
        <v>46300</v>
      </c>
      <c r="B3" s="34" t="n">
        <v>1400</v>
      </c>
      <c r="C3" s="34" t="n">
        <v>1800</v>
      </c>
      <c r="D3" s="34" t="n">
        <v>0</v>
      </c>
      <c r="E3" s="34" t="n">
        <v>1800</v>
      </c>
      <c r="F3" s="34" t="n">
        <v>1800</v>
      </c>
      <c r="G3" s="34" t="n">
        <f aca="false">SUM(B3:F3)</f>
        <v>6800</v>
      </c>
      <c r="H3" s="34" t="n">
        <v>555.5555555556</v>
      </c>
      <c r="I3" s="36" t="n">
        <v>0.0580645161</v>
      </c>
      <c r="J3" s="34" t="n">
        <v>1226.8882016461</v>
      </c>
      <c r="K3" s="34" t="n">
        <v>0</v>
      </c>
      <c r="L3" s="34" t="n">
        <v>105.5555555556</v>
      </c>
      <c r="M3" s="34" t="n">
        <v>1514.598</v>
      </c>
      <c r="N3" s="34" t="n">
        <v>0</v>
      </c>
      <c r="O3" s="34" t="n">
        <v>25.2</v>
      </c>
      <c r="P3" s="34" t="n">
        <v>1713.8</v>
      </c>
      <c r="Q3" s="34" t="n">
        <v>3016.5</v>
      </c>
      <c r="R3" s="34" t="n">
        <v>0</v>
      </c>
      <c r="S3" s="34" t="n">
        <v>2622.5766666667</v>
      </c>
      <c r="T3" s="34" t="n">
        <v>758.4312</v>
      </c>
    </row>
    <row r="4" customFormat="false" ht="15" hidden="false" customHeight="false" outlineLevel="0" collapsed="false">
      <c r="A4" s="23" t="n">
        <v>46301</v>
      </c>
      <c r="B4" s="34" t="n">
        <v>1400</v>
      </c>
      <c r="C4" s="34" t="n">
        <v>1800</v>
      </c>
      <c r="D4" s="34" t="n">
        <v>0</v>
      </c>
      <c r="E4" s="34" t="n">
        <v>1800</v>
      </c>
      <c r="F4" s="34" t="n">
        <v>1800</v>
      </c>
      <c r="G4" s="34" t="n">
        <f aca="false">SUM(B4:F4)</f>
        <v>6800</v>
      </c>
      <c r="H4" s="34" t="n">
        <v>555.5555555556</v>
      </c>
      <c r="I4" s="36" t="n">
        <v>0.0580645161</v>
      </c>
      <c r="J4" s="34" t="n">
        <v>1226.8882016461</v>
      </c>
      <c r="K4" s="34" t="n">
        <v>0</v>
      </c>
      <c r="L4" s="34" t="n">
        <v>130.5555555556</v>
      </c>
      <c r="M4" s="34" t="n">
        <v>1514.598</v>
      </c>
      <c r="N4" s="34" t="n">
        <v>0</v>
      </c>
      <c r="O4" s="34" t="n">
        <v>25.2</v>
      </c>
      <c r="P4" s="34" t="n">
        <v>1713.8</v>
      </c>
      <c r="Q4" s="34" t="n">
        <v>3016.5</v>
      </c>
      <c r="R4" s="34" t="n">
        <v>0</v>
      </c>
      <c r="S4" s="34" t="n">
        <v>2622.5766666667</v>
      </c>
      <c r="T4" s="34" t="n">
        <v>758.4312</v>
      </c>
    </row>
    <row r="5" customFormat="false" ht="15" hidden="false" customHeight="false" outlineLevel="0" collapsed="false">
      <c r="A5" s="23" t="n">
        <v>46302</v>
      </c>
      <c r="B5" s="34" t="n">
        <v>1400</v>
      </c>
      <c r="C5" s="34" t="n">
        <v>1800</v>
      </c>
      <c r="D5" s="34" t="n">
        <v>0</v>
      </c>
      <c r="E5" s="34" t="n">
        <v>1800</v>
      </c>
      <c r="F5" s="34" t="n">
        <v>1800</v>
      </c>
      <c r="G5" s="34" t="n">
        <f aca="false">SUM(B5:F5)</f>
        <v>6800</v>
      </c>
      <c r="H5" s="34" t="n">
        <v>555.5555555556</v>
      </c>
      <c r="I5" s="36" t="n">
        <v>0.0580645161</v>
      </c>
      <c r="J5" s="34" t="n">
        <v>1226.8882016461</v>
      </c>
      <c r="K5" s="34" t="n">
        <v>0</v>
      </c>
      <c r="L5" s="34" t="n">
        <v>130.5555555556</v>
      </c>
      <c r="M5" s="34" t="n">
        <v>1514.598</v>
      </c>
      <c r="N5" s="34" t="n">
        <v>0</v>
      </c>
      <c r="O5" s="34" t="n">
        <v>25.2</v>
      </c>
      <c r="P5" s="34" t="n">
        <v>1713.8</v>
      </c>
      <c r="Q5" s="34" t="n">
        <v>3016.5</v>
      </c>
      <c r="R5" s="34" t="n">
        <v>0</v>
      </c>
      <c r="S5" s="34" t="n">
        <v>2622.5766666667</v>
      </c>
      <c r="T5" s="34" t="n">
        <v>758.4312</v>
      </c>
    </row>
    <row r="6" customFormat="false" ht="15" hidden="false" customHeight="false" outlineLevel="0" collapsed="false">
      <c r="A6" s="23" t="n">
        <v>46303</v>
      </c>
      <c r="B6" s="34" t="n">
        <v>1400</v>
      </c>
      <c r="C6" s="34" t="n">
        <v>1800</v>
      </c>
      <c r="D6" s="34" t="n">
        <v>0</v>
      </c>
      <c r="E6" s="34" t="n">
        <v>1800</v>
      </c>
      <c r="F6" s="34" t="n">
        <v>1800</v>
      </c>
      <c r="G6" s="34" t="n">
        <f aca="false">SUM(B6:F6)</f>
        <v>6800</v>
      </c>
      <c r="H6" s="34" t="n">
        <v>555.5555555556</v>
      </c>
      <c r="I6" s="36" t="n">
        <v>0.0580645161</v>
      </c>
      <c r="J6" s="34" t="n">
        <v>1226.8882016461</v>
      </c>
      <c r="K6" s="34" t="n">
        <v>0</v>
      </c>
      <c r="L6" s="34" t="n">
        <v>130.5555555556</v>
      </c>
      <c r="M6" s="34" t="n">
        <v>1514.598</v>
      </c>
      <c r="N6" s="34" t="n">
        <v>5000</v>
      </c>
      <c r="O6" s="34" t="n">
        <v>25.2</v>
      </c>
      <c r="P6" s="34" t="n">
        <v>1713.8</v>
      </c>
      <c r="Q6" s="34" t="n">
        <v>3016.5</v>
      </c>
      <c r="R6" s="34" t="n">
        <v>0</v>
      </c>
      <c r="S6" s="34" t="n">
        <v>2622.5766666667</v>
      </c>
      <c r="T6" s="34" t="n">
        <v>758.4312</v>
      </c>
    </row>
    <row r="7" customFormat="false" ht="15" hidden="false" customHeight="false" outlineLevel="0" collapsed="false">
      <c r="A7" s="23" t="n">
        <v>46304</v>
      </c>
      <c r="B7" s="34" t="n">
        <v>1400</v>
      </c>
      <c r="C7" s="34" t="n">
        <v>1800</v>
      </c>
      <c r="D7" s="34" t="n">
        <v>0</v>
      </c>
      <c r="E7" s="34" t="n">
        <v>1800</v>
      </c>
      <c r="F7" s="34" t="n">
        <v>1800</v>
      </c>
      <c r="G7" s="34" t="n">
        <f aca="false">SUM(B7:F7)</f>
        <v>6800</v>
      </c>
      <c r="H7" s="34" t="n">
        <v>555.5555555556</v>
      </c>
      <c r="I7" s="36" t="n">
        <v>0.0580645161</v>
      </c>
      <c r="J7" s="34" t="n">
        <v>1226.8882016461</v>
      </c>
      <c r="K7" s="34" t="n">
        <v>0</v>
      </c>
      <c r="L7" s="34" t="n">
        <v>130.5555555556</v>
      </c>
      <c r="M7" s="34" t="n">
        <v>1514.598</v>
      </c>
      <c r="N7" s="34" t="n">
        <v>5000</v>
      </c>
      <c r="O7" s="34" t="n">
        <v>25.2</v>
      </c>
      <c r="P7" s="34" t="n">
        <v>1713.8</v>
      </c>
      <c r="Q7" s="34" t="n">
        <v>2786.5</v>
      </c>
      <c r="R7" s="34" t="n">
        <v>0</v>
      </c>
      <c r="S7" s="34" t="n">
        <v>2622.5766666667</v>
      </c>
      <c r="T7" s="34" t="n">
        <v>758.4312</v>
      </c>
    </row>
    <row r="8" customFormat="false" ht="15" hidden="false" customHeight="false" outlineLevel="0" collapsed="false">
      <c r="A8" s="23" t="n">
        <v>46305</v>
      </c>
      <c r="B8" s="34" t="n">
        <v>1400</v>
      </c>
      <c r="C8" s="34" t="n">
        <v>1800</v>
      </c>
      <c r="D8" s="34" t="n">
        <v>0</v>
      </c>
      <c r="E8" s="34" t="n">
        <v>1800</v>
      </c>
      <c r="F8" s="34" t="n">
        <v>0</v>
      </c>
      <c r="G8" s="34" t="n">
        <f aca="false">SUM(B8:F8)</f>
        <v>5000</v>
      </c>
      <c r="H8" s="34" t="n">
        <v>555.5555555556</v>
      </c>
      <c r="I8" s="36" t="n">
        <v>0.0580645161</v>
      </c>
      <c r="J8" s="34" t="n">
        <v>1226.8882016461</v>
      </c>
      <c r="K8" s="34" t="n">
        <v>0</v>
      </c>
      <c r="L8" s="34" t="n">
        <v>130.5555555556</v>
      </c>
      <c r="M8" s="34" t="n">
        <v>1113.675</v>
      </c>
      <c r="N8" s="34" t="n">
        <v>5000</v>
      </c>
      <c r="O8" s="34" t="n">
        <v>25.2</v>
      </c>
      <c r="P8" s="34" t="n">
        <v>1337.6</v>
      </c>
      <c r="Q8" s="34" t="n">
        <v>2786.5</v>
      </c>
      <c r="R8" s="34" t="n">
        <v>2000</v>
      </c>
      <c r="S8" s="34" t="n">
        <v>2622.5766666667</v>
      </c>
      <c r="T8" s="34" t="n">
        <v>557.67</v>
      </c>
    </row>
    <row r="9" customFormat="false" ht="15" hidden="false" customHeight="false" outlineLevel="0" collapsed="false">
      <c r="A9" s="23" t="n">
        <v>46306</v>
      </c>
      <c r="B9" s="34" t="n">
        <v>1400</v>
      </c>
      <c r="C9" s="34" t="n">
        <v>1800</v>
      </c>
      <c r="D9" s="34" t="n">
        <v>0</v>
      </c>
      <c r="E9" s="34" t="n">
        <v>1800</v>
      </c>
      <c r="F9" s="34" t="n">
        <v>0</v>
      </c>
      <c r="G9" s="34" t="n">
        <f aca="false">SUM(B9:F9)</f>
        <v>5000</v>
      </c>
      <c r="H9" s="34" t="n">
        <v>555.5555555556</v>
      </c>
      <c r="I9" s="36" t="n">
        <v>0.0580645161</v>
      </c>
      <c r="J9" s="34" t="n">
        <v>1226.8882016461</v>
      </c>
      <c r="K9" s="34" t="n">
        <v>0</v>
      </c>
      <c r="L9" s="34" t="n">
        <v>130.5555555556</v>
      </c>
      <c r="M9" s="34" t="n">
        <v>1113.675</v>
      </c>
      <c r="N9" s="34" t="n">
        <v>5000</v>
      </c>
      <c r="O9" s="34" t="n">
        <v>25.2</v>
      </c>
      <c r="P9" s="34" t="n">
        <v>1233.1</v>
      </c>
      <c r="Q9" s="34" t="n">
        <v>2786.5</v>
      </c>
      <c r="R9" s="34" t="n">
        <v>1000</v>
      </c>
      <c r="S9" s="34" t="n">
        <v>2622.5766666667</v>
      </c>
      <c r="T9" s="34" t="n">
        <v>557.67</v>
      </c>
    </row>
    <row r="10" customFormat="false" ht="15" hidden="false" customHeight="false" outlineLevel="0" collapsed="false">
      <c r="A10" s="23" t="n">
        <v>46307</v>
      </c>
      <c r="B10" s="34" t="n">
        <v>1400</v>
      </c>
      <c r="C10" s="34" t="n">
        <v>1800</v>
      </c>
      <c r="D10" s="34" t="n">
        <v>0</v>
      </c>
      <c r="E10" s="34" t="n">
        <v>1800</v>
      </c>
      <c r="F10" s="34" t="n">
        <v>1800</v>
      </c>
      <c r="G10" s="34" t="n">
        <f aca="false">SUM(B10:F10)</f>
        <v>6800</v>
      </c>
      <c r="H10" s="34" t="n">
        <v>555.5555555556</v>
      </c>
      <c r="I10" s="36" t="n">
        <v>0.0580645161</v>
      </c>
      <c r="J10" s="34" t="n">
        <v>1226.8882016461</v>
      </c>
      <c r="K10" s="34" t="n">
        <v>0</v>
      </c>
      <c r="L10" s="34" t="n">
        <v>55.5555555556</v>
      </c>
      <c r="M10" s="34" t="n">
        <v>1514.598</v>
      </c>
      <c r="N10" s="34" t="n">
        <v>7500</v>
      </c>
      <c r="O10" s="34" t="n">
        <v>25.2</v>
      </c>
      <c r="P10" s="34" t="n">
        <v>1680.125</v>
      </c>
      <c r="Q10" s="34" t="n">
        <v>2786.5</v>
      </c>
      <c r="R10" s="34" t="n">
        <v>1200</v>
      </c>
      <c r="S10" s="34" t="n">
        <v>2622.5766666667</v>
      </c>
      <c r="T10" s="34" t="n">
        <v>758.4312</v>
      </c>
    </row>
    <row r="11" customFormat="false" ht="15" hidden="false" customHeight="false" outlineLevel="0" collapsed="false">
      <c r="A11" s="23" t="n">
        <v>46308</v>
      </c>
      <c r="B11" s="34" t="n">
        <v>0</v>
      </c>
      <c r="C11" s="34" t="n">
        <v>1800</v>
      </c>
      <c r="D11" s="34" t="n">
        <v>0</v>
      </c>
      <c r="E11" s="34" t="n">
        <v>1800</v>
      </c>
      <c r="F11" s="34" t="n">
        <v>1800</v>
      </c>
      <c r="G11" s="34" t="n">
        <f aca="false">SUM(B11:F11)</f>
        <v>5400</v>
      </c>
      <c r="H11" s="34" t="n">
        <v>555.5555555556</v>
      </c>
      <c r="I11" s="36" t="n">
        <v>0.0580645161</v>
      </c>
      <c r="J11" s="34" t="n">
        <v>1226.8882016461</v>
      </c>
      <c r="K11" s="34" t="n">
        <v>0</v>
      </c>
      <c r="L11" s="34" t="n">
        <v>55.5555555556</v>
      </c>
      <c r="M11" s="34" t="n">
        <v>1202.769</v>
      </c>
      <c r="N11" s="34" t="n">
        <v>0</v>
      </c>
      <c r="O11" s="34" t="n">
        <v>25.2</v>
      </c>
      <c r="P11" s="34" t="n">
        <v>1492.025</v>
      </c>
      <c r="Q11" s="34" t="n">
        <v>2786.5</v>
      </c>
      <c r="R11" s="34" t="n">
        <v>0</v>
      </c>
      <c r="S11" s="34" t="n">
        <v>2622.5766666667</v>
      </c>
      <c r="T11" s="34" t="n">
        <v>602.2836</v>
      </c>
    </row>
    <row r="12" customFormat="false" ht="15" hidden="false" customHeight="false" outlineLevel="0" collapsed="false">
      <c r="A12" s="23" t="n">
        <v>46309</v>
      </c>
      <c r="B12" s="34" t="n">
        <v>1400</v>
      </c>
      <c r="C12" s="34" t="n">
        <v>1800</v>
      </c>
      <c r="D12" s="34" t="n">
        <v>0</v>
      </c>
      <c r="E12" s="34" t="n">
        <v>0</v>
      </c>
      <c r="F12" s="34" t="n">
        <v>1800</v>
      </c>
      <c r="G12" s="34" t="n">
        <f aca="false">SUM(B12:F12)</f>
        <v>5000</v>
      </c>
      <c r="H12" s="34" t="n">
        <v>555.5555555556</v>
      </c>
      <c r="I12" s="36" t="n">
        <v>0.0580645161</v>
      </c>
      <c r="J12" s="34" t="n">
        <v>1226.8882016461</v>
      </c>
      <c r="K12" s="34" t="n">
        <v>0</v>
      </c>
      <c r="L12" s="34" t="n">
        <v>55.5555555556</v>
      </c>
      <c r="M12" s="34" t="n">
        <v>1113.675</v>
      </c>
      <c r="N12" s="34" t="n">
        <v>5000</v>
      </c>
      <c r="O12" s="34" t="n">
        <v>25.2</v>
      </c>
      <c r="P12" s="34" t="n">
        <v>1324.825</v>
      </c>
      <c r="Q12" s="34" t="n">
        <v>2786.5</v>
      </c>
      <c r="R12" s="34" t="n">
        <v>0</v>
      </c>
      <c r="S12" s="34" t="n">
        <v>2622.5766666667</v>
      </c>
      <c r="T12" s="34" t="n">
        <v>557.67</v>
      </c>
    </row>
    <row r="13" customFormat="false" ht="15" hidden="false" customHeight="false" outlineLevel="0" collapsed="false">
      <c r="A13" s="23" t="n">
        <v>46310</v>
      </c>
      <c r="B13" s="34" t="n">
        <v>1400</v>
      </c>
      <c r="C13" s="34" t="n">
        <v>1800</v>
      </c>
      <c r="D13" s="34" t="n">
        <v>0</v>
      </c>
      <c r="E13" s="34" t="n">
        <v>1800</v>
      </c>
      <c r="F13" s="34" t="n">
        <v>1800</v>
      </c>
      <c r="G13" s="34" t="n">
        <f aca="false">SUM(B13:F13)</f>
        <v>6800</v>
      </c>
      <c r="H13" s="34" t="n">
        <v>555.5555555556</v>
      </c>
      <c r="I13" s="36" t="n">
        <v>0.0580645161</v>
      </c>
      <c r="J13" s="34" t="n">
        <v>1226.8882016461</v>
      </c>
      <c r="K13" s="34" t="n">
        <v>5000</v>
      </c>
      <c r="L13" s="34" t="n">
        <v>55.5555555556</v>
      </c>
      <c r="M13" s="34" t="n">
        <v>1514.598</v>
      </c>
      <c r="N13" s="34" t="n">
        <v>5000</v>
      </c>
      <c r="O13" s="34" t="n">
        <v>25.2</v>
      </c>
      <c r="P13" s="34" t="n">
        <v>1784.625</v>
      </c>
      <c r="Q13" s="34" t="n">
        <v>2786.5</v>
      </c>
      <c r="R13" s="34" t="n">
        <v>0</v>
      </c>
      <c r="S13" s="34" t="n">
        <v>2622.5766666667</v>
      </c>
      <c r="T13" s="34" t="n">
        <v>758.4312</v>
      </c>
    </row>
    <row r="14" customFormat="false" ht="15" hidden="false" customHeight="false" outlineLevel="0" collapsed="false">
      <c r="A14" s="23" t="n">
        <v>46311</v>
      </c>
      <c r="B14" s="34" t="n">
        <v>1400</v>
      </c>
      <c r="C14" s="34" t="n">
        <v>1800</v>
      </c>
      <c r="D14" s="34" t="n">
        <v>0</v>
      </c>
      <c r="E14" s="34" t="n">
        <v>1800</v>
      </c>
      <c r="F14" s="34" t="n">
        <v>1800</v>
      </c>
      <c r="G14" s="34" t="n">
        <f aca="false">SUM(B14:F14)</f>
        <v>6800</v>
      </c>
      <c r="H14" s="34" t="n">
        <v>0</v>
      </c>
      <c r="I14" s="36" t="n">
        <v>0.0580645161</v>
      </c>
      <c r="J14" s="34" t="n">
        <v>1226.8882016461</v>
      </c>
      <c r="K14" s="34" t="n">
        <v>5000</v>
      </c>
      <c r="L14" s="34" t="n">
        <v>55.5555555556</v>
      </c>
      <c r="M14" s="34" t="n">
        <v>1514.598</v>
      </c>
      <c r="N14" s="34" t="n">
        <v>5000</v>
      </c>
      <c r="O14" s="34" t="n">
        <v>25.2</v>
      </c>
      <c r="P14" s="34" t="n">
        <v>1784.625</v>
      </c>
      <c r="Q14" s="34" t="n">
        <v>2786.5</v>
      </c>
      <c r="R14" s="34" t="n">
        <v>0</v>
      </c>
      <c r="S14" s="34" t="n">
        <v>2622.5766666667</v>
      </c>
      <c r="T14" s="34" t="n">
        <v>758.4312</v>
      </c>
    </row>
    <row r="15" customFormat="false" ht="15" hidden="false" customHeight="false" outlineLevel="0" collapsed="false">
      <c r="A15" s="23" t="n">
        <v>46312</v>
      </c>
      <c r="B15" s="34" t="n">
        <v>1400</v>
      </c>
      <c r="C15" s="34" t="n">
        <v>1800</v>
      </c>
      <c r="D15" s="34" t="n">
        <v>0</v>
      </c>
      <c r="E15" s="34" t="n">
        <v>1800</v>
      </c>
      <c r="F15" s="34" t="n">
        <v>1800</v>
      </c>
      <c r="G15" s="34" t="n">
        <f aca="false">SUM(B15:F15)</f>
        <v>6800</v>
      </c>
      <c r="H15" s="34" t="n">
        <v>0</v>
      </c>
      <c r="I15" s="36" t="n">
        <v>0.0580645161</v>
      </c>
      <c r="J15" s="34" t="n">
        <v>1226.8882016461</v>
      </c>
      <c r="K15" s="34" t="n">
        <v>0</v>
      </c>
      <c r="L15" s="34" t="n">
        <v>55.5555555556</v>
      </c>
      <c r="M15" s="34" t="n">
        <v>1514.598</v>
      </c>
      <c r="N15" s="34" t="n">
        <v>5000</v>
      </c>
      <c r="O15" s="34" t="n">
        <v>25.2</v>
      </c>
      <c r="P15" s="34" t="n">
        <v>1784.625</v>
      </c>
      <c r="Q15" s="34" t="n">
        <v>2786.5</v>
      </c>
      <c r="R15" s="34" t="n">
        <v>0</v>
      </c>
      <c r="S15" s="34" t="n">
        <v>797.1166666667</v>
      </c>
      <c r="T15" s="34" t="n">
        <v>758.4312</v>
      </c>
    </row>
    <row r="16" customFormat="false" ht="15" hidden="false" customHeight="false" outlineLevel="0" collapsed="false">
      <c r="A16" s="23" t="n">
        <v>46313</v>
      </c>
      <c r="B16" s="34" t="n">
        <v>1400</v>
      </c>
      <c r="C16" s="34" t="n">
        <v>1800</v>
      </c>
      <c r="D16" s="34" t="n">
        <v>0</v>
      </c>
      <c r="E16" s="34" t="n">
        <v>1800</v>
      </c>
      <c r="F16" s="34" t="n">
        <v>1800</v>
      </c>
      <c r="G16" s="34" t="n">
        <f aca="false">SUM(B16:F16)</f>
        <v>6800</v>
      </c>
      <c r="H16" s="34" t="n">
        <v>0</v>
      </c>
      <c r="I16" s="36" t="n">
        <v>0.0580645161</v>
      </c>
      <c r="J16" s="34" t="n">
        <v>1226.8882016461</v>
      </c>
      <c r="K16" s="34" t="n">
        <v>0</v>
      </c>
      <c r="L16" s="34" t="n">
        <v>55.5555555556</v>
      </c>
      <c r="M16" s="34" t="n">
        <v>1514.598</v>
      </c>
      <c r="N16" s="34" t="n">
        <v>5947.864</v>
      </c>
      <c r="O16" s="34" t="n">
        <v>25.2</v>
      </c>
      <c r="P16" s="34" t="n">
        <v>1784.625</v>
      </c>
      <c r="Q16" s="34" t="n">
        <v>2786.5</v>
      </c>
      <c r="R16" s="34" t="n">
        <v>0</v>
      </c>
      <c r="S16" s="34" t="n">
        <v>2622.5766666667</v>
      </c>
      <c r="T16" s="34" t="n">
        <v>758.4312</v>
      </c>
    </row>
    <row r="17" customFormat="false" ht="15" hidden="false" customHeight="false" outlineLevel="0" collapsed="false">
      <c r="A17" s="23" t="n">
        <v>46314</v>
      </c>
      <c r="B17" s="34" t="n">
        <v>1400</v>
      </c>
      <c r="C17" s="34" t="n">
        <v>0</v>
      </c>
      <c r="D17" s="34" t="n">
        <v>0</v>
      </c>
      <c r="E17" s="34" t="n">
        <v>1800</v>
      </c>
      <c r="F17" s="34" t="n">
        <v>1800</v>
      </c>
      <c r="G17" s="34" t="n">
        <f aca="false">SUM(B17:F17)</f>
        <v>5000</v>
      </c>
      <c r="H17" s="34" t="n">
        <v>0</v>
      </c>
      <c r="I17" s="36" t="n">
        <v>0.0580645161</v>
      </c>
      <c r="J17" s="34" t="n">
        <v>1226.8882016461</v>
      </c>
      <c r="K17" s="34" t="n">
        <v>0</v>
      </c>
      <c r="L17" s="34" t="n">
        <v>55.5555555556</v>
      </c>
      <c r="M17" s="34" t="n">
        <v>1113.675</v>
      </c>
      <c r="N17" s="34" t="n">
        <v>0</v>
      </c>
      <c r="O17" s="34" t="n">
        <v>25.2</v>
      </c>
      <c r="P17" s="34" t="n">
        <v>1408.425</v>
      </c>
      <c r="Q17" s="34" t="n">
        <v>2786.5</v>
      </c>
      <c r="R17" s="34" t="n">
        <v>0</v>
      </c>
      <c r="S17" s="34" t="n">
        <v>2622.5766666667</v>
      </c>
      <c r="T17" s="34" t="n">
        <v>557.67</v>
      </c>
    </row>
    <row r="18" customFormat="false" ht="15" hidden="false" customHeight="false" outlineLevel="0" collapsed="false">
      <c r="A18" s="23" t="n">
        <v>46315</v>
      </c>
      <c r="B18" s="34" t="n">
        <v>1400</v>
      </c>
      <c r="C18" s="34" t="n">
        <v>1800</v>
      </c>
      <c r="D18" s="34" t="n">
        <v>0</v>
      </c>
      <c r="E18" s="34" t="n">
        <v>1800</v>
      </c>
      <c r="F18" s="34" t="n">
        <v>1800</v>
      </c>
      <c r="G18" s="34" t="n">
        <f aca="false">SUM(B18:F18)</f>
        <v>6800</v>
      </c>
      <c r="H18" s="34" t="n">
        <v>0</v>
      </c>
      <c r="I18" s="36" t="n">
        <v>0.0580645161</v>
      </c>
      <c r="J18" s="34" t="n">
        <v>1226.8882016461</v>
      </c>
      <c r="K18" s="34" t="n">
        <v>0</v>
      </c>
      <c r="L18" s="34" t="n">
        <v>55.5555555556</v>
      </c>
      <c r="M18" s="34" t="n">
        <v>1514.598</v>
      </c>
      <c r="N18" s="34" t="n">
        <v>5000</v>
      </c>
      <c r="O18" s="34" t="n">
        <v>25.2</v>
      </c>
      <c r="P18" s="34" t="n">
        <v>1784.625</v>
      </c>
      <c r="Q18" s="34" t="n">
        <v>2786.5</v>
      </c>
      <c r="R18" s="34" t="n">
        <v>0</v>
      </c>
      <c r="S18" s="34" t="n">
        <v>2622.5766666667</v>
      </c>
      <c r="T18" s="34" t="n">
        <v>758.4312</v>
      </c>
    </row>
    <row r="19" customFormat="false" ht="15" hidden="false" customHeight="false" outlineLevel="0" collapsed="false">
      <c r="A19" s="23" t="n">
        <v>46316</v>
      </c>
      <c r="B19" s="34" t="n">
        <v>1400</v>
      </c>
      <c r="C19" s="34" t="n">
        <v>1800</v>
      </c>
      <c r="D19" s="34" t="n">
        <v>0</v>
      </c>
      <c r="E19" s="34" t="n">
        <v>1800</v>
      </c>
      <c r="F19" s="34" t="n">
        <v>1800</v>
      </c>
      <c r="G19" s="34" t="n">
        <f aca="false">SUM(B19:F19)</f>
        <v>6800</v>
      </c>
      <c r="H19" s="34" t="n">
        <v>0</v>
      </c>
      <c r="I19" s="36" t="n">
        <v>0.0580645161</v>
      </c>
      <c r="J19" s="34" t="n">
        <v>1226.8882016461</v>
      </c>
      <c r="K19" s="34" t="n">
        <v>0</v>
      </c>
      <c r="L19" s="34" t="n">
        <v>55.5555555556</v>
      </c>
      <c r="M19" s="34" t="n">
        <v>1514.598</v>
      </c>
      <c r="N19" s="34" t="n">
        <v>5000</v>
      </c>
      <c r="O19" s="34" t="n">
        <v>25.2</v>
      </c>
      <c r="P19" s="34" t="n">
        <v>1784.625</v>
      </c>
      <c r="Q19" s="34" t="n">
        <v>2786.5</v>
      </c>
      <c r="R19" s="34" t="n">
        <v>0</v>
      </c>
      <c r="S19" s="34" t="n">
        <v>2622.5766666667</v>
      </c>
      <c r="T19" s="34" t="n">
        <v>758.4312</v>
      </c>
    </row>
    <row r="20" customFormat="false" ht="15" hidden="false" customHeight="false" outlineLevel="0" collapsed="false">
      <c r="A20" s="23" t="n">
        <v>46317</v>
      </c>
      <c r="B20" s="34" t="n">
        <v>1400</v>
      </c>
      <c r="C20" s="34" t="n">
        <v>1800</v>
      </c>
      <c r="D20" s="34" t="n">
        <v>0</v>
      </c>
      <c r="E20" s="34" t="n">
        <v>1800</v>
      </c>
      <c r="F20" s="34" t="n">
        <v>1800</v>
      </c>
      <c r="G20" s="34" t="n">
        <f aca="false">SUM(B20:F20)</f>
        <v>6800</v>
      </c>
      <c r="H20" s="34" t="n">
        <v>0</v>
      </c>
      <c r="I20" s="36" t="n">
        <v>0.0580645161</v>
      </c>
      <c r="J20" s="34" t="n">
        <v>1226.8882016461</v>
      </c>
      <c r="K20" s="34" t="n">
        <v>0</v>
      </c>
      <c r="L20" s="34" t="n">
        <v>55.5555555556</v>
      </c>
      <c r="M20" s="34" t="n">
        <v>1514.598</v>
      </c>
      <c r="N20" s="34" t="n">
        <v>5000</v>
      </c>
      <c r="O20" s="34" t="n">
        <v>25.2</v>
      </c>
      <c r="P20" s="34" t="n">
        <v>1680.125</v>
      </c>
      <c r="Q20" s="34" t="n">
        <v>2327.5</v>
      </c>
      <c r="R20" s="34" t="n">
        <v>2000</v>
      </c>
      <c r="S20" s="34" t="n">
        <v>2622.5766666667</v>
      </c>
      <c r="T20" s="34" t="n">
        <v>758.4312</v>
      </c>
    </row>
    <row r="21" customFormat="false" ht="15" hidden="false" customHeight="false" outlineLevel="0" collapsed="false">
      <c r="A21" s="23" t="n">
        <v>46318</v>
      </c>
      <c r="B21" s="34" t="n">
        <v>1400</v>
      </c>
      <c r="C21" s="34" t="n">
        <v>1800</v>
      </c>
      <c r="D21" s="34" t="n">
        <v>0</v>
      </c>
      <c r="E21" s="34" t="n">
        <v>1800</v>
      </c>
      <c r="F21" s="34" t="n">
        <v>1800</v>
      </c>
      <c r="G21" s="34" t="n">
        <f aca="false">SUM(B21:F21)</f>
        <v>6800</v>
      </c>
      <c r="H21" s="34" t="n">
        <v>0</v>
      </c>
      <c r="I21" s="36" t="n">
        <v>0.0580645161</v>
      </c>
      <c r="J21" s="34" t="n">
        <v>1226.8882016461</v>
      </c>
      <c r="K21" s="34" t="n">
        <v>0</v>
      </c>
      <c r="L21" s="34" t="n">
        <v>55.5555555556</v>
      </c>
      <c r="M21" s="34" t="n">
        <v>1514.598</v>
      </c>
      <c r="N21" s="34" t="n">
        <v>5000</v>
      </c>
      <c r="O21" s="34" t="n">
        <v>25.2</v>
      </c>
      <c r="P21" s="34" t="n">
        <v>1784.625</v>
      </c>
      <c r="Q21" s="34" t="n">
        <v>1950</v>
      </c>
      <c r="R21" s="34" t="n">
        <v>1000</v>
      </c>
      <c r="S21" s="34" t="n">
        <v>2411.4466666667</v>
      </c>
      <c r="T21" s="34" t="n">
        <v>758.4312</v>
      </c>
    </row>
    <row r="22" customFormat="false" ht="15" hidden="false" customHeight="false" outlineLevel="0" collapsed="false">
      <c r="A22" s="23" t="n">
        <v>46319</v>
      </c>
      <c r="B22" s="34" t="n">
        <v>1400</v>
      </c>
      <c r="C22" s="34" t="n">
        <v>1800</v>
      </c>
      <c r="D22" s="34" t="n">
        <v>0</v>
      </c>
      <c r="E22" s="34" t="n">
        <v>1800</v>
      </c>
      <c r="F22" s="34" t="n">
        <v>1800</v>
      </c>
      <c r="G22" s="34" t="n">
        <f aca="false">SUM(B22:F22)</f>
        <v>6800</v>
      </c>
      <c r="H22" s="34" t="n">
        <v>0</v>
      </c>
      <c r="I22" s="36" t="n">
        <v>0.0580645161</v>
      </c>
      <c r="J22" s="34" t="n">
        <v>1226.8882016461</v>
      </c>
      <c r="K22" s="34" t="n">
        <v>0</v>
      </c>
      <c r="L22" s="34" t="n">
        <v>55.5555555556</v>
      </c>
      <c r="M22" s="34" t="n">
        <v>1514.598</v>
      </c>
      <c r="N22" s="34" t="n">
        <v>5000</v>
      </c>
      <c r="O22" s="34" t="n">
        <v>25.2</v>
      </c>
      <c r="P22" s="34" t="n">
        <v>1784.625</v>
      </c>
      <c r="Q22" s="34" t="n">
        <v>1950</v>
      </c>
      <c r="R22" s="34" t="n">
        <v>1200</v>
      </c>
      <c r="S22" s="34" t="n">
        <v>2411.4466666667</v>
      </c>
      <c r="T22" s="34" t="n">
        <v>758.4312</v>
      </c>
    </row>
    <row r="23" customFormat="false" ht="15" hidden="false" customHeight="false" outlineLevel="0" collapsed="false">
      <c r="A23" s="23" t="n">
        <v>46320</v>
      </c>
      <c r="B23" s="34" t="n">
        <v>1400</v>
      </c>
      <c r="C23" s="34" t="n">
        <v>1800</v>
      </c>
      <c r="D23" s="34" t="n">
        <v>0</v>
      </c>
      <c r="E23" s="34" t="n">
        <v>1800</v>
      </c>
      <c r="F23" s="34" t="n">
        <v>1800</v>
      </c>
      <c r="G23" s="34" t="n">
        <f aca="false">SUM(B23:F23)</f>
        <v>6800</v>
      </c>
      <c r="H23" s="34" t="n">
        <v>0</v>
      </c>
      <c r="I23" s="36" t="n">
        <v>0.0580645161</v>
      </c>
      <c r="J23" s="34" t="n">
        <v>1226.8882016461</v>
      </c>
      <c r="K23" s="34" t="n">
        <v>0</v>
      </c>
      <c r="L23" s="34" t="n">
        <v>55.5555555556</v>
      </c>
      <c r="M23" s="34" t="n">
        <v>1514.598</v>
      </c>
      <c r="N23" s="34" t="n">
        <v>0</v>
      </c>
      <c r="O23" s="34" t="n">
        <v>25.2</v>
      </c>
      <c r="P23" s="34" t="n">
        <v>1784.625</v>
      </c>
      <c r="Q23" s="34" t="n">
        <v>1950</v>
      </c>
      <c r="R23" s="34" t="n">
        <v>0</v>
      </c>
      <c r="S23" s="34" t="n">
        <v>2411.4466666667</v>
      </c>
      <c r="T23" s="34" t="n">
        <v>758.4312</v>
      </c>
    </row>
    <row r="24" customFormat="false" ht="15" hidden="false" customHeight="false" outlineLevel="0" collapsed="false">
      <c r="A24" s="23" t="n">
        <v>46321</v>
      </c>
      <c r="B24" s="34" t="n">
        <v>1400</v>
      </c>
      <c r="C24" s="34" t="n">
        <v>1800</v>
      </c>
      <c r="D24" s="34" t="n">
        <v>0</v>
      </c>
      <c r="E24" s="34" t="n">
        <v>1800</v>
      </c>
      <c r="F24" s="34" t="n">
        <v>1800</v>
      </c>
      <c r="G24" s="34" t="n">
        <f aca="false">SUM(B24:F24)</f>
        <v>6800</v>
      </c>
      <c r="H24" s="34" t="n">
        <v>0</v>
      </c>
      <c r="I24" s="36" t="n">
        <v>0.0580645161</v>
      </c>
      <c r="J24" s="34" t="n">
        <v>1226.8882016461</v>
      </c>
      <c r="K24" s="34" t="n">
        <v>0</v>
      </c>
      <c r="L24" s="34" t="n">
        <v>55.5555555556</v>
      </c>
      <c r="M24" s="34" t="n">
        <v>1514.598</v>
      </c>
      <c r="N24" s="34" t="n">
        <v>0</v>
      </c>
      <c r="O24" s="34" t="n">
        <v>25.2</v>
      </c>
      <c r="P24" s="34" t="n">
        <v>1784.625</v>
      </c>
      <c r="Q24" s="34" t="n">
        <v>1950</v>
      </c>
      <c r="R24" s="34" t="n">
        <v>0</v>
      </c>
      <c r="S24" s="34" t="n">
        <v>2411.4466666667</v>
      </c>
      <c r="T24" s="34" t="n">
        <v>758.4312</v>
      </c>
    </row>
    <row r="25" customFormat="false" ht="15" hidden="false" customHeight="false" outlineLevel="0" collapsed="false">
      <c r="A25" s="23" t="n">
        <v>46322</v>
      </c>
      <c r="B25" s="34" t="n">
        <v>1400</v>
      </c>
      <c r="C25" s="34" t="n">
        <v>1800</v>
      </c>
      <c r="D25" s="34" t="n">
        <v>0</v>
      </c>
      <c r="E25" s="34" t="n">
        <v>1800</v>
      </c>
      <c r="F25" s="34" t="n">
        <v>1800</v>
      </c>
      <c r="G25" s="34" t="n">
        <f aca="false">SUM(B25:F25)</f>
        <v>6800</v>
      </c>
      <c r="H25" s="34" t="n">
        <v>0</v>
      </c>
      <c r="I25" s="36" t="n">
        <v>0.0580645161</v>
      </c>
      <c r="J25" s="34" t="n">
        <v>1226.8882016461</v>
      </c>
      <c r="K25" s="34" t="n">
        <v>0</v>
      </c>
      <c r="L25" s="34" t="n">
        <v>55.5555555556</v>
      </c>
      <c r="M25" s="34" t="n">
        <v>1514.598</v>
      </c>
      <c r="N25" s="34" t="n">
        <v>0</v>
      </c>
      <c r="O25" s="34" t="n">
        <v>25.2</v>
      </c>
      <c r="P25" s="34" t="n">
        <v>1784.625</v>
      </c>
      <c r="Q25" s="34" t="n">
        <v>1950</v>
      </c>
      <c r="R25" s="34" t="n">
        <v>0</v>
      </c>
      <c r="S25" s="34" t="n">
        <v>2279.0466666667</v>
      </c>
      <c r="T25" s="34" t="n">
        <v>758.4312</v>
      </c>
    </row>
    <row r="26" customFormat="false" ht="15" hidden="false" customHeight="false" outlineLevel="0" collapsed="false">
      <c r="A26" s="23" t="n">
        <v>46323</v>
      </c>
      <c r="B26" s="34" t="n">
        <v>1400</v>
      </c>
      <c r="C26" s="34" t="n">
        <v>1800</v>
      </c>
      <c r="D26" s="34" t="n">
        <v>0</v>
      </c>
      <c r="E26" s="34" t="n">
        <v>1800</v>
      </c>
      <c r="F26" s="34" t="n">
        <v>1800</v>
      </c>
      <c r="G26" s="34" t="n">
        <f aca="false">SUM(B26:F26)</f>
        <v>6800</v>
      </c>
      <c r="H26" s="34" t="n">
        <v>0</v>
      </c>
      <c r="I26" s="36" t="n">
        <v>0.0580645161</v>
      </c>
      <c r="J26" s="34" t="n">
        <v>1226.8882016461</v>
      </c>
      <c r="K26" s="34" t="n">
        <v>0</v>
      </c>
      <c r="L26" s="34" t="n">
        <v>55.5555555556</v>
      </c>
      <c r="M26" s="34" t="n">
        <v>1514.598</v>
      </c>
      <c r="N26" s="34" t="n">
        <v>0</v>
      </c>
      <c r="O26" s="34" t="n">
        <v>25.2</v>
      </c>
      <c r="P26" s="34" t="n">
        <v>1784.625</v>
      </c>
      <c r="Q26" s="34" t="n">
        <v>0</v>
      </c>
      <c r="R26" s="34" t="n">
        <v>0</v>
      </c>
      <c r="S26" s="34" t="n">
        <v>2279.0466666667</v>
      </c>
      <c r="T26" s="34" t="n">
        <v>758.4312</v>
      </c>
    </row>
    <row r="27" customFormat="false" ht="15" hidden="false" customHeight="false" outlineLevel="0" collapsed="false">
      <c r="A27" s="23" t="n">
        <v>46324</v>
      </c>
      <c r="B27" s="34" t="n">
        <v>1400</v>
      </c>
      <c r="C27" s="34" t="n">
        <v>1800</v>
      </c>
      <c r="D27" s="34" t="n">
        <v>0</v>
      </c>
      <c r="E27" s="34" t="n">
        <v>1800</v>
      </c>
      <c r="F27" s="34" t="n">
        <v>1800</v>
      </c>
      <c r="G27" s="34" t="n">
        <f aca="false">SUM(B27:F27)</f>
        <v>6800</v>
      </c>
      <c r="H27" s="34" t="n">
        <v>0</v>
      </c>
      <c r="I27" s="36" t="n">
        <v>0.0580645161</v>
      </c>
      <c r="J27" s="34" t="n">
        <v>1226.8882016461</v>
      </c>
      <c r="K27" s="34" t="n">
        <v>0</v>
      </c>
      <c r="L27" s="34" t="n">
        <v>55.5555555556</v>
      </c>
      <c r="M27" s="34" t="n">
        <v>1514.598</v>
      </c>
      <c r="N27" s="34" t="n">
        <v>0</v>
      </c>
      <c r="O27" s="34" t="n">
        <v>25.2</v>
      </c>
      <c r="P27" s="34" t="n">
        <v>1784.625</v>
      </c>
      <c r="Q27" s="34" t="n">
        <v>1950</v>
      </c>
      <c r="R27" s="34" t="n">
        <v>0</v>
      </c>
      <c r="S27" s="34" t="n">
        <v>2411.4466666667</v>
      </c>
      <c r="T27" s="34" t="n">
        <v>758.4312</v>
      </c>
    </row>
    <row r="28" customFormat="false" ht="15" hidden="false" customHeight="false" outlineLevel="0" collapsed="false">
      <c r="A28" s="23" t="n">
        <v>46325</v>
      </c>
      <c r="B28" s="34" t="n">
        <v>1400</v>
      </c>
      <c r="C28" s="34" t="n">
        <v>1800</v>
      </c>
      <c r="D28" s="34" t="n">
        <v>0</v>
      </c>
      <c r="E28" s="34" t="n">
        <v>1800</v>
      </c>
      <c r="F28" s="34" t="n">
        <v>1800</v>
      </c>
      <c r="G28" s="34" t="n">
        <f aca="false">SUM(B28:F28)</f>
        <v>6800</v>
      </c>
      <c r="H28" s="34" t="n">
        <v>0</v>
      </c>
      <c r="I28" s="36" t="n">
        <v>0.0580645161</v>
      </c>
      <c r="J28" s="34" t="n">
        <v>1226.8882016461</v>
      </c>
      <c r="K28" s="34" t="n">
        <v>0</v>
      </c>
      <c r="L28" s="34" t="n">
        <v>55.5555555556</v>
      </c>
      <c r="M28" s="34" t="n">
        <v>1514.598</v>
      </c>
      <c r="N28" s="34" t="n">
        <v>0</v>
      </c>
      <c r="O28" s="34" t="n">
        <v>25.2</v>
      </c>
      <c r="P28" s="34" t="n">
        <v>1784.625</v>
      </c>
      <c r="Q28" s="34" t="n">
        <v>1950</v>
      </c>
      <c r="R28" s="34" t="n">
        <v>3000</v>
      </c>
      <c r="S28" s="34" t="n">
        <v>2411.4466666667</v>
      </c>
      <c r="T28" s="34" t="n">
        <v>758.4312</v>
      </c>
    </row>
    <row r="29" customFormat="false" ht="15" hidden="false" customHeight="false" outlineLevel="0" collapsed="false">
      <c r="A29" s="23" t="n">
        <v>46326</v>
      </c>
      <c r="B29" s="34" t="n">
        <v>1400</v>
      </c>
      <c r="C29" s="34" t="n">
        <v>1800</v>
      </c>
      <c r="D29" s="34" t="n">
        <v>0</v>
      </c>
      <c r="E29" s="34" t="n">
        <v>1800</v>
      </c>
      <c r="F29" s="34" t="n">
        <v>1800</v>
      </c>
      <c r="G29" s="34" t="n">
        <f aca="false">SUM(B29:F29)</f>
        <v>6800</v>
      </c>
      <c r="H29" s="34" t="n">
        <v>0</v>
      </c>
      <c r="I29" s="36" t="n">
        <v>0.0580645161</v>
      </c>
      <c r="J29" s="34" t="n">
        <v>1226.8882016461</v>
      </c>
      <c r="K29" s="34" t="n">
        <v>0</v>
      </c>
      <c r="L29" s="34" t="n">
        <v>55.5555555556</v>
      </c>
      <c r="M29" s="34" t="n">
        <v>1514.598</v>
      </c>
      <c r="N29" s="34" t="n">
        <v>0</v>
      </c>
      <c r="O29" s="34" t="n">
        <v>25.2</v>
      </c>
      <c r="P29" s="34" t="n">
        <v>1784.625</v>
      </c>
      <c r="Q29" s="34" t="n">
        <v>1950</v>
      </c>
      <c r="R29" s="34" t="n">
        <v>3000</v>
      </c>
      <c r="S29" s="34" t="n">
        <v>2411.4466666667</v>
      </c>
      <c r="T29" s="34" t="n">
        <v>758.4312</v>
      </c>
    </row>
    <row r="30" customFormat="false" ht="15" hidden="false" customHeight="false" outlineLevel="0" collapsed="false">
      <c r="A30" s="23" t="n">
        <v>46327</v>
      </c>
      <c r="B30" s="34" t="n">
        <v>1400</v>
      </c>
      <c r="C30" s="34" t="n">
        <v>1800</v>
      </c>
      <c r="D30" s="34" t="n">
        <v>0</v>
      </c>
      <c r="E30" s="34" t="n">
        <v>1800</v>
      </c>
      <c r="F30" s="34" t="n">
        <v>1800</v>
      </c>
      <c r="G30" s="34" t="n">
        <f aca="false">SUM(B30:F30)</f>
        <v>6800</v>
      </c>
      <c r="H30" s="34" t="n">
        <v>555.5555555556</v>
      </c>
      <c r="I30" s="36" t="n">
        <v>0.0580645161</v>
      </c>
      <c r="J30" s="34" t="n">
        <v>1230.4537037037</v>
      </c>
      <c r="K30" s="34" t="n">
        <v>0</v>
      </c>
      <c r="L30" s="34" t="n">
        <v>50</v>
      </c>
      <c r="M30" s="34" t="n">
        <v>1514.598</v>
      </c>
      <c r="N30" s="34" t="n">
        <v>0</v>
      </c>
      <c r="O30" s="34" t="n">
        <v>20.16</v>
      </c>
      <c r="P30" s="34" t="n">
        <v>1784.625</v>
      </c>
      <c r="Q30" s="34" t="n">
        <v>1950</v>
      </c>
      <c r="R30" s="34" t="n">
        <v>3000</v>
      </c>
      <c r="S30" s="34" t="n">
        <v>1780.3833333333</v>
      </c>
      <c r="T30" s="34" t="n">
        <v>758.4312</v>
      </c>
    </row>
    <row r="31" customFormat="false" ht="15" hidden="false" customHeight="false" outlineLevel="0" collapsed="false">
      <c r="A31" s="23" t="n">
        <v>46328</v>
      </c>
      <c r="B31" s="34" t="n">
        <v>1400</v>
      </c>
      <c r="C31" s="34" t="n">
        <v>1800</v>
      </c>
      <c r="D31" s="34" t="n">
        <v>0</v>
      </c>
      <c r="E31" s="34" t="n">
        <v>1800</v>
      </c>
      <c r="F31" s="34" t="n">
        <v>1800</v>
      </c>
      <c r="G31" s="34" t="n">
        <f aca="false">SUM(B31:F31)</f>
        <v>6800</v>
      </c>
      <c r="H31" s="34" t="n">
        <v>555.5555555556</v>
      </c>
      <c r="I31" s="36" t="n">
        <v>0.0580645161</v>
      </c>
      <c r="J31" s="34" t="n">
        <v>1230.4537037037</v>
      </c>
      <c r="K31" s="34" t="n">
        <v>0</v>
      </c>
      <c r="L31" s="34" t="n">
        <v>50</v>
      </c>
      <c r="M31" s="34" t="n">
        <v>1514.598</v>
      </c>
      <c r="N31" s="34" t="n">
        <v>0</v>
      </c>
      <c r="O31" s="34" t="n">
        <v>20.16</v>
      </c>
      <c r="P31" s="34" t="n">
        <v>1680.125</v>
      </c>
      <c r="Q31" s="34" t="n">
        <v>1950</v>
      </c>
      <c r="R31" s="34" t="n">
        <v>1000</v>
      </c>
      <c r="S31" s="34" t="n">
        <v>1780.3833333333</v>
      </c>
      <c r="T31" s="34" t="n">
        <v>758.4312</v>
      </c>
    </row>
    <row r="32" customFormat="false" ht="15" hidden="false" customHeight="false" outlineLevel="0" collapsed="false">
      <c r="A32" s="23" t="n">
        <v>46329</v>
      </c>
      <c r="B32" s="34" t="n">
        <v>1400</v>
      </c>
      <c r="C32" s="34" t="n">
        <v>1800</v>
      </c>
      <c r="D32" s="34" t="n">
        <v>0</v>
      </c>
      <c r="E32" s="34" t="n">
        <v>1800</v>
      </c>
      <c r="F32" s="34" t="n">
        <v>1800</v>
      </c>
      <c r="G32" s="34" t="n">
        <f aca="false">SUM(B32:F32)</f>
        <v>6800</v>
      </c>
      <c r="H32" s="34" t="n">
        <v>555.5555555556</v>
      </c>
      <c r="I32" s="36" t="n">
        <v>0.0580645161</v>
      </c>
      <c r="J32" s="34" t="n">
        <v>1230.4537037037</v>
      </c>
      <c r="K32" s="34" t="n">
        <v>0</v>
      </c>
      <c r="L32" s="34" t="n">
        <v>50</v>
      </c>
      <c r="M32" s="34" t="n">
        <v>1514.598</v>
      </c>
      <c r="N32" s="34" t="n">
        <v>0</v>
      </c>
      <c r="O32" s="34" t="n">
        <v>20.16</v>
      </c>
      <c r="P32" s="34" t="n">
        <v>1784.625</v>
      </c>
      <c r="Q32" s="34" t="n">
        <v>1950</v>
      </c>
      <c r="R32" s="34" t="n">
        <v>0</v>
      </c>
      <c r="S32" s="34" t="n">
        <v>1780.3833333333</v>
      </c>
      <c r="T32" s="34" t="n">
        <v>758.4312</v>
      </c>
    </row>
    <row r="33" customFormat="false" ht="15" hidden="false" customHeight="false" outlineLevel="0" collapsed="false">
      <c r="A33" s="23" t="n">
        <v>46330</v>
      </c>
      <c r="B33" s="34" t="n">
        <v>1400</v>
      </c>
      <c r="C33" s="34" t="n">
        <v>0</v>
      </c>
      <c r="D33" s="34" t="n">
        <v>1400</v>
      </c>
      <c r="E33" s="34" t="n">
        <v>1800</v>
      </c>
      <c r="F33" s="34" t="n">
        <v>1800</v>
      </c>
      <c r="G33" s="34" t="n">
        <f aca="false">SUM(B33:F33)</f>
        <v>6400</v>
      </c>
      <c r="H33" s="34" t="n">
        <v>555.5555555556</v>
      </c>
      <c r="I33" s="36" t="n">
        <v>0.0580645161</v>
      </c>
      <c r="J33" s="34" t="n">
        <v>1230.4537037037</v>
      </c>
      <c r="K33" s="34" t="n">
        <v>0</v>
      </c>
      <c r="L33" s="34" t="n">
        <v>50</v>
      </c>
      <c r="M33" s="34" t="n">
        <v>1425.504</v>
      </c>
      <c r="N33" s="34" t="n">
        <v>0</v>
      </c>
      <c r="O33" s="34" t="n">
        <v>20.16</v>
      </c>
      <c r="P33" s="34" t="n">
        <v>1701.025</v>
      </c>
      <c r="Q33" s="34" t="n">
        <v>1950</v>
      </c>
      <c r="R33" s="34" t="n">
        <v>0</v>
      </c>
      <c r="S33" s="34" t="n">
        <v>2462.4633333333</v>
      </c>
      <c r="T33" s="34" t="n">
        <v>713.8176</v>
      </c>
    </row>
    <row r="34" customFormat="false" ht="15" hidden="false" customHeight="false" outlineLevel="0" collapsed="false">
      <c r="A34" s="23" t="n">
        <v>46331</v>
      </c>
      <c r="B34" s="34" t="n">
        <v>1400</v>
      </c>
      <c r="C34" s="34" t="n">
        <v>0</v>
      </c>
      <c r="D34" s="34" t="n">
        <v>1400</v>
      </c>
      <c r="E34" s="34" t="n">
        <v>1800</v>
      </c>
      <c r="F34" s="34" t="n">
        <v>1800</v>
      </c>
      <c r="G34" s="34" t="n">
        <f aca="false">SUM(B34:F34)</f>
        <v>6400</v>
      </c>
      <c r="H34" s="34" t="n">
        <v>555.5555555556</v>
      </c>
      <c r="I34" s="36" t="n">
        <v>0.0580645161</v>
      </c>
      <c r="J34" s="34" t="n">
        <v>1230.4537037037</v>
      </c>
      <c r="K34" s="34" t="n">
        <v>0</v>
      </c>
      <c r="L34" s="34" t="n">
        <v>50</v>
      </c>
      <c r="M34" s="34" t="n">
        <v>1425.504</v>
      </c>
      <c r="N34" s="34" t="n">
        <v>0</v>
      </c>
      <c r="O34" s="34" t="n">
        <v>20.16</v>
      </c>
      <c r="P34" s="34" t="n">
        <v>1701.025</v>
      </c>
      <c r="Q34" s="34" t="n">
        <v>1950</v>
      </c>
      <c r="R34" s="34" t="n">
        <v>0</v>
      </c>
      <c r="S34" s="34" t="n">
        <v>2462.4633333333</v>
      </c>
      <c r="T34" s="34" t="n">
        <v>713.8176</v>
      </c>
    </row>
    <row r="35" customFormat="false" ht="15" hidden="false" customHeight="false" outlineLevel="0" collapsed="false">
      <c r="A35" s="23" t="n">
        <v>46332</v>
      </c>
      <c r="B35" s="34" t="n">
        <v>1400</v>
      </c>
      <c r="C35" s="34" t="n">
        <v>0</v>
      </c>
      <c r="D35" s="34" t="n">
        <v>1400</v>
      </c>
      <c r="E35" s="34" t="n">
        <v>1800</v>
      </c>
      <c r="F35" s="34" t="n">
        <v>1800</v>
      </c>
      <c r="G35" s="34" t="n">
        <f aca="false">SUM(B35:F35)</f>
        <v>6400</v>
      </c>
      <c r="H35" s="34" t="n">
        <v>555.5555555556</v>
      </c>
      <c r="I35" s="36" t="n">
        <v>0.0580645161</v>
      </c>
      <c r="J35" s="34" t="n">
        <v>1230.4537037037</v>
      </c>
      <c r="K35" s="34" t="n">
        <v>0</v>
      </c>
      <c r="L35" s="34" t="n">
        <v>50</v>
      </c>
      <c r="M35" s="34" t="n">
        <v>1807.004</v>
      </c>
      <c r="N35" s="34" t="n">
        <v>0</v>
      </c>
      <c r="O35" s="34" t="n">
        <v>20.16</v>
      </c>
      <c r="P35" s="34" t="n">
        <v>1701.025</v>
      </c>
      <c r="Q35" s="34" t="n">
        <v>1950</v>
      </c>
      <c r="R35" s="34" t="n">
        <v>0</v>
      </c>
      <c r="S35" s="34" t="n">
        <v>2462.4633333333</v>
      </c>
      <c r="T35" s="34" t="n">
        <v>880.7176</v>
      </c>
    </row>
    <row r="36" customFormat="false" ht="15" hidden="false" customHeight="false" outlineLevel="0" collapsed="false">
      <c r="A36" s="23" t="n">
        <v>46333</v>
      </c>
      <c r="B36" s="34" t="n">
        <v>1400</v>
      </c>
      <c r="C36" s="34" t="n">
        <v>0</v>
      </c>
      <c r="D36" s="34" t="n">
        <v>1400</v>
      </c>
      <c r="E36" s="34" t="n">
        <v>1800</v>
      </c>
      <c r="F36" s="34" t="n">
        <v>1800</v>
      </c>
      <c r="G36" s="34" t="n">
        <f aca="false">SUM(B36:F36)</f>
        <v>6400</v>
      </c>
      <c r="H36" s="34" t="n">
        <v>555.5555555556</v>
      </c>
      <c r="I36" s="36" t="n">
        <v>0.0580645161</v>
      </c>
      <c r="J36" s="34" t="n">
        <v>1230.4537037037</v>
      </c>
      <c r="K36" s="34" t="n">
        <v>0</v>
      </c>
      <c r="L36" s="34" t="n">
        <v>50</v>
      </c>
      <c r="M36" s="34" t="n">
        <v>1921.454</v>
      </c>
      <c r="N36" s="34" t="n">
        <v>0</v>
      </c>
      <c r="O36" s="34" t="n">
        <v>20.16</v>
      </c>
      <c r="P36" s="34" t="n">
        <v>1701.025</v>
      </c>
      <c r="Q36" s="34" t="n">
        <v>1950</v>
      </c>
      <c r="R36" s="34" t="n">
        <v>0</v>
      </c>
      <c r="S36" s="34" t="n">
        <v>2462.4633333333</v>
      </c>
      <c r="T36" s="34" t="n">
        <v>930.7876</v>
      </c>
    </row>
    <row r="37" customFormat="false" ht="15" hidden="false" customHeight="false" outlineLevel="0" collapsed="false">
      <c r="A37" s="23" t="n">
        <v>46334</v>
      </c>
      <c r="B37" s="34" t="n">
        <v>0</v>
      </c>
      <c r="C37" s="34" t="n">
        <v>0</v>
      </c>
      <c r="D37" s="34" t="n">
        <v>1400</v>
      </c>
      <c r="E37" s="34" t="n">
        <v>1800</v>
      </c>
      <c r="F37" s="34" t="n">
        <v>1800</v>
      </c>
      <c r="G37" s="34" t="n">
        <f aca="false">SUM(B37:F37)</f>
        <v>5000</v>
      </c>
      <c r="H37" s="34" t="n">
        <v>555.5555555556</v>
      </c>
      <c r="I37" s="36" t="n">
        <v>0.0580645161</v>
      </c>
      <c r="J37" s="34" t="n">
        <v>1230.4537037037</v>
      </c>
      <c r="K37" s="34" t="n">
        <v>0</v>
      </c>
      <c r="L37" s="34" t="n">
        <v>50</v>
      </c>
      <c r="M37" s="34" t="n">
        <v>1609.625</v>
      </c>
      <c r="N37" s="34" t="n">
        <v>0</v>
      </c>
      <c r="O37" s="34" t="n">
        <v>20.16</v>
      </c>
      <c r="P37" s="34" t="n">
        <v>1408.425</v>
      </c>
      <c r="Q37" s="34" t="n">
        <v>2962.5</v>
      </c>
      <c r="R37" s="34" t="n">
        <v>0</v>
      </c>
      <c r="S37" s="34" t="n">
        <v>2330.0633333333</v>
      </c>
      <c r="T37" s="34" t="n">
        <v>774.64</v>
      </c>
    </row>
    <row r="38" customFormat="false" ht="15" hidden="false" customHeight="false" outlineLevel="0" collapsed="false">
      <c r="A38" s="23" t="n">
        <v>46335</v>
      </c>
      <c r="B38" s="34" t="n">
        <v>0</v>
      </c>
      <c r="C38" s="34" t="n">
        <v>0</v>
      </c>
      <c r="D38" s="34" t="n">
        <v>1400</v>
      </c>
      <c r="E38" s="34" t="n">
        <v>1800</v>
      </c>
      <c r="F38" s="34" t="n">
        <v>1800</v>
      </c>
      <c r="G38" s="34" t="n">
        <f aca="false">SUM(B38:F38)</f>
        <v>5000</v>
      </c>
      <c r="H38" s="34" t="n">
        <v>555.5555555556</v>
      </c>
      <c r="I38" s="36" t="n">
        <v>0.0580645161</v>
      </c>
      <c r="J38" s="34" t="n">
        <v>1230.4537037037</v>
      </c>
      <c r="K38" s="34" t="n">
        <v>0</v>
      </c>
      <c r="L38" s="34" t="n">
        <v>50</v>
      </c>
      <c r="M38" s="34" t="n">
        <v>1609.625</v>
      </c>
      <c r="N38" s="34" t="n">
        <v>0</v>
      </c>
      <c r="O38" s="34" t="n">
        <v>20.16</v>
      </c>
      <c r="P38" s="34" t="n">
        <v>1408.425</v>
      </c>
      <c r="Q38" s="34" t="n">
        <v>3111</v>
      </c>
      <c r="R38" s="34" t="n">
        <v>0</v>
      </c>
      <c r="S38" s="34" t="n">
        <v>2330.0633333333</v>
      </c>
      <c r="T38" s="34" t="n">
        <v>774.64</v>
      </c>
    </row>
    <row r="39" customFormat="false" ht="15" hidden="false" customHeight="false" outlineLevel="0" collapsed="false">
      <c r="A39" s="23" t="n">
        <v>46336</v>
      </c>
      <c r="B39" s="34" t="n">
        <v>1400</v>
      </c>
      <c r="C39" s="34" t="n">
        <v>0</v>
      </c>
      <c r="D39" s="34" t="n">
        <v>1400</v>
      </c>
      <c r="E39" s="34" t="n">
        <v>1800</v>
      </c>
      <c r="F39" s="34" t="n">
        <v>1800</v>
      </c>
      <c r="G39" s="34" t="n">
        <f aca="false">SUM(B39:F39)</f>
        <v>6400</v>
      </c>
      <c r="H39" s="34" t="n">
        <v>0</v>
      </c>
      <c r="I39" s="36" t="n">
        <v>0.0580645161</v>
      </c>
      <c r="J39" s="34" t="n">
        <v>1230.4537037037</v>
      </c>
      <c r="K39" s="34" t="n">
        <v>0</v>
      </c>
      <c r="L39" s="34" t="n">
        <v>50</v>
      </c>
      <c r="M39" s="34" t="n">
        <v>1921.454</v>
      </c>
      <c r="N39" s="34" t="n">
        <v>0</v>
      </c>
      <c r="O39" s="34" t="n">
        <v>20.16</v>
      </c>
      <c r="P39" s="34" t="n">
        <v>1701.025</v>
      </c>
      <c r="Q39" s="34" t="n">
        <v>3111</v>
      </c>
      <c r="R39" s="34" t="n">
        <v>0</v>
      </c>
      <c r="S39" s="34" t="n">
        <v>2706.0733333333</v>
      </c>
      <c r="T39" s="34" t="n">
        <v>930.7876</v>
      </c>
    </row>
    <row r="40" customFormat="false" ht="15" hidden="false" customHeight="false" outlineLevel="0" collapsed="false">
      <c r="A40" s="23" t="n">
        <v>46337</v>
      </c>
      <c r="B40" s="34" t="n">
        <v>1400</v>
      </c>
      <c r="C40" s="34" t="n">
        <v>0</v>
      </c>
      <c r="D40" s="34" t="n">
        <v>1400</v>
      </c>
      <c r="E40" s="34" t="n">
        <v>1800</v>
      </c>
      <c r="F40" s="34" t="n">
        <v>1800</v>
      </c>
      <c r="G40" s="34" t="n">
        <f aca="false">SUM(B40:F40)</f>
        <v>6400</v>
      </c>
      <c r="H40" s="34" t="n">
        <v>0</v>
      </c>
      <c r="I40" s="36" t="n">
        <v>0.0580645161</v>
      </c>
      <c r="J40" s="34" t="n">
        <v>1230.4537037037</v>
      </c>
      <c r="K40" s="34" t="n">
        <v>0</v>
      </c>
      <c r="L40" s="34" t="n">
        <v>50</v>
      </c>
      <c r="M40" s="34" t="n">
        <v>1921.454</v>
      </c>
      <c r="N40" s="34" t="n">
        <v>0</v>
      </c>
      <c r="O40" s="34" t="n">
        <v>20.16</v>
      </c>
      <c r="P40" s="34" t="n">
        <v>1701.025</v>
      </c>
      <c r="Q40" s="34" t="n">
        <v>3111</v>
      </c>
      <c r="R40" s="34" t="n">
        <v>0</v>
      </c>
      <c r="S40" s="34" t="n">
        <v>2706.0733333333</v>
      </c>
      <c r="T40" s="34" t="n">
        <v>930.7876</v>
      </c>
    </row>
    <row r="41" customFormat="false" ht="15" hidden="false" customHeight="false" outlineLevel="0" collapsed="false">
      <c r="A41" s="23" t="n">
        <v>46338</v>
      </c>
      <c r="B41" s="34" t="n">
        <v>1400</v>
      </c>
      <c r="C41" s="34" t="n">
        <v>0</v>
      </c>
      <c r="D41" s="34" t="n">
        <v>1400</v>
      </c>
      <c r="E41" s="34" t="n">
        <v>1800</v>
      </c>
      <c r="F41" s="34" t="n">
        <v>0</v>
      </c>
      <c r="G41" s="34" t="n">
        <f aca="false">SUM(B41:F41)</f>
        <v>4600</v>
      </c>
      <c r="H41" s="34" t="n">
        <v>0</v>
      </c>
      <c r="I41" s="36" t="n">
        <v>0.0580645161</v>
      </c>
      <c r="J41" s="34" t="n">
        <v>1230.4537037037</v>
      </c>
      <c r="K41" s="34" t="n">
        <v>0</v>
      </c>
      <c r="L41" s="34" t="n">
        <v>50</v>
      </c>
      <c r="M41" s="34" t="n">
        <v>1520.531</v>
      </c>
      <c r="N41" s="34" t="n">
        <v>0</v>
      </c>
      <c r="O41" s="34" t="n">
        <v>20.16</v>
      </c>
      <c r="P41" s="34" t="n">
        <v>1324.825</v>
      </c>
      <c r="Q41" s="34" t="n">
        <v>3111</v>
      </c>
      <c r="R41" s="34" t="n">
        <v>3000</v>
      </c>
      <c r="S41" s="34" t="n">
        <v>2706.0733333333</v>
      </c>
      <c r="T41" s="34" t="n">
        <v>730.0264</v>
      </c>
    </row>
    <row r="42" customFormat="false" ht="15" hidden="false" customHeight="false" outlineLevel="0" collapsed="false">
      <c r="A42" s="23" t="n">
        <v>46339</v>
      </c>
      <c r="B42" s="34" t="n">
        <v>1400</v>
      </c>
      <c r="C42" s="34" t="n">
        <v>0</v>
      </c>
      <c r="D42" s="34" t="n">
        <v>1400</v>
      </c>
      <c r="E42" s="34" t="n">
        <v>1800</v>
      </c>
      <c r="F42" s="34" t="n">
        <v>1800</v>
      </c>
      <c r="G42" s="34" t="n">
        <f aca="false">SUM(B42:F42)</f>
        <v>6400</v>
      </c>
      <c r="H42" s="34" t="n">
        <v>0</v>
      </c>
      <c r="I42" s="36" t="n">
        <v>0.0580645161</v>
      </c>
      <c r="J42" s="34" t="n">
        <v>1230.4537037037</v>
      </c>
      <c r="K42" s="34" t="n">
        <v>0</v>
      </c>
      <c r="L42" s="34" t="n">
        <v>50</v>
      </c>
      <c r="M42" s="34" t="n">
        <v>1921.454</v>
      </c>
      <c r="N42" s="34" t="n">
        <v>0</v>
      </c>
      <c r="O42" s="34" t="n">
        <v>20.16</v>
      </c>
      <c r="P42" s="34" t="n">
        <v>1701.025</v>
      </c>
      <c r="Q42" s="34" t="n">
        <v>3111</v>
      </c>
      <c r="R42" s="34" t="n">
        <v>3000</v>
      </c>
      <c r="S42" s="34" t="n">
        <v>2706.0733333333</v>
      </c>
      <c r="T42" s="34" t="n">
        <v>930.7876</v>
      </c>
    </row>
    <row r="43" customFormat="false" ht="15" hidden="false" customHeight="false" outlineLevel="0" collapsed="false">
      <c r="A43" s="23" t="n">
        <v>46340</v>
      </c>
      <c r="B43" s="34" t="n">
        <v>1400</v>
      </c>
      <c r="C43" s="34" t="n">
        <v>0</v>
      </c>
      <c r="D43" s="34" t="n">
        <v>1400</v>
      </c>
      <c r="E43" s="34" t="n">
        <v>0</v>
      </c>
      <c r="F43" s="34" t="n">
        <v>1800</v>
      </c>
      <c r="G43" s="34" t="n">
        <f aca="false">SUM(B43:F43)</f>
        <v>4600</v>
      </c>
      <c r="H43" s="34" t="n">
        <v>0</v>
      </c>
      <c r="I43" s="36" t="n">
        <v>0.0580645161</v>
      </c>
      <c r="J43" s="34" t="n">
        <v>1230.4537037037</v>
      </c>
      <c r="K43" s="34" t="n">
        <v>0</v>
      </c>
      <c r="L43" s="34" t="n">
        <v>50</v>
      </c>
      <c r="M43" s="34" t="n">
        <v>1520.531</v>
      </c>
      <c r="N43" s="34" t="n">
        <v>0</v>
      </c>
      <c r="O43" s="34" t="n">
        <v>20.16</v>
      </c>
      <c r="P43" s="34" t="n">
        <v>1220.325</v>
      </c>
      <c r="Q43" s="34" t="n">
        <v>3111</v>
      </c>
      <c r="R43" s="34" t="n">
        <v>3000</v>
      </c>
      <c r="S43" s="34" t="n">
        <v>2706.0733333333</v>
      </c>
      <c r="T43" s="34" t="n">
        <v>730.0264</v>
      </c>
    </row>
    <row r="44" customFormat="false" ht="15" hidden="false" customHeight="false" outlineLevel="0" collapsed="false">
      <c r="A44" s="23" t="n">
        <v>46341</v>
      </c>
      <c r="B44" s="34" t="n">
        <v>1400</v>
      </c>
      <c r="C44" s="34" t="n">
        <v>0</v>
      </c>
      <c r="D44" s="34" t="n">
        <v>1400</v>
      </c>
      <c r="E44" s="34" t="n">
        <v>0</v>
      </c>
      <c r="F44" s="34" t="n">
        <v>1800</v>
      </c>
      <c r="G44" s="34" t="n">
        <f aca="false">SUM(B44:F44)</f>
        <v>4600</v>
      </c>
      <c r="H44" s="34" t="n">
        <v>0</v>
      </c>
      <c r="I44" s="36" t="n">
        <v>0.0580645161</v>
      </c>
      <c r="J44" s="34" t="n">
        <v>1230.4537037037</v>
      </c>
      <c r="K44" s="34" t="n">
        <v>0</v>
      </c>
      <c r="L44" s="34" t="n">
        <v>50</v>
      </c>
      <c r="M44" s="34" t="n">
        <v>1520.531</v>
      </c>
      <c r="N44" s="34" t="n">
        <v>5000</v>
      </c>
      <c r="O44" s="34" t="n">
        <v>20.16</v>
      </c>
      <c r="P44" s="34" t="n">
        <v>1149.5</v>
      </c>
      <c r="Q44" s="34" t="n">
        <v>1161</v>
      </c>
      <c r="R44" s="34" t="n">
        <v>2000</v>
      </c>
      <c r="S44" s="34" t="n">
        <v>1595.1733333333</v>
      </c>
      <c r="T44" s="34" t="n">
        <v>730.0264</v>
      </c>
    </row>
    <row r="45" customFormat="false" ht="15" hidden="false" customHeight="false" outlineLevel="0" collapsed="false">
      <c r="A45" s="23" t="n">
        <v>46342</v>
      </c>
      <c r="B45" s="34" t="n">
        <v>1400</v>
      </c>
      <c r="C45" s="34" t="n">
        <v>0</v>
      </c>
      <c r="D45" s="34" t="n">
        <v>1400</v>
      </c>
      <c r="E45" s="34" t="n">
        <v>1800</v>
      </c>
      <c r="F45" s="34" t="n">
        <v>1800</v>
      </c>
      <c r="G45" s="34" t="n">
        <f aca="false">SUM(B45:F45)</f>
        <v>6400</v>
      </c>
      <c r="H45" s="34" t="n">
        <v>0</v>
      </c>
      <c r="I45" s="36" t="n">
        <v>0.0580645161</v>
      </c>
      <c r="J45" s="34" t="n">
        <v>1230.4537037037</v>
      </c>
      <c r="K45" s="34" t="n">
        <v>0</v>
      </c>
      <c r="L45" s="34" t="n">
        <v>50</v>
      </c>
      <c r="M45" s="34" t="n">
        <v>1921.454</v>
      </c>
      <c r="N45" s="34" t="n">
        <v>5000</v>
      </c>
      <c r="O45" s="34" t="n">
        <v>20.16</v>
      </c>
      <c r="P45" s="34" t="n">
        <v>1525.7</v>
      </c>
      <c r="Q45" s="34" t="n">
        <v>3111</v>
      </c>
      <c r="R45" s="34" t="n">
        <v>0</v>
      </c>
      <c r="S45" s="34" t="n">
        <v>2706.0733333333</v>
      </c>
      <c r="T45" s="34" t="n">
        <v>930.7876</v>
      </c>
    </row>
    <row r="46" customFormat="false" ht="15" hidden="false" customHeight="false" outlineLevel="0" collapsed="false">
      <c r="A46" s="23" t="n">
        <v>46343</v>
      </c>
      <c r="B46" s="34" t="n">
        <v>1400</v>
      </c>
      <c r="C46" s="34" t="n">
        <v>0</v>
      </c>
      <c r="D46" s="34" t="n">
        <v>1400</v>
      </c>
      <c r="E46" s="34" t="n">
        <v>1800</v>
      </c>
      <c r="F46" s="34" t="n">
        <v>1800</v>
      </c>
      <c r="G46" s="34" t="n">
        <f aca="false">SUM(B46:F46)</f>
        <v>6400</v>
      </c>
      <c r="H46" s="34" t="n">
        <v>0</v>
      </c>
      <c r="I46" s="36" t="n">
        <v>0.0580645161</v>
      </c>
      <c r="J46" s="34" t="n">
        <v>1230.4537037037</v>
      </c>
      <c r="K46" s="34" t="n">
        <v>0</v>
      </c>
      <c r="L46" s="34" t="n">
        <v>50</v>
      </c>
      <c r="M46" s="34" t="n">
        <v>1921.454</v>
      </c>
      <c r="N46" s="34" t="n">
        <v>5000</v>
      </c>
      <c r="O46" s="34" t="n">
        <v>20.16</v>
      </c>
      <c r="P46" s="34" t="n">
        <v>1630.2</v>
      </c>
      <c r="Q46" s="34" t="n">
        <v>3111</v>
      </c>
      <c r="R46" s="34" t="n">
        <v>0</v>
      </c>
      <c r="S46" s="34" t="n">
        <v>2706.0733333333</v>
      </c>
      <c r="T46" s="34" t="n">
        <v>930.7876</v>
      </c>
    </row>
    <row r="47" customFormat="false" ht="15" hidden="false" customHeight="false" outlineLevel="0" collapsed="false">
      <c r="A47" s="23" t="n">
        <v>46344</v>
      </c>
      <c r="B47" s="34" t="n">
        <v>1400</v>
      </c>
      <c r="C47" s="34" t="n">
        <v>0</v>
      </c>
      <c r="D47" s="34" t="n">
        <v>1600</v>
      </c>
      <c r="E47" s="34" t="n">
        <v>1800</v>
      </c>
      <c r="F47" s="34" t="n">
        <v>1800</v>
      </c>
      <c r="G47" s="34" t="n">
        <f aca="false">SUM(B47:F47)</f>
        <v>6600</v>
      </c>
      <c r="H47" s="34" t="n">
        <v>555.5555555556</v>
      </c>
      <c r="I47" s="36" t="n">
        <v>0.0580645161</v>
      </c>
      <c r="J47" s="34" t="n">
        <v>1230.4537037037</v>
      </c>
      <c r="K47" s="34" t="n">
        <v>0</v>
      </c>
      <c r="L47" s="34" t="n">
        <v>50</v>
      </c>
      <c r="M47" s="34" t="n">
        <v>1966.001</v>
      </c>
      <c r="N47" s="34" t="n">
        <v>5000</v>
      </c>
      <c r="O47" s="34" t="n">
        <v>20.16</v>
      </c>
      <c r="P47" s="34" t="n">
        <v>1776.5</v>
      </c>
      <c r="Q47" s="34" t="n">
        <v>3111</v>
      </c>
      <c r="R47" s="34" t="n">
        <v>0</v>
      </c>
      <c r="S47" s="34" t="n">
        <v>2706.0733333333</v>
      </c>
      <c r="T47" s="34" t="n">
        <v>953.0944</v>
      </c>
    </row>
    <row r="48" customFormat="false" ht="15" hidden="false" customHeight="false" outlineLevel="0" collapsed="false">
      <c r="A48" s="23" t="n">
        <v>46345</v>
      </c>
      <c r="B48" s="34" t="n">
        <v>1400</v>
      </c>
      <c r="C48" s="34" t="n">
        <v>0</v>
      </c>
      <c r="D48" s="34" t="n">
        <v>1600</v>
      </c>
      <c r="E48" s="34" t="n">
        <v>1800</v>
      </c>
      <c r="F48" s="34" t="n">
        <v>1800</v>
      </c>
      <c r="G48" s="34" t="n">
        <f aca="false">SUM(B48:F48)</f>
        <v>6600</v>
      </c>
      <c r="H48" s="34" t="n">
        <v>555.5555555556</v>
      </c>
      <c r="I48" s="36" t="n">
        <v>0.0580645161</v>
      </c>
      <c r="J48" s="34" t="n">
        <v>1230.4537037037</v>
      </c>
      <c r="K48" s="34" t="n">
        <v>0</v>
      </c>
      <c r="L48" s="34" t="n">
        <v>50</v>
      </c>
      <c r="M48" s="34" t="n">
        <v>1966.001</v>
      </c>
      <c r="N48" s="34" t="n">
        <v>5000</v>
      </c>
      <c r="O48" s="34" t="n">
        <v>20.16</v>
      </c>
      <c r="P48" s="34" t="n">
        <v>1776.5</v>
      </c>
      <c r="Q48" s="34" t="n">
        <v>3111</v>
      </c>
      <c r="R48" s="34" t="n">
        <v>0</v>
      </c>
      <c r="S48" s="34" t="n">
        <v>2706.0733333333</v>
      </c>
      <c r="T48" s="34" t="n">
        <v>953.0944</v>
      </c>
    </row>
    <row r="49" customFormat="false" ht="15" hidden="false" customHeight="false" outlineLevel="0" collapsed="false">
      <c r="A49" s="23" t="n">
        <v>46346</v>
      </c>
      <c r="B49" s="34" t="n">
        <v>1400</v>
      </c>
      <c r="C49" s="34" t="n">
        <v>0</v>
      </c>
      <c r="D49" s="34" t="n">
        <v>1600</v>
      </c>
      <c r="E49" s="34" t="n">
        <v>1800</v>
      </c>
      <c r="F49" s="34" t="n">
        <v>1800</v>
      </c>
      <c r="G49" s="34" t="n">
        <f aca="false">SUM(B49:F49)</f>
        <v>6600</v>
      </c>
      <c r="H49" s="34" t="n">
        <v>555.5555555556</v>
      </c>
      <c r="I49" s="36" t="n">
        <v>0.0580645161</v>
      </c>
      <c r="J49" s="34" t="n">
        <v>1230.4537037037</v>
      </c>
      <c r="K49" s="34" t="n">
        <v>5000</v>
      </c>
      <c r="L49" s="34" t="n">
        <v>50</v>
      </c>
      <c r="M49" s="34" t="n">
        <v>1966.001</v>
      </c>
      <c r="N49" s="34" t="n">
        <v>0</v>
      </c>
      <c r="O49" s="34" t="n">
        <v>20.16</v>
      </c>
      <c r="P49" s="34" t="n">
        <v>1776.5</v>
      </c>
      <c r="Q49" s="34" t="n">
        <v>3111</v>
      </c>
      <c r="R49" s="34" t="n">
        <v>0</v>
      </c>
      <c r="S49" s="34" t="n">
        <v>2706.0733333333</v>
      </c>
      <c r="T49" s="34" t="n">
        <v>953.0944</v>
      </c>
    </row>
    <row r="50" customFormat="false" ht="15" hidden="false" customHeight="false" outlineLevel="0" collapsed="false">
      <c r="A50" s="23" t="n">
        <v>46347</v>
      </c>
      <c r="B50" s="34" t="n">
        <v>1400</v>
      </c>
      <c r="C50" s="34" t="n">
        <v>0</v>
      </c>
      <c r="D50" s="34" t="n">
        <v>1600</v>
      </c>
      <c r="E50" s="34" t="n">
        <v>1800</v>
      </c>
      <c r="F50" s="34" t="n">
        <v>1800</v>
      </c>
      <c r="G50" s="34" t="n">
        <f aca="false">SUM(B50:F50)</f>
        <v>6600</v>
      </c>
      <c r="H50" s="34" t="n">
        <v>555.5555555556</v>
      </c>
      <c r="I50" s="36" t="n">
        <v>0.0580645161</v>
      </c>
      <c r="J50" s="34" t="n">
        <v>1230.4537037037</v>
      </c>
      <c r="K50" s="34" t="n">
        <v>5000</v>
      </c>
      <c r="L50" s="34" t="n">
        <v>50</v>
      </c>
      <c r="M50" s="34" t="n">
        <v>1966.001</v>
      </c>
      <c r="N50" s="34" t="n">
        <v>0</v>
      </c>
      <c r="O50" s="34" t="n">
        <v>20.16</v>
      </c>
      <c r="P50" s="34" t="n">
        <v>1776.5</v>
      </c>
      <c r="Q50" s="34" t="n">
        <v>3111</v>
      </c>
      <c r="R50" s="34" t="n">
        <v>0</v>
      </c>
      <c r="S50" s="34" t="n">
        <v>2706.0733333333</v>
      </c>
      <c r="T50" s="34" t="n">
        <v>953.0944</v>
      </c>
    </row>
    <row r="51" customFormat="false" ht="15" hidden="false" customHeight="false" outlineLevel="0" collapsed="false">
      <c r="A51" s="23" t="n">
        <v>46348</v>
      </c>
      <c r="B51" s="34" t="n">
        <v>1400</v>
      </c>
      <c r="C51" s="34" t="n">
        <v>0</v>
      </c>
      <c r="D51" s="34" t="n">
        <v>1600</v>
      </c>
      <c r="E51" s="34" t="n">
        <v>1800</v>
      </c>
      <c r="F51" s="34" t="n">
        <v>1800</v>
      </c>
      <c r="G51" s="34" t="n">
        <f aca="false">SUM(B51:F51)</f>
        <v>6600</v>
      </c>
      <c r="H51" s="34" t="n">
        <v>555.5555555556</v>
      </c>
      <c r="I51" s="36" t="n">
        <v>0.0580645161</v>
      </c>
      <c r="J51" s="34" t="n">
        <v>1230.4537037037</v>
      </c>
      <c r="K51" s="34" t="n">
        <v>0</v>
      </c>
      <c r="L51" s="34" t="n">
        <v>50</v>
      </c>
      <c r="M51" s="34" t="n">
        <v>1966.001</v>
      </c>
      <c r="N51" s="34" t="n">
        <v>0</v>
      </c>
      <c r="O51" s="34" t="n">
        <v>20.16</v>
      </c>
      <c r="P51" s="34" t="n">
        <v>1776.5</v>
      </c>
      <c r="Q51" s="34" t="n">
        <v>3111</v>
      </c>
      <c r="R51" s="34" t="n">
        <v>0</v>
      </c>
      <c r="S51" s="34" t="n">
        <v>2706.0733333333</v>
      </c>
      <c r="T51" s="34" t="n">
        <v>953.0944</v>
      </c>
    </row>
    <row r="52" customFormat="false" ht="15" hidden="false" customHeight="false" outlineLevel="0" collapsed="false">
      <c r="A52" s="23" t="n">
        <v>46349</v>
      </c>
      <c r="B52" s="34" t="n">
        <v>1400</v>
      </c>
      <c r="C52" s="34" t="n">
        <v>0</v>
      </c>
      <c r="D52" s="34" t="n">
        <v>1600</v>
      </c>
      <c r="E52" s="34" t="n">
        <v>1800</v>
      </c>
      <c r="F52" s="34" t="n">
        <v>1800</v>
      </c>
      <c r="G52" s="34" t="n">
        <f aca="false">SUM(B52:F52)</f>
        <v>6600</v>
      </c>
      <c r="H52" s="34" t="n">
        <v>555.5555555556</v>
      </c>
      <c r="I52" s="36" t="n">
        <v>0.0580645161</v>
      </c>
      <c r="J52" s="34" t="n">
        <v>1230.4537037037</v>
      </c>
      <c r="K52" s="34" t="n">
        <v>0</v>
      </c>
      <c r="L52" s="34" t="n">
        <v>50</v>
      </c>
      <c r="M52" s="34" t="n">
        <v>1966.001</v>
      </c>
      <c r="N52" s="34" t="n">
        <v>0</v>
      </c>
      <c r="O52" s="34" t="n">
        <v>20.16</v>
      </c>
      <c r="P52" s="34" t="n">
        <v>1776.5</v>
      </c>
      <c r="Q52" s="34" t="n">
        <v>3111</v>
      </c>
      <c r="R52" s="34" t="n">
        <v>0</v>
      </c>
      <c r="S52" s="34" t="n">
        <v>2706.0733333333</v>
      </c>
      <c r="T52" s="34" t="n">
        <v>953.0944</v>
      </c>
    </row>
    <row r="53" customFormat="false" ht="15" hidden="false" customHeight="false" outlineLevel="0" collapsed="false">
      <c r="A53" s="23" t="n">
        <v>46350</v>
      </c>
      <c r="B53" s="34" t="n">
        <v>1400</v>
      </c>
      <c r="C53" s="34" t="n">
        <v>0</v>
      </c>
      <c r="D53" s="34" t="n">
        <v>1600</v>
      </c>
      <c r="E53" s="34" t="n">
        <v>1800</v>
      </c>
      <c r="F53" s="34" t="n">
        <v>1800</v>
      </c>
      <c r="G53" s="34" t="n">
        <f aca="false">SUM(B53:F53)</f>
        <v>6600</v>
      </c>
      <c r="H53" s="34" t="n">
        <v>555.5555555556</v>
      </c>
      <c r="I53" s="36" t="n">
        <v>0.0580645161</v>
      </c>
      <c r="J53" s="34" t="n">
        <v>1230.4537037037</v>
      </c>
      <c r="K53" s="34" t="n">
        <v>0</v>
      </c>
      <c r="L53" s="34" t="n">
        <v>50</v>
      </c>
      <c r="M53" s="34" t="n">
        <v>1966.001</v>
      </c>
      <c r="N53" s="34" t="n">
        <v>0</v>
      </c>
      <c r="O53" s="34" t="n">
        <v>20.16</v>
      </c>
      <c r="P53" s="34" t="n">
        <v>1776.5</v>
      </c>
      <c r="Q53" s="34" t="n">
        <v>3111</v>
      </c>
      <c r="R53" s="34" t="n">
        <v>0</v>
      </c>
      <c r="S53" s="34" t="n">
        <v>2706.0733333333</v>
      </c>
      <c r="T53" s="34" t="n">
        <v>953.0944</v>
      </c>
    </row>
    <row r="54" customFormat="false" ht="15" hidden="false" customHeight="false" outlineLevel="0" collapsed="false">
      <c r="A54" s="23" t="n">
        <v>46351</v>
      </c>
      <c r="B54" s="34" t="n">
        <v>1400</v>
      </c>
      <c r="C54" s="34" t="n">
        <v>0</v>
      </c>
      <c r="D54" s="34" t="n">
        <v>1600</v>
      </c>
      <c r="E54" s="34" t="n">
        <v>1800</v>
      </c>
      <c r="F54" s="34" t="n">
        <v>1800</v>
      </c>
      <c r="G54" s="34" t="n">
        <f aca="false">SUM(B54:F54)</f>
        <v>6600</v>
      </c>
      <c r="H54" s="34" t="n">
        <v>555.5555555556</v>
      </c>
      <c r="I54" s="36" t="n">
        <v>0.0580645161</v>
      </c>
      <c r="J54" s="34" t="n">
        <v>1230.4537037037</v>
      </c>
      <c r="K54" s="34" t="n">
        <v>0</v>
      </c>
      <c r="L54" s="34" t="n">
        <v>50</v>
      </c>
      <c r="M54" s="34" t="n">
        <v>1966.001</v>
      </c>
      <c r="N54" s="34" t="n">
        <v>0</v>
      </c>
      <c r="O54" s="34" t="n">
        <v>20.16</v>
      </c>
      <c r="P54" s="34" t="n">
        <v>1776.5</v>
      </c>
      <c r="Q54" s="34" t="n">
        <v>3111</v>
      </c>
      <c r="R54" s="34" t="n">
        <v>0</v>
      </c>
      <c r="S54" s="34" t="n">
        <v>2706.0733333333</v>
      </c>
      <c r="T54" s="34" t="n">
        <v>953.0944</v>
      </c>
    </row>
    <row r="55" customFormat="false" ht="15" hidden="false" customHeight="false" outlineLevel="0" collapsed="false">
      <c r="A55" s="23" t="n">
        <v>46352</v>
      </c>
      <c r="B55" s="34" t="n">
        <v>1400</v>
      </c>
      <c r="C55" s="34" t="n">
        <v>0</v>
      </c>
      <c r="D55" s="34" t="n">
        <v>1600</v>
      </c>
      <c r="E55" s="34" t="n">
        <v>1800</v>
      </c>
      <c r="F55" s="34" t="n">
        <v>1800</v>
      </c>
      <c r="G55" s="34" t="n">
        <f aca="false">SUM(B55:F55)</f>
        <v>6600</v>
      </c>
      <c r="H55" s="34" t="n">
        <v>555.5555555556</v>
      </c>
      <c r="I55" s="36" t="n">
        <v>0.0580645161</v>
      </c>
      <c r="J55" s="34" t="n">
        <v>1230.4537037037</v>
      </c>
      <c r="K55" s="34" t="n">
        <v>0</v>
      </c>
      <c r="L55" s="34" t="n">
        <v>50</v>
      </c>
      <c r="M55" s="34" t="n">
        <v>1966.001</v>
      </c>
      <c r="N55" s="34" t="n">
        <v>0</v>
      </c>
      <c r="O55" s="34" t="n">
        <v>20.16</v>
      </c>
      <c r="P55" s="34" t="n">
        <v>1776.5</v>
      </c>
      <c r="Q55" s="34" t="n">
        <v>3111</v>
      </c>
      <c r="R55" s="34" t="n">
        <v>0</v>
      </c>
      <c r="S55" s="34" t="n">
        <v>2706.0733333333</v>
      </c>
      <c r="T55" s="34" t="n">
        <v>953.0944</v>
      </c>
    </row>
    <row r="56" customFormat="false" ht="15" hidden="false" customHeight="false" outlineLevel="0" collapsed="false">
      <c r="A56" s="23" t="n">
        <v>46353</v>
      </c>
      <c r="B56" s="34" t="n">
        <v>1400</v>
      </c>
      <c r="C56" s="34" t="n">
        <v>0</v>
      </c>
      <c r="D56" s="34" t="n">
        <v>1600</v>
      </c>
      <c r="E56" s="34" t="n">
        <v>1800</v>
      </c>
      <c r="F56" s="34" t="n">
        <v>1800</v>
      </c>
      <c r="G56" s="34" t="n">
        <f aca="false">SUM(B56:F56)</f>
        <v>6600</v>
      </c>
      <c r="H56" s="34" t="n">
        <v>555.5555555556</v>
      </c>
      <c r="I56" s="36" t="n">
        <v>0.0580645161</v>
      </c>
      <c r="J56" s="34" t="n">
        <v>1230.4537037037</v>
      </c>
      <c r="K56" s="34" t="n">
        <v>0</v>
      </c>
      <c r="L56" s="34" t="n">
        <v>50</v>
      </c>
      <c r="M56" s="34" t="n">
        <v>1966.001</v>
      </c>
      <c r="N56" s="34" t="n">
        <v>0</v>
      </c>
      <c r="O56" s="34" t="n">
        <v>20.16</v>
      </c>
      <c r="P56" s="34" t="n">
        <v>1692.9</v>
      </c>
      <c r="Q56" s="34" t="n">
        <v>3111</v>
      </c>
      <c r="R56" s="34" t="n">
        <v>0</v>
      </c>
      <c r="S56" s="34" t="n">
        <v>2706.0733333333</v>
      </c>
      <c r="T56" s="34" t="n">
        <v>953.0944</v>
      </c>
    </row>
    <row r="57" customFormat="false" ht="15" hidden="false" customHeight="false" outlineLevel="0" collapsed="false">
      <c r="A57" s="23" t="n">
        <v>46354</v>
      </c>
      <c r="B57" s="34" t="n">
        <v>1400</v>
      </c>
      <c r="C57" s="34" t="n">
        <v>0</v>
      </c>
      <c r="D57" s="34" t="n">
        <v>1600</v>
      </c>
      <c r="E57" s="34" t="n">
        <v>1800</v>
      </c>
      <c r="F57" s="34" t="n">
        <v>1800</v>
      </c>
      <c r="G57" s="34" t="n">
        <f aca="false">SUM(B57:F57)</f>
        <v>6600</v>
      </c>
      <c r="H57" s="34" t="n">
        <v>555.5555555556</v>
      </c>
      <c r="I57" s="36" t="n">
        <v>0.0580645161</v>
      </c>
      <c r="J57" s="34" t="n">
        <v>1230.4537037037</v>
      </c>
      <c r="K57" s="34" t="n">
        <v>0</v>
      </c>
      <c r="L57" s="34" t="n">
        <v>50</v>
      </c>
      <c r="M57" s="34" t="n">
        <v>1966.001</v>
      </c>
      <c r="N57" s="34" t="n">
        <v>0</v>
      </c>
      <c r="O57" s="34" t="n">
        <v>20.16</v>
      </c>
      <c r="P57" s="34" t="n">
        <v>1776.5</v>
      </c>
      <c r="Q57" s="34" t="n">
        <v>3111</v>
      </c>
      <c r="R57" s="34" t="n">
        <v>3000</v>
      </c>
      <c r="S57" s="34" t="n">
        <v>2706.0733333333</v>
      </c>
      <c r="T57" s="34" t="n">
        <v>953.0944</v>
      </c>
    </row>
    <row r="58" customFormat="false" ht="15" hidden="false" customHeight="false" outlineLevel="0" collapsed="false">
      <c r="A58" s="23" t="n">
        <v>46355</v>
      </c>
      <c r="B58" s="34" t="n">
        <v>1400</v>
      </c>
      <c r="C58" s="34" t="n">
        <v>0</v>
      </c>
      <c r="D58" s="34" t="n">
        <v>1600</v>
      </c>
      <c r="E58" s="34" t="n">
        <v>1800</v>
      </c>
      <c r="F58" s="34" t="n">
        <v>1800</v>
      </c>
      <c r="G58" s="34" t="n">
        <f aca="false">SUM(B58:F58)</f>
        <v>6600</v>
      </c>
      <c r="H58" s="34" t="n">
        <v>555.5555555556</v>
      </c>
      <c r="I58" s="36" t="n">
        <v>0.0580645161</v>
      </c>
      <c r="J58" s="34" t="n">
        <v>1230.4537037037</v>
      </c>
      <c r="K58" s="34" t="n">
        <v>0</v>
      </c>
      <c r="L58" s="34" t="n">
        <v>50</v>
      </c>
      <c r="M58" s="34" t="n">
        <v>1966.001</v>
      </c>
      <c r="N58" s="34" t="n">
        <v>0</v>
      </c>
      <c r="O58" s="34" t="n">
        <v>20.16</v>
      </c>
      <c r="P58" s="34" t="n">
        <v>1776.5</v>
      </c>
      <c r="Q58" s="34" t="n">
        <v>3111</v>
      </c>
      <c r="R58" s="34" t="n">
        <v>1200</v>
      </c>
      <c r="S58" s="34" t="n">
        <v>2706.0733333333</v>
      </c>
      <c r="T58" s="34" t="n">
        <v>953.0944</v>
      </c>
    </row>
    <row r="59" customFormat="false" ht="15" hidden="false" customHeight="false" outlineLevel="0" collapsed="false">
      <c r="A59" s="23" t="n">
        <v>46356</v>
      </c>
      <c r="B59" s="34" t="n">
        <v>1400</v>
      </c>
      <c r="C59" s="34" t="n">
        <v>0</v>
      </c>
      <c r="D59" s="34" t="n">
        <v>1600</v>
      </c>
      <c r="E59" s="34" t="n">
        <v>1800</v>
      </c>
      <c r="F59" s="34" t="n">
        <v>1800</v>
      </c>
      <c r="G59" s="34" t="n">
        <f aca="false">SUM(B59:F59)</f>
        <v>6600</v>
      </c>
      <c r="H59" s="34" t="n">
        <v>555.5555555556</v>
      </c>
      <c r="I59" s="36" t="n">
        <v>0.0580645161</v>
      </c>
      <c r="J59" s="34" t="n">
        <v>1230.4537037037</v>
      </c>
      <c r="K59" s="34" t="n">
        <v>0</v>
      </c>
      <c r="L59" s="34" t="n">
        <v>50</v>
      </c>
      <c r="M59" s="34" t="n">
        <v>1966.001</v>
      </c>
      <c r="N59" s="34" t="n">
        <v>0</v>
      </c>
      <c r="O59" s="34" t="n">
        <v>20.16</v>
      </c>
      <c r="P59" s="34" t="n">
        <v>1776.5</v>
      </c>
      <c r="Q59" s="34" t="n">
        <v>3111</v>
      </c>
      <c r="R59" s="34" t="n">
        <v>0</v>
      </c>
      <c r="S59" s="34" t="n">
        <v>2706.0733333333</v>
      </c>
      <c r="T59" s="34" t="n">
        <v>953.0944</v>
      </c>
    </row>
    <row r="60" customFormat="false" ht="15" hidden="false" customHeight="false" outlineLevel="0" collapsed="false">
      <c r="A60" s="23" t="n">
        <v>46357</v>
      </c>
      <c r="B60" s="34" t="n">
        <v>1400</v>
      </c>
      <c r="C60" s="34" t="n">
        <v>0</v>
      </c>
      <c r="D60" s="34" t="n">
        <v>1600</v>
      </c>
      <c r="E60" s="34" t="n">
        <v>1800</v>
      </c>
      <c r="F60" s="34" t="n">
        <v>1800</v>
      </c>
      <c r="G60" s="34" t="n">
        <f aca="false">SUM(B60:F60)</f>
        <v>6600</v>
      </c>
      <c r="H60" s="34" t="n">
        <v>0</v>
      </c>
      <c r="I60" s="36" t="n">
        <v>0.0580645161</v>
      </c>
      <c r="J60" s="34" t="n">
        <v>1228.5949820789</v>
      </c>
      <c r="K60" s="34" t="n">
        <v>0</v>
      </c>
      <c r="L60" s="34" t="n">
        <v>48.3870967742</v>
      </c>
      <c r="M60" s="34" t="n">
        <v>1470.051</v>
      </c>
      <c r="N60" s="34" t="n">
        <v>0</v>
      </c>
      <c r="O60" s="34" t="n">
        <v>10.08</v>
      </c>
      <c r="P60" s="34" t="n">
        <v>1776.5</v>
      </c>
      <c r="Q60" s="34" t="n">
        <v>3111</v>
      </c>
      <c r="R60" s="34" t="n">
        <v>0</v>
      </c>
      <c r="S60" s="34" t="n">
        <v>2700.1593548387</v>
      </c>
      <c r="T60" s="34" t="n">
        <v>736.1244</v>
      </c>
    </row>
    <row r="61" customFormat="false" ht="15" hidden="false" customHeight="false" outlineLevel="0" collapsed="false">
      <c r="A61" s="23" t="n">
        <v>46358</v>
      </c>
      <c r="B61" s="34" t="n">
        <v>1400</v>
      </c>
      <c r="C61" s="34" t="n">
        <v>0</v>
      </c>
      <c r="D61" s="34" t="n">
        <v>1800</v>
      </c>
      <c r="E61" s="34" t="n">
        <v>1800</v>
      </c>
      <c r="F61" s="34" t="n">
        <v>0</v>
      </c>
      <c r="G61" s="34" t="n">
        <f aca="false">SUM(B61:F61)</f>
        <v>5000</v>
      </c>
      <c r="H61" s="34" t="n">
        <v>0</v>
      </c>
      <c r="I61" s="36" t="n">
        <v>0.0580645161</v>
      </c>
      <c r="J61" s="34" t="n">
        <v>1228.5949820789</v>
      </c>
      <c r="K61" s="34" t="n">
        <v>0</v>
      </c>
      <c r="L61" s="34" t="n">
        <v>48.3870967742</v>
      </c>
      <c r="M61" s="34" t="n">
        <v>1113.675</v>
      </c>
      <c r="N61" s="34" t="n">
        <v>0</v>
      </c>
      <c r="O61" s="34" t="n">
        <v>10.08</v>
      </c>
      <c r="P61" s="34" t="n">
        <v>1442.1</v>
      </c>
      <c r="Q61" s="34" t="n">
        <v>3111</v>
      </c>
      <c r="R61" s="34" t="n">
        <v>0</v>
      </c>
      <c r="S61" s="34" t="n">
        <v>2700.1593548387</v>
      </c>
      <c r="T61" s="34" t="n">
        <v>557.67</v>
      </c>
    </row>
    <row r="62" customFormat="false" ht="15" hidden="false" customHeight="false" outlineLevel="0" collapsed="false">
      <c r="A62" s="23" t="n">
        <v>46359</v>
      </c>
      <c r="B62" s="34" t="n">
        <v>1400</v>
      </c>
      <c r="C62" s="34" t="n">
        <v>0</v>
      </c>
      <c r="D62" s="34" t="n">
        <v>1800</v>
      </c>
      <c r="E62" s="34" t="n">
        <v>1800</v>
      </c>
      <c r="F62" s="34" t="n">
        <v>0</v>
      </c>
      <c r="G62" s="34" t="n">
        <f aca="false">SUM(B62:F62)</f>
        <v>5000</v>
      </c>
      <c r="H62" s="34" t="n">
        <v>0</v>
      </c>
      <c r="I62" s="36" t="n">
        <v>0.0580645161</v>
      </c>
      <c r="J62" s="34" t="n">
        <v>1228.5949820789</v>
      </c>
      <c r="K62" s="34" t="n">
        <v>0</v>
      </c>
      <c r="L62" s="34" t="n">
        <v>48.3870967742</v>
      </c>
      <c r="M62" s="34" t="n">
        <v>1113.675</v>
      </c>
      <c r="N62" s="34" t="n">
        <v>0</v>
      </c>
      <c r="O62" s="34" t="n">
        <v>10.08</v>
      </c>
      <c r="P62" s="34" t="n">
        <v>1337.6</v>
      </c>
      <c r="Q62" s="34" t="n">
        <v>3111</v>
      </c>
      <c r="R62" s="34" t="n">
        <v>0</v>
      </c>
      <c r="S62" s="34" t="n">
        <v>2700.1593548387</v>
      </c>
      <c r="T62" s="34" t="n">
        <v>557.67</v>
      </c>
    </row>
    <row r="63" customFormat="false" ht="15" hidden="false" customHeight="false" outlineLevel="0" collapsed="false">
      <c r="A63" s="23" t="n">
        <v>46360</v>
      </c>
      <c r="B63" s="34" t="n">
        <v>1400</v>
      </c>
      <c r="C63" s="34" t="n">
        <v>0</v>
      </c>
      <c r="D63" s="34" t="n">
        <v>1800</v>
      </c>
      <c r="E63" s="34" t="n">
        <v>1800</v>
      </c>
      <c r="F63" s="34" t="n">
        <v>0</v>
      </c>
      <c r="G63" s="34" t="n">
        <f aca="false">SUM(B63:F63)</f>
        <v>5000</v>
      </c>
      <c r="H63" s="34" t="n">
        <v>0</v>
      </c>
      <c r="I63" s="36" t="n">
        <v>0.0580645161</v>
      </c>
      <c r="J63" s="34" t="n">
        <v>1228.5949820789</v>
      </c>
      <c r="K63" s="34" t="n">
        <v>0</v>
      </c>
      <c r="L63" s="34" t="n">
        <v>448.3870967742</v>
      </c>
      <c r="M63" s="34" t="n">
        <v>1113.675</v>
      </c>
      <c r="N63" s="34" t="n">
        <v>0</v>
      </c>
      <c r="O63" s="34" t="n">
        <v>10.08</v>
      </c>
      <c r="P63" s="34" t="n">
        <v>1337.6</v>
      </c>
      <c r="Q63" s="34" t="n">
        <v>3111</v>
      </c>
      <c r="R63" s="34" t="n">
        <v>0</v>
      </c>
      <c r="S63" s="34" t="n">
        <v>2700.1593548387</v>
      </c>
      <c r="T63" s="34" t="n">
        <v>557.67</v>
      </c>
    </row>
    <row r="64" customFormat="false" ht="15" hidden="false" customHeight="false" outlineLevel="0" collapsed="false">
      <c r="A64" s="23" t="n">
        <v>46361</v>
      </c>
      <c r="B64" s="34" t="n">
        <v>1400</v>
      </c>
      <c r="C64" s="34" t="n">
        <v>0</v>
      </c>
      <c r="D64" s="34" t="n">
        <v>1800</v>
      </c>
      <c r="E64" s="34" t="n">
        <v>1800</v>
      </c>
      <c r="F64" s="34" t="n">
        <v>0</v>
      </c>
      <c r="G64" s="34" t="n">
        <f aca="false">SUM(B64:F64)</f>
        <v>5000</v>
      </c>
      <c r="H64" s="34" t="n">
        <v>0</v>
      </c>
      <c r="I64" s="36" t="n">
        <v>0.0580645161</v>
      </c>
      <c r="J64" s="34" t="n">
        <v>1228.5949820789</v>
      </c>
      <c r="K64" s="34" t="n">
        <v>0</v>
      </c>
      <c r="L64" s="34" t="n">
        <v>10448.3870967742</v>
      </c>
      <c r="M64" s="34" t="n">
        <v>1113.675</v>
      </c>
      <c r="N64" s="34" t="n">
        <v>0</v>
      </c>
      <c r="O64" s="34" t="n">
        <v>10.08</v>
      </c>
      <c r="P64" s="34" t="n">
        <v>1337.6</v>
      </c>
      <c r="Q64" s="34" t="n">
        <v>3111</v>
      </c>
      <c r="R64" s="34" t="n">
        <v>0</v>
      </c>
      <c r="S64" s="34" t="n">
        <v>2700.1593548387</v>
      </c>
      <c r="T64" s="34" t="n">
        <v>557.67</v>
      </c>
    </row>
    <row r="65" customFormat="false" ht="15" hidden="false" customHeight="false" outlineLevel="0" collapsed="false">
      <c r="A65" s="23" t="n">
        <v>46362</v>
      </c>
      <c r="B65" s="34" t="n">
        <v>1400</v>
      </c>
      <c r="C65" s="34" t="n">
        <v>0</v>
      </c>
      <c r="D65" s="34" t="n">
        <v>1800</v>
      </c>
      <c r="E65" s="34" t="n">
        <v>1800</v>
      </c>
      <c r="F65" s="34" t="n">
        <v>0</v>
      </c>
      <c r="G65" s="34" t="n">
        <f aca="false">SUM(B65:F65)</f>
        <v>5000</v>
      </c>
      <c r="H65" s="34" t="n">
        <v>0</v>
      </c>
      <c r="I65" s="36" t="n">
        <v>0.0580645161</v>
      </c>
      <c r="J65" s="34" t="n">
        <v>1228.5949820789</v>
      </c>
      <c r="K65" s="34" t="n">
        <v>0</v>
      </c>
      <c r="L65" s="34" t="n">
        <v>448.3870967742</v>
      </c>
      <c r="M65" s="34" t="n">
        <v>1113.675</v>
      </c>
      <c r="N65" s="34" t="n">
        <v>0</v>
      </c>
      <c r="O65" s="34" t="n">
        <v>10.08</v>
      </c>
      <c r="P65" s="34" t="n">
        <v>1442.1</v>
      </c>
      <c r="Q65" s="34" t="n">
        <v>3111</v>
      </c>
      <c r="R65" s="34" t="n">
        <v>0</v>
      </c>
      <c r="S65" s="34" t="n">
        <v>2700.1593548387</v>
      </c>
      <c r="T65" s="34" t="n">
        <v>557.67</v>
      </c>
    </row>
    <row r="66" customFormat="false" ht="15" hidden="false" customHeight="false" outlineLevel="0" collapsed="false">
      <c r="A66" s="23" t="n">
        <v>46363</v>
      </c>
      <c r="B66" s="34" t="n">
        <v>1400</v>
      </c>
      <c r="C66" s="34" t="n">
        <v>0</v>
      </c>
      <c r="D66" s="34" t="n">
        <v>1800</v>
      </c>
      <c r="E66" s="34" t="n">
        <v>1800</v>
      </c>
      <c r="F66" s="34" t="n">
        <v>0</v>
      </c>
      <c r="G66" s="34" t="n">
        <f aca="false">SUM(B66:F66)</f>
        <v>5000</v>
      </c>
      <c r="H66" s="34" t="n">
        <v>0</v>
      </c>
      <c r="I66" s="36" t="n">
        <v>0.0580645161</v>
      </c>
      <c r="J66" s="34" t="n">
        <v>1228.5949820789</v>
      </c>
      <c r="K66" s="34" t="n">
        <v>0</v>
      </c>
      <c r="L66" s="34" t="n">
        <v>448.3870967742</v>
      </c>
      <c r="M66" s="34" t="n">
        <v>1113.675</v>
      </c>
      <c r="N66" s="34" t="n">
        <v>0</v>
      </c>
      <c r="O66" s="34" t="n">
        <v>10.08</v>
      </c>
      <c r="P66" s="34" t="n">
        <v>1442.1</v>
      </c>
      <c r="Q66" s="34" t="n">
        <v>3111</v>
      </c>
      <c r="R66" s="34" t="n">
        <v>0</v>
      </c>
      <c r="S66" s="34" t="n">
        <v>2700.1593548387</v>
      </c>
      <c r="T66" s="34" t="n">
        <v>557.67</v>
      </c>
    </row>
    <row r="67" customFormat="false" ht="15" hidden="false" customHeight="false" outlineLevel="0" collapsed="false">
      <c r="A67" s="23" t="n">
        <v>46364</v>
      </c>
      <c r="B67" s="34" t="n">
        <v>1400</v>
      </c>
      <c r="C67" s="34" t="n">
        <v>0</v>
      </c>
      <c r="D67" s="34" t="n">
        <v>1800</v>
      </c>
      <c r="E67" s="34" t="n">
        <v>1800</v>
      </c>
      <c r="F67" s="34" t="n">
        <v>0</v>
      </c>
      <c r="G67" s="34" t="n">
        <f aca="false">SUM(B67:F67)</f>
        <v>5000</v>
      </c>
      <c r="H67" s="34" t="n">
        <v>0</v>
      </c>
      <c r="I67" s="36" t="n">
        <v>0.0580645161</v>
      </c>
      <c r="J67" s="34" t="n">
        <v>1228.5949820789</v>
      </c>
      <c r="K67" s="34" t="n">
        <v>0</v>
      </c>
      <c r="L67" s="34" t="n">
        <v>448.3870967742</v>
      </c>
      <c r="M67" s="34" t="n">
        <v>1113.675</v>
      </c>
      <c r="N67" s="34" t="n">
        <v>0</v>
      </c>
      <c r="O67" s="34" t="n">
        <v>10.08</v>
      </c>
      <c r="P67" s="34" t="n">
        <v>1337.6</v>
      </c>
      <c r="Q67" s="34" t="n">
        <v>3111</v>
      </c>
      <c r="R67" s="34" t="n">
        <v>0</v>
      </c>
      <c r="S67" s="34" t="n">
        <v>2700.1593548387</v>
      </c>
      <c r="T67" s="34" t="n">
        <v>557.67</v>
      </c>
    </row>
    <row r="68" customFormat="false" ht="15" hidden="false" customHeight="false" outlineLevel="0" collapsed="false">
      <c r="A68" s="23" t="n">
        <v>46365</v>
      </c>
      <c r="B68" s="34" t="n">
        <v>1400</v>
      </c>
      <c r="C68" s="34" t="n">
        <v>0</v>
      </c>
      <c r="D68" s="34" t="n">
        <v>1800</v>
      </c>
      <c r="E68" s="34" t="n">
        <v>1800</v>
      </c>
      <c r="F68" s="34" t="n">
        <v>0</v>
      </c>
      <c r="G68" s="34" t="n">
        <f aca="false">SUM(B68:F68)</f>
        <v>5000</v>
      </c>
      <c r="H68" s="34" t="n">
        <v>0</v>
      </c>
      <c r="I68" s="36" t="n">
        <v>0.0580645161</v>
      </c>
      <c r="J68" s="34" t="n">
        <v>1228.5949820789</v>
      </c>
      <c r="K68" s="34" t="n">
        <v>0</v>
      </c>
      <c r="L68" s="34" t="n">
        <v>448.3870967742</v>
      </c>
      <c r="M68" s="34" t="n">
        <v>1113.675</v>
      </c>
      <c r="N68" s="34" t="n">
        <v>0</v>
      </c>
      <c r="O68" s="34" t="n">
        <v>10.08</v>
      </c>
      <c r="P68" s="34" t="n">
        <v>1442.1</v>
      </c>
      <c r="Q68" s="34" t="n">
        <v>3111</v>
      </c>
      <c r="R68" s="34" t="n">
        <v>0</v>
      </c>
      <c r="S68" s="34" t="n">
        <v>2700.1593548387</v>
      </c>
      <c r="T68" s="34" t="n">
        <v>557.67</v>
      </c>
    </row>
    <row r="69" customFormat="false" ht="15" hidden="false" customHeight="false" outlineLevel="0" collapsed="false">
      <c r="A69" s="23" t="n">
        <v>46366</v>
      </c>
      <c r="B69" s="34" t="n">
        <v>1400</v>
      </c>
      <c r="C69" s="34" t="n">
        <v>0</v>
      </c>
      <c r="D69" s="34" t="n">
        <v>1800</v>
      </c>
      <c r="E69" s="34" t="n">
        <v>1800</v>
      </c>
      <c r="F69" s="34" t="n">
        <v>0</v>
      </c>
      <c r="G69" s="34" t="n">
        <f aca="false">SUM(B69:F69)</f>
        <v>5000</v>
      </c>
      <c r="H69" s="34" t="n">
        <v>0</v>
      </c>
      <c r="I69" s="36" t="n">
        <v>0.0580645161</v>
      </c>
      <c r="J69" s="34" t="n">
        <v>1228.5949820789</v>
      </c>
      <c r="K69" s="34" t="n">
        <v>0</v>
      </c>
      <c r="L69" s="34" t="n">
        <v>448.3870967742</v>
      </c>
      <c r="M69" s="34" t="n">
        <v>1113.675</v>
      </c>
      <c r="N69" s="34" t="n">
        <v>5000</v>
      </c>
      <c r="O69" s="34" t="n">
        <v>10.08</v>
      </c>
      <c r="P69" s="34" t="n">
        <v>1442.1</v>
      </c>
      <c r="Q69" s="34" t="n">
        <v>3111</v>
      </c>
      <c r="R69" s="34" t="n">
        <v>0</v>
      </c>
      <c r="S69" s="34" t="n">
        <v>2700.1593548387</v>
      </c>
      <c r="T69" s="34" t="n">
        <v>557.67</v>
      </c>
    </row>
    <row r="70" customFormat="false" ht="15" hidden="false" customHeight="false" outlineLevel="0" collapsed="false">
      <c r="A70" s="23" t="n">
        <v>46367</v>
      </c>
      <c r="B70" s="34" t="n">
        <v>1400</v>
      </c>
      <c r="C70" s="34" t="n">
        <v>0</v>
      </c>
      <c r="D70" s="34" t="n">
        <v>1800</v>
      </c>
      <c r="E70" s="34" t="n">
        <v>1800</v>
      </c>
      <c r="F70" s="34" t="n">
        <v>0</v>
      </c>
      <c r="G70" s="34" t="n">
        <f aca="false">SUM(B70:F70)</f>
        <v>5000</v>
      </c>
      <c r="H70" s="34" t="n">
        <v>0</v>
      </c>
      <c r="I70" s="36" t="n">
        <v>0.0580645161</v>
      </c>
      <c r="J70" s="34" t="n">
        <v>1228.5949820789</v>
      </c>
      <c r="K70" s="34" t="n">
        <v>0</v>
      </c>
      <c r="L70" s="34" t="n">
        <v>448.3870967742</v>
      </c>
      <c r="M70" s="34" t="n">
        <v>1113.675</v>
      </c>
      <c r="N70" s="34" t="n">
        <v>5000</v>
      </c>
      <c r="O70" s="34" t="n">
        <v>10.08</v>
      </c>
      <c r="P70" s="34" t="n">
        <v>1442.1</v>
      </c>
      <c r="Q70" s="34" t="n">
        <v>3111</v>
      </c>
      <c r="R70" s="34" t="n">
        <v>0</v>
      </c>
      <c r="S70" s="34" t="n">
        <v>2700.1593548387</v>
      </c>
      <c r="T70" s="34" t="n">
        <v>557.67</v>
      </c>
    </row>
    <row r="71" customFormat="false" ht="15" hidden="false" customHeight="false" outlineLevel="0" collapsed="false">
      <c r="A71" s="23" t="n">
        <v>46368</v>
      </c>
      <c r="B71" s="34" t="n">
        <v>1400</v>
      </c>
      <c r="C71" s="34" t="n">
        <v>0</v>
      </c>
      <c r="D71" s="34" t="n">
        <v>1800</v>
      </c>
      <c r="E71" s="34" t="n">
        <v>1800</v>
      </c>
      <c r="F71" s="34" t="n">
        <v>0</v>
      </c>
      <c r="G71" s="34" t="n">
        <f aca="false">SUM(B71:F71)</f>
        <v>5000</v>
      </c>
      <c r="H71" s="34" t="n">
        <v>0</v>
      </c>
      <c r="I71" s="36" t="n">
        <v>0.0580645161</v>
      </c>
      <c r="J71" s="34" t="n">
        <v>1228.5949820789</v>
      </c>
      <c r="K71" s="34" t="n">
        <v>0</v>
      </c>
      <c r="L71" s="34" t="n">
        <v>448.3870967742</v>
      </c>
      <c r="M71" s="34" t="n">
        <v>1113.675</v>
      </c>
      <c r="N71" s="34" t="n">
        <v>5000</v>
      </c>
      <c r="O71" s="34" t="n">
        <v>10.08</v>
      </c>
      <c r="P71" s="34" t="n">
        <v>1442.1</v>
      </c>
      <c r="Q71" s="34" t="n">
        <v>3111</v>
      </c>
      <c r="R71" s="34" t="n">
        <v>0</v>
      </c>
      <c r="S71" s="34" t="n">
        <v>2700.1593548387</v>
      </c>
      <c r="T71" s="34" t="n">
        <v>557.67</v>
      </c>
    </row>
    <row r="72" customFormat="false" ht="15" hidden="false" customHeight="false" outlineLevel="0" collapsed="false">
      <c r="A72" s="23" t="n">
        <v>46369</v>
      </c>
      <c r="B72" s="34" t="n">
        <v>1400</v>
      </c>
      <c r="C72" s="34" t="n">
        <v>0</v>
      </c>
      <c r="D72" s="34" t="n">
        <v>1800</v>
      </c>
      <c r="E72" s="34" t="n">
        <v>1800</v>
      </c>
      <c r="F72" s="34" t="n">
        <v>0</v>
      </c>
      <c r="G72" s="34" t="n">
        <f aca="false">SUM(B72:F72)</f>
        <v>5000</v>
      </c>
      <c r="H72" s="34" t="n">
        <v>0</v>
      </c>
      <c r="I72" s="36" t="n">
        <v>0.0580645161</v>
      </c>
      <c r="J72" s="34" t="n">
        <v>1228.5949820789</v>
      </c>
      <c r="K72" s="34" t="n">
        <v>0</v>
      </c>
      <c r="L72" s="34" t="n">
        <v>448.3870967742</v>
      </c>
      <c r="M72" s="34" t="n">
        <v>1113.675</v>
      </c>
      <c r="N72" s="34" t="n">
        <v>5000</v>
      </c>
      <c r="O72" s="34" t="n">
        <v>10.08</v>
      </c>
      <c r="P72" s="34" t="n">
        <v>1442.1</v>
      </c>
      <c r="Q72" s="34" t="n">
        <v>3111</v>
      </c>
      <c r="R72" s="34" t="n">
        <v>0</v>
      </c>
      <c r="S72" s="34" t="n">
        <v>2700.1593548387</v>
      </c>
      <c r="T72" s="34" t="n">
        <v>557.67</v>
      </c>
    </row>
    <row r="73" customFormat="false" ht="15" hidden="false" customHeight="false" outlineLevel="0" collapsed="false">
      <c r="A73" s="23" t="n">
        <v>46370</v>
      </c>
      <c r="B73" s="34" t="n">
        <v>1400</v>
      </c>
      <c r="C73" s="34" t="n">
        <v>0</v>
      </c>
      <c r="D73" s="34" t="n">
        <v>1800</v>
      </c>
      <c r="E73" s="34" t="n">
        <v>1800</v>
      </c>
      <c r="F73" s="34" t="n">
        <v>0</v>
      </c>
      <c r="G73" s="34" t="n">
        <f aca="false">SUM(B73:F73)</f>
        <v>5000</v>
      </c>
      <c r="H73" s="34" t="n">
        <v>555.5555555556</v>
      </c>
      <c r="I73" s="36" t="n">
        <v>0.0580645161</v>
      </c>
      <c r="J73" s="34" t="n">
        <v>1228.5949820789</v>
      </c>
      <c r="K73" s="34" t="n">
        <v>0</v>
      </c>
      <c r="L73" s="34" t="n">
        <v>448.3870967742</v>
      </c>
      <c r="M73" s="34" t="n">
        <v>1113.675</v>
      </c>
      <c r="N73" s="34" t="n">
        <v>5000</v>
      </c>
      <c r="O73" s="34" t="n">
        <v>10.08</v>
      </c>
      <c r="P73" s="34" t="n">
        <v>1442.1</v>
      </c>
      <c r="Q73" s="34" t="n">
        <v>3111</v>
      </c>
      <c r="R73" s="34" t="n">
        <v>0</v>
      </c>
      <c r="S73" s="34" t="n">
        <v>2700.1593548387</v>
      </c>
      <c r="T73" s="34" t="n">
        <v>557.67</v>
      </c>
    </row>
    <row r="74" customFormat="false" ht="15" hidden="false" customHeight="false" outlineLevel="0" collapsed="false">
      <c r="A74" s="23" t="n">
        <v>46371</v>
      </c>
      <c r="B74" s="34" t="n">
        <v>1400</v>
      </c>
      <c r="C74" s="34" t="n">
        <v>0</v>
      </c>
      <c r="D74" s="34" t="n">
        <v>1800</v>
      </c>
      <c r="E74" s="34" t="n">
        <v>1800</v>
      </c>
      <c r="F74" s="34" t="n">
        <v>0</v>
      </c>
      <c r="G74" s="34" t="n">
        <f aca="false">SUM(B74:F74)</f>
        <v>5000</v>
      </c>
      <c r="H74" s="34" t="n">
        <v>555.5555555556</v>
      </c>
      <c r="I74" s="36" t="n">
        <v>0.0580645161</v>
      </c>
      <c r="J74" s="34" t="n">
        <v>1228.5949820789</v>
      </c>
      <c r="K74" s="34" t="n">
        <v>0</v>
      </c>
      <c r="L74" s="34" t="n">
        <v>448.3870967742</v>
      </c>
      <c r="M74" s="34" t="n">
        <v>1113.675</v>
      </c>
      <c r="N74" s="34" t="n">
        <v>0</v>
      </c>
      <c r="O74" s="34" t="n">
        <v>10.08</v>
      </c>
      <c r="P74" s="34" t="n">
        <v>1442.1</v>
      </c>
      <c r="Q74" s="34" t="n">
        <v>3111</v>
      </c>
      <c r="R74" s="34" t="n">
        <v>0</v>
      </c>
      <c r="S74" s="34" t="n">
        <v>2700.1593548387</v>
      </c>
      <c r="T74" s="34" t="n">
        <v>557.67</v>
      </c>
    </row>
    <row r="75" customFormat="false" ht="15" hidden="false" customHeight="false" outlineLevel="0" collapsed="false">
      <c r="A75" s="23" t="n">
        <v>46372</v>
      </c>
      <c r="B75" s="34" t="n">
        <v>1400</v>
      </c>
      <c r="C75" s="34" t="n">
        <v>0</v>
      </c>
      <c r="D75" s="34" t="n">
        <v>1800</v>
      </c>
      <c r="E75" s="34" t="n">
        <v>0</v>
      </c>
      <c r="F75" s="34" t="n">
        <v>0</v>
      </c>
      <c r="G75" s="34" t="n">
        <f aca="false">SUM(B75:F75)</f>
        <v>3200</v>
      </c>
      <c r="H75" s="34" t="n">
        <v>555.5555555556</v>
      </c>
      <c r="I75" s="36" t="n">
        <v>0.0580645161</v>
      </c>
      <c r="J75" s="34" t="n">
        <v>1228.5949820789</v>
      </c>
      <c r="K75" s="34" t="n">
        <v>0</v>
      </c>
      <c r="L75" s="34" t="n">
        <v>448.3870967742</v>
      </c>
      <c r="M75" s="34" t="n">
        <v>712.752</v>
      </c>
      <c r="N75" s="34" t="n">
        <v>0</v>
      </c>
      <c r="O75" s="34" t="n">
        <v>10.08</v>
      </c>
      <c r="P75" s="34" t="n">
        <v>1065.9</v>
      </c>
      <c r="Q75" s="34" t="n">
        <v>3111</v>
      </c>
      <c r="R75" s="34" t="n">
        <v>0</v>
      </c>
      <c r="S75" s="34" t="n">
        <v>2700.1593548387</v>
      </c>
      <c r="T75" s="34" t="n">
        <v>356.9088</v>
      </c>
    </row>
    <row r="76" customFormat="false" ht="15" hidden="false" customHeight="false" outlineLevel="0" collapsed="false">
      <c r="A76" s="23" t="n">
        <v>46373</v>
      </c>
      <c r="B76" s="34" t="n">
        <v>0</v>
      </c>
      <c r="C76" s="34" t="n">
        <v>0</v>
      </c>
      <c r="D76" s="34" t="n">
        <v>1800</v>
      </c>
      <c r="E76" s="34" t="n">
        <v>1800</v>
      </c>
      <c r="F76" s="34" t="n">
        <v>0</v>
      </c>
      <c r="G76" s="34" t="n">
        <f aca="false">SUM(B76:F76)</f>
        <v>3600</v>
      </c>
      <c r="H76" s="34" t="n">
        <v>555.5555555556</v>
      </c>
      <c r="I76" s="36" t="n">
        <v>0.0580645161</v>
      </c>
      <c r="J76" s="34" t="n">
        <v>1228.5949820789</v>
      </c>
      <c r="K76" s="34" t="n">
        <v>0</v>
      </c>
      <c r="L76" s="34" t="n">
        <v>448.3870967742</v>
      </c>
      <c r="M76" s="34" t="n">
        <v>801.846</v>
      </c>
      <c r="N76" s="34" t="n">
        <v>0</v>
      </c>
      <c r="O76" s="34" t="n">
        <v>10.08</v>
      </c>
      <c r="P76" s="34" t="n">
        <v>1149.5</v>
      </c>
      <c r="Q76" s="34" t="n">
        <v>3111</v>
      </c>
      <c r="R76" s="34" t="n">
        <v>0</v>
      </c>
      <c r="S76" s="34" t="n">
        <v>2700.1593548387</v>
      </c>
      <c r="T76" s="34" t="n">
        <v>401.5224</v>
      </c>
    </row>
    <row r="77" customFormat="false" ht="15" hidden="false" customHeight="false" outlineLevel="0" collapsed="false">
      <c r="A77" s="23" t="n">
        <v>46374</v>
      </c>
      <c r="B77" s="34" t="n">
        <v>1400</v>
      </c>
      <c r="C77" s="34" t="n">
        <v>0</v>
      </c>
      <c r="D77" s="34" t="n">
        <v>1800</v>
      </c>
      <c r="E77" s="34" t="n">
        <v>1800</v>
      </c>
      <c r="F77" s="34" t="n">
        <v>0</v>
      </c>
      <c r="G77" s="34" t="n">
        <f aca="false">SUM(B77:F77)</f>
        <v>5000</v>
      </c>
      <c r="H77" s="34" t="n">
        <v>555.5555555556</v>
      </c>
      <c r="I77" s="36" t="n">
        <v>0.0580645161</v>
      </c>
      <c r="J77" s="34" t="n">
        <v>1228.5949820789</v>
      </c>
      <c r="K77" s="34" t="n">
        <v>0</v>
      </c>
      <c r="L77" s="34" t="n">
        <v>448.3870967742</v>
      </c>
      <c r="M77" s="34" t="n">
        <v>1113.675</v>
      </c>
      <c r="N77" s="34" t="n">
        <v>0</v>
      </c>
      <c r="O77" s="34" t="n">
        <v>10.08</v>
      </c>
      <c r="P77" s="34" t="n">
        <v>1442.1</v>
      </c>
      <c r="Q77" s="34" t="n">
        <v>3111</v>
      </c>
      <c r="R77" s="34" t="n">
        <v>0</v>
      </c>
      <c r="S77" s="34" t="n">
        <v>2468.4593548387</v>
      </c>
      <c r="T77" s="34" t="n">
        <v>557.67</v>
      </c>
    </row>
    <row r="78" customFormat="false" ht="15" hidden="false" customHeight="false" outlineLevel="0" collapsed="false">
      <c r="A78" s="23" t="n">
        <v>46375</v>
      </c>
      <c r="B78" s="34" t="n">
        <v>1400</v>
      </c>
      <c r="C78" s="34" t="n">
        <v>0</v>
      </c>
      <c r="D78" s="34" t="n">
        <v>1800</v>
      </c>
      <c r="E78" s="34" t="n">
        <v>1800</v>
      </c>
      <c r="F78" s="34" t="n">
        <v>0</v>
      </c>
      <c r="G78" s="34" t="n">
        <f aca="false">SUM(B78:F78)</f>
        <v>5000</v>
      </c>
      <c r="H78" s="34" t="n">
        <v>555.5555555556</v>
      </c>
      <c r="I78" s="36" t="n">
        <v>0.0580645161</v>
      </c>
      <c r="J78" s="34" t="n">
        <v>1228.5949820789</v>
      </c>
      <c r="K78" s="34" t="n">
        <v>0</v>
      </c>
      <c r="L78" s="34" t="n">
        <v>448.3870967742</v>
      </c>
      <c r="M78" s="34" t="n">
        <v>1113.675</v>
      </c>
      <c r="N78" s="34" t="n">
        <v>0</v>
      </c>
      <c r="O78" s="34" t="n">
        <v>10.08</v>
      </c>
      <c r="P78" s="34" t="n">
        <v>1358.5</v>
      </c>
      <c r="Q78" s="34" t="n">
        <v>3111</v>
      </c>
      <c r="R78" s="34" t="n">
        <v>0</v>
      </c>
      <c r="S78" s="34" t="n">
        <v>2468.4593548387</v>
      </c>
      <c r="T78" s="34" t="n">
        <v>557.67</v>
      </c>
    </row>
    <row r="79" customFormat="false" ht="15" hidden="false" customHeight="false" outlineLevel="0" collapsed="false">
      <c r="A79" s="23" t="n">
        <v>46376</v>
      </c>
      <c r="B79" s="34" t="n">
        <v>1400</v>
      </c>
      <c r="C79" s="34" t="n">
        <v>0</v>
      </c>
      <c r="D79" s="34" t="n">
        <v>1800</v>
      </c>
      <c r="E79" s="34" t="n">
        <v>1800</v>
      </c>
      <c r="F79" s="34" t="n">
        <v>0</v>
      </c>
      <c r="G79" s="34" t="n">
        <f aca="false">SUM(B79:F79)</f>
        <v>5000</v>
      </c>
      <c r="H79" s="34" t="n">
        <v>555.5555555556</v>
      </c>
      <c r="I79" s="36" t="n">
        <v>0.0580645161</v>
      </c>
      <c r="J79" s="34" t="n">
        <v>1228.5949820789</v>
      </c>
      <c r="K79" s="34" t="n">
        <v>0</v>
      </c>
      <c r="L79" s="34" t="n">
        <v>448.3870967742</v>
      </c>
      <c r="M79" s="34" t="n">
        <v>1113.675</v>
      </c>
      <c r="N79" s="34" t="n">
        <v>0</v>
      </c>
      <c r="O79" s="34" t="n">
        <v>10.08</v>
      </c>
      <c r="P79" s="34" t="n">
        <v>1254</v>
      </c>
      <c r="Q79" s="34" t="n">
        <v>3111</v>
      </c>
      <c r="R79" s="34" t="n">
        <v>0</v>
      </c>
      <c r="S79" s="34" t="n">
        <v>2700.1593548387</v>
      </c>
      <c r="T79" s="34" t="n">
        <v>557.67</v>
      </c>
    </row>
    <row r="80" customFormat="false" ht="15" hidden="false" customHeight="false" outlineLevel="0" collapsed="false">
      <c r="A80" s="23" t="n">
        <v>46377</v>
      </c>
      <c r="B80" s="34" t="n">
        <v>1400</v>
      </c>
      <c r="C80" s="34" t="n">
        <v>0</v>
      </c>
      <c r="D80" s="34" t="n">
        <v>1800</v>
      </c>
      <c r="E80" s="34" t="n">
        <v>1800</v>
      </c>
      <c r="F80" s="34" t="n">
        <v>0</v>
      </c>
      <c r="G80" s="34" t="n">
        <f aca="false">SUM(B80:F80)</f>
        <v>5000</v>
      </c>
      <c r="H80" s="34" t="n">
        <v>555.5555555556</v>
      </c>
      <c r="I80" s="36" t="n">
        <v>0.0580645161</v>
      </c>
      <c r="J80" s="34" t="n">
        <v>1228.5949820789</v>
      </c>
      <c r="K80" s="34" t="n">
        <v>0</v>
      </c>
      <c r="L80" s="34" t="n">
        <v>448.3870967742</v>
      </c>
      <c r="M80" s="34" t="n">
        <v>1113.675</v>
      </c>
      <c r="N80" s="34" t="n">
        <v>0</v>
      </c>
      <c r="O80" s="34" t="n">
        <v>10.08</v>
      </c>
      <c r="P80" s="34" t="n">
        <v>1358.5</v>
      </c>
      <c r="Q80" s="34" t="n">
        <v>3111</v>
      </c>
      <c r="R80" s="34" t="n">
        <v>0</v>
      </c>
      <c r="S80" s="34" t="n">
        <v>2700.1593548387</v>
      </c>
      <c r="T80" s="34" t="n">
        <v>557.67</v>
      </c>
    </row>
    <row r="81" customFormat="false" ht="15" hidden="false" customHeight="false" outlineLevel="0" collapsed="false">
      <c r="A81" s="23" t="n">
        <v>46378</v>
      </c>
      <c r="B81" s="34" t="n">
        <v>1400</v>
      </c>
      <c r="C81" s="34" t="n">
        <v>0</v>
      </c>
      <c r="D81" s="34" t="n">
        <v>1800</v>
      </c>
      <c r="E81" s="34" t="n">
        <v>1800</v>
      </c>
      <c r="F81" s="34" t="n">
        <v>0</v>
      </c>
      <c r="G81" s="34" t="n">
        <f aca="false">SUM(B81:F81)</f>
        <v>5000</v>
      </c>
      <c r="H81" s="34" t="n">
        <v>555.5555555556</v>
      </c>
      <c r="I81" s="36" t="n">
        <v>0.0580645161</v>
      </c>
      <c r="J81" s="34" t="n">
        <v>1228.5949820789</v>
      </c>
      <c r="K81" s="34" t="n">
        <v>0</v>
      </c>
      <c r="L81" s="34" t="n">
        <v>448.3870967742</v>
      </c>
      <c r="M81" s="34" t="n">
        <v>1113.675</v>
      </c>
      <c r="N81" s="34" t="n">
        <v>0</v>
      </c>
      <c r="O81" s="34" t="n">
        <v>10.08</v>
      </c>
      <c r="P81" s="34" t="n">
        <v>1442.1</v>
      </c>
      <c r="Q81" s="34" t="n">
        <v>0</v>
      </c>
      <c r="R81" s="34" t="n">
        <v>0</v>
      </c>
      <c r="S81" s="34" t="n">
        <v>842.2193548387</v>
      </c>
      <c r="T81" s="34" t="n">
        <v>557.67</v>
      </c>
    </row>
    <row r="82" customFormat="false" ht="15" hidden="false" customHeight="false" outlineLevel="0" collapsed="false">
      <c r="A82" s="23" t="n">
        <v>46379</v>
      </c>
      <c r="B82" s="34" t="n">
        <v>1400</v>
      </c>
      <c r="C82" s="34" t="n">
        <v>0</v>
      </c>
      <c r="D82" s="34" t="n">
        <v>1800</v>
      </c>
      <c r="E82" s="34" t="n">
        <v>1800</v>
      </c>
      <c r="F82" s="34" t="n">
        <v>0</v>
      </c>
      <c r="G82" s="34" t="n">
        <f aca="false">SUM(B82:F82)</f>
        <v>5000</v>
      </c>
      <c r="H82" s="34" t="n">
        <v>555.5555555556</v>
      </c>
      <c r="I82" s="36" t="n">
        <v>0.0580645161</v>
      </c>
      <c r="J82" s="34" t="n">
        <v>1228.5949820789</v>
      </c>
      <c r="K82" s="34" t="n">
        <v>0</v>
      </c>
      <c r="L82" s="34" t="n">
        <v>448.3870967742</v>
      </c>
      <c r="M82" s="34" t="n">
        <v>1113.675</v>
      </c>
      <c r="N82" s="34" t="n">
        <v>0</v>
      </c>
      <c r="O82" s="34" t="n">
        <v>10.08</v>
      </c>
      <c r="P82" s="34" t="n">
        <v>1442.1</v>
      </c>
      <c r="Q82" s="34" t="n">
        <v>3111</v>
      </c>
      <c r="R82" s="34" t="n">
        <v>0</v>
      </c>
      <c r="S82" s="34" t="n">
        <v>2700.1593548387</v>
      </c>
      <c r="T82" s="34" t="n">
        <v>557.67</v>
      </c>
    </row>
    <row r="83" customFormat="false" ht="15" hidden="false" customHeight="false" outlineLevel="0" collapsed="false">
      <c r="A83" s="23" t="n">
        <v>46380</v>
      </c>
      <c r="B83" s="34" t="n">
        <v>1400</v>
      </c>
      <c r="C83" s="34" t="n">
        <v>0</v>
      </c>
      <c r="D83" s="34" t="n">
        <v>1800</v>
      </c>
      <c r="E83" s="34" t="n">
        <v>1800</v>
      </c>
      <c r="F83" s="34" t="n">
        <v>0</v>
      </c>
      <c r="G83" s="34" t="n">
        <f aca="false">SUM(B83:F83)</f>
        <v>5000</v>
      </c>
      <c r="H83" s="34" t="n">
        <v>555.5555555556</v>
      </c>
      <c r="I83" s="36" t="n">
        <v>0.0580645161</v>
      </c>
      <c r="J83" s="34" t="n">
        <v>1228.5949820789</v>
      </c>
      <c r="K83" s="34" t="n">
        <v>0</v>
      </c>
      <c r="L83" s="34" t="n">
        <v>448.3870967742</v>
      </c>
      <c r="M83" s="34" t="n">
        <v>1113.675</v>
      </c>
      <c r="N83" s="34" t="n">
        <v>0</v>
      </c>
      <c r="O83" s="34" t="n">
        <v>10.08</v>
      </c>
      <c r="P83" s="34" t="n">
        <v>1442.1</v>
      </c>
      <c r="Q83" s="34" t="n">
        <v>3111</v>
      </c>
      <c r="R83" s="34" t="n">
        <v>0</v>
      </c>
      <c r="S83" s="34" t="n">
        <v>2700.1593548387</v>
      </c>
      <c r="T83" s="34" t="n">
        <v>557.67</v>
      </c>
    </row>
    <row r="84" customFormat="false" ht="15" hidden="false" customHeight="false" outlineLevel="0" collapsed="false">
      <c r="A84" s="23" t="n">
        <v>46381</v>
      </c>
      <c r="B84" s="34" t="n">
        <v>1400</v>
      </c>
      <c r="C84" s="34" t="n">
        <v>0</v>
      </c>
      <c r="D84" s="34" t="n">
        <v>1800</v>
      </c>
      <c r="E84" s="34" t="n">
        <v>1800</v>
      </c>
      <c r="F84" s="34" t="n">
        <v>0</v>
      </c>
      <c r="G84" s="34" t="n">
        <f aca="false">SUM(B84:F84)</f>
        <v>5000</v>
      </c>
      <c r="H84" s="34" t="n">
        <v>555.5555555556</v>
      </c>
      <c r="I84" s="36" t="n">
        <v>0.0580645161</v>
      </c>
      <c r="J84" s="34" t="n">
        <v>1228.5949820789</v>
      </c>
      <c r="K84" s="34" t="n">
        <v>0</v>
      </c>
      <c r="L84" s="34" t="n">
        <v>448.3870967742</v>
      </c>
      <c r="M84" s="34" t="n">
        <v>1113.675</v>
      </c>
      <c r="N84" s="34" t="n">
        <v>0</v>
      </c>
      <c r="O84" s="34" t="n">
        <v>10.08</v>
      </c>
      <c r="P84" s="34" t="n">
        <v>1442.1</v>
      </c>
      <c r="Q84" s="34" t="n">
        <v>3111</v>
      </c>
      <c r="R84" s="34" t="n">
        <v>3000</v>
      </c>
      <c r="S84" s="34" t="n">
        <v>2700.1593548387</v>
      </c>
      <c r="T84" s="34" t="n">
        <v>557.67</v>
      </c>
    </row>
    <row r="85" customFormat="false" ht="15" hidden="false" customHeight="false" outlineLevel="0" collapsed="false">
      <c r="A85" s="23" t="n">
        <v>46382</v>
      </c>
      <c r="B85" s="34" t="n">
        <v>1400</v>
      </c>
      <c r="C85" s="34" t="n">
        <v>0</v>
      </c>
      <c r="D85" s="34" t="n">
        <v>1800</v>
      </c>
      <c r="E85" s="34" t="n">
        <v>1800</v>
      </c>
      <c r="F85" s="34" t="n">
        <v>0</v>
      </c>
      <c r="G85" s="34" t="n">
        <f aca="false">SUM(B85:F85)</f>
        <v>5000</v>
      </c>
      <c r="H85" s="34" t="n">
        <v>555.5555555556</v>
      </c>
      <c r="I85" s="36" t="n">
        <v>0.0580645161</v>
      </c>
      <c r="J85" s="34" t="n">
        <v>1228.5949820789</v>
      </c>
      <c r="K85" s="34" t="n">
        <v>0</v>
      </c>
      <c r="L85" s="34" t="n">
        <v>48.3870967742</v>
      </c>
      <c r="M85" s="34" t="n">
        <v>1113.675</v>
      </c>
      <c r="N85" s="34" t="n">
        <v>0</v>
      </c>
      <c r="O85" s="34" t="n">
        <v>10.08</v>
      </c>
      <c r="P85" s="34" t="n">
        <v>1442.1</v>
      </c>
      <c r="Q85" s="34" t="n">
        <v>3111</v>
      </c>
      <c r="R85" s="34" t="n">
        <v>3000</v>
      </c>
      <c r="S85" s="34" t="n">
        <v>2700.1593548387</v>
      </c>
      <c r="T85" s="34" t="n">
        <v>557.67</v>
      </c>
    </row>
    <row r="86" customFormat="false" ht="15" hidden="false" customHeight="false" outlineLevel="0" collapsed="false">
      <c r="A86" s="23" t="n">
        <v>46383</v>
      </c>
      <c r="B86" s="34" t="n">
        <v>1400</v>
      </c>
      <c r="C86" s="34" t="n">
        <v>0</v>
      </c>
      <c r="D86" s="34" t="n">
        <v>0</v>
      </c>
      <c r="E86" s="34" t="n">
        <v>1800</v>
      </c>
      <c r="F86" s="34" t="n">
        <v>0</v>
      </c>
      <c r="G86" s="34" t="n">
        <f aca="false">SUM(B86:F86)</f>
        <v>3200</v>
      </c>
      <c r="H86" s="34" t="n">
        <v>555.5555555556</v>
      </c>
      <c r="I86" s="36" t="n">
        <v>0.0580645161</v>
      </c>
      <c r="J86" s="34" t="n">
        <v>1228.5949820789</v>
      </c>
      <c r="K86" s="34" t="n">
        <v>0</v>
      </c>
      <c r="L86" s="34" t="n">
        <v>48.3870967742</v>
      </c>
      <c r="M86" s="34" t="n">
        <v>712.752</v>
      </c>
      <c r="N86" s="34" t="n">
        <v>0</v>
      </c>
      <c r="O86" s="34" t="n">
        <v>10.08</v>
      </c>
      <c r="P86" s="34" t="n">
        <v>1065.9</v>
      </c>
      <c r="Q86" s="34" t="n">
        <v>3111</v>
      </c>
      <c r="R86" s="34" t="n">
        <v>3000</v>
      </c>
      <c r="S86" s="34" t="n">
        <v>2700.1593548387</v>
      </c>
      <c r="T86" s="34" t="n">
        <v>356.9088</v>
      </c>
    </row>
    <row r="87" customFormat="false" ht="15" hidden="false" customHeight="false" outlineLevel="0" collapsed="false">
      <c r="A87" s="23" t="n">
        <v>46384</v>
      </c>
      <c r="B87" s="34" t="n">
        <v>1400</v>
      </c>
      <c r="C87" s="34" t="n">
        <v>0</v>
      </c>
      <c r="D87" s="34" t="n">
        <v>1800</v>
      </c>
      <c r="E87" s="34" t="n">
        <v>1800</v>
      </c>
      <c r="F87" s="34" t="n">
        <v>0</v>
      </c>
      <c r="G87" s="34" t="n">
        <f aca="false">SUM(B87:F87)</f>
        <v>5000</v>
      </c>
      <c r="H87" s="34" t="n">
        <v>555.5555555556</v>
      </c>
      <c r="I87" s="36" t="n">
        <v>0.0580645161</v>
      </c>
      <c r="J87" s="34" t="n">
        <v>1228.5949820789</v>
      </c>
      <c r="K87" s="34" t="n">
        <v>0</v>
      </c>
      <c r="L87" s="34" t="n">
        <v>48.3870967742</v>
      </c>
      <c r="M87" s="34" t="n">
        <v>1113.675</v>
      </c>
      <c r="N87" s="34" t="n">
        <v>5000</v>
      </c>
      <c r="O87" s="34" t="n">
        <v>10.08</v>
      </c>
      <c r="P87" s="34" t="n">
        <v>1442.1</v>
      </c>
      <c r="Q87" s="34" t="n">
        <v>3111</v>
      </c>
      <c r="R87" s="34" t="n">
        <v>1000</v>
      </c>
      <c r="S87" s="34" t="n">
        <v>2700.1593548387</v>
      </c>
      <c r="T87" s="34" t="n">
        <v>557.67</v>
      </c>
    </row>
    <row r="88" customFormat="false" ht="15" hidden="false" customHeight="false" outlineLevel="0" collapsed="false">
      <c r="A88" s="23" t="n">
        <v>46385</v>
      </c>
      <c r="B88" s="34" t="n">
        <v>1400</v>
      </c>
      <c r="C88" s="34" t="n">
        <v>0</v>
      </c>
      <c r="D88" s="34" t="n">
        <v>1800</v>
      </c>
      <c r="E88" s="34" t="n">
        <v>1800</v>
      </c>
      <c r="F88" s="34" t="n">
        <v>1800</v>
      </c>
      <c r="G88" s="34" t="n">
        <f aca="false">SUM(B88:F88)</f>
        <v>6800</v>
      </c>
      <c r="H88" s="34" t="n">
        <v>555.5555555556</v>
      </c>
      <c r="I88" s="36" t="n">
        <v>0.0580645161</v>
      </c>
      <c r="J88" s="34" t="n">
        <v>1228.5949820789</v>
      </c>
      <c r="K88" s="34" t="n">
        <v>0</v>
      </c>
      <c r="L88" s="34" t="n">
        <v>48.3870967742</v>
      </c>
      <c r="M88" s="34" t="n">
        <v>1514.598</v>
      </c>
      <c r="N88" s="34" t="n">
        <v>5000</v>
      </c>
      <c r="O88" s="34" t="n">
        <v>10.08</v>
      </c>
      <c r="P88" s="34" t="n">
        <v>1818.3</v>
      </c>
      <c r="Q88" s="34" t="n">
        <v>3111</v>
      </c>
      <c r="R88" s="34" t="n">
        <v>0</v>
      </c>
      <c r="S88" s="34" t="n">
        <v>2700.1593548387</v>
      </c>
      <c r="T88" s="34" t="n">
        <v>758.4312</v>
      </c>
    </row>
    <row r="89" customFormat="false" ht="15" hidden="false" customHeight="false" outlineLevel="0" collapsed="false">
      <c r="A89" s="23" t="n">
        <v>46386</v>
      </c>
      <c r="B89" s="34" t="n">
        <v>1400</v>
      </c>
      <c r="C89" s="34" t="n">
        <v>0</v>
      </c>
      <c r="D89" s="34" t="n">
        <v>1800</v>
      </c>
      <c r="E89" s="34" t="n">
        <v>1800</v>
      </c>
      <c r="F89" s="34" t="n">
        <v>1800</v>
      </c>
      <c r="G89" s="34" t="n">
        <f aca="false">SUM(B89:F89)</f>
        <v>6800</v>
      </c>
      <c r="H89" s="34" t="n">
        <v>555.5555555556</v>
      </c>
      <c r="I89" s="36" t="n">
        <v>0.0580645161</v>
      </c>
      <c r="J89" s="34" t="n">
        <v>1228.5949820789</v>
      </c>
      <c r="K89" s="34" t="n">
        <v>0</v>
      </c>
      <c r="L89" s="34" t="n">
        <v>48.3870967742</v>
      </c>
      <c r="M89" s="34" t="n">
        <v>1514.598</v>
      </c>
      <c r="N89" s="34" t="n">
        <v>5000</v>
      </c>
      <c r="O89" s="34" t="n">
        <v>10.08</v>
      </c>
      <c r="P89" s="34" t="n">
        <v>1818.3</v>
      </c>
      <c r="Q89" s="34" t="n">
        <v>3111</v>
      </c>
      <c r="R89" s="34" t="n">
        <v>0</v>
      </c>
      <c r="S89" s="34" t="n">
        <v>2700.1593548387</v>
      </c>
      <c r="T89" s="34" t="n">
        <v>758.4312</v>
      </c>
    </row>
    <row r="90" customFormat="false" ht="15" hidden="false" customHeight="false" outlineLevel="0" collapsed="false">
      <c r="A90" s="23" t="n">
        <v>46387</v>
      </c>
      <c r="B90" s="34" t="n">
        <v>1400</v>
      </c>
      <c r="C90" s="34" t="n">
        <v>0</v>
      </c>
      <c r="D90" s="34" t="n">
        <v>1800</v>
      </c>
      <c r="E90" s="34" t="n">
        <v>1800</v>
      </c>
      <c r="F90" s="34" t="n">
        <v>1800</v>
      </c>
      <c r="G90" s="34" t="n">
        <f aca="false">SUM(B90:F90)</f>
        <v>6800</v>
      </c>
      <c r="H90" s="34" t="n">
        <v>555.5555555556</v>
      </c>
      <c r="I90" s="36" t="n">
        <v>0.0580645161</v>
      </c>
      <c r="J90" s="34" t="n">
        <v>1228.5949820789</v>
      </c>
      <c r="K90" s="34" t="n">
        <v>0</v>
      </c>
      <c r="L90" s="34" t="n">
        <v>48.3870967742</v>
      </c>
      <c r="M90" s="34" t="n">
        <v>1514.598</v>
      </c>
      <c r="N90" s="34" t="n">
        <v>5000</v>
      </c>
      <c r="O90" s="34" t="n">
        <v>10.08</v>
      </c>
      <c r="P90" s="34" t="n">
        <v>1818.3</v>
      </c>
      <c r="Q90" s="34" t="n">
        <v>3111</v>
      </c>
      <c r="R90" s="34" t="n">
        <v>0</v>
      </c>
      <c r="S90" s="34" t="n">
        <v>2700.1593548387</v>
      </c>
      <c r="T90" s="34" t="n">
        <v>758.4312</v>
      </c>
    </row>
    <row r="91" customFormat="false" ht="15" hidden="false" customHeight="false" outlineLevel="0" collapsed="false">
      <c r="A91" s="16" t="s">
        <v>176</v>
      </c>
      <c r="B91" s="37" t="n">
        <f aca="false">SUM(B3:B90)</f>
        <v>117600</v>
      </c>
      <c r="C91" s="37" t="n">
        <f aca="false">SUM(C3:C90)</f>
        <v>52200</v>
      </c>
      <c r="D91" s="37" t="n">
        <f aca="false">SUM(D3:D90)</f>
        <v>94200</v>
      </c>
      <c r="E91" s="37" t="n">
        <f aca="false">SUM(E3:E90)</f>
        <v>151200</v>
      </c>
      <c r="F91" s="37" t="n">
        <f aca="false">SUM(F3:F90)</f>
        <v>104400</v>
      </c>
      <c r="G91" s="37" t="n">
        <f aca="false">SUM(G3:G90)</f>
        <v>519600</v>
      </c>
      <c r="H91" s="37" t="n">
        <f aca="false">SUM(H3:H90)</f>
        <v>28333.3333333356</v>
      </c>
      <c r="J91" s="37" t="n">
        <f aca="false">SUM(J3:J90)</f>
        <v>108126.037000002</v>
      </c>
      <c r="K91" s="37" t="n">
        <f aca="false">SUM(K3:K90)</f>
        <v>20000</v>
      </c>
      <c r="L91" s="37" t="n">
        <f aca="false">SUM(L3:L90)</f>
        <v>23800.0000000014</v>
      </c>
      <c r="M91" s="37" t="n">
        <f aca="false">SUM(M3:M90)</f>
        <v>128017.406</v>
      </c>
      <c r="N91" s="37" t="n">
        <f aca="false">SUM(N3:N90)</f>
        <v>148447.864</v>
      </c>
      <c r="O91" s="37" t="n">
        <f aca="false">SUM(O3:O90)</f>
        <v>1597.68</v>
      </c>
      <c r="P91" s="37" t="n">
        <f aca="false">SUM(P3:P90)</f>
        <v>139679.25</v>
      </c>
      <c r="Q91" s="37" t="n">
        <f aca="false">SUM(Q3:Q90)</f>
        <v>242652.5</v>
      </c>
      <c r="R91" s="37" t="n">
        <f aca="false">SUM(R3:R90)</f>
        <v>43600</v>
      </c>
      <c r="S91" s="37" t="n">
        <f aca="false">SUM(S3:S90)</f>
        <v>223770.51</v>
      </c>
      <c r="T91" s="37" t="n">
        <f aca="false">SUM(T3:T90)</f>
        <v>63327.2464</v>
      </c>
    </row>
    <row r="93" customFormat="false" ht="15" hidden="false" customHeight="false" outlineLevel="0" collapsed="false">
      <c r="A93" s="2" t="s">
        <v>177</v>
      </c>
    </row>
  </sheetData>
  <mergeCells count="4">
    <mergeCell ref="B1:G1"/>
    <mergeCell ref="H1:M1"/>
    <mergeCell ref="N1:P1"/>
    <mergeCell ref="Q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2026-10-29T04:30:18Z</dcterms:created>
  <dc:creator>openpyxl</dc:creator>
  <dc:description/>
  <dc:language>en-US</dc:language>
  <cp:lastModifiedBy/>
  <dcterms:modified xsi:type="dcterms:W3CDTF">2026-10-29T04:30:19Z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